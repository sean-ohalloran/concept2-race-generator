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sync\Sonstiges\Programming\python\ErgoCup\"/>
    </mc:Choice>
  </mc:AlternateContent>
  <xr:revisionPtr revIDLastSave="0" documentId="13_ncr:1_{A1F0BFB5-9F87-48B7-B503-3F720641F175}" xr6:coauthVersionLast="47" xr6:coauthVersionMax="47" xr10:uidLastSave="{00000000-0000-0000-0000-000000000000}"/>
  <bookViews>
    <workbookView xWindow="-108" yWindow="-108" windowWidth="23256" windowHeight="12456" tabRatio="834" xr2:uid="{00000000-000D-0000-FFFF-FFFF00000000}"/>
  </bookViews>
  <sheets>
    <sheet name="Ausschreibung" sheetId="1" r:id="rId1"/>
    <sheet name="Eingabe Meldungen" sheetId="2" r:id="rId2"/>
    <sheet name="Rennlisten" sheetId="3" r:id="rId3"/>
    <sheet name="Ergebnisse Rennen" sheetId="4" r:id="rId4"/>
    <sheet name="Kasse Einzelteilnehmer" sheetId="6" r:id="rId5"/>
    <sheet name="Kasse Verein" sheetId="7" state="hidden" r:id="rId6"/>
    <sheet name="Waage" sheetId="8" r:id="rId7"/>
  </sheets>
  <externalReferences>
    <externalReference r:id="rId8"/>
  </externalReferences>
  <definedNames>
    <definedName name="_xlnm._FilterDatabase" localSheetId="1" hidden="1">'Eingabe Meldungen'!$A$1:$J$449</definedName>
    <definedName name="_xlnm._FilterDatabase" localSheetId="4" hidden="1">'Kasse Einzelteilnehmer'!$B$1:$H$390</definedName>
    <definedName name="_xlnm.Print_Area" localSheetId="0">Ausschreibung!$B$2:$I$38</definedName>
    <definedName name="_xlnm.Print_Area" localSheetId="3">'Ergebnisse Rennen'!$A$80:$I$652</definedName>
    <definedName name="_xlnm.Print_Area" localSheetId="4">'Kasse Einzelteilnehmer'!$B$2:$J$233</definedName>
    <definedName name="_xlnm.Print_Area" localSheetId="2">Rennlisten!$B$2:$K$403</definedName>
    <definedName name="_xlnm.Print_Area" localSheetId="6">Waage!$B$1:$M$466</definedName>
    <definedName name="_xlnm.Print_Titles" localSheetId="4">'Kasse Einzelteilnehmer'!$1:$1</definedName>
    <definedName name="_xlnm.Print_Titles" localSheetId="2">Rennlisten!$2:$3</definedName>
    <definedName name="_xlnm.Print_Titles" localSheetId="6">Waage!$58:$59</definedName>
    <definedName name="Z_391ED413_B519_42B5_B0F8_A9E49CD8514B_.wvu.Cols" localSheetId="2" hidden="1">Rennlisten!$G:$H,Rennlisten!$J:$J</definedName>
    <definedName name="Z_391ED413_B519_42B5_B0F8_A9E49CD8514B_.wvu.Cols" localSheetId="6" hidden="1">Waage!$G:$H,Waage!$K:$K,Waage!$N:$N</definedName>
    <definedName name="Z_391ED413_B519_42B5_B0F8_A9E49CD8514B_.wvu.FilterData" localSheetId="1" hidden="1">'Eingabe Meldungen'!$A$1:$J$334</definedName>
    <definedName name="Z_391ED413_B519_42B5_B0F8_A9E49CD8514B_.wvu.FilterData" localSheetId="4" hidden="1">'Kasse Einzelteilnehmer'!$C$1:$H$187</definedName>
    <definedName name="Z_391ED413_B519_42B5_B0F8_A9E49CD8514B_.wvu.PrintArea" localSheetId="3" hidden="1">'Ergebnisse Rennen'!$A:$I</definedName>
    <definedName name="Z_391ED413_B519_42B5_B0F8_A9E49CD8514B_.wvu.Rows" localSheetId="3" hidden="1">'Ergebnisse Rennen'!$5:$79,'Ergebnisse Rennen'!$371:$424,'Ergebnisse Rennen'!$604:$630,'Ergebnisse Rennen'!$654:$719</definedName>
    <definedName name="Z_391ED413_B519_42B5_B0F8_A9E49CD8514B_.wvu.Rows" localSheetId="6" hidden="1">Waage!$1:$57,Waage!$78:$95,Waage!$127:$145,Waage!$164:$182,Waage!$201:$219,Waage!$246:$263,Waage!$273:$291,Waage!$310:$422,Waage!$433:$451,Waage!$467:$485,Waage!$504:$522,Waage!$523:$734</definedName>
    <definedName name="Z_C8142681_9B06_410E_8CFF_E9CA3B4159D6_.wvu.FilterData" localSheetId="1" hidden="1">'Eingabe Meldungen'!$A$1:$J$334</definedName>
    <definedName name="Z_C8142681_9B06_410E_8CFF_E9CA3B4159D6_.wvu.FilterData" localSheetId="4" hidden="1">'Kasse Einzelteilnehmer'!$C$1:$H$187</definedName>
  </definedNames>
  <calcPr calcId="191029"/>
  <customWorkbookViews>
    <customWorkbookView name="Sebastian Keller - Persönliche Ansicht" guid="{391ED413-B519-42B5-B0F8-A9E49CD8514B}" mergeInterval="0" personalView="1" maximized="1" xWindow="-1928" yWindow="-8" windowWidth="1936" windowHeight="1096" tabRatio="834" activeSheetId="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3" l="1"/>
  <c r="B291" i="4" a="1"/>
  <c r="B291" i="4" s="1"/>
  <c r="C291" i="4" a="1"/>
  <c r="C291" i="4" s="1"/>
  <c r="B292" i="4" a="1"/>
  <c r="B292" i="4" s="1"/>
  <c r="C292" i="4" a="1"/>
  <c r="C292" i="4" s="1"/>
  <c r="B293" i="4" a="1"/>
  <c r="B293" i="4" s="1"/>
  <c r="C293" i="4" a="1"/>
  <c r="C293" i="4" s="1"/>
  <c r="B294" i="4" a="1"/>
  <c r="B294" i="4" s="1"/>
  <c r="C294" i="4" a="1"/>
  <c r="C294" i="4" s="1"/>
  <c r="B295" i="4" a="1"/>
  <c r="B295" i="4" s="1"/>
  <c r="C295" i="4" a="1"/>
  <c r="C295" i="4" s="1"/>
  <c r="B296" i="4" a="1"/>
  <c r="B296" i="4" s="1"/>
  <c r="C296" i="4" a="1"/>
  <c r="C296" i="4" s="1"/>
  <c r="B298" i="4" a="1"/>
  <c r="B298" i="4" s="1"/>
  <c r="C298" i="4" a="1"/>
  <c r="C298" i="4" s="1"/>
  <c r="B299" i="4" a="1"/>
  <c r="B299" i="4" s="1"/>
  <c r="C299" i="4" a="1"/>
  <c r="C299" i="4" s="1"/>
  <c r="B301" i="4" a="1"/>
  <c r="B301" i="4" s="1"/>
  <c r="C301" i="4" a="1"/>
  <c r="C301" i="4" s="1"/>
  <c r="B303" i="4" a="1"/>
  <c r="B303" i="4" s="1"/>
  <c r="C303" i="4" a="1"/>
  <c r="C303" i="4" s="1"/>
  <c r="B304" i="4" a="1"/>
  <c r="B304" i="4" s="1"/>
  <c r="C304" i="4" a="1"/>
  <c r="C304" i="4" s="1"/>
  <c r="B305" i="4" a="1"/>
  <c r="B305" i="4" s="1"/>
  <c r="C305" i="4" a="1"/>
  <c r="C305" i="4" s="1"/>
  <c r="B306" i="4" a="1"/>
  <c r="B306" i="4" s="1"/>
  <c r="C306" i="4" a="1"/>
  <c r="C306" i="4" s="1"/>
  <c r="B307" i="4" a="1"/>
  <c r="B307" i="4" s="1"/>
  <c r="C307" i="4" a="1"/>
  <c r="C307" i="4" s="1"/>
  <c r="B308" i="4" a="1"/>
  <c r="B308" i="4" s="1"/>
  <c r="C308" i="4" a="1"/>
  <c r="C308" i="4" s="1"/>
  <c r="B309" i="4" a="1"/>
  <c r="B309" i="4" s="1"/>
  <c r="C309" i="4" a="1"/>
  <c r="C309" i="4" s="1"/>
  <c r="B310" i="4" a="1"/>
  <c r="B310" i="4" s="1"/>
  <c r="C310" i="4" a="1"/>
  <c r="C310" i="4" s="1"/>
  <c r="B311" i="4" a="1"/>
  <c r="B311" i="4" s="1"/>
  <c r="C311" i="4" a="1"/>
  <c r="C311" i="4" s="1"/>
  <c r="B312" i="4" a="1"/>
  <c r="B312" i="4" s="1"/>
  <c r="C312" i="4" a="1"/>
  <c r="C312" i="4" s="1"/>
  <c r="B241" i="4" a="1"/>
  <c r="B241" i="4" s="1"/>
  <c r="C241" i="4" a="1"/>
  <c r="C241" i="4" s="1"/>
  <c r="B242" i="4" a="1"/>
  <c r="B242" i="4" s="1"/>
  <c r="C242" i="4" a="1"/>
  <c r="C242" i="4" s="1"/>
  <c r="B243" i="4" a="1"/>
  <c r="B243" i="4" s="1"/>
  <c r="C243" i="4" a="1"/>
  <c r="C243" i="4" s="1"/>
  <c r="B244" i="4" a="1"/>
  <c r="B244" i="4" s="1"/>
  <c r="C244" i="4" a="1"/>
  <c r="C244" i="4" s="1"/>
  <c r="B245" i="4" a="1"/>
  <c r="B245" i="4" s="1"/>
  <c r="C245" i="4" a="1"/>
  <c r="C245" i="4" s="1"/>
  <c r="B246" i="4" a="1"/>
  <c r="B246" i="4" s="1"/>
  <c r="C246" i="4" a="1"/>
  <c r="C246" i="4" s="1"/>
  <c r="B247" i="4" a="1"/>
  <c r="B247" i="4" s="1"/>
  <c r="C247" i="4" a="1"/>
  <c r="C247" i="4" s="1"/>
  <c r="B248" i="4" a="1"/>
  <c r="B248" i="4" s="1"/>
  <c r="C248" i="4" a="1"/>
  <c r="C248" i="4" s="1"/>
  <c r="B249" i="4" a="1"/>
  <c r="B249" i="4" s="1"/>
  <c r="C249" i="4" a="1"/>
  <c r="C249" i="4" s="1"/>
  <c r="B250" i="4" a="1"/>
  <c r="B250" i="4" s="1"/>
  <c r="C250" i="4" a="1"/>
  <c r="C250" i="4" s="1"/>
  <c r="B252" i="4" a="1"/>
  <c r="B252" i="4" s="1"/>
  <c r="C252" i="4" a="1"/>
  <c r="C252" i="4" s="1"/>
  <c r="B253" i="4" a="1"/>
  <c r="B253" i="4" s="1"/>
  <c r="C253" i="4" a="1"/>
  <c r="C253" i="4" s="1"/>
  <c r="B254" i="4" a="1"/>
  <c r="B254" i="4" s="1"/>
  <c r="C254" i="4" a="1"/>
  <c r="C254" i="4" s="1"/>
  <c r="B223" i="4" a="1"/>
  <c r="B223" i="4" s="1"/>
  <c r="C223" i="4" a="1"/>
  <c r="C223" i="4" s="1"/>
  <c r="B225" i="4" a="1"/>
  <c r="B225" i="4" s="1"/>
  <c r="C225" i="4" a="1"/>
  <c r="C225" i="4" s="1"/>
  <c r="B226" i="4" a="1"/>
  <c r="B226" i="4" s="1"/>
  <c r="C226" i="4" a="1"/>
  <c r="C226" i="4" s="1"/>
  <c r="B227" i="4" a="1"/>
  <c r="B227" i="4" s="1"/>
  <c r="C227" i="4" a="1"/>
  <c r="C227" i="4" s="1"/>
  <c r="B229" i="4" a="1"/>
  <c r="B229" i="4" s="1"/>
  <c r="H229" i="4" s="1" a="1"/>
  <c r="H229" i="4" s="1"/>
  <c r="C229" i="4" a="1"/>
  <c r="C229" i="4" s="1"/>
  <c r="B231" i="4" a="1"/>
  <c r="B231" i="4" s="1"/>
  <c r="C231" i="4" a="1"/>
  <c r="C231" i="4"/>
  <c r="B233" i="4" a="1"/>
  <c r="B233" i="4" s="1"/>
  <c r="C233" i="4" a="1"/>
  <c r="C233" i="4" s="1"/>
  <c r="B234" i="4" a="1"/>
  <c r="B234" i="4"/>
  <c r="C234" i="4" a="1"/>
  <c r="C234" i="4" s="1"/>
  <c r="D234" i="4" a="1"/>
  <c r="D234" i="4" s="1"/>
  <c r="E234" i="4" a="1"/>
  <c r="E234" i="4" s="1"/>
  <c r="G234" i="4"/>
  <c r="H234" i="4" a="1"/>
  <c r="H234" i="4" s="1"/>
  <c r="B235" i="4" a="1"/>
  <c r="B235" i="4" s="1"/>
  <c r="C235" i="4" a="1"/>
  <c r="C235" i="4" s="1"/>
  <c r="G235" i="4"/>
  <c r="B236" i="4" a="1"/>
  <c r="B236" i="4" s="1"/>
  <c r="C236" i="4" a="1"/>
  <c r="C236" i="4" s="1"/>
  <c r="G236" i="4"/>
  <c r="B205" i="4" a="1"/>
  <c r="B205" i="4" s="1"/>
  <c r="C205" i="4" a="1"/>
  <c r="C205" i="4" s="1"/>
  <c r="B206" i="4" a="1"/>
  <c r="B206" i="4" s="1"/>
  <c r="C206" i="4" a="1"/>
  <c r="C206" i="4" s="1"/>
  <c r="B207" i="4" a="1"/>
  <c r="B207" i="4" s="1"/>
  <c r="C207" i="4" a="1"/>
  <c r="C207" i="4" s="1"/>
  <c r="B208" i="4" a="1"/>
  <c r="B208" i="4" s="1"/>
  <c r="C208" i="4" a="1"/>
  <c r="C208" i="4" s="1"/>
  <c r="B209" i="4" a="1"/>
  <c r="B209" i="4" s="1"/>
  <c r="C209" i="4" a="1"/>
  <c r="C209" i="4" s="1"/>
  <c r="B210" i="4" a="1"/>
  <c r="B210" i="4" s="1"/>
  <c r="C210" i="4" a="1"/>
  <c r="C210" i="4" s="1"/>
  <c r="B211" i="4" a="1"/>
  <c r="B211" i="4" s="1"/>
  <c r="C211" i="4" a="1"/>
  <c r="C211" i="4" s="1"/>
  <c r="B213" i="4" a="1"/>
  <c r="B213" i="4" s="1"/>
  <c r="C213" i="4" a="1"/>
  <c r="C213" i="4" s="1"/>
  <c r="B214" i="4" a="1"/>
  <c r="B214" i="4" s="1"/>
  <c r="C214" i="4" a="1"/>
  <c r="C214" i="4" s="1"/>
  <c r="B215" i="4" a="1"/>
  <c r="B215" i="4" s="1"/>
  <c r="C215" i="4" a="1"/>
  <c r="C215" i="4" s="1"/>
  <c r="B216" i="4" a="1"/>
  <c r="B216" i="4" s="1"/>
  <c r="C216" i="4" a="1"/>
  <c r="C216" i="4" s="1"/>
  <c r="B217" i="4" a="1"/>
  <c r="B217" i="4" s="1"/>
  <c r="C217" i="4" a="1"/>
  <c r="C217" i="4" s="1"/>
  <c r="B218" i="4" a="1"/>
  <c r="B218" i="4" s="1"/>
  <c r="C218" i="4" a="1"/>
  <c r="C218" i="4" s="1"/>
  <c r="B148" i="4" a="1"/>
  <c r="B148" i="4" s="1"/>
  <c r="C148" i="4" a="1"/>
  <c r="C148" i="4" s="1"/>
  <c r="B149" i="4" a="1"/>
  <c r="B149" i="4" s="1"/>
  <c r="C149" i="4" a="1"/>
  <c r="C149" i="4" s="1"/>
  <c r="B150" i="4" a="1"/>
  <c r="B150" i="4" s="1"/>
  <c r="C150" i="4" a="1"/>
  <c r="C150" i="4" s="1"/>
  <c r="B151" i="4" a="1"/>
  <c r="B151" i="4" s="1"/>
  <c r="C151" i="4" a="1"/>
  <c r="C151" i="4" s="1"/>
  <c r="B152" i="4" a="1"/>
  <c r="B152" i="4" s="1"/>
  <c r="C152" i="4" a="1"/>
  <c r="C152" i="4" s="1"/>
  <c r="B153" i="4" a="1"/>
  <c r="B153" i="4" s="1"/>
  <c r="C153" i="4" a="1"/>
  <c r="C153" i="4" s="1"/>
  <c r="B154" i="4" a="1"/>
  <c r="B154" i="4" s="1"/>
  <c r="C154" i="4" a="1"/>
  <c r="C154" i="4" s="1"/>
  <c r="B156" i="4" a="1"/>
  <c r="B156" i="4" s="1"/>
  <c r="C156" i="4" a="1"/>
  <c r="C156" i="4" s="1"/>
  <c r="B157" i="4" a="1"/>
  <c r="B157" i="4" s="1"/>
  <c r="C157" i="4" a="1"/>
  <c r="C157" i="4" s="1"/>
  <c r="B158" i="4" a="1"/>
  <c r="B158" i="4" s="1"/>
  <c r="C158" i="4" a="1"/>
  <c r="C158" i="4" s="1"/>
  <c r="B161" i="4" a="1"/>
  <c r="B161" i="4" s="1"/>
  <c r="C161" i="4" a="1"/>
  <c r="C161" i="4" s="1"/>
  <c r="E97" i="4"/>
  <c r="E98" i="4"/>
  <c r="B115" i="4"/>
  <c r="C115" i="4"/>
  <c r="D115" i="4"/>
  <c r="E115" i="4"/>
  <c r="B129" i="4" a="1"/>
  <c r="B129" i="4" s="1"/>
  <c r="C129" i="4" a="1"/>
  <c r="C129" i="4" s="1"/>
  <c r="B130" i="4" a="1"/>
  <c r="B130" i="4" s="1"/>
  <c r="C130" i="4" a="1"/>
  <c r="C130" i="4" s="1"/>
  <c r="B160" i="4" a="1"/>
  <c r="B160" i="4" s="1"/>
  <c r="C160" i="4" a="1"/>
  <c r="C160" i="4" s="1"/>
  <c r="B132" i="4" a="1"/>
  <c r="B132" i="4" s="1"/>
  <c r="C132" i="4" a="1"/>
  <c r="C132" i="4" s="1"/>
  <c r="B133" i="4" a="1"/>
  <c r="B133" i="4" s="1"/>
  <c r="C133" i="4" a="1"/>
  <c r="C133" i="4" s="1"/>
  <c r="B134" i="4" a="1"/>
  <c r="B134" i="4" s="1"/>
  <c r="C134" i="4" a="1"/>
  <c r="C134" i="4" s="1"/>
  <c r="B135" i="4" a="1"/>
  <c r="B135" i="4" s="1"/>
  <c r="C135" i="4" a="1"/>
  <c r="C135" i="4" s="1"/>
  <c r="B136" i="4" a="1"/>
  <c r="B136" i="4" s="1"/>
  <c r="C136" i="4" a="1"/>
  <c r="C136" i="4" s="1"/>
  <c r="B138" i="4" a="1"/>
  <c r="B138" i="4" s="1"/>
  <c r="C138" i="4" a="1"/>
  <c r="C138" i="4" s="1"/>
  <c r="B139" i="4" a="1"/>
  <c r="B139" i="4" s="1"/>
  <c r="C139" i="4" a="1"/>
  <c r="C139" i="4" s="1"/>
  <c r="B140" i="4" a="1"/>
  <c r="B140" i="4" s="1"/>
  <c r="C140" i="4" a="1"/>
  <c r="C140" i="4" s="1"/>
  <c r="G140" i="4"/>
  <c r="B141" i="4" a="1"/>
  <c r="B141" i="4" s="1"/>
  <c r="C141" i="4" a="1"/>
  <c r="C141" i="4" s="1"/>
  <c r="G141" i="4"/>
  <c r="B142" i="4" a="1"/>
  <c r="B142" i="4" s="1"/>
  <c r="C142" i="4" a="1"/>
  <c r="C142" i="4" s="1"/>
  <c r="G142" i="4"/>
  <c r="B143" i="4" a="1"/>
  <c r="B143" i="4" s="1"/>
  <c r="C143" i="4" a="1"/>
  <c r="C143" i="4" s="1"/>
  <c r="G143" i="4"/>
  <c r="D305" i="4" l="1" a="1"/>
  <c r="D305" i="4" s="1"/>
  <c r="H305" i="4" a="1"/>
  <c r="H305" i="4" s="1"/>
  <c r="D298" i="4" a="1"/>
  <c r="D298" i="4" s="1"/>
  <c r="H298" i="4" a="1"/>
  <c r="H298" i="4" s="1"/>
  <c r="D293" i="4" a="1"/>
  <c r="D293" i="4" s="1"/>
  <c r="H293" i="4" a="1"/>
  <c r="H293" i="4" s="1"/>
  <c r="D304" i="4" a="1"/>
  <c r="D304" i="4" s="1"/>
  <c r="H304" i="4" a="1"/>
  <c r="H304" i="4" s="1"/>
  <c r="D311" i="4" a="1"/>
  <c r="D311" i="4" s="1"/>
  <c r="H311" i="4" a="1"/>
  <c r="H311" i="4" s="1"/>
  <c r="D308" i="4" a="1"/>
  <c r="D308" i="4" s="1"/>
  <c r="H308" i="4" a="1"/>
  <c r="H308" i="4" s="1"/>
  <c r="D296" i="4" a="1"/>
  <c r="D296" i="4" s="1"/>
  <c r="H296" i="4" a="1"/>
  <c r="H296" i="4" s="1"/>
  <c r="D307" i="4" a="1"/>
  <c r="D307" i="4" s="1"/>
  <c r="H307" i="4" a="1"/>
  <c r="H307" i="4" s="1"/>
  <c r="D301" i="4" a="1"/>
  <c r="D301" i="4" s="1"/>
  <c r="H301" i="4" a="1"/>
  <c r="H301" i="4" s="1"/>
  <c r="D295" i="4" a="1"/>
  <c r="D295" i="4" s="1"/>
  <c r="H295" i="4" a="1"/>
  <c r="H295" i="4" s="1"/>
  <c r="D310" i="4" a="1"/>
  <c r="D310" i="4" s="1"/>
  <c r="H310" i="4" a="1"/>
  <c r="H310" i="4" s="1"/>
  <c r="D312" i="4" a="1"/>
  <c r="D312" i="4" s="1"/>
  <c r="E312" i="4" a="1"/>
  <c r="E312" i="4" s="1"/>
  <c r="H312" i="4" a="1"/>
  <c r="H312" i="4" s="1"/>
  <c r="D306" i="4" a="1"/>
  <c r="D306" i="4" s="1"/>
  <c r="H306" i="4" a="1"/>
  <c r="H306" i="4" s="1"/>
  <c r="D294" i="4" a="1"/>
  <c r="D294" i="4" s="1"/>
  <c r="H294" i="4" a="1"/>
  <c r="H294" i="4" s="1"/>
  <c r="D299" i="4" a="1"/>
  <c r="D299" i="4" s="1"/>
  <c r="H299" i="4" a="1"/>
  <c r="H299" i="4" s="1"/>
  <c r="D292" i="4" a="1"/>
  <c r="D292" i="4" s="1"/>
  <c r="H292" i="4" a="1"/>
  <c r="H292" i="4" s="1"/>
  <c r="D309" i="4" a="1"/>
  <c r="D309" i="4" s="1"/>
  <c r="H309" i="4" a="1"/>
  <c r="H309" i="4" s="1"/>
  <c r="D303" i="4" a="1"/>
  <c r="D303" i="4" s="1"/>
  <c r="H303" i="4" a="1"/>
  <c r="H303" i="4" s="1"/>
  <c r="D291" i="4" a="1"/>
  <c r="D291" i="4" s="1"/>
  <c r="H291" i="4" a="1"/>
  <c r="H291" i="4" s="1"/>
  <c r="D254" i="4" a="1"/>
  <c r="D254" i="4" s="1"/>
  <c r="E254" i="4" a="1"/>
  <c r="E254" i="4" s="1"/>
  <c r="H254" i="4" a="1"/>
  <c r="H254" i="4" s="1"/>
  <c r="D248" i="4" a="1"/>
  <c r="D248" i="4" s="1"/>
  <c r="H248" i="4" a="1"/>
  <c r="H248" i="4" s="1"/>
  <c r="D242" i="4" a="1"/>
  <c r="D242" i="4" s="1"/>
  <c r="H242" i="4" a="1"/>
  <c r="H242" i="4" s="1"/>
  <c r="D253" i="4" a="1"/>
  <c r="D253" i="4" s="1"/>
  <c r="E253" i="4" a="1"/>
  <c r="E253" i="4" s="1"/>
  <c r="H253" i="4" a="1"/>
  <c r="H253" i="4" s="1"/>
  <c r="D247" i="4" a="1"/>
  <c r="D247" i="4" s="1"/>
  <c r="H247" i="4" a="1"/>
  <c r="H247" i="4" s="1"/>
  <c r="D241" i="4" a="1"/>
  <c r="D241" i="4" s="1"/>
  <c r="H241" i="4" a="1"/>
  <c r="H241" i="4" s="1"/>
  <c r="H252" i="4" a="1"/>
  <c r="H252" i="4" s="1"/>
  <c r="D252" i="4" a="1"/>
  <c r="D252" i="4" s="1"/>
  <c r="D250" i="4" a="1"/>
  <c r="D250" i="4" s="1"/>
  <c r="H250" i="4" a="1"/>
  <c r="H250" i="4" s="1"/>
  <c r="D246" i="4" a="1"/>
  <c r="D246" i="4" s="1"/>
  <c r="H246" i="4" a="1"/>
  <c r="H246" i="4" s="1"/>
  <c r="D245" i="4" a="1"/>
  <c r="D245" i="4" s="1"/>
  <c r="H245" i="4" a="1"/>
  <c r="H245" i="4" s="1"/>
  <c r="D244" i="4" a="1"/>
  <c r="D244" i="4" s="1"/>
  <c r="H244" i="4" a="1"/>
  <c r="H244" i="4" s="1"/>
  <c r="D249" i="4" a="1"/>
  <c r="D249" i="4" s="1"/>
  <c r="H249" i="4" a="1"/>
  <c r="H249" i="4" s="1"/>
  <c r="D243" i="4" a="1"/>
  <c r="D243" i="4" s="1"/>
  <c r="H243" i="4" a="1"/>
  <c r="H243" i="4" s="1"/>
  <c r="H231" i="4" a="1"/>
  <c r="H231" i="4" s="1"/>
  <c r="D231" i="4" a="1"/>
  <c r="D231" i="4" s="1"/>
  <c r="D229" i="4" a="1"/>
  <c r="D229" i="4" s="1"/>
  <c r="D226" i="4" a="1"/>
  <c r="D226" i="4" s="1"/>
  <c r="H226" i="4" a="1"/>
  <c r="H226" i="4" s="1"/>
  <c r="D225" i="4" a="1"/>
  <c r="D225" i="4" s="1"/>
  <c r="H225" i="4" a="1"/>
  <c r="H225" i="4" s="1"/>
  <c r="D236" i="4" a="1"/>
  <c r="D236" i="4" s="1"/>
  <c r="E236" i="4" a="1"/>
  <c r="E236" i="4" s="1"/>
  <c r="H236" i="4" a="1"/>
  <c r="H236" i="4" s="1"/>
  <c r="D235" i="4" a="1"/>
  <c r="D235" i="4" s="1"/>
  <c r="H235" i="4" a="1"/>
  <c r="H235" i="4" s="1"/>
  <c r="E235" i="4" a="1"/>
  <c r="E235" i="4" s="1"/>
  <c r="D233" i="4" a="1"/>
  <c r="D233" i="4" s="1"/>
  <c r="H233" i="4" a="1"/>
  <c r="H233" i="4" s="1"/>
  <c r="D227" i="4" a="1"/>
  <c r="D227" i="4" s="1"/>
  <c r="D223" i="4" a="1"/>
  <c r="D223" i="4" s="1"/>
  <c r="H223" i="4" a="1"/>
  <c r="H223" i="4" s="1"/>
  <c r="H227" i="4" a="1"/>
  <c r="H227" i="4" s="1"/>
  <c r="H217" i="4" a="1"/>
  <c r="H217" i="4" s="1"/>
  <c r="D217" i="4" a="1"/>
  <c r="D217" i="4" s="1"/>
  <c r="E217" i="4" a="1"/>
  <c r="E217" i="4" s="1"/>
  <c r="D210" i="4" a="1"/>
  <c r="D210" i="4" s="1"/>
  <c r="H210" i="4" a="1"/>
  <c r="H210" i="4" s="1"/>
  <c r="D215" i="4" a="1"/>
  <c r="D215" i="4" s="1"/>
  <c r="H215" i="4" a="1"/>
  <c r="H215" i="4" s="1"/>
  <c r="E215" i="4" a="1"/>
  <c r="E215" i="4" s="1"/>
  <c r="D211" i="4" a="1"/>
  <c r="D211" i="4" s="1"/>
  <c r="H211" i="4" a="1"/>
  <c r="H211" i="4" s="1"/>
  <c r="D214" i="4" a="1"/>
  <c r="D214" i="4" s="1"/>
  <c r="E214" i="4" a="1"/>
  <c r="E214" i="4" s="1"/>
  <c r="H214" i="4" a="1"/>
  <c r="H214" i="4" s="1"/>
  <c r="D205" i="4" a="1"/>
  <c r="D205" i="4" s="1"/>
  <c r="H205" i="4" a="1"/>
  <c r="H205" i="4" s="1"/>
  <c r="D216" i="4" a="1"/>
  <c r="D216" i="4" s="1"/>
  <c r="E216" i="4" a="1"/>
  <c r="E216" i="4" s="1"/>
  <c r="H216" i="4" a="1"/>
  <c r="H216" i="4" s="1"/>
  <c r="D209" i="4" a="1"/>
  <c r="D209" i="4" s="1"/>
  <c r="H209" i="4" a="1"/>
  <c r="H209" i="4" s="1"/>
  <c r="H208" i="4" a="1"/>
  <c r="H208" i="4" s="1"/>
  <c r="D208" i="4" a="1"/>
  <c r="D208" i="4" s="1"/>
  <c r="D213" i="4" a="1"/>
  <c r="D213" i="4" s="1"/>
  <c r="H213" i="4" a="1"/>
  <c r="H213" i="4" s="1"/>
  <c r="D207" i="4" a="1"/>
  <c r="D207" i="4" s="1"/>
  <c r="H207" i="4" a="1"/>
  <c r="H207" i="4" s="1"/>
  <c r="D218" i="4" a="1"/>
  <c r="D218" i="4" s="1"/>
  <c r="H218" i="4" a="1"/>
  <c r="H218" i="4" s="1"/>
  <c r="E218" i="4" a="1"/>
  <c r="E218" i="4" s="1"/>
  <c r="D206" i="4" a="1"/>
  <c r="D206" i="4" s="1"/>
  <c r="H206" i="4" a="1"/>
  <c r="H206" i="4" s="1"/>
  <c r="D149" i="4" a="1"/>
  <c r="D149" i="4" s="1"/>
  <c r="H149" i="4" a="1"/>
  <c r="H149" i="4" s="1"/>
  <c r="D161" i="4" a="1"/>
  <c r="D161" i="4" s="1"/>
  <c r="E161" i="4" a="1"/>
  <c r="E161" i="4" s="1"/>
  <c r="H161" i="4" a="1"/>
  <c r="H161" i="4" s="1"/>
  <c r="D150" i="4" a="1"/>
  <c r="D150" i="4" s="1"/>
  <c r="H150" i="4" a="1"/>
  <c r="H150" i="4" s="1"/>
  <c r="D153" i="4" a="1"/>
  <c r="D153" i="4" s="1"/>
  <c r="H153" i="4" a="1"/>
  <c r="H153" i="4" s="1"/>
  <c r="D158" i="4" a="1"/>
  <c r="D158" i="4" s="1"/>
  <c r="H158" i="4" a="1"/>
  <c r="H158" i="4" s="1"/>
  <c r="D152" i="4" a="1"/>
  <c r="D152" i="4" s="1"/>
  <c r="H152" i="4" a="1"/>
  <c r="H152" i="4" s="1"/>
  <c r="D157" i="4" a="1"/>
  <c r="D157" i="4" s="1"/>
  <c r="H157" i="4" a="1"/>
  <c r="H157" i="4" s="1"/>
  <c r="D151" i="4" a="1"/>
  <c r="D151" i="4" s="1"/>
  <c r="H151" i="4" a="1"/>
  <c r="H151" i="4" s="1"/>
  <c r="D156" i="4" a="1"/>
  <c r="D156" i="4" s="1"/>
  <c r="H156" i="4" a="1"/>
  <c r="H156" i="4" s="1"/>
  <c r="D154" i="4" a="1"/>
  <c r="D154" i="4" s="1"/>
  <c r="H154" i="4" a="1"/>
  <c r="H154" i="4" s="1"/>
  <c r="D148" i="4" a="1"/>
  <c r="D148" i="4" s="1"/>
  <c r="H148" i="4" a="1"/>
  <c r="H148" i="4" s="1"/>
  <c r="H115" i="4" a="1"/>
  <c r="H115" i="4" s="1"/>
  <c r="D132" i="4" a="1"/>
  <c r="D132" i="4" s="1"/>
  <c r="H135" i="4" a="1"/>
  <c r="H135" i="4" s="1"/>
  <c r="D130" i="4" a="1"/>
  <c r="D130" i="4" s="1"/>
  <c r="H133" i="4" a="1"/>
  <c r="H133" i="4" s="1"/>
  <c r="D140" i="4" a="1"/>
  <c r="D140" i="4" s="1"/>
  <c r="H140" i="4" a="1"/>
  <c r="H140" i="4" s="1"/>
  <c r="D129" i="4" a="1"/>
  <c r="D129" i="4" s="1"/>
  <c r="H129" i="4" a="1"/>
  <c r="H129" i="4" s="1"/>
  <c r="D141" i="4" a="1"/>
  <c r="D141" i="4" s="1"/>
  <c r="E141" i="4" a="1"/>
  <c r="E141" i="4" s="1"/>
  <c r="H141" i="4" a="1"/>
  <c r="H141" i="4" s="1"/>
  <c r="D142" i="4" a="1"/>
  <c r="D142" i="4" s="1"/>
  <c r="E142" i="4" a="1"/>
  <c r="E142" i="4" s="1"/>
  <c r="H142" i="4" a="1"/>
  <c r="H142" i="4" s="1"/>
  <c r="D139" i="4" a="1"/>
  <c r="D139" i="4" s="1"/>
  <c r="H139" i="4" a="1"/>
  <c r="H139" i="4" s="1"/>
  <c r="D135" i="4" a="1"/>
  <c r="D135" i="4" s="1"/>
  <c r="H138" i="4" a="1"/>
  <c r="H138" i="4" s="1"/>
  <c r="D138" i="4" a="1"/>
  <c r="D138" i="4" s="1"/>
  <c r="H134" i="4" a="1"/>
  <c r="H134" i="4" s="1"/>
  <c r="D134" i="4" a="1"/>
  <c r="D134" i="4" s="1"/>
  <c r="D160" i="4" a="1"/>
  <c r="D160" i="4" s="1"/>
  <c r="H160" i="4" a="1"/>
  <c r="H160" i="4" s="1"/>
  <c r="D143" i="4" a="1"/>
  <c r="D143" i="4" s="1"/>
  <c r="E143" i="4" a="1"/>
  <c r="E143" i="4" s="1"/>
  <c r="H143" i="4" a="1"/>
  <c r="H143" i="4" s="1"/>
  <c r="D133" i="4" a="1"/>
  <c r="D133" i="4" s="1"/>
  <c r="H136" i="4" a="1"/>
  <c r="H136" i="4" s="1"/>
  <c r="D136" i="4" a="1"/>
  <c r="D136" i="4" s="1"/>
  <c r="H130" i="4" a="1"/>
  <c r="H130" i="4" s="1"/>
  <c r="H132" i="4" a="1"/>
  <c r="H132" i="4" s="1"/>
  <c r="E140" i="4" a="1"/>
  <c r="E140" i="4" s="1"/>
  <c r="H32" i="3"/>
  <c r="H33" i="3"/>
  <c r="H34" i="3"/>
  <c r="H35" i="3"/>
  <c r="H36" i="3"/>
  <c r="H37" i="3"/>
  <c r="H38" i="3"/>
  <c r="H39" i="3"/>
  <c r="H40" i="3"/>
  <c r="O15" i="1" l="1"/>
  <c r="H263" i="3" l="1"/>
  <c r="H264" i="3"/>
  <c r="H246" i="3"/>
  <c r="H247" i="3"/>
  <c r="H248" i="3"/>
  <c r="H156" i="3"/>
  <c r="H157" i="3"/>
  <c r="H158" i="3"/>
  <c r="H159" i="3"/>
  <c r="H160" i="3"/>
  <c r="H161" i="3"/>
  <c r="H162" i="3"/>
  <c r="H163" i="3"/>
  <c r="H46" i="3"/>
  <c r="H47" i="3"/>
  <c r="H48" i="3"/>
  <c r="H49" i="3"/>
  <c r="H50" i="3"/>
  <c r="H51" i="3"/>
  <c r="B12" i="3" a="1"/>
  <c r="B12" i="3" s="1"/>
  <c r="C12" i="3" a="1"/>
  <c r="C12" i="3" s="1"/>
  <c r="H12" i="3"/>
  <c r="B13" i="3" a="1"/>
  <c r="B13" i="3" s="1"/>
  <c r="C13" i="3" a="1"/>
  <c r="C13" i="3" s="1"/>
  <c r="H13" i="3"/>
  <c r="B14" i="3" a="1"/>
  <c r="B14" i="3" s="1"/>
  <c r="C14" i="3" a="1"/>
  <c r="C14" i="3" s="1"/>
  <c r="H14" i="3"/>
  <c r="B15" i="3" a="1"/>
  <c r="B15" i="3" s="1"/>
  <c r="C15" i="3" a="1"/>
  <c r="C15" i="3" s="1"/>
  <c r="H15" i="3"/>
  <c r="B16" i="3" a="1"/>
  <c r="B16" i="3" s="1"/>
  <c r="C16" i="3" a="1"/>
  <c r="C16" i="3" s="1"/>
  <c r="H16" i="3"/>
  <c r="B17" i="3" a="1"/>
  <c r="B17" i="3" s="1"/>
  <c r="D17" i="3" s="1" a="1"/>
  <c r="D17" i="3" s="1"/>
  <c r="C17" i="3" a="1"/>
  <c r="C17" i="3" s="1"/>
  <c r="H17" i="3"/>
  <c r="B18" i="3" a="1"/>
  <c r="B18" i="3" s="1"/>
  <c r="C18" i="3" a="1"/>
  <c r="C18" i="3" s="1"/>
  <c r="H18" i="3"/>
  <c r="H245" i="3"/>
  <c r="H221" i="3"/>
  <c r="H222" i="3"/>
  <c r="H214" i="3"/>
  <c r="H215" i="3"/>
  <c r="H216" i="3"/>
  <c r="H217" i="3"/>
  <c r="H218" i="3"/>
  <c r="H219" i="3"/>
  <c r="H220" i="3"/>
  <c r="H208" i="3"/>
  <c r="H213" i="3"/>
  <c r="H181" i="3"/>
  <c r="H182" i="3"/>
  <c r="H183" i="3"/>
  <c r="H184" i="3"/>
  <c r="H185" i="3"/>
  <c r="H186" i="3"/>
  <c r="H178" i="3"/>
  <c r="H179" i="3"/>
  <c r="H180" i="3"/>
  <c r="B138" i="3" a="1"/>
  <c r="B138" i="3" s="1"/>
  <c r="C138" i="3" a="1"/>
  <c r="C138" i="3" s="1"/>
  <c r="H138" i="3"/>
  <c r="B139" i="3" a="1"/>
  <c r="B139" i="3" s="1"/>
  <c r="C139" i="3" a="1"/>
  <c r="C139" i="3" s="1"/>
  <c r="H139" i="3"/>
  <c r="B140" i="3" a="1"/>
  <c r="B140" i="3" s="1"/>
  <c r="C140" i="3" a="1"/>
  <c r="C140" i="3" s="1"/>
  <c r="H140" i="3"/>
  <c r="B57" i="3" a="1"/>
  <c r="B57" i="3" s="1"/>
  <c r="C57" i="3" a="1"/>
  <c r="C57" i="3" s="1"/>
  <c r="H57" i="3"/>
  <c r="B58" i="3" a="1"/>
  <c r="B58" i="3" s="1"/>
  <c r="C58" i="3" a="1"/>
  <c r="C58" i="3" s="1"/>
  <c r="H58" i="3"/>
  <c r="B59" i="3" a="1"/>
  <c r="B59" i="3" s="1"/>
  <c r="C59" i="3" a="1"/>
  <c r="C59" i="3" s="1"/>
  <c r="H59" i="3"/>
  <c r="B60" i="3" a="1"/>
  <c r="B60" i="3" s="1"/>
  <c r="C60" i="3" a="1"/>
  <c r="C60" i="3" s="1"/>
  <c r="H60" i="3"/>
  <c r="B61" i="3" a="1"/>
  <c r="B61" i="3" s="1"/>
  <c r="C61" i="3" a="1"/>
  <c r="C61" i="3" s="1"/>
  <c r="H61" i="3"/>
  <c r="B62" i="3" a="1"/>
  <c r="B62" i="3" s="1"/>
  <c r="C62" i="3" a="1"/>
  <c r="C62" i="3" s="1"/>
  <c r="H62" i="3"/>
  <c r="B65" i="3" a="1"/>
  <c r="B65" i="3" s="1"/>
  <c r="C65" i="3" a="1"/>
  <c r="C65" i="3" s="1"/>
  <c r="H65" i="3"/>
  <c r="B66" i="3" a="1"/>
  <c r="B66" i="3" s="1"/>
  <c r="C66" i="3" a="1"/>
  <c r="C66" i="3" s="1"/>
  <c r="H66" i="3"/>
  <c r="B67" i="3" a="1"/>
  <c r="B67" i="3" s="1"/>
  <c r="C67" i="3" a="1"/>
  <c r="C67" i="3" s="1"/>
  <c r="H67" i="3"/>
  <c r="B68" i="3" a="1"/>
  <c r="B68" i="3" s="1"/>
  <c r="C68" i="3" a="1"/>
  <c r="C68" i="3" s="1"/>
  <c r="H68" i="3"/>
  <c r="B69" i="3" a="1"/>
  <c r="B69" i="3" s="1"/>
  <c r="C69" i="3" a="1"/>
  <c r="C69" i="3" s="1"/>
  <c r="H69" i="3"/>
  <c r="H42" i="3"/>
  <c r="H43" i="3"/>
  <c r="H44" i="3"/>
  <c r="H45" i="3"/>
  <c r="L7" i="2"/>
  <c r="L8" i="2"/>
  <c r="L9" i="2"/>
  <c r="L10" i="2"/>
  <c r="L11" i="2"/>
  <c r="L12" i="2"/>
  <c r="L13" i="2"/>
  <c r="E16" i="3" l="1" a="1"/>
  <c r="E16" i="3" s="1"/>
  <c r="I16" i="3" a="1"/>
  <c r="I16" i="3" s="1"/>
  <c r="E15" i="3" a="1"/>
  <c r="E15" i="3" s="1"/>
  <c r="D15" i="3" a="1"/>
  <c r="D15" i="3" s="1"/>
  <c r="I15" i="3" a="1"/>
  <c r="I15" i="3" s="1"/>
  <c r="I17" i="3" a="1"/>
  <c r="I17" i="3" s="1"/>
  <c r="E17" i="3" a="1"/>
  <c r="E17" i="3" s="1"/>
  <c r="D18" i="3" a="1"/>
  <c r="D18" i="3" s="1"/>
  <c r="E18" i="3" a="1"/>
  <c r="E18" i="3" s="1"/>
  <c r="I18" i="3" a="1"/>
  <c r="I18" i="3" s="1"/>
  <c r="I13" i="3" a="1"/>
  <c r="I13" i="3" s="1"/>
  <c r="D13" i="3" a="1"/>
  <c r="D13" i="3" s="1"/>
  <c r="D14" i="3" a="1"/>
  <c r="D14" i="3" s="1"/>
  <c r="E14" i="3" a="1"/>
  <c r="E14" i="3" s="1"/>
  <c r="I14" i="3" a="1"/>
  <c r="I14" i="3" s="1"/>
  <c r="I12" i="3" a="1"/>
  <c r="I12" i="3" s="1"/>
  <c r="D12" i="3" a="1"/>
  <c r="D12" i="3" s="1"/>
  <c r="D16" i="3" a="1"/>
  <c r="D16" i="3" s="1"/>
  <c r="I138" i="3" a="1"/>
  <c r="I138" i="3" s="1"/>
  <c r="D138" i="3" a="1"/>
  <c r="D138" i="3" s="1"/>
  <c r="D140" i="3" a="1"/>
  <c r="D140" i="3" s="1"/>
  <c r="I140" i="3" a="1"/>
  <c r="I140" i="3" s="1"/>
  <c r="I139" i="3" a="1"/>
  <c r="I139" i="3" s="1"/>
  <c r="D139" i="3" a="1"/>
  <c r="D139" i="3" s="1"/>
  <c r="D61" i="3" a="1"/>
  <c r="D61" i="3" s="1"/>
  <c r="D69" i="3" a="1"/>
  <c r="D69" i="3" s="1"/>
  <c r="I69" i="3" a="1"/>
  <c r="I69" i="3" s="1"/>
  <c r="I59" i="3" a="1"/>
  <c r="I59" i="3" s="1"/>
  <c r="I65" i="3" a="1"/>
  <c r="I65" i="3" s="1"/>
  <c r="D65" i="3" a="1"/>
  <c r="D65" i="3" s="1"/>
  <c r="I57" i="3" a="1"/>
  <c r="I57" i="3" s="1"/>
  <c r="D57" i="3" a="1"/>
  <c r="D57" i="3" s="1"/>
  <c r="D59" i="3" a="1"/>
  <c r="D59" i="3" s="1"/>
  <c r="I67" i="3" a="1"/>
  <c r="I67" i="3" s="1"/>
  <c r="D67" i="3" a="1"/>
  <c r="D67" i="3" s="1"/>
  <c r="D60" i="3" a="1"/>
  <c r="D60" i="3" s="1"/>
  <c r="I58" i="3" a="1"/>
  <c r="I58" i="3" s="1"/>
  <c r="D58" i="3" a="1"/>
  <c r="D58" i="3" s="1"/>
  <c r="D68" i="3" a="1"/>
  <c r="D68" i="3" s="1"/>
  <c r="I68" i="3" a="1"/>
  <c r="I68" i="3" s="1"/>
  <c r="D66" i="3" a="1"/>
  <c r="D66" i="3" s="1"/>
  <c r="I66" i="3" a="1"/>
  <c r="I66" i="3" s="1"/>
  <c r="I60" i="3" a="1"/>
  <c r="I60" i="3" s="1"/>
  <c r="I62" i="3" a="1"/>
  <c r="I62" i="3" s="1"/>
  <c r="D62" i="3" a="1"/>
  <c r="D62" i="3" s="1"/>
  <c r="I61" i="3" a="1"/>
  <c r="I61" i="3" s="1"/>
  <c r="E69" i="3" a="1"/>
  <c r="E69" i="3" s="1"/>
  <c r="B133" i="3" a="1"/>
  <c r="B133" i="3" s="1"/>
  <c r="C133" i="3" a="1"/>
  <c r="C133" i="3" s="1"/>
  <c r="H133" i="3"/>
  <c r="B134" i="3" a="1"/>
  <c r="B134" i="3" s="1"/>
  <c r="C134" i="3" a="1"/>
  <c r="C134" i="3" s="1"/>
  <c r="H134" i="3"/>
  <c r="B135" i="3" a="1"/>
  <c r="B135" i="3" s="1"/>
  <c r="C135" i="3" a="1"/>
  <c r="C135" i="3" s="1"/>
  <c r="H135" i="3"/>
  <c r="B136" i="3" a="1"/>
  <c r="B136" i="3" s="1"/>
  <c r="C136" i="3" a="1"/>
  <c r="C136" i="3" s="1"/>
  <c r="H136" i="3"/>
  <c r="B137" i="3" a="1"/>
  <c r="B137" i="3" s="1"/>
  <c r="C137" i="3" a="1"/>
  <c r="C137" i="3" s="1"/>
  <c r="H137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D137" i="3" l="1" a="1"/>
  <c r="D137" i="3" s="1"/>
  <c r="I137" i="3" a="1"/>
  <c r="I137" i="3" s="1"/>
  <c r="I133" i="3" a="1"/>
  <c r="I133" i="3" s="1"/>
  <c r="D133" i="3" a="1"/>
  <c r="D133" i="3" s="1"/>
  <c r="I136" i="3" a="1"/>
  <c r="I136" i="3" s="1"/>
  <c r="D136" i="3" a="1"/>
  <c r="D136" i="3" s="1"/>
  <c r="D135" i="3" a="1"/>
  <c r="D135" i="3" s="1"/>
  <c r="I135" i="3" a="1"/>
  <c r="I135" i="3" s="1"/>
  <c r="I134" i="3" a="1"/>
  <c r="I134" i="3" s="1"/>
  <c r="D134" i="3" a="1"/>
  <c r="D134" i="3" s="1"/>
  <c r="B44" i="2"/>
  <c r="B20" i="2"/>
  <c r="B524" i="4" l="1" a="1"/>
  <c r="B524" i="4" s="1"/>
  <c r="C524" i="4" a="1"/>
  <c r="C524" i="4" s="1"/>
  <c r="B526" i="4" a="1"/>
  <c r="B526" i="4" s="1"/>
  <c r="C526" i="4" a="1"/>
  <c r="C526" i="4" s="1"/>
  <c r="B527" i="4" a="1"/>
  <c r="B527" i="4" s="1"/>
  <c r="D527" i="4" s="1" a="1"/>
  <c r="D527" i="4" s="1"/>
  <c r="C527" i="4" a="1"/>
  <c r="C527" i="4" s="1"/>
  <c r="B528" i="4" a="1"/>
  <c r="B528" i="4" s="1"/>
  <c r="C528" i="4" a="1"/>
  <c r="C528" i="4" s="1"/>
  <c r="B529" i="4" a="1"/>
  <c r="B529" i="4" s="1"/>
  <c r="C529" i="4" a="1"/>
  <c r="C529" i="4" s="1"/>
  <c r="B530" i="4" a="1"/>
  <c r="B530" i="4" s="1"/>
  <c r="C530" i="4" a="1"/>
  <c r="C530" i="4" s="1"/>
  <c r="B531" i="4" a="1"/>
  <c r="B531" i="4" s="1"/>
  <c r="D531" i="4" s="1" a="1"/>
  <c r="D531" i="4" s="1"/>
  <c r="C531" i="4" a="1"/>
  <c r="C531" i="4" s="1"/>
  <c r="B532" i="4" a="1"/>
  <c r="B532" i="4" s="1"/>
  <c r="C532" i="4" a="1"/>
  <c r="C532" i="4" s="1"/>
  <c r="B533" i="4" a="1"/>
  <c r="B533" i="4" s="1"/>
  <c r="E533" i="4" s="1" a="1"/>
  <c r="E533" i="4" s="1"/>
  <c r="C533" i="4" a="1"/>
  <c r="C533" i="4" s="1"/>
  <c r="B534" i="4" a="1"/>
  <c r="B534" i="4" s="1"/>
  <c r="C534" i="4" a="1"/>
  <c r="C534" i="4" s="1"/>
  <c r="B535" i="4" a="1"/>
  <c r="B535" i="4" s="1"/>
  <c r="C535" i="4" a="1"/>
  <c r="C535" i="4" s="1"/>
  <c r="B536" i="4" a="1"/>
  <c r="B536" i="4" s="1"/>
  <c r="C536" i="4" a="1"/>
  <c r="C536" i="4" s="1"/>
  <c r="B537" i="4" a="1"/>
  <c r="B537" i="4" s="1"/>
  <c r="C537" i="4" a="1"/>
  <c r="C537" i="4" s="1"/>
  <c r="B538" i="4" a="1"/>
  <c r="B538" i="4" s="1"/>
  <c r="C538" i="4" a="1"/>
  <c r="C538" i="4" s="1"/>
  <c r="B607" i="4" a="1"/>
  <c r="B607" i="4" s="1"/>
  <c r="C607" i="4" a="1"/>
  <c r="C607" i="4" s="1"/>
  <c r="G607" i="4"/>
  <c r="B608" i="4" a="1"/>
  <c r="B608" i="4" s="1"/>
  <c r="C608" i="4" a="1"/>
  <c r="C608" i="4" s="1"/>
  <c r="G608" i="4"/>
  <c r="B609" i="4" a="1"/>
  <c r="B609" i="4" s="1"/>
  <c r="D609" i="4" s="1" a="1"/>
  <c r="D609" i="4" s="1"/>
  <c r="C609" i="4" a="1"/>
  <c r="C609" i="4" s="1"/>
  <c r="G609" i="4"/>
  <c r="B610" i="4" a="1"/>
  <c r="B610" i="4" s="1"/>
  <c r="C610" i="4" a="1"/>
  <c r="C610" i="4" s="1"/>
  <c r="G610" i="4"/>
  <c r="B611" i="4" a="1"/>
  <c r="B611" i="4" s="1"/>
  <c r="C611" i="4" a="1"/>
  <c r="C611" i="4" s="1"/>
  <c r="G611" i="4"/>
  <c r="B612" i="4" a="1"/>
  <c r="B612" i="4" s="1"/>
  <c r="C612" i="4" a="1"/>
  <c r="C612" i="4" s="1"/>
  <c r="G612" i="4"/>
  <c r="B613" i="4" a="1"/>
  <c r="B613" i="4" s="1"/>
  <c r="C613" i="4" a="1"/>
  <c r="C613" i="4" s="1"/>
  <c r="G613" i="4"/>
  <c r="B614" i="4" a="1"/>
  <c r="B614" i="4" s="1"/>
  <c r="C614" i="4" a="1"/>
  <c r="C614" i="4" s="1"/>
  <c r="G614" i="4"/>
  <c r="B615" i="4" a="1"/>
  <c r="B615" i="4" s="1"/>
  <c r="C615" i="4" a="1"/>
  <c r="C615" i="4" s="1"/>
  <c r="G615" i="4"/>
  <c r="B429" i="4" a="1"/>
  <c r="B429" i="4" s="1"/>
  <c r="C429" i="4" a="1"/>
  <c r="C429" i="4" s="1"/>
  <c r="B430" i="4" a="1"/>
  <c r="B430" i="4" s="1"/>
  <c r="C430" i="4" a="1"/>
  <c r="C430" i="4" s="1"/>
  <c r="B431" i="4" a="1"/>
  <c r="B431" i="4" s="1"/>
  <c r="C431" i="4" a="1"/>
  <c r="C431" i="4" s="1"/>
  <c r="B432" i="4" a="1"/>
  <c r="B432" i="4" s="1"/>
  <c r="C432" i="4" a="1"/>
  <c r="C432" i="4" s="1"/>
  <c r="B433" i="4" a="1"/>
  <c r="B433" i="4" s="1"/>
  <c r="C433" i="4" a="1"/>
  <c r="C433" i="4" s="1"/>
  <c r="B434" i="4" a="1"/>
  <c r="B434" i="4" s="1"/>
  <c r="C434" i="4" a="1"/>
  <c r="C434" i="4" s="1"/>
  <c r="B435" i="4" a="1"/>
  <c r="B435" i="4" s="1"/>
  <c r="C435" i="4" a="1"/>
  <c r="C435" i="4" s="1"/>
  <c r="B436" i="4" a="1"/>
  <c r="B436" i="4" s="1"/>
  <c r="C436" i="4" a="1"/>
  <c r="C436" i="4" s="1"/>
  <c r="B437" i="4" a="1"/>
  <c r="B437" i="4" s="1"/>
  <c r="C437" i="4" a="1"/>
  <c r="C437" i="4" s="1"/>
  <c r="B438" i="4" a="1"/>
  <c r="B438" i="4" s="1"/>
  <c r="C438" i="4" a="1"/>
  <c r="C438" i="4" s="1"/>
  <c r="B439" i="4" a="1"/>
  <c r="B439" i="4" s="1"/>
  <c r="C439" i="4" a="1"/>
  <c r="C439" i="4" s="1"/>
  <c r="B440" i="4" a="1"/>
  <c r="B440" i="4" s="1"/>
  <c r="C440" i="4" a="1"/>
  <c r="C440" i="4" s="1"/>
  <c r="B420" i="4" a="1"/>
  <c r="B420" i="4" s="1"/>
  <c r="C420" i="4" a="1"/>
  <c r="C420" i="4" s="1"/>
  <c r="B421" i="4" a="1"/>
  <c r="B421" i="4" s="1"/>
  <c r="C421" i="4" a="1"/>
  <c r="C421" i="4" s="1"/>
  <c r="B410" i="4" a="1"/>
  <c r="B410" i="4" s="1"/>
  <c r="C410" i="4" a="1"/>
  <c r="C410" i="4" s="1"/>
  <c r="B563" i="4" a="1"/>
  <c r="B563" i="4" s="1"/>
  <c r="C563" i="4" a="1"/>
  <c r="C563" i="4" s="1"/>
  <c r="B412" i="4" a="1"/>
  <c r="B412" i="4" s="1"/>
  <c r="C412" i="4" a="1"/>
  <c r="C412" i="4" s="1"/>
  <c r="B413" i="4" a="1"/>
  <c r="B413" i="4" s="1"/>
  <c r="D413" i="4" s="1" a="1"/>
  <c r="D413" i="4" s="1"/>
  <c r="C413" i="4" a="1"/>
  <c r="C413" i="4" s="1"/>
  <c r="B414" i="4" a="1"/>
  <c r="B414" i="4" s="1"/>
  <c r="C414" i="4" a="1"/>
  <c r="C414" i="4" s="1"/>
  <c r="B415" i="4" a="1"/>
  <c r="B415" i="4" s="1"/>
  <c r="C415" i="4" a="1"/>
  <c r="C415" i="4" s="1"/>
  <c r="B416" i="4" a="1"/>
  <c r="B416" i="4" s="1"/>
  <c r="C416" i="4" a="1"/>
  <c r="C416" i="4" s="1"/>
  <c r="B417" i="4" a="1"/>
  <c r="B417" i="4" s="1"/>
  <c r="C417" i="4" a="1"/>
  <c r="C417" i="4" s="1"/>
  <c r="B418" i="4" a="1"/>
  <c r="B418" i="4" s="1"/>
  <c r="C418" i="4" a="1"/>
  <c r="C418" i="4" s="1"/>
  <c r="B419" i="4" a="1"/>
  <c r="B419" i="4" s="1"/>
  <c r="C419" i="4" a="1"/>
  <c r="C419" i="4" s="1"/>
  <c r="B356" i="4" a="1"/>
  <c r="B356" i="4" s="1"/>
  <c r="C356" i="4" a="1"/>
  <c r="C356" i="4" s="1"/>
  <c r="B357" i="4" a="1"/>
  <c r="B357" i="4" s="1"/>
  <c r="C357" i="4" a="1"/>
  <c r="C357" i="4" s="1"/>
  <c r="B358" i="4" a="1"/>
  <c r="B358" i="4" s="1"/>
  <c r="C358" i="4" a="1"/>
  <c r="C358" i="4" s="1"/>
  <c r="B359" i="4" a="1"/>
  <c r="B359" i="4" s="1"/>
  <c r="C359" i="4" a="1"/>
  <c r="C359" i="4" s="1"/>
  <c r="B360" i="4" a="1"/>
  <c r="B360" i="4" s="1"/>
  <c r="C360" i="4" a="1"/>
  <c r="C360" i="4" s="1"/>
  <c r="B361" i="4" a="1"/>
  <c r="B361" i="4" s="1"/>
  <c r="C361" i="4" a="1"/>
  <c r="C361" i="4" s="1"/>
  <c r="B362" i="4" a="1"/>
  <c r="B362" i="4" s="1"/>
  <c r="C362" i="4" a="1"/>
  <c r="C362" i="4" s="1"/>
  <c r="B363" i="4" a="1"/>
  <c r="B363" i="4" s="1"/>
  <c r="D363" i="4" s="1" a="1"/>
  <c r="D363" i="4" s="1"/>
  <c r="C363" i="4" a="1"/>
  <c r="C363" i="4" s="1"/>
  <c r="B364" i="4" a="1"/>
  <c r="B364" i="4" s="1"/>
  <c r="C364" i="4" a="1"/>
  <c r="C364" i="4" s="1"/>
  <c r="B365" i="4" a="1"/>
  <c r="B365" i="4" s="1"/>
  <c r="C365" i="4" a="1"/>
  <c r="C365" i="4" s="1"/>
  <c r="B366" i="4" a="1"/>
  <c r="B366" i="4" s="1"/>
  <c r="C366" i="4" a="1"/>
  <c r="C366" i="4" s="1"/>
  <c r="B337" i="4" a="1"/>
  <c r="B337" i="4" s="1"/>
  <c r="C337" i="4" a="1"/>
  <c r="C337" i="4" s="1"/>
  <c r="B339" i="4" a="1"/>
  <c r="B339" i="4" s="1"/>
  <c r="C339" i="4" a="1"/>
  <c r="C339" i="4" s="1"/>
  <c r="B340" i="4" a="1"/>
  <c r="B340" i="4" s="1"/>
  <c r="C340" i="4" a="1"/>
  <c r="C340" i="4" s="1"/>
  <c r="B341" i="4" a="1"/>
  <c r="B341" i="4" s="1"/>
  <c r="C341" i="4" a="1"/>
  <c r="C341" i="4" s="1"/>
  <c r="B342" i="4" a="1"/>
  <c r="B342" i="4" s="1"/>
  <c r="C342" i="4" a="1"/>
  <c r="C342" i="4" s="1"/>
  <c r="B343" i="4" a="1"/>
  <c r="B343" i="4" s="1"/>
  <c r="C343" i="4" a="1"/>
  <c r="C343" i="4" s="1"/>
  <c r="B344" i="4" a="1"/>
  <c r="B344" i="4" s="1"/>
  <c r="C344" i="4" a="1"/>
  <c r="C344" i="4" s="1"/>
  <c r="B345" i="4" a="1"/>
  <c r="B345" i="4" s="1"/>
  <c r="C345" i="4" a="1"/>
  <c r="C345" i="4" s="1"/>
  <c r="B346" i="4" a="1"/>
  <c r="B346" i="4" s="1"/>
  <c r="C346" i="4" a="1"/>
  <c r="C346" i="4" s="1"/>
  <c r="B347" i="4" a="1"/>
  <c r="B347" i="4" s="1"/>
  <c r="C347" i="4" a="1"/>
  <c r="C347" i="4" s="1"/>
  <c r="B348" i="4" a="1"/>
  <c r="B348" i="4" s="1"/>
  <c r="C348" i="4" a="1"/>
  <c r="C348" i="4" s="1"/>
  <c r="B349" i="4" a="1"/>
  <c r="B349" i="4" s="1"/>
  <c r="C349" i="4" a="1"/>
  <c r="C349" i="4" s="1"/>
  <c r="B318" i="4" a="1"/>
  <c r="B318" i="4" s="1"/>
  <c r="C318" i="4" a="1"/>
  <c r="C318" i="4" s="1"/>
  <c r="B320" i="4" a="1"/>
  <c r="B320" i="4" s="1"/>
  <c r="C320" i="4" a="1"/>
  <c r="C320" i="4" s="1"/>
  <c r="B322" i="4" a="1"/>
  <c r="B322" i="4" s="1"/>
  <c r="C322" i="4" a="1"/>
  <c r="C322" i="4" s="1"/>
  <c r="B323" i="4" a="1"/>
  <c r="B323" i="4" s="1"/>
  <c r="C323" i="4" a="1"/>
  <c r="C323" i="4" s="1"/>
  <c r="B324" i="4" a="1"/>
  <c r="B324" i="4" s="1"/>
  <c r="C324" i="4" a="1"/>
  <c r="C324" i="4" s="1"/>
  <c r="B325" i="4" a="1"/>
  <c r="B325" i="4" s="1"/>
  <c r="C325" i="4" a="1"/>
  <c r="C325" i="4" s="1"/>
  <c r="B326" i="4" a="1"/>
  <c r="B326" i="4" s="1"/>
  <c r="C326" i="4" a="1"/>
  <c r="C326" i="4" s="1"/>
  <c r="B327" i="4" a="1"/>
  <c r="B327" i="4" s="1"/>
  <c r="C327" i="4" a="1"/>
  <c r="C327" i="4" s="1"/>
  <c r="B328" i="4" a="1"/>
  <c r="B328" i="4" s="1"/>
  <c r="C328" i="4" a="1"/>
  <c r="C328" i="4" s="1"/>
  <c r="B329" i="4" a="1"/>
  <c r="B329" i="4" s="1"/>
  <c r="C329" i="4" a="1"/>
  <c r="C329" i="4" s="1"/>
  <c r="B330" i="4" a="1"/>
  <c r="B330" i="4" s="1"/>
  <c r="C330" i="4" a="1"/>
  <c r="C330" i="4" s="1"/>
  <c r="B331" i="4" a="1"/>
  <c r="B331" i="4" s="1"/>
  <c r="C331" i="4" a="1"/>
  <c r="C331" i="4" s="1"/>
  <c r="B272" i="4" a="1"/>
  <c r="B272" i="4" s="1"/>
  <c r="C272" i="4" a="1"/>
  <c r="C272" i="4" s="1"/>
  <c r="B273" i="4" a="1"/>
  <c r="B273" i="4" s="1"/>
  <c r="C273" i="4" a="1"/>
  <c r="C273" i="4" s="1"/>
  <c r="B274" i="4" a="1"/>
  <c r="B274" i="4" s="1"/>
  <c r="C274" i="4" a="1"/>
  <c r="C274" i="4" s="1"/>
  <c r="B275" i="4" a="1"/>
  <c r="B275" i="4" s="1"/>
  <c r="C275" i="4" a="1"/>
  <c r="C275" i="4" s="1"/>
  <c r="B276" i="4" a="1"/>
  <c r="B276" i="4" s="1"/>
  <c r="C276" i="4" a="1"/>
  <c r="C276" i="4" s="1"/>
  <c r="B278" i="4" a="1"/>
  <c r="B278" i="4" s="1"/>
  <c r="C278" i="4" a="1"/>
  <c r="C278" i="4" s="1"/>
  <c r="B279" i="4" a="1"/>
  <c r="B279" i="4" s="1"/>
  <c r="C279" i="4" a="1"/>
  <c r="C279" i="4" s="1"/>
  <c r="B280" i="4" a="1"/>
  <c r="B280" i="4" s="1"/>
  <c r="C280" i="4" a="1"/>
  <c r="C280" i="4" s="1"/>
  <c r="B281" i="4" a="1"/>
  <c r="B281" i="4" s="1"/>
  <c r="C281" i="4" a="1"/>
  <c r="C281" i="4" s="1"/>
  <c r="B282" i="4" a="1"/>
  <c r="B282" i="4" s="1"/>
  <c r="C282" i="4" a="1"/>
  <c r="C282" i="4" s="1"/>
  <c r="B283" i="4" a="1"/>
  <c r="B283" i="4" s="1"/>
  <c r="C283" i="4" a="1"/>
  <c r="C283" i="4" s="1"/>
  <c r="B284" i="4" a="1"/>
  <c r="B284" i="4" s="1"/>
  <c r="C284" i="4" a="1"/>
  <c r="C284" i="4" s="1"/>
  <c r="B285" i="4" a="1"/>
  <c r="B285" i="4" s="1"/>
  <c r="C285" i="4" a="1"/>
  <c r="C285" i="4" s="1"/>
  <c r="B286" i="4" a="1"/>
  <c r="B286" i="4" s="1"/>
  <c r="C286" i="4" a="1"/>
  <c r="C286" i="4" s="1"/>
  <c r="B260" i="4" a="1"/>
  <c r="B260" i="4" s="1"/>
  <c r="C260" i="4" a="1"/>
  <c r="C260" i="4" s="1"/>
  <c r="B261" i="4" a="1"/>
  <c r="B261" i="4" s="1"/>
  <c r="C261" i="4" a="1"/>
  <c r="C261" i="4" s="1"/>
  <c r="B321" i="4" a="1"/>
  <c r="B321" i="4" s="1"/>
  <c r="C321" i="4" a="1"/>
  <c r="C321" i="4" s="1"/>
  <c r="B263" i="4" a="1"/>
  <c r="B263" i="4" s="1"/>
  <c r="C263" i="4" a="1"/>
  <c r="C263" i="4" s="1"/>
  <c r="B265" i="4" a="1"/>
  <c r="B265" i="4" s="1"/>
  <c r="C265" i="4" a="1"/>
  <c r="C265" i="4" s="1"/>
  <c r="B266" i="4" a="1"/>
  <c r="B266" i="4" s="1"/>
  <c r="C266" i="4" a="1"/>
  <c r="C266" i="4" s="1"/>
  <c r="B267" i="4" a="1"/>
  <c r="B267" i="4" s="1"/>
  <c r="C267" i="4" a="1"/>
  <c r="C267" i="4" s="1"/>
  <c r="B192" i="4" a="1"/>
  <c r="B192" i="4" s="1"/>
  <c r="C192" i="4" a="1"/>
  <c r="C192" i="4" s="1"/>
  <c r="B193" i="4" a="1"/>
  <c r="B193" i="4" s="1"/>
  <c r="C193" i="4" a="1"/>
  <c r="C193" i="4" s="1"/>
  <c r="B194" i="4" a="1"/>
  <c r="B194" i="4" s="1"/>
  <c r="C194" i="4" a="1"/>
  <c r="C194" i="4" s="1"/>
  <c r="B195" i="4" a="1"/>
  <c r="B195" i="4" s="1"/>
  <c r="C195" i="4" a="1"/>
  <c r="C195" i="4" s="1"/>
  <c r="B196" i="4" a="1"/>
  <c r="B196" i="4" s="1"/>
  <c r="C196" i="4" a="1"/>
  <c r="C196" i="4" s="1"/>
  <c r="B197" i="4" a="1"/>
  <c r="B197" i="4" s="1"/>
  <c r="C197" i="4" a="1"/>
  <c r="C197" i="4" s="1"/>
  <c r="B198" i="4" a="1"/>
  <c r="B198" i="4" s="1"/>
  <c r="C198" i="4" a="1"/>
  <c r="C198" i="4" s="1"/>
  <c r="B199" i="4" a="1"/>
  <c r="B199" i="4" s="1"/>
  <c r="C199" i="4" a="1"/>
  <c r="C199" i="4" s="1"/>
  <c r="B200" i="4" a="1"/>
  <c r="B200" i="4" s="1"/>
  <c r="C200" i="4" a="1"/>
  <c r="C200" i="4" s="1"/>
  <c r="B179" i="4" a="1"/>
  <c r="B179" i="4" s="1"/>
  <c r="C179" i="4" a="1"/>
  <c r="C179" i="4" s="1"/>
  <c r="B181" i="4" a="1"/>
  <c r="B181" i="4" s="1"/>
  <c r="C181" i="4" a="1"/>
  <c r="C181" i="4" s="1"/>
  <c r="B182" i="4" a="1"/>
  <c r="B182" i="4" s="1"/>
  <c r="C182" i="4" a="1"/>
  <c r="C182" i="4" s="1"/>
  <c r="B183" i="4" a="1"/>
  <c r="B183" i="4" s="1"/>
  <c r="C183" i="4" a="1"/>
  <c r="C183" i="4" s="1"/>
  <c r="B184" i="4" a="1"/>
  <c r="B184" i="4" s="1"/>
  <c r="C184" i="4" a="1"/>
  <c r="C184" i="4" s="1"/>
  <c r="B185" i="4" a="1"/>
  <c r="B185" i="4" s="1"/>
  <c r="C185" i="4" a="1"/>
  <c r="C185" i="4" s="1"/>
  <c r="B186" i="4" a="1"/>
  <c r="B186" i="4" s="1"/>
  <c r="C186" i="4" a="1"/>
  <c r="C186" i="4" s="1"/>
  <c r="B187" i="4" a="1"/>
  <c r="B187" i="4" s="1"/>
  <c r="C187" i="4" a="1"/>
  <c r="C187" i="4" s="1"/>
  <c r="B167" i="4" a="1"/>
  <c r="B167" i="4" s="1"/>
  <c r="C167" i="4" a="1"/>
  <c r="C167" i="4" s="1"/>
  <c r="B169" i="4" a="1"/>
  <c r="B169" i="4" s="1"/>
  <c r="C169" i="4" a="1"/>
  <c r="C169" i="4" s="1"/>
  <c r="B170" i="4" a="1"/>
  <c r="B170" i="4" s="1"/>
  <c r="C170" i="4" a="1"/>
  <c r="C170" i="4" s="1"/>
  <c r="B171" i="4" a="1"/>
  <c r="B171" i="4" s="1"/>
  <c r="C171" i="4" a="1"/>
  <c r="C171" i="4" s="1"/>
  <c r="B172" i="4" a="1"/>
  <c r="B172" i="4" s="1"/>
  <c r="C172" i="4" a="1"/>
  <c r="C172" i="4" s="1"/>
  <c r="B173" i="4" a="1"/>
  <c r="B173" i="4" s="1"/>
  <c r="C173" i="4" a="1"/>
  <c r="C173" i="4" s="1"/>
  <c r="B174" i="4" a="1"/>
  <c r="B174" i="4" s="1"/>
  <c r="C174" i="4" a="1"/>
  <c r="C174" i="4" s="1"/>
  <c r="H335" i="3"/>
  <c r="H336" i="3"/>
  <c r="H337" i="3"/>
  <c r="H338" i="3"/>
  <c r="H119" i="3"/>
  <c r="H120" i="3"/>
  <c r="H121" i="3"/>
  <c r="H122" i="3"/>
  <c r="H123" i="3"/>
  <c r="H124" i="3"/>
  <c r="H125" i="3"/>
  <c r="H126" i="3"/>
  <c r="H127" i="3"/>
  <c r="H93" i="3"/>
  <c r="H94" i="3"/>
  <c r="H95" i="3"/>
  <c r="H96" i="3"/>
  <c r="H97" i="3"/>
  <c r="H98" i="3"/>
  <c r="H99" i="3"/>
  <c r="H100" i="3"/>
  <c r="H101" i="3"/>
  <c r="B56" i="3" a="1"/>
  <c r="B56" i="3" s="1"/>
  <c r="C56" i="3" a="1"/>
  <c r="C56" i="3" s="1"/>
  <c r="H56" i="3"/>
  <c r="C116" i="3"/>
  <c r="F116" i="3"/>
  <c r="G116" i="3"/>
  <c r="H116" i="3"/>
  <c r="H118" i="3"/>
  <c r="B191" i="4" a="1"/>
  <c r="B191" i="4" s="1"/>
  <c r="B118" i="3" s="1"/>
  <c r="H310" i="3"/>
  <c r="D359" i="4" l="1" a="1"/>
  <c r="D359" i="4" s="1"/>
  <c r="D195" i="4" a="1"/>
  <c r="D195" i="4" s="1"/>
  <c r="D432" i="4" a="1"/>
  <c r="D432" i="4" s="1"/>
  <c r="E535" i="4" a="1"/>
  <c r="E535" i="4" s="1"/>
  <c r="H535" i="4" a="1"/>
  <c r="H535" i="4" s="1"/>
  <c r="H609" i="4" a="1"/>
  <c r="H609" i="4" s="1"/>
  <c r="H529" i="4" a="1"/>
  <c r="H529" i="4" s="1"/>
  <c r="H531" i="4" a="1"/>
  <c r="H531" i="4" s="1"/>
  <c r="H533" i="4" a="1"/>
  <c r="H533" i="4" s="1"/>
  <c r="H526" i="4" a="1"/>
  <c r="H526" i="4" s="1"/>
  <c r="D526" i="4" a="1"/>
  <c r="D526" i="4" s="1"/>
  <c r="H536" i="4" a="1"/>
  <c r="H536" i="4" s="1"/>
  <c r="E536" i="4" a="1"/>
  <c r="E536" i="4" s="1"/>
  <c r="D536" i="4" a="1"/>
  <c r="D536" i="4" s="1"/>
  <c r="H530" i="4" a="1"/>
  <c r="H530" i="4" s="1"/>
  <c r="D530" i="4" a="1"/>
  <c r="D530" i="4" s="1"/>
  <c r="D538" i="4" a="1"/>
  <c r="D538" i="4" s="1"/>
  <c r="E538" i="4" a="1"/>
  <c r="E538" i="4" s="1"/>
  <c r="H538" i="4" a="1"/>
  <c r="H538" i="4" s="1"/>
  <c r="H532" i="4" a="1"/>
  <c r="H532" i="4" s="1"/>
  <c r="D532" i="4" a="1"/>
  <c r="D532" i="4" s="1"/>
  <c r="H528" i="4" a="1"/>
  <c r="H528" i="4" s="1"/>
  <c r="D528" i="4" a="1"/>
  <c r="D528" i="4" s="1"/>
  <c r="D537" i="4" a="1"/>
  <c r="D537" i="4" s="1"/>
  <c r="E537" i="4" a="1"/>
  <c r="E537" i="4" s="1"/>
  <c r="H537" i="4" a="1"/>
  <c r="H537" i="4" s="1"/>
  <c r="H534" i="4" a="1"/>
  <c r="H534" i="4" s="1"/>
  <c r="E534" i="4" a="1"/>
  <c r="E534" i="4" s="1"/>
  <c r="D534" i="4" a="1"/>
  <c r="D534" i="4" s="1"/>
  <c r="H524" i="4" a="1"/>
  <c r="H524" i="4" s="1"/>
  <c r="D524" i="4" a="1"/>
  <c r="D524" i="4" s="1"/>
  <c r="D535" i="4" a="1"/>
  <c r="D535" i="4" s="1"/>
  <c r="D533" i="4" a="1"/>
  <c r="D533" i="4" s="1"/>
  <c r="D529" i="4" a="1"/>
  <c r="D529" i="4" s="1"/>
  <c r="H527" i="4" a="1"/>
  <c r="H527" i="4" s="1"/>
  <c r="D611" i="4" a="1"/>
  <c r="D611" i="4" s="1"/>
  <c r="H611" i="4" a="1"/>
  <c r="H611" i="4" s="1"/>
  <c r="H615" i="4" a="1"/>
  <c r="H615" i="4" s="1"/>
  <c r="D615" i="4" a="1"/>
  <c r="D615" i="4" s="1"/>
  <c r="H610" i="4" a="1"/>
  <c r="H610" i="4" s="1"/>
  <c r="D610" i="4" a="1"/>
  <c r="D610" i="4" s="1"/>
  <c r="H608" i="4" a="1"/>
  <c r="H608" i="4" s="1"/>
  <c r="D608" i="4" a="1"/>
  <c r="D608" i="4" s="1"/>
  <c r="H613" i="4" a="1"/>
  <c r="H613" i="4" s="1"/>
  <c r="D613" i="4" a="1"/>
  <c r="D613" i="4" s="1"/>
  <c r="D614" i="4" a="1"/>
  <c r="D614" i="4" s="1"/>
  <c r="H614" i="4" a="1"/>
  <c r="H614" i="4" s="1"/>
  <c r="H612" i="4" a="1"/>
  <c r="H612" i="4" s="1"/>
  <c r="D612" i="4" a="1"/>
  <c r="D612" i="4" s="1"/>
  <c r="H607" i="4" a="1"/>
  <c r="H607" i="4" s="1"/>
  <c r="D607" i="4" a="1"/>
  <c r="D607" i="4" s="1"/>
  <c r="D563" i="4" a="1"/>
  <c r="D563" i="4" s="1"/>
  <c r="D169" i="4" a="1"/>
  <c r="D169" i="4" s="1"/>
  <c r="D167" i="4" a="1"/>
  <c r="D167" i="4" s="1"/>
  <c r="E438" i="4" a="1"/>
  <c r="E438" i="4" s="1"/>
  <c r="H438" i="4" a="1"/>
  <c r="H438" i="4" s="1"/>
  <c r="H434" i="4" a="1"/>
  <c r="H434" i="4" s="1"/>
  <c r="H184" i="4" a="1"/>
  <c r="H184" i="4" s="1"/>
  <c r="H363" i="4" a="1"/>
  <c r="H363" i="4" s="1"/>
  <c r="H413" i="4" a="1"/>
  <c r="H413" i="4" s="1"/>
  <c r="H436" i="4" a="1"/>
  <c r="H436" i="4" s="1"/>
  <c r="H197" i="4" a="1"/>
  <c r="H197" i="4" s="1"/>
  <c r="H361" i="4" a="1"/>
  <c r="H361" i="4" s="1"/>
  <c r="H431" i="4" a="1"/>
  <c r="H431" i="4" s="1"/>
  <c r="D431" i="4" a="1"/>
  <c r="D431" i="4" s="1"/>
  <c r="E440" i="4" a="1"/>
  <c r="E440" i="4" s="1"/>
  <c r="D440" i="4" a="1"/>
  <c r="D440" i="4" s="1"/>
  <c r="H440" i="4" a="1"/>
  <c r="H440" i="4" s="1"/>
  <c r="H437" i="4" a="1"/>
  <c r="H437" i="4" s="1"/>
  <c r="D437" i="4" a="1"/>
  <c r="D437" i="4" s="1"/>
  <c r="H435" i="4" a="1"/>
  <c r="H435" i="4" s="1"/>
  <c r="D435" i="4" a="1"/>
  <c r="D435" i="4" s="1"/>
  <c r="H439" i="4" a="1"/>
  <c r="H439" i="4" s="1"/>
  <c r="D439" i="4" a="1"/>
  <c r="D439" i="4" s="1"/>
  <c r="E439" i="4" a="1"/>
  <c r="E439" i="4" s="1"/>
  <c r="D436" i="4" a="1"/>
  <c r="D436" i="4" s="1"/>
  <c r="H433" i="4" a="1"/>
  <c r="H433" i="4" s="1"/>
  <c r="D433" i="4" a="1"/>
  <c r="D433" i="4" s="1"/>
  <c r="H429" i="4" a="1"/>
  <c r="H429" i="4" s="1"/>
  <c r="D429" i="4" a="1"/>
  <c r="D429" i="4" s="1"/>
  <c r="D438" i="4" a="1"/>
  <c r="D438" i="4" s="1"/>
  <c r="D434" i="4" a="1"/>
  <c r="D434" i="4" s="1"/>
  <c r="D430" i="4" a="1"/>
  <c r="D430" i="4" s="1"/>
  <c r="H432" i="4" a="1"/>
  <c r="H432" i="4" s="1"/>
  <c r="H430" i="4" a="1"/>
  <c r="H430" i="4" s="1"/>
  <c r="H420" i="4" a="1"/>
  <c r="H420" i="4" s="1"/>
  <c r="D420" i="4" a="1"/>
  <c r="D420" i="4" s="1"/>
  <c r="E420" i="4" a="1"/>
  <c r="E420" i="4" s="1"/>
  <c r="F420" i="4"/>
  <c r="G420" i="4" s="1"/>
  <c r="E421" i="4" a="1"/>
  <c r="E421" i="4" s="1"/>
  <c r="H421" i="4" a="1"/>
  <c r="H421" i="4" s="1"/>
  <c r="F421" i="4"/>
  <c r="G421" i="4" s="1"/>
  <c r="D421" i="4" a="1"/>
  <c r="D421" i="4" s="1"/>
  <c r="H414" i="4" a="1"/>
  <c r="H414" i="4" s="1"/>
  <c r="D414" i="4" a="1"/>
  <c r="D414" i="4" s="1"/>
  <c r="F414" i="4"/>
  <c r="G414" i="4" s="1"/>
  <c r="F416" i="4"/>
  <c r="G416" i="4" s="1"/>
  <c r="H416" i="4" a="1"/>
  <c r="H416" i="4" s="1"/>
  <c r="D416" i="4" a="1"/>
  <c r="D416" i="4" s="1"/>
  <c r="D419" i="4" a="1"/>
  <c r="D419" i="4" s="1"/>
  <c r="E419" i="4" a="1"/>
  <c r="E419" i="4" s="1"/>
  <c r="F419" i="4"/>
  <c r="G419" i="4" s="1"/>
  <c r="H419" i="4" a="1"/>
  <c r="H419" i="4" s="1"/>
  <c r="F412" i="4"/>
  <c r="G412" i="4" s="1"/>
  <c r="H412" i="4" a="1"/>
  <c r="H412" i="4" s="1"/>
  <c r="D412" i="4" a="1"/>
  <c r="D412" i="4" s="1"/>
  <c r="D417" i="4" a="1"/>
  <c r="D417" i="4" s="1"/>
  <c r="H417" i="4" a="1"/>
  <c r="H417" i="4" s="1"/>
  <c r="F415" i="4"/>
  <c r="G415" i="4" s="1"/>
  <c r="H415" i="4" a="1"/>
  <c r="H415" i="4" s="1"/>
  <c r="D415" i="4" a="1"/>
  <c r="D415" i="4" s="1"/>
  <c r="F418" i="4"/>
  <c r="G418" i="4" s="1"/>
  <c r="H418" i="4" a="1"/>
  <c r="H418" i="4" s="1"/>
  <c r="D418" i="4" a="1"/>
  <c r="D418" i="4" s="1"/>
  <c r="F410" i="4"/>
  <c r="G410" i="4" s="1"/>
  <c r="H410" i="4" a="1"/>
  <c r="H410" i="4" s="1"/>
  <c r="D410" i="4" a="1"/>
  <c r="D410" i="4" s="1"/>
  <c r="H563" i="4" a="1"/>
  <c r="H563" i="4" s="1"/>
  <c r="F413" i="4"/>
  <c r="G413" i="4" s="1"/>
  <c r="F417" i="4"/>
  <c r="G417" i="4" s="1"/>
  <c r="H362" i="4" a="1"/>
  <c r="H362" i="4" s="1"/>
  <c r="D362" i="4" a="1"/>
  <c r="D362" i="4" s="1"/>
  <c r="H358" i="4" a="1"/>
  <c r="H358" i="4" s="1"/>
  <c r="D358" i="4" a="1"/>
  <c r="D358" i="4" s="1"/>
  <c r="H364" i="4" a="1"/>
  <c r="H364" i="4" s="1"/>
  <c r="D364" i="4" a="1"/>
  <c r="D364" i="4" s="1"/>
  <c r="H360" i="4" a="1"/>
  <c r="H360" i="4" s="1"/>
  <c r="D360" i="4" a="1"/>
  <c r="D360" i="4" s="1"/>
  <c r="H366" i="4" a="1"/>
  <c r="H366" i="4" s="1"/>
  <c r="E366" i="4" a="1"/>
  <c r="E366" i="4" s="1"/>
  <c r="D366" i="4" a="1"/>
  <c r="D366" i="4" s="1"/>
  <c r="E365" i="4" a="1"/>
  <c r="E365" i="4" s="1"/>
  <c r="H365" i="4" a="1"/>
  <c r="H365" i="4" s="1"/>
  <c r="D365" i="4" a="1"/>
  <c r="D365" i="4" s="1"/>
  <c r="H356" i="4" a="1"/>
  <c r="H356" i="4" s="1"/>
  <c r="D356" i="4" a="1"/>
  <c r="D356" i="4" s="1"/>
  <c r="D361" i="4" a="1"/>
  <c r="D361" i="4" s="1"/>
  <c r="D357" i="4" a="1"/>
  <c r="D357" i="4" s="1"/>
  <c r="H359" i="4" a="1"/>
  <c r="H359" i="4" s="1"/>
  <c r="H357" i="4" a="1"/>
  <c r="H357" i="4" s="1"/>
  <c r="H337" i="4" a="1"/>
  <c r="H337" i="4" s="1"/>
  <c r="D337" i="4" a="1"/>
  <c r="D337" i="4" s="1"/>
  <c r="H343" i="4" a="1"/>
  <c r="H343" i="4" s="1"/>
  <c r="D343" i="4" a="1"/>
  <c r="D343" i="4" s="1"/>
  <c r="D340" i="4" a="1"/>
  <c r="D340" i="4" s="1"/>
  <c r="H340" i="4" a="1"/>
  <c r="H340" i="4" s="1"/>
  <c r="E346" i="4" a="1"/>
  <c r="E346" i="4" s="1"/>
  <c r="H346" i="4" a="1"/>
  <c r="H346" i="4" s="1"/>
  <c r="D346" i="4" a="1"/>
  <c r="D346" i="4" s="1"/>
  <c r="H349" i="4" a="1"/>
  <c r="H349" i="4" s="1"/>
  <c r="D349" i="4" a="1"/>
  <c r="D349" i="4" s="1"/>
  <c r="E349" i="4" a="1"/>
  <c r="E349" i="4" s="1"/>
  <c r="H339" i="4" a="1"/>
  <c r="H339" i="4" s="1"/>
  <c r="D339" i="4" a="1"/>
  <c r="D339" i="4" s="1"/>
  <c r="H342" i="4" a="1"/>
  <c r="H342" i="4" s="1"/>
  <c r="D342" i="4" a="1"/>
  <c r="D342" i="4" s="1"/>
  <c r="E348" i="4" a="1"/>
  <c r="E348" i="4" s="1"/>
  <c r="D348" i="4" a="1"/>
  <c r="D348" i="4" s="1"/>
  <c r="H348" i="4" a="1"/>
  <c r="H348" i="4" s="1"/>
  <c r="H345" i="4" a="1"/>
  <c r="H345" i="4" s="1"/>
  <c r="D345" i="4" a="1"/>
  <c r="D345" i="4" s="1"/>
  <c r="H341" i="4" a="1"/>
  <c r="H341" i="4" s="1"/>
  <c r="D341" i="4" a="1"/>
  <c r="D341" i="4" s="1"/>
  <c r="H347" i="4" a="1"/>
  <c r="H347" i="4" s="1"/>
  <c r="D347" i="4" a="1"/>
  <c r="D347" i="4" s="1"/>
  <c r="E347" i="4" a="1"/>
  <c r="E347" i="4" s="1"/>
  <c r="H344" i="4" a="1"/>
  <c r="H344" i="4" s="1"/>
  <c r="D344" i="4" a="1"/>
  <c r="D344" i="4" s="1"/>
  <c r="E331" i="4" a="1"/>
  <c r="E331" i="4" s="1"/>
  <c r="H331" i="4" a="1"/>
  <c r="H331" i="4" s="1"/>
  <c r="D331" i="4" a="1"/>
  <c r="D331" i="4" s="1"/>
  <c r="H330" i="4" a="1"/>
  <c r="H330" i="4" s="1"/>
  <c r="D330" i="4" a="1"/>
  <c r="D330" i="4" s="1"/>
  <c r="E330" i="4" a="1"/>
  <c r="E330" i="4" s="1"/>
  <c r="H326" i="4" a="1"/>
  <c r="H326" i="4" s="1"/>
  <c r="D326" i="4" a="1"/>
  <c r="D326" i="4" s="1"/>
  <c r="D323" i="4" a="1"/>
  <c r="D323" i="4" s="1"/>
  <c r="H323" i="4" a="1"/>
  <c r="H323" i="4" s="1"/>
  <c r="H320" i="4" a="1"/>
  <c r="H320" i="4" s="1"/>
  <c r="D320" i="4" a="1"/>
  <c r="D320" i="4" s="1"/>
  <c r="D329" i="4" a="1"/>
  <c r="D329" i="4" s="1"/>
  <c r="E329" i="4" a="1"/>
  <c r="E329" i="4" s="1"/>
  <c r="H329" i="4" a="1"/>
  <c r="H329" i="4" s="1"/>
  <c r="E327" i="4" a="1"/>
  <c r="E327" i="4" s="1"/>
  <c r="D327" i="4" a="1"/>
  <c r="D327" i="4" s="1"/>
  <c r="H327" i="4" a="1"/>
  <c r="H327" i="4" s="1"/>
  <c r="H322" i="4" a="1"/>
  <c r="H322" i="4" s="1"/>
  <c r="D322" i="4" a="1"/>
  <c r="D322" i="4" s="1"/>
  <c r="H324" i="4" a="1"/>
  <c r="H324" i="4" s="1"/>
  <c r="D324" i="4" a="1"/>
  <c r="D324" i="4" s="1"/>
  <c r="H328" i="4" a="1"/>
  <c r="H328" i="4" s="1"/>
  <c r="D328" i="4" a="1"/>
  <c r="D328" i="4" s="1"/>
  <c r="E328" i="4" a="1"/>
  <c r="E328" i="4" s="1"/>
  <c r="H325" i="4" a="1"/>
  <c r="H325" i="4" s="1"/>
  <c r="D325" i="4" a="1"/>
  <c r="D325" i="4" s="1"/>
  <c r="H318" i="4" a="1"/>
  <c r="H318" i="4" s="1"/>
  <c r="D318" i="4" a="1"/>
  <c r="D318" i="4" s="1"/>
  <c r="H278" i="4" a="1"/>
  <c r="H278" i="4" s="1"/>
  <c r="D278" i="4" a="1"/>
  <c r="D278" i="4" s="1"/>
  <c r="D275" i="4" a="1"/>
  <c r="D275" i="4" s="1"/>
  <c r="H275" i="4" a="1"/>
  <c r="H275" i="4" s="1"/>
  <c r="E285" i="4" a="1"/>
  <c r="E285" i="4" s="1"/>
  <c r="D285" i="4" a="1"/>
  <c r="D285" i="4" s="1"/>
  <c r="H285" i="4" a="1"/>
  <c r="H285" i="4" s="1"/>
  <c r="H272" i="4" a="1"/>
  <c r="H272" i="4" s="1"/>
  <c r="D272" i="4" a="1"/>
  <c r="D272" i="4" s="1"/>
  <c r="H284" i="4" a="1"/>
  <c r="H284" i="4" s="1"/>
  <c r="D284" i="4" a="1"/>
  <c r="D284" i="4" s="1"/>
  <c r="E284" i="4" a="1"/>
  <c r="E284" i="4" s="1"/>
  <c r="H281" i="4" a="1"/>
  <c r="H281" i="4" s="1"/>
  <c r="D281" i="4" a="1"/>
  <c r="D281" i="4" s="1"/>
  <c r="H282" i="4" a="1"/>
  <c r="H282" i="4" s="1"/>
  <c r="D282" i="4" a="1"/>
  <c r="D282" i="4" s="1"/>
  <c r="E282" i="4" a="1"/>
  <c r="E282" i="4" s="1"/>
  <c r="H280" i="4" a="1"/>
  <c r="H280" i="4" s="1"/>
  <c r="D280" i="4" a="1"/>
  <c r="D280" i="4" s="1"/>
  <c r="D279" i="4" a="1"/>
  <c r="D279" i="4" s="1"/>
  <c r="H279" i="4" a="1"/>
  <c r="H279" i="4" s="1"/>
  <c r="H274" i="4" a="1"/>
  <c r="H274" i="4" s="1"/>
  <c r="D274" i="4" a="1"/>
  <c r="D274" i="4" s="1"/>
  <c r="E283" i="4" a="1"/>
  <c r="E283" i="4" s="1"/>
  <c r="D283" i="4" a="1"/>
  <c r="D283" i="4" s="1"/>
  <c r="H283" i="4" a="1"/>
  <c r="H283" i="4" s="1"/>
  <c r="H286" i="4" a="1"/>
  <c r="H286" i="4" s="1"/>
  <c r="D286" i="4" a="1"/>
  <c r="D286" i="4" s="1"/>
  <c r="E286" i="4" a="1"/>
  <c r="E286" i="4" s="1"/>
  <c r="H276" i="4" a="1"/>
  <c r="H276" i="4" s="1"/>
  <c r="D276" i="4" a="1"/>
  <c r="D276" i="4" s="1"/>
  <c r="D273" i="4" a="1"/>
  <c r="D273" i="4" s="1"/>
  <c r="H273" i="4" a="1"/>
  <c r="H273" i="4" s="1"/>
  <c r="H261" i="4" a="1"/>
  <c r="H261" i="4" s="1"/>
  <c r="D261" i="4" a="1"/>
  <c r="D261" i="4" s="1"/>
  <c r="H267" i="4" a="1"/>
  <c r="H267" i="4" s="1"/>
  <c r="D267" i="4" a="1"/>
  <c r="D267" i="4" s="1"/>
  <c r="D321" i="4" a="1"/>
  <c r="D321" i="4" s="1"/>
  <c r="H321" i="4" a="1"/>
  <c r="H321" i="4" s="1"/>
  <c r="H263" i="4" a="1"/>
  <c r="H263" i="4" s="1"/>
  <c r="D263" i="4" a="1"/>
  <c r="D263" i="4" s="1"/>
  <c r="D260" i="4" a="1"/>
  <c r="D260" i="4" s="1"/>
  <c r="H260" i="4" a="1"/>
  <c r="H260" i="4" s="1"/>
  <c r="D265" i="4" a="1"/>
  <c r="D265" i="4" s="1"/>
  <c r="H265" i="4" a="1"/>
  <c r="H265" i="4" s="1"/>
  <c r="H266" i="4" a="1"/>
  <c r="H266" i="4" s="1"/>
  <c r="D266" i="4" a="1"/>
  <c r="D266" i="4" s="1"/>
  <c r="H198" i="4" a="1"/>
  <c r="H198" i="4" s="1"/>
  <c r="D198" i="4" a="1"/>
  <c r="D198" i="4" s="1"/>
  <c r="H194" i="4" a="1"/>
  <c r="H194" i="4" s="1"/>
  <c r="D194" i="4" a="1"/>
  <c r="D194" i="4" s="1"/>
  <c r="H200" i="4" a="1"/>
  <c r="H200" i="4" s="1"/>
  <c r="D200" i="4" a="1"/>
  <c r="D200" i="4" s="1"/>
  <c r="H196" i="4" a="1"/>
  <c r="H196" i="4" s="1"/>
  <c r="D196" i="4" a="1"/>
  <c r="D196" i="4" s="1"/>
  <c r="D199" i="4" a="1"/>
  <c r="D199" i="4" s="1"/>
  <c r="H199" i="4" a="1"/>
  <c r="H199" i="4" s="1"/>
  <c r="H192" i="4" a="1"/>
  <c r="H192" i="4" s="1"/>
  <c r="D192" i="4" a="1"/>
  <c r="D192" i="4" s="1"/>
  <c r="D197" i="4" a="1"/>
  <c r="D197" i="4" s="1"/>
  <c r="D193" i="4" a="1"/>
  <c r="D193" i="4" s="1"/>
  <c r="H195" i="4" a="1"/>
  <c r="H195" i="4" s="1"/>
  <c r="H193" i="4" a="1"/>
  <c r="H193" i="4" s="1"/>
  <c r="D182" i="4" a="1"/>
  <c r="D182" i="4" s="1"/>
  <c r="H179" i="4" a="1"/>
  <c r="H179" i="4" s="1"/>
  <c r="D179" i="4" a="1"/>
  <c r="D179" i="4" s="1"/>
  <c r="H185" i="4" a="1"/>
  <c r="H185" i="4" s="1"/>
  <c r="D185" i="4" a="1"/>
  <c r="D185" i="4" s="1"/>
  <c r="H181" i="4" a="1"/>
  <c r="H181" i="4" s="1"/>
  <c r="D181" i="4" a="1"/>
  <c r="D181" i="4" s="1"/>
  <c r="H187" i="4" a="1"/>
  <c r="H187" i="4" s="1"/>
  <c r="D187" i="4" a="1"/>
  <c r="D187" i="4" s="1"/>
  <c r="H183" i="4" a="1"/>
  <c r="H183" i="4" s="1"/>
  <c r="D183" i="4" a="1"/>
  <c r="D183" i="4" s="1"/>
  <c r="H186" i="4" a="1"/>
  <c r="H186" i="4" s="1"/>
  <c r="D186" i="4" a="1"/>
  <c r="D186" i="4" s="1"/>
  <c r="D184" i="4" a="1"/>
  <c r="D184" i="4" s="1"/>
  <c r="H182" i="4" a="1"/>
  <c r="H182" i="4" s="1"/>
  <c r="D171" i="4" a="1"/>
  <c r="D171" i="4" s="1"/>
  <c r="H171" i="4" a="1"/>
  <c r="H171" i="4" s="1"/>
  <c r="H174" i="4" a="1"/>
  <c r="H174" i="4" s="1"/>
  <c r="D174" i="4" a="1"/>
  <c r="D174" i="4" s="1"/>
  <c r="H170" i="4" a="1"/>
  <c r="H170" i="4" s="1"/>
  <c r="D170" i="4" a="1"/>
  <c r="D170" i="4" s="1"/>
  <c r="H173" i="4" a="1"/>
  <c r="H173" i="4" s="1"/>
  <c r="D173" i="4" a="1"/>
  <c r="D173" i="4" s="1"/>
  <c r="H172" i="4" a="1"/>
  <c r="H172" i="4" s="1"/>
  <c r="D172" i="4" a="1"/>
  <c r="D172" i="4" s="1"/>
  <c r="H169" i="4" a="1"/>
  <c r="H169" i="4" s="1"/>
  <c r="H167" i="4" a="1"/>
  <c r="H167" i="4" s="1"/>
  <c r="I56" i="3" a="1"/>
  <c r="I56" i="3" s="1"/>
  <c r="D56" i="3" a="1"/>
  <c r="D56" i="3" s="1"/>
  <c r="H311" i="3" l="1"/>
  <c r="H312" i="3"/>
  <c r="H313" i="3"/>
  <c r="H314" i="3"/>
  <c r="B318" i="3" a="1"/>
  <c r="B318" i="3" s="1"/>
  <c r="C318" i="3" a="1"/>
  <c r="C318" i="3" s="1"/>
  <c r="H318" i="3"/>
  <c r="J318" i="3"/>
  <c r="B319" i="3" a="1"/>
  <c r="B319" i="3" s="1"/>
  <c r="C319" i="3" a="1"/>
  <c r="C319" i="3" s="1"/>
  <c r="H319" i="3"/>
  <c r="B320" i="3" a="1"/>
  <c r="B320" i="3" s="1"/>
  <c r="C320" i="3" a="1"/>
  <c r="C320" i="3" s="1"/>
  <c r="H320" i="3"/>
  <c r="B321" i="3" a="1"/>
  <c r="B321" i="3" s="1"/>
  <c r="C321" i="3" a="1"/>
  <c r="C321" i="3" s="1"/>
  <c r="H321" i="3"/>
  <c r="B322" i="3" a="1"/>
  <c r="B322" i="3" s="1"/>
  <c r="C322" i="3" a="1"/>
  <c r="C322" i="3" s="1"/>
  <c r="H322" i="3"/>
  <c r="L3" i="2"/>
  <c r="L4" i="2"/>
  <c r="L5" i="2"/>
  <c r="L6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2" i="2"/>
  <c r="F538" i="4" l="1"/>
  <c r="G538" i="4" s="1"/>
  <c r="F533" i="4"/>
  <c r="G533" i="4" s="1"/>
  <c r="F529" i="4"/>
  <c r="G529" i="4" s="1"/>
  <c r="F526" i="4"/>
  <c r="G526" i="4" s="1"/>
  <c r="F530" i="4"/>
  <c r="G530" i="4" s="1"/>
  <c r="F528" i="4"/>
  <c r="G528" i="4" s="1"/>
  <c r="F534" i="4"/>
  <c r="G534" i="4" s="1"/>
  <c r="F532" i="4"/>
  <c r="G532" i="4" s="1"/>
  <c r="F537" i="4"/>
  <c r="G537" i="4" s="1"/>
  <c r="F535" i="4"/>
  <c r="G535" i="4" s="1"/>
  <c r="F536" i="4"/>
  <c r="G536" i="4" s="1"/>
  <c r="F531" i="4"/>
  <c r="G531" i="4" s="1"/>
  <c r="F527" i="4"/>
  <c r="G527" i="4" s="1"/>
  <c r="D320" i="3" a="1"/>
  <c r="D320" i="3" s="1"/>
  <c r="I320" i="3" a="1"/>
  <c r="I320" i="3" s="1"/>
  <c r="I322" i="3" a="1"/>
  <c r="I322" i="3" s="1"/>
  <c r="D318" i="3" a="1"/>
  <c r="D318" i="3" s="1"/>
  <c r="I318" i="3" a="1"/>
  <c r="I318" i="3" s="1"/>
  <c r="I321" i="3" a="1"/>
  <c r="I321" i="3" s="1"/>
  <c r="D321" i="3" a="1"/>
  <c r="D321" i="3" s="1"/>
  <c r="I319" i="3" a="1"/>
  <c r="I319" i="3" s="1"/>
  <c r="D319" i="3" a="1"/>
  <c r="D319" i="3" s="1"/>
  <c r="D322" i="3" a="1"/>
  <c r="D322" i="3" s="1"/>
  <c r="B99" i="6"/>
  <c r="C99" i="6"/>
  <c r="D99" i="6"/>
  <c r="E99" i="6"/>
  <c r="B2" i="6"/>
  <c r="C2" i="6"/>
  <c r="D2" i="6"/>
  <c r="E2" i="6"/>
  <c r="B100" i="6"/>
  <c r="F100" i="6" s="1"/>
  <c r="C100" i="6"/>
  <c r="D100" i="6"/>
  <c r="E100" i="6"/>
  <c r="B101" i="6"/>
  <c r="F101" i="6" s="1"/>
  <c r="C101" i="6"/>
  <c r="D101" i="6"/>
  <c r="E101" i="6"/>
  <c r="B43" i="6"/>
  <c r="F43" i="6" s="1"/>
  <c r="C43" i="6"/>
  <c r="D43" i="6"/>
  <c r="E43" i="6"/>
  <c r="B44" i="6"/>
  <c r="C44" i="6"/>
  <c r="D44" i="6"/>
  <c r="E44" i="6"/>
  <c r="B159" i="6"/>
  <c r="F159" i="6" s="1"/>
  <c r="C159" i="6"/>
  <c r="D159" i="6"/>
  <c r="E159" i="6"/>
  <c r="B106" i="6"/>
  <c r="F106" i="6" s="1"/>
  <c r="C106" i="6"/>
  <c r="D106" i="6"/>
  <c r="E106" i="6"/>
  <c r="B107" i="6"/>
  <c r="F107" i="6" s="1"/>
  <c r="C107" i="6"/>
  <c r="D107" i="6"/>
  <c r="E107" i="6"/>
  <c r="B18" i="6"/>
  <c r="F18" i="6" s="1"/>
  <c r="C18" i="6"/>
  <c r="D18" i="6"/>
  <c r="E18" i="6"/>
  <c r="B191" i="6"/>
  <c r="F191" i="6" s="1"/>
  <c r="C191" i="6"/>
  <c r="D191" i="6"/>
  <c r="E191" i="6"/>
  <c r="B192" i="6"/>
  <c r="C192" i="6"/>
  <c r="D192" i="6"/>
  <c r="E192" i="6"/>
  <c r="B193" i="6"/>
  <c r="C193" i="6"/>
  <c r="D193" i="6"/>
  <c r="E193" i="6"/>
  <c r="B194" i="6"/>
  <c r="F194" i="6" s="1"/>
  <c r="C194" i="6"/>
  <c r="D194" i="6"/>
  <c r="E194" i="6"/>
  <c r="B160" i="6"/>
  <c r="C160" i="6"/>
  <c r="D160" i="6"/>
  <c r="E160" i="6"/>
  <c r="B161" i="6"/>
  <c r="F161" i="6" s="1"/>
  <c r="C161" i="6"/>
  <c r="D161" i="6"/>
  <c r="E161" i="6"/>
  <c r="B3" i="6"/>
  <c r="C3" i="6"/>
  <c r="D3" i="6"/>
  <c r="E3" i="6"/>
  <c r="B102" i="6"/>
  <c r="F102" i="6" s="1"/>
  <c r="C102" i="6"/>
  <c r="D102" i="6"/>
  <c r="E102" i="6"/>
  <c r="B162" i="6"/>
  <c r="F162" i="6" s="1"/>
  <c r="C162" i="6"/>
  <c r="D162" i="6"/>
  <c r="E162" i="6"/>
  <c r="B108" i="6"/>
  <c r="F108" i="6" s="1"/>
  <c r="C108" i="6"/>
  <c r="D108" i="6"/>
  <c r="E108" i="6"/>
  <c r="B4" i="6"/>
  <c r="F4" i="6" s="1"/>
  <c r="C4" i="6"/>
  <c r="D4" i="6"/>
  <c r="E4" i="6"/>
  <c r="B195" i="6"/>
  <c r="F195" i="6" s="1"/>
  <c r="C195" i="6"/>
  <c r="D195" i="6"/>
  <c r="E195" i="6"/>
  <c r="B109" i="6"/>
  <c r="F109" i="6" s="1"/>
  <c r="C109" i="6"/>
  <c r="D109" i="6"/>
  <c r="E109" i="6"/>
  <c r="B163" i="6"/>
  <c r="C163" i="6"/>
  <c r="D163" i="6"/>
  <c r="E163" i="6"/>
  <c r="B68" i="6"/>
  <c r="C68" i="6"/>
  <c r="D68" i="6"/>
  <c r="E68" i="6"/>
  <c r="B110" i="6"/>
  <c r="F110" i="6" s="1"/>
  <c r="C110" i="6"/>
  <c r="D110" i="6"/>
  <c r="E110" i="6"/>
  <c r="B164" i="6"/>
  <c r="F164" i="6" s="1"/>
  <c r="C164" i="6"/>
  <c r="D164" i="6"/>
  <c r="E164" i="6"/>
  <c r="B165" i="6"/>
  <c r="F165" i="6" s="1"/>
  <c r="C165" i="6"/>
  <c r="D165" i="6"/>
  <c r="E165" i="6"/>
  <c r="B166" i="6"/>
  <c r="C166" i="6"/>
  <c r="D166" i="6"/>
  <c r="E166" i="6"/>
  <c r="B167" i="6"/>
  <c r="F167" i="6" s="1"/>
  <c r="C167" i="6"/>
  <c r="D167" i="6"/>
  <c r="E167" i="6"/>
  <c r="B168" i="6"/>
  <c r="F168" i="6" s="1"/>
  <c r="C168" i="6"/>
  <c r="D168" i="6"/>
  <c r="E168" i="6"/>
  <c r="B111" i="6"/>
  <c r="F111" i="6" s="1"/>
  <c r="C111" i="6"/>
  <c r="D111" i="6"/>
  <c r="E111" i="6"/>
  <c r="B112" i="6"/>
  <c r="C112" i="6"/>
  <c r="D112" i="6"/>
  <c r="E112" i="6"/>
  <c r="B158" i="6"/>
  <c r="F158" i="6" s="1"/>
  <c r="C158" i="6"/>
  <c r="D158" i="6"/>
  <c r="E158" i="6"/>
  <c r="B69" i="6"/>
  <c r="F69" i="6" s="1"/>
  <c r="C69" i="6"/>
  <c r="D69" i="6"/>
  <c r="E69" i="6"/>
  <c r="B113" i="6"/>
  <c r="F113" i="6" s="1"/>
  <c r="C113" i="6"/>
  <c r="D113" i="6"/>
  <c r="E113" i="6"/>
  <c r="B190" i="6"/>
  <c r="C190" i="6"/>
  <c r="D190" i="6"/>
  <c r="E190" i="6"/>
  <c r="B169" i="6"/>
  <c r="F169" i="6" s="1"/>
  <c r="C169" i="6"/>
  <c r="D169" i="6"/>
  <c r="E169" i="6"/>
  <c r="B181" i="6"/>
  <c r="F181" i="6" s="1"/>
  <c r="C181" i="6"/>
  <c r="D181" i="6"/>
  <c r="E181" i="6"/>
  <c r="B114" i="6"/>
  <c r="C114" i="6"/>
  <c r="D114" i="6"/>
  <c r="E114" i="6"/>
  <c r="B115" i="6"/>
  <c r="C115" i="6"/>
  <c r="D115" i="6"/>
  <c r="E115" i="6"/>
  <c r="B103" i="6"/>
  <c r="C103" i="6"/>
  <c r="D103" i="6"/>
  <c r="E103" i="6"/>
  <c r="B104" i="6"/>
  <c r="F104" i="6" s="1"/>
  <c r="C104" i="6"/>
  <c r="D104" i="6"/>
  <c r="E104" i="6"/>
  <c r="B105" i="6"/>
  <c r="C105" i="6"/>
  <c r="D105" i="6"/>
  <c r="E105" i="6"/>
  <c r="B5" i="6"/>
  <c r="C5" i="6"/>
  <c r="D5" i="6"/>
  <c r="E5" i="6"/>
  <c r="B70" i="6"/>
  <c r="C70" i="6"/>
  <c r="D70" i="6"/>
  <c r="E70" i="6"/>
  <c r="B45" i="6"/>
  <c r="C45" i="6"/>
  <c r="D45" i="6"/>
  <c r="E45" i="6"/>
  <c r="B170" i="6"/>
  <c r="C170" i="6"/>
  <c r="D170" i="6"/>
  <c r="E170" i="6"/>
  <c r="B116" i="6"/>
  <c r="C116" i="6"/>
  <c r="D116" i="6"/>
  <c r="E116" i="6"/>
  <c r="B117" i="6"/>
  <c r="C117" i="6"/>
  <c r="D117" i="6"/>
  <c r="E117" i="6"/>
  <c r="B173" i="6"/>
  <c r="C173" i="6"/>
  <c r="D173" i="6"/>
  <c r="E173" i="6"/>
  <c r="B174" i="6"/>
  <c r="C174" i="6"/>
  <c r="D174" i="6"/>
  <c r="E174" i="6"/>
  <c r="B46" i="6"/>
  <c r="C46" i="6"/>
  <c r="D46" i="6"/>
  <c r="E46" i="6"/>
  <c r="B28" i="6"/>
  <c r="C28" i="6"/>
  <c r="D28" i="6"/>
  <c r="E28" i="6"/>
  <c r="B118" i="6"/>
  <c r="C118" i="6"/>
  <c r="D118" i="6"/>
  <c r="E118" i="6"/>
  <c r="B119" i="6"/>
  <c r="C119" i="6"/>
  <c r="D119" i="6"/>
  <c r="E119" i="6"/>
  <c r="B6" i="6"/>
  <c r="C6" i="6"/>
  <c r="D6" i="6"/>
  <c r="E6" i="6"/>
  <c r="B71" i="6"/>
  <c r="C71" i="6"/>
  <c r="D71" i="6"/>
  <c r="E71" i="6"/>
  <c r="B29" i="6"/>
  <c r="C29" i="6"/>
  <c r="D29" i="6"/>
  <c r="E29" i="6"/>
  <c r="B20" i="6"/>
  <c r="C20" i="6"/>
  <c r="D20" i="6"/>
  <c r="E20" i="6"/>
  <c r="B58" i="6"/>
  <c r="C58" i="6"/>
  <c r="D58" i="6"/>
  <c r="E58" i="6"/>
  <c r="B120" i="6"/>
  <c r="C120" i="6"/>
  <c r="D120" i="6"/>
  <c r="E120" i="6"/>
  <c r="B59" i="6"/>
  <c r="C59" i="6"/>
  <c r="D59" i="6"/>
  <c r="E59" i="6"/>
  <c r="B175" i="6"/>
  <c r="C175" i="6"/>
  <c r="D175" i="6"/>
  <c r="E175" i="6"/>
  <c r="B121" i="6"/>
  <c r="C121" i="6"/>
  <c r="D121" i="6"/>
  <c r="E121" i="6"/>
  <c r="B122" i="6"/>
  <c r="C122" i="6"/>
  <c r="D122" i="6"/>
  <c r="E122" i="6"/>
  <c r="B72" i="6"/>
  <c r="C72" i="6"/>
  <c r="D72" i="6"/>
  <c r="E72" i="6"/>
  <c r="B73" i="6"/>
  <c r="C73" i="6"/>
  <c r="D73" i="6"/>
  <c r="E73" i="6"/>
  <c r="B47" i="6"/>
  <c r="C47" i="6"/>
  <c r="D47" i="6"/>
  <c r="E47" i="6"/>
  <c r="B60" i="6"/>
  <c r="C60" i="6"/>
  <c r="D60" i="6"/>
  <c r="E60" i="6"/>
  <c r="B123" i="6"/>
  <c r="C123" i="6"/>
  <c r="D123" i="6"/>
  <c r="E123" i="6"/>
  <c r="B61" i="6"/>
  <c r="C61" i="6"/>
  <c r="D61" i="6"/>
  <c r="E61" i="6"/>
  <c r="B124" i="6"/>
  <c r="C124" i="6"/>
  <c r="D124" i="6"/>
  <c r="E124" i="6"/>
  <c r="B125" i="6"/>
  <c r="C125" i="6"/>
  <c r="D125" i="6"/>
  <c r="E125" i="6"/>
  <c r="B126" i="6"/>
  <c r="C126" i="6"/>
  <c r="D126" i="6"/>
  <c r="E126" i="6"/>
  <c r="B62" i="6"/>
  <c r="C62" i="6"/>
  <c r="D62" i="6"/>
  <c r="E62" i="6"/>
  <c r="B63" i="6"/>
  <c r="C63" i="6"/>
  <c r="D63" i="6"/>
  <c r="E63" i="6"/>
  <c r="B127" i="6"/>
  <c r="C127" i="6"/>
  <c r="D127" i="6"/>
  <c r="E127" i="6"/>
  <c r="B7" i="6"/>
  <c r="C7" i="6"/>
  <c r="D7" i="6"/>
  <c r="E7" i="6"/>
  <c r="B74" i="6"/>
  <c r="C74" i="6"/>
  <c r="D74" i="6"/>
  <c r="E74" i="6"/>
  <c r="B176" i="6"/>
  <c r="C176" i="6"/>
  <c r="D176" i="6"/>
  <c r="E176" i="6"/>
  <c r="B21" i="6"/>
  <c r="C21" i="6"/>
  <c r="D21" i="6"/>
  <c r="E21" i="6"/>
  <c r="B128" i="6"/>
  <c r="C128" i="6"/>
  <c r="D128" i="6"/>
  <c r="E128" i="6"/>
  <c r="B129" i="6"/>
  <c r="C129" i="6"/>
  <c r="D129" i="6"/>
  <c r="E129" i="6"/>
  <c r="B64" i="6"/>
  <c r="C64" i="6"/>
  <c r="D64" i="6"/>
  <c r="E64" i="6"/>
  <c r="B130" i="6"/>
  <c r="C130" i="6"/>
  <c r="D130" i="6"/>
  <c r="E130" i="6"/>
  <c r="B131" i="6"/>
  <c r="C131" i="6"/>
  <c r="D131" i="6"/>
  <c r="E131" i="6"/>
  <c r="B75" i="6"/>
  <c r="C75" i="6"/>
  <c r="D75" i="6"/>
  <c r="E75" i="6"/>
  <c r="B76" i="6"/>
  <c r="C76" i="6"/>
  <c r="D76" i="6"/>
  <c r="E76" i="6"/>
  <c r="B177" i="6"/>
  <c r="C177" i="6"/>
  <c r="D177" i="6"/>
  <c r="E177" i="6"/>
  <c r="B77" i="6"/>
  <c r="C77" i="6"/>
  <c r="D77" i="6"/>
  <c r="E77" i="6"/>
  <c r="B65" i="6"/>
  <c r="C65" i="6"/>
  <c r="D65" i="6"/>
  <c r="E65" i="6"/>
  <c r="B132" i="6"/>
  <c r="C132" i="6"/>
  <c r="D132" i="6"/>
  <c r="E132" i="6"/>
  <c r="B30" i="6"/>
  <c r="C30" i="6"/>
  <c r="D30" i="6"/>
  <c r="E30" i="6"/>
  <c r="B78" i="6"/>
  <c r="C78" i="6"/>
  <c r="D78" i="6"/>
  <c r="E78" i="6"/>
  <c r="B31" i="6"/>
  <c r="C31" i="6"/>
  <c r="D31" i="6"/>
  <c r="E31" i="6"/>
  <c r="B66" i="6"/>
  <c r="C66" i="6"/>
  <c r="D66" i="6"/>
  <c r="E66" i="6"/>
  <c r="B79" i="6"/>
  <c r="C79" i="6"/>
  <c r="D79" i="6"/>
  <c r="E79" i="6"/>
  <c r="B80" i="6"/>
  <c r="C80" i="6"/>
  <c r="D80" i="6"/>
  <c r="E80" i="6"/>
  <c r="B32" i="6"/>
  <c r="C32" i="6"/>
  <c r="D32" i="6"/>
  <c r="E32" i="6"/>
  <c r="B178" i="6"/>
  <c r="C178" i="6"/>
  <c r="D178" i="6"/>
  <c r="E178" i="6"/>
  <c r="B81" i="6"/>
  <c r="C81" i="6"/>
  <c r="D81" i="6"/>
  <c r="E81" i="6"/>
  <c r="B48" i="6"/>
  <c r="C48" i="6"/>
  <c r="D48" i="6"/>
  <c r="E48" i="6"/>
  <c r="B22" i="6"/>
  <c r="C22" i="6"/>
  <c r="D22" i="6"/>
  <c r="E22" i="6"/>
  <c r="B82" i="6"/>
  <c r="C82" i="6"/>
  <c r="D82" i="6"/>
  <c r="E82" i="6"/>
  <c r="B23" i="6"/>
  <c r="C23" i="6"/>
  <c r="D23" i="6"/>
  <c r="E23" i="6"/>
  <c r="B83" i="6"/>
  <c r="C83" i="6"/>
  <c r="D83" i="6"/>
  <c r="E83" i="6"/>
  <c r="B24" i="6"/>
  <c r="C24" i="6"/>
  <c r="D24" i="6"/>
  <c r="E24" i="6"/>
  <c r="B84" i="6"/>
  <c r="C84" i="6"/>
  <c r="D84" i="6"/>
  <c r="E84" i="6"/>
  <c r="B8" i="6"/>
  <c r="C8" i="6"/>
  <c r="D8" i="6"/>
  <c r="E8" i="6"/>
  <c r="B67" i="6"/>
  <c r="C67" i="6"/>
  <c r="D67" i="6"/>
  <c r="E67" i="6"/>
  <c r="B133" i="6"/>
  <c r="C133" i="6"/>
  <c r="D133" i="6"/>
  <c r="E133" i="6"/>
  <c r="B33" i="6"/>
  <c r="C33" i="6"/>
  <c r="D33" i="6"/>
  <c r="E33" i="6"/>
  <c r="B25" i="6"/>
  <c r="C25" i="6"/>
  <c r="D25" i="6"/>
  <c r="E25" i="6"/>
  <c r="B85" i="6"/>
  <c r="C85" i="6"/>
  <c r="D85" i="6"/>
  <c r="E85" i="6"/>
  <c r="B34" i="6"/>
  <c r="C34" i="6"/>
  <c r="D34" i="6"/>
  <c r="E34" i="6"/>
  <c r="B179" i="6"/>
  <c r="C179" i="6"/>
  <c r="D179" i="6"/>
  <c r="E179" i="6"/>
  <c r="B9" i="6"/>
  <c r="C9" i="6"/>
  <c r="D9" i="6"/>
  <c r="E9" i="6"/>
  <c r="B86" i="6"/>
  <c r="C86" i="6"/>
  <c r="D86" i="6"/>
  <c r="E86" i="6"/>
  <c r="B26" i="6"/>
  <c r="C26" i="6"/>
  <c r="D26" i="6"/>
  <c r="E26" i="6"/>
  <c r="B35" i="6"/>
  <c r="F35" i="6" s="1"/>
  <c r="C35" i="6"/>
  <c r="D35" i="6"/>
  <c r="E35" i="6"/>
  <c r="B36" i="6"/>
  <c r="F36" i="6" s="1"/>
  <c r="C36" i="6"/>
  <c r="D36" i="6"/>
  <c r="E36" i="6"/>
  <c r="B10" i="6"/>
  <c r="F10" i="6" s="1"/>
  <c r="C10" i="6"/>
  <c r="D10" i="6"/>
  <c r="E10" i="6"/>
  <c r="B87" i="6"/>
  <c r="F87" i="6" s="1"/>
  <c r="C87" i="6"/>
  <c r="D87" i="6"/>
  <c r="E87" i="6"/>
  <c r="B182" i="6"/>
  <c r="F182" i="6" s="1"/>
  <c r="C182" i="6"/>
  <c r="D182" i="6"/>
  <c r="E182" i="6"/>
  <c r="B142" i="6"/>
  <c r="F142" i="6" s="1"/>
  <c r="C142" i="6"/>
  <c r="D142" i="6"/>
  <c r="E142" i="6"/>
  <c r="B143" i="6"/>
  <c r="F143" i="6" s="1"/>
  <c r="C143" i="6"/>
  <c r="D143" i="6"/>
  <c r="E143" i="6"/>
  <c r="B144" i="6"/>
  <c r="F144" i="6" s="1"/>
  <c r="C144" i="6"/>
  <c r="D144" i="6"/>
  <c r="E144" i="6"/>
  <c r="B49" i="6"/>
  <c r="F49" i="6" s="1"/>
  <c r="C49" i="6"/>
  <c r="D49" i="6"/>
  <c r="E49" i="6"/>
  <c r="B50" i="6"/>
  <c r="F50" i="6" s="1"/>
  <c r="C50" i="6"/>
  <c r="D50" i="6"/>
  <c r="E50" i="6"/>
  <c r="B51" i="6"/>
  <c r="F51" i="6" s="1"/>
  <c r="C51" i="6"/>
  <c r="D51" i="6"/>
  <c r="E51" i="6"/>
  <c r="B134" i="6"/>
  <c r="F134" i="6" s="1"/>
  <c r="C134" i="6"/>
  <c r="D134" i="6"/>
  <c r="E134" i="6"/>
  <c r="B52" i="6"/>
  <c r="F52" i="6" s="1"/>
  <c r="C52" i="6"/>
  <c r="D52" i="6"/>
  <c r="E52" i="6"/>
  <c r="B11" i="6"/>
  <c r="F11" i="6" s="1"/>
  <c r="C11" i="6"/>
  <c r="D11" i="6"/>
  <c r="E11" i="6"/>
  <c r="B12" i="6"/>
  <c r="F12" i="6" s="1"/>
  <c r="C12" i="6"/>
  <c r="D12" i="6"/>
  <c r="E12" i="6"/>
  <c r="B27" i="6"/>
  <c r="F27" i="6" s="1"/>
  <c r="C27" i="6"/>
  <c r="D27" i="6"/>
  <c r="E27" i="6"/>
  <c r="B88" i="6"/>
  <c r="F88" i="6" s="1"/>
  <c r="C88" i="6"/>
  <c r="D88" i="6"/>
  <c r="E88" i="6"/>
  <c r="B183" i="6"/>
  <c r="F183" i="6" s="1"/>
  <c r="C183" i="6"/>
  <c r="D183" i="6"/>
  <c r="E183" i="6"/>
  <c r="B89" i="6"/>
  <c r="F89" i="6" s="1"/>
  <c r="C89" i="6"/>
  <c r="D89" i="6"/>
  <c r="E89" i="6"/>
  <c r="B53" i="6"/>
  <c r="F53" i="6" s="1"/>
  <c r="C53" i="6"/>
  <c r="D53" i="6"/>
  <c r="E53" i="6"/>
  <c r="B90" i="6"/>
  <c r="F90" i="6" s="1"/>
  <c r="C90" i="6"/>
  <c r="D90" i="6"/>
  <c r="E90" i="6"/>
  <c r="B91" i="6"/>
  <c r="F91" i="6" s="1"/>
  <c r="C91" i="6"/>
  <c r="D91" i="6"/>
  <c r="E91" i="6"/>
  <c r="B13" i="6"/>
  <c r="F13" i="6" s="1"/>
  <c r="C13" i="6"/>
  <c r="D13" i="6"/>
  <c r="E13" i="6"/>
  <c r="B14" i="6"/>
  <c r="F14" i="6" s="1"/>
  <c r="C14" i="6"/>
  <c r="D14" i="6"/>
  <c r="E14" i="6"/>
  <c r="B145" i="6"/>
  <c r="F145" i="6" s="1"/>
  <c r="C145" i="6"/>
  <c r="D145" i="6"/>
  <c r="E145" i="6"/>
  <c r="B146" i="6"/>
  <c r="F146" i="6" s="1"/>
  <c r="C146" i="6"/>
  <c r="D146" i="6"/>
  <c r="E146" i="6"/>
  <c r="B92" i="6"/>
  <c r="F92" i="6" s="1"/>
  <c r="C92" i="6"/>
  <c r="D92" i="6"/>
  <c r="E92" i="6"/>
  <c r="B184" i="6"/>
  <c r="F184" i="6" s="1"/>
  <c r="C184" i="6"/>
  <c r="D184" i="6"/>
  <c r="E184" i="6"/>
  <c r="B147" i="6"/>
  <c r="F147" i="6" s="1"/>
  <c r="C147" i="6"/>
  <c r="D147" i="6"/>
  <c r="E147" i="6"/>
  <c r="B54" i="6"/>
  <c r="F54" i="6" s="1"/>
  <c r="C54" i="6"/>
  <c r="D54" i="6"/>
  <c r="E54" i="6"/>
  <c r="B37" i="6"/>
  <c r="F37" i="6" s="1"/>
  <c r="C37" i="6"/>
  <c r="D37" i="6"/>
  <c r="E37" i="6"/>
  <c r="B180" i="6"/>
  <c r="F180" i="6" s="1"/>
  <c r="C180" i="6"/>
  <c r="D180" i="6"/>
  <c r="E180" i="6"/>
  <c r="B93" i="6"/>
  <c r="F93" i="6" s="1"/>
  <c r="C93" i="6"/>
  <c r="D93" i="6"/>
  <c r="E93" i="6"/>
  <c r="B55" i="6"/>
  <c r="F55" i="6" s="1"/>
  <c r="C55" i="6"/>
  <c r="D55" i="6"/>
  <c r="E55" i="6"/>
  <c r="B94" i="6"/>
  <c r="F94" i="6" s="1"/>
  <c r="C94" i="6"/>
  <c r="D94" i="6"/>
  <c r="E94" i="6"/>
  <c r="B135" i="6"/>
  <c r="F135" i="6" s="1"/>
  <c r="C135" i="6"/>
  <c r="D135" i="6"/>
  <c r="E135" i="6"/>
  <c r="B148" i="6"/>
  <c r="F148" i="6" s="1"/>
  <c r="C148" i="6"/>
  <c r="D148" i="6"/>
  <c r="E148" i="6"/>
  <c r="B185" i="6"/>
  <c r="F185" i="6" s="1"/>
  <c r="C185" i="6"/>
  <c r="D185" i="6"/>
  <c r="E185" i="6"/>
  <c r="B136" i="6"/>
  <c r="F136" i="6" s="1"/>
  <c r="C136" i="6"/>
  <c r="D136" i="6"/>
  <c r="E136" i="6"/>
  <c r="B95" i="6"/>
  <c r="F95" i="6" s="1"/>
  <c r="C95" i="6"/>
  <c r="D95" i="6"/>
  <c r="E95" i="6"/>
  <c r="B186" i="6"/>
  <c r="F186" i="6" s="1"/>
  <c r="C186" i="6"/>
  <c r="D186" i="6"/>
  <c r="E186" i="6"/>
  <c r="B56" i="6"/>
  <c r="F56" i="6" s="1"/>
  <c r="C56" i="6"/>
  <c r="D56" i="6"/>
  <c r="E56" i="6"/>
  <c r="B149" i="6"/>
  <c r="F149" i="6" s="1"/>
  <c r="C149" i="6"/>
  <c r="D149" i="6"/>
  <c r="E149" i="6"/>
  <c r="B187" i="6"/>
  <c r="F187" i="6" s="1"/>
  <c r="C187" i="6"/>
  <c r="D187" i="6"/>
  <c r="E187" i="6"/>
  <c r="B38" i="6"/>
  <c r="F38" i="6" s="1"/>
  <c r="C38" i="6"/>
  <c r="D38" i="6"/>
  <c r="E38" i="6"/>
  <c r="B150" i="6"/>
  <c r="F150" i="6" s="1"/>
  <c r="C150" i="6"/>
  <c r="D150" i="6"/>
  <c r="E150" i="6"/>
  <c r="B15" i="6"/>
  <c r="F15" i="6" s="1"/>
  <c r="C15" i="6"/>
  <c r="D15" i="6"/>
  <c r="E15" i="6"/>
  <c r="B16" i="6"/>
  <c r="F16" i="6" s="1"/>
  <c r="C16" i="6"/>
  <c r="D16" i="6"/>
  <c r="E16" i="6"/>
  <c r="B57" i="6"/>
  <c r="F57" i="6" s="1"/>
  <c r="C57" i="6"/>
  <c r="D57" i="6"/>
  <c r="E57" i="6"/>
  <c r="B19" i="6"/>
  <c r="F19" i="6" s="1"/>
  <c r="C19" i="6"/>
  <c r="D19" i="6"/>
  <c r="E19" i="6"/>
  <c r="B39" i="6"/>
  <c r="F39" i="6" s="1"/>
  <c r="C39" i="6"/>
  <c r="D39" i="6"/>
  <c r="E39" i="6"/>
  <c r="B17" i="6"/>
  <c r="F17" i="6" s="1"/>
  <c r="C17" i="6"/>
  <c r="D17" i="6"/>
  <c r="E17" i="6"/>
  <c r="B151" i="6"/>
  <c r="F151" i="6" s="1"/>
  <c r="C151" i="6"/>
  <c r="D151" i="6"/>
  <c r="E151" i="6"/>
  <c r="B152" i="6"/>
  <c r="F152" i="6" s="1"/>
  <c r="C152" i="6"/>
  <c r="D152" i="6"/>
  <c r="E152" i="6"/>
  <c r="B153" i="6"/>
  <c r="F153" i="6" s="1"/>
  <c r="C153" i="6"/>
  <c r="D153" i="6"/>
  <c r="E153" i="6"/>
  <c r="B40" i="6"/>
  <c r="F40" i="6" s="1"/>
  <c r="C40" i="6"/>
  <c r="D40" i="6"/>
  <c r="E40" i="6"/>
  <c r="B154" i="6"/>
  <c r="F154" i="6" s="1"/>
  <c r="C154" i="6"/>
  <c r="D154" i="6"/>
  <c r="E154" i="6"/>
  <c r="B137" i="6"/>
  <c r="F137" i="6" s="1"/>
  <c r="C137" i="6"/>
  <c r="D137" i="6"/>
  <c r="E137" i="6"/>
  <c r="B188" i="6"/>
  <c r="F188" i="6" s="1"/>
  <c r="C188" i="6"/>
  <c r="D188" i="6"/>
  <c r="E188" i="6"/>
  <c r="B189" i="6"/>
  <c r="F189" i="6" s="1"/>
  <c r="C189" i="6"/>
  <c r="D189" i="6"/>
  <c r="E189" i="6"/>
  <c r="B138" i="6"/>
  <c r="F138" i="6" s="1"/>
  <c r="C138" i="6"/>
  <c r="D138" i="6"/>
  <c r="E138" i="6"/>
  <c r="B155" i="6"/>
  <c r="F155" i="6" s="1"/>
  <c r="C155" i="6"/>
  <c r="D155" i="6"/>
  <c r="E155" i="6"/>
  <c r="B156" i="6"/>
  <c r="F156" i="6" s="1"/>
  <c r="C156" i="6"/>
  <c r="D156" i="6"/>
  <c r="E156" i="6"/>
  <c r="B139" i="6"/>
  <c r="F139" i="6" s="1"/>
  <c r="C139" i="6"/>
  <c r="D139" i="6"/>
  <c r="E139" i="6"/>
  <c r="B157" i="6"/>
  <c r="F157" i="6" s="1"/>
  <c r="C157" i="6"/>
  <c r="D157" i="6"/>
  <c r="E157" i="6"/>
  <c r="B41" i="6"/>
  <c r="F41" i="6" s="1"/>
  <c r="C41" i="6"/>
  <c r="D41" i="6"/>
  <c r="E41" i="6"/>
  <c r="B96" i="6"/>
  <c r="F96" i="6" s="1"/>
  <c r="C96" i="6"/>
  <c r="D96" i="6"/>
  <c r="E96" i="6"/>
  <c r="B42" i="6"/>
  <c r="F42" i="6" s="1"/>
  <c r="C42" i="6"/>
  <c r="D42" i="6"/>
  <c r="E42" i="6"/>
  <c r="B97" i="6"/>
  <c r="F97" i="6" s="1"/>
  <c r="C97" i="6"/>
  <c r="D97" i="6"/>
  <c r="E97" i="6"/>
  <c r="B140" i="6"/>
  <c r="F140" i="6" s="1"/>
  <c r="C140" i="6"/>
  <c r="D140" i="6"/>
  <c r="E140" i="6"/>
  <c r="B141" i="6"/>
  <c r="F141" i="6" s="1"/>
  <c r="C141" i="6"/>
  <c r="D141" i="6"/>
  <c r="E141" i="6"/>
  <c r="B196" i="6"/>
  <c r="C196" i="6"/>
  <c r="D196" i="6"/>
  <c r="E196" i="6"/>
  <c r="B197" i="6"/>
  <c r="C197" i="6"/>
  <c r="D197" i="6"/>
  <c r="E197" i="6"/>
  <c r="B198" i="6"/>
  <c r="C198" i="6"/>
  <c r="D198" i="6"/>
  <c r="E198" i="6"/>
  <c r="B199" i="6"/>
  <c r="C199" i="6"/>
  <c r="D199" i="6"/>
  <c r="E199" i="6"/>
  <c r="B200" i="6"/>
  <c r="C200" i="6"/>
  <c r="D200" i="6"/>
  <c r="E200" i="6"/>
  <c r="B201" i="6"/>
  <c r="C201" i="6"/>
  <c r="D201" i="6"/>
  <c r="E201" i="6"/>
  <c r="B202" i="6"/>
  <c r="C202" i="6"/>
  <c r="D202" i="6"/>
  <c r="E202" i="6"/>
  <c r="B203" i="6"/>
  <c r="C203" i="6"/>
  <c r="D203" i="6"/>
  <c r="E203" i="6"/>
  <c r="B204" i="6"/>
  <c r="C204" i="6"/>
  <c r="D204" i="6"/>
  <c r="E204" i="6"/>
  <c r="B205" i="6"/>
  <c r="C205" i="6"/>
  <c r="D205" i="6"/>
  <c r="E205" i="6"/>
  <c r="B206" i="6"/>
  <c r="C206" i="6"/>
  <c r="D206" i="6"/>
  <c r="E206" i="6"/>
  <c r="B207" i="6"/>
  <c r="C207" i="6"/>
  <c r="D207" i="6"/>
  <c r="E207" i="6"/>
  <c r="B208" i="6"/>
  <c r="C208" i="6"/>
  <c r="D208" i="6"/>
  <c r="E208" i="6"/>
  <c r="B209" i="6"/>
  <c r="C209" i="6"/>
  <c r="D209" i="6"/>
  <c r="E209" i="6"/>
  <c r="B171" i="6"/>
  <c r="C171" i="6"/>
  <c r="D171" i="6"/>
  <c r="E171" i="6"/>
  <c r="B172" i="6"/>
  <c r="C172" i="6"/>
  <c r="D172" i="6"/>
  <c r="E172" i="6"/>
  <c r="B210" i="6"/>
  <c r="C210" i="6"/>
  <c r="D210" i="6"/>
  <c r="E210" i="6"/>
  <c r="B211" i="6"/>
  <c r="C211" i="6"/>
  <c r="D211" i="6"/>
  <c r="E211" i="6"/>
  <c r="B212" i="6"/>
  <c r="C212" i="6"/>
  <c r="D212" i="6"/>
  <c r="E212" i="6"/>
  <c r="B213" i="6"/>
  <c r="C213" i="6"/>
  <c r="D213" i="6"/>
  <c r="E213" i="6"/>
  <c r="B214" i="6"/>
  <c r="C214" i="6"/>
  <c r="D214" i="6"/>
  <c r="E214" i="6"/>
  <c r="B215" i="6"/>
  <c r="C215" i="6"/>
  <c r="D215" i="6"/>
  <c r="E215" i="6"/>
  <c r="B216" i="6"/>
  <c r="C216" i="6"/>
  <c r="D216" i="6"/>
  <c r="E216" i="6"/>
  <c r="B217" i="6"/>
  <c r="C217" i="6"/>
  <c r="D217" i="6"/>
  <c r="E217" i="6"/>
  <c r="B218" i="6"/>
  <c r="C218" i="6"/>
  <c r="D218" i="6"/>
  <c r="E218" i="6"/>
  <c r="B219" i="6"/>
  <c r="C219" i="6"/>
  <c r="D219" i="6"/>
  <c r="E219" i="6"/>
  <c r="B220" i="6"/>
  <c r="C220" i="6"/>
  <c r="D220" i="6"/>
  <c r="E220" i="6"/>
  <c r="B221" i="6"/>
  <c r="C221" i="6"/>
  <c r="D221" i="6"/>
  <c r="E221" i="6"/>
  <c r="B222" i="6"/>
  <c r="C222" i="6"/>
  <c r="D222" i="6"/>
  <c r="E222" i="6"/>
  <c r="B223" i="6"/>
  <c r="C223" i="6"/>
  <c r="D223" i="6"/>
  <c r="E223" i="6"/>
  <c r="B224" i="6"/>
  <c r="C224" i="6"/>
  <c r="D224" i="6"/>
  <c r="E224" i="6"/>
  <c r="B225" i="6"/>
  <c r="C225" i="6"/>
  <c r="D225" i="6"/>
  <c r="E225" i="6"/>
  <c r="B226" i="6"/>
  <c r="C226" i="6"/>
  <c r="D226" i="6"/>
  <c r="E226" i="6"/>
  <c r="B227" i="6"/>
  <c r="C227" i="6"/>
  <c r="D227" i="6"/>
  <c r="E227" i="6"/>
  <c r="B228" i="6"/>
  <c r="C228" i="6"/>
  <c r="D228" i="6"/>
  <c r="E228" i="6"/>
  <c r="B229" i="6"/>
  <c r="C229" i="6"/>
  <c r="D229" i="6"/>
  <c r="E229" i="6"/>
  <c r="B230" i="6"/>
  <c r="C230" i="6"/>
  <c r="D230" i="6"/>
  <c r="E230" i="6"/>
  <c r="B231" i="6"/>
  <c r="C231" i="6"/>
  <c r="D231" i="6"/>
  <c r="E231" i="6"/>
  <c r="B232" i="6"/>
  <c r="C232" i="6"/>
  <c r="D232" i="6"/>
  <c r="E232" i="6"/>
  <c r="B233" i="6"/>
  <c r="C233" i="6"/>
  <c r="D233" i="6"/>
  <c r="E233" i="6"/>
  <c r="B234" i="6"/>
  <c r="C234" i="6"/>
  <c r="D234" i="6"/>
  <c r="E234" i="6"/>
  <c r="B235" i="6"/>
  <c r="C235" i="6"/>
  <c r="D235" i="6"/>
  <c r="E235" i="6"/>
  <c r="B236" i="6"/>
  <c r="C236" i="6"/>
  <c r="D236" i="6"/>
  <c r="E236" i="6"/>
  <c r="B237" i="6"/>
  <c r="C237" i="6"/>
  <c r="D237" i="6"/>
  <c r="E237" i="6"/>
  <c r="B238" i="6"/>
  <c r="C238" i="6"/>
  <c r="D238" i="6"/>
  <c r="E238" i="6"/>
  <c r="B239" i="6"/>
  <c r="C239" i="6"/>
  <c r="D239" i="6"/>
  <c r="E239" i="6"/>
  <c r="B240" i="6"/>
  <c r="C240" i="6"/>
  <c r="D240" i="6"/>
  <c r="E240" i="6"/>
  <c r="B241" i="6"/>
  <c r="C241" i="6"/>
  <c r="D241" i="6"/>
  <c r="E241" i="6"/>
  <c r="B242" i="6"/>
  <c r="C242" i="6"/>
  <c r="D242" i="6"/>
  <c r="E242" i="6"/>
  <c r="B243" i="6"/>
  <c r="C243" i="6"/>
  <c r="D243" i="6"/>
  <c r="E243" i="6"/>
  <c r="B244" i="6"/>
  <c r="C244" i="6"/>
  <c r="D244" i="6"/>
  <c r="E244" i="6"/>
  <c r="B245" i="6"/>
  <c r="C245" i="6"/>
  <c r="D245" i="6"/>
  <c r="E245" i="6"/>
  <c r="B246" i="6"/>
  <c r="C246" i="6"/>
  <c r="D246" i="6"/>
  <c r="E246" i="6"/>
  <c r="B247" i="6"/>
  <c r="C247" i="6"/>
  <c r="D247" i="6"/>
  <c r="E247" i="6"/>
  <c r="B248" i="6"/>
  <c r="C248" i="6"/>
  <c r="D248" i="6"/>
  <c r="E248" i="6"/>
  <c r="B249" i="6"/>
  <c r="C249" i="6"/>
  <c r="D249" i="6"/>
  <c r="E249" i="6"/>
  <c r="B250" i="6"/>
  <c r="C250" i="6"/>
  <c r="D250" i="6"/>
  <c r="E250" i="6"/>
  <c r="B251" i="6"/>
  <c r="C251" i="6"/>
  <c r="D251" i="6"/>
  <c r="E251" i="6"/>
  <c r="B252" i="6"/>
  <c r="C252" i="6"/>
  <c r="D252" i="6"/>
  <c r="E252" i="6"/>
  <c r="B253" i="6"/>
  <c r="C253" i="6"/>
  <c r="D253" i="6"/>
  <c r="E253" i="6"/>
  <c r="B254" i="6"/>
  <c r="C254" i="6"/>
  <c r="D254" i="6"/>
  <c r="E254" i="6"/>
  <c r="B255" i="6"/>
  <c r="C255" i="6"/>
  <c r="D255" i="6"/>
  <c r="E255" i="6"/>
  <c r="B256" i="6"/>
  <c r="C256" i="6"/>
  <c r="D256" i="6"/>
  <c r="E256" i="6"/>
  <c r="B257" i="6"/>
  <c r="C257" i="6"/>
  <c r="D257" i="6"/>
  <c r="E257" i="6"/>
  <c r="B258" i="6"/>
  <c r="C258" i="6"/>
  <c r="D258" i="6"/>
  <c r="E258" i="6"/>
  <c r="B259" i="6"/>
  <c r="C259" i="6"/>
  <c r="D259" i="6"/>
  <c r="E259" i="6"/>
  <c r="B260" i="6"/>
  <c r="C260" i="6"/>
  <c r="D260" i="6"/>
  <c r="E260" i="6"/>
  <c r="B261" i="6"/>
  <c r="C261" i="6"/>
  <c r="D261" i="6"/>
  <c r="E261" i="6"/>
  <c r="B262" i="6"/>
  <c r="C262" i="6"/>
  <c r="D262" i="6"/>
  <c r="E262" i="6"/>
  <c r="B263" i="6"/>
  <c r="C263" i="6"/>
  <c r="D263" i="6"/>
  <c r="E263" i="6"/>
  <c r="B264" i="6"/>
  <c r="C264" i="6"/>
  <c r="D264" i="6"/>
  <c r="E264" i="6"/>
  <c r="B265" i="6"/>
  <c r="C265" i="6"/>
  <c r="D265" i="6"/>
  <c r="E265" i="6"/>
  <c r="B266" i="6"/>
  <c r="C266" i="6"/>
  <c r="D266" i="6"/>
  <c r="E266" i="6"/>
  <c r="B267" i="6"/>
  <c r="C267" i="6"/>
  <c r="D267" i="6"/>
  <c r="E267" i="6"/>
  <c r="B268" i="6"/>
  <c r="C268" i="6"/>
  <c r="D268" i="6"/>
  <c r="E268" i="6"/>
  <c r="B269" i="6"/>
  <c r="C269" i="6"/>
  <c r="D269" i="6"/>
  <c r="E269" i="6"/>
  <c r="B270" i="6"/>
  <c r="C270" i="6"/>
  <c r="D270" i="6"/>
  <c r="E270" i="6"/>
  <c r="B271" i="6"/>
  <c r="C271" i="6"/>
  <c r="D271" i="6"/>
  <c r="E271" i="6"/>
  <c r="B272" i="6"/>
  <c r="C272" i="6"/>
  <c r="D272" i="6"/>
  <c r="E272" i="6"/>
  <c r="B273" i="6"/>
  <c r="C273" i="6"/>
  <c r="D273" i="6"/>
  <c r="E273" i="6"/>
  <c r="B274" i="6"/>
  <c r="C274" i="6"/>
  <c r="D274" i="6"/>
  <c r="E274" i="6"/>
  <c r="B275" i="6"/>
  <c r="C275" i="6"/>
  <c r="D275" i="6"/>
  <c r="E275" i="6"/>
  <c r="B276" i="6"/>
  <c r="C276" i="6"/>
  <c r="D276" i="6"/>
  <c r="E276" i="6"/>
  <c r="B277" i="6"/>
  <c r="C277" i="6"/>
  <c r="D277" i="6"/>
  <c r="E277" i="6"/>
  <c r="B278" i="6"/>
  <c r="C278" i="6"/>
  <c r="D278" i="6"/>
  <c r="E278" i="6"/>
  <c r="B279" i="6"/>
  <c r="C279" i="6"/>
  <c r="D279" i="6"/>
  <c r="E279" i="6"/>
  <c r="B280" i="6"/>
  <c r="C280" i="6"/>
  <c r="D280" i="6"/>
  <c r="E280" i="6"/>
  <c r="B281" i="6"/>
  <c r="C281" i="6"/>
  <c r="D281" i="6"/>
  <c r="E281" i="6"/>
  <c r="B282" i="6"/>
  <c r="C282" i="6"/>
  <c r="D282" i="6"/>
  <c r="E282" i="6"/>
  <c r="B283" i="6"/>
  <c r="C283" i="6"/>
  <c r="D283" i="6"/>
  <c r="E283" i="6"/>
  <c r="B284" i="6"/>
  <c r="C284" i="6"/>
  <c r="D284" i="6"/>
  <c r="E284" i="6"/>
  <c r="B285" i="6"/>
  <c r="C285" i="6"/>
  <c r="D285" i="6"/>
  <c r="E285" i="6"/>
  <c r="B286" i="6"/>
  <c r="C286" i="6"/>
  <c r="D286" i="6"/>
  <c r="E286" i="6"/>
  <c r="B287" i="6"/>
  <c r="C287" i="6"/>
  <c r="D287" i="6"/>
  <c r="E287" i="6"/>
  <c r="B288" i="6"/>
  <c r="C288" i="6"/>
  <c r="D288" i="6"/>
  <c r="E288" i="6"/>
  <c r="B289" i="6"/>
  <c r="C289" i="6"/>
  <c r="D289" i="6"/>
  <c r="E289" i="6"/>
  <c r="B290" i="6"/>
  <c r="C290" i="6"/>
  <c r="D290" i="6"/>
  <c r="E290" i="6"/>
  <c r="B291" i="6"/>
  <c r="C291" i="6"/>
  <c r="D291" i="6"/>
  <c r="E291" i="6"/>
  <c r="B292" i="6"/>
  <c r="C292" i="6"/>
  <c r="D292" i="6"/>
  <c r="E292" i="6"/>
  <c r="B293" i="6"/>
  <c r="C293" i="6"/>
  <c r="D293" i="6"/>
  <c r="E293" i="6"/>
  <c r="B294" i="6"/>
  <c r="C294" i="6"/>
  <c r="D294" i="6"/>
  <c r="E294" i="6"/>
  <c r="B295" i="6"/>
  <c r="C295" i="6"/>
  <c r="D295" i="6"/>
  <c r="E295" i="6"/>
  <c r="B296" i="6"/>
  <c r="C296" i="6"/>
  <c r="D296" i="6"/>
  <c r="E296" i="6"/>
  <c r="B297" i="6"/>
  <c r="C297" i="6"/>
  <c r="D297" i="6"/>
  <c r="E297" i="6"/>
  <c r="B298" i="6"/>
  <c r="C298" i="6"/>
  <c r="D298" i="6"/>
  <c r="E298" i="6"/>
  <c r="B299" i="6"/>
  <c r="C299" i="6"/>
  <c r="D299" i="6"/>
  <c r="E299" i="6"/>
  <c r="B300" i="6"/>
  <c r="C300" i="6"/>
  <c r="D300" i="6"/>
  <c r="E300" i="6"/>
  <c r="B301" i="6"/>
  <c r="C301" i="6"/>
  <c r="D301" i="6"/>
  <c r="E301" i="6"/>
  <c r="B302" i="6"/>
  <c r="C302" i="6"/>
  <c r="D302" i="6"/>
  <c r="E302" i="6"/>
  <c r="B303" i="6"/>
  <c r="C303" i="6"/>
  <c r="D303" i="6"/>
  <c r="E303" i="6"/>
  <c r="B304" i="6"/>
  <c r="C304" i="6"/>
  <c r="D304" i="6"/>
  <c r="E304" i="6"/>
  <c r="B305" i="6"/>
  <c r="C305" i="6"/>
  <c r="D305" i="6"/>
  <c r="E305" i="6"/>
  <c r="B306" i="6"/>
  <c r="C306" i="6"/>
  <c r="D306" i="6"/>
  <c r="E306" i="6"/>
  <c r="B307" i="6"/>
  <c r="C307" i="6"/>
  <c r="D307" i="6"/>
  <c r="E307" i="6"/>
  <c r="B308" i="6"/>
  <c r="C308" i="6"/>
  <c r="D308" i="6"/>
  <c r="E308" i="6"/>
  <c r="B309" i="6"/>
  <c r="C309" i="6"/>
  <c r="D309" i="6"/>
  <c r="E309" i="6"/>
  <c r="B310" i="6"/>
  <c r="C310" i="6"/>
  <c r="D310" i="6"/>
  <c r="E310" i="6"/>
  <c r="B311" i="6"/>
  <c r="C311" i="6"/>
  <c r="D311" i="6"/>
  <c r="E311" i="6"/>
  <c r="B312" i="6"/>
  <c r="C312" i="6"/>
  <c r="D312" i="6"/>
  <c r="E312" i="6"/>
  <c r="B313" i="6"/>
  <c r="C313" i="6"/>
  <c r="D313" i="6"/>
  <c r="E313" i="6"/>
  <c r="B314" i="6"/>
  <c r="C314" i="6"/>
  <c r="D314" i="6"/>
  <c r="E314" i="6"/>
  <c r="B315" i="6"/>
  <c r="C315" i="6"/>
  <c r="D315" i="6"/>
  <c r="E315" i="6"/>
  <c r="B316" i="6"/>
  <c r="C316" i="6"/>
  <c r="D316" i="6"/>
  <c r="E316" i="6"/>
  <c r="B317" i="6"/>
  <c r="C317" i="6"/>
  <c r="D317" i="6"/>
  <c r="E317" i="6"/>
  <c r="B318" i="6"/>
  <c r="C318" i="6"/>
  <c r="D318" i="6"/>
  <c r="E318" i="6"/>
  <c r="B319" i="6"/>
  <c r="C319" i="6"/>
  <c r="D319" i="6"/>
  <c r="E319" i="6"/>
  <c r="B320" i="6"/>
  <c r="C320" i="6"/>
  <c r="D320" i="6"/>
  <c r="E320" i="6"/>
  <c r="B321" i="6"/>
  <c r="C321" i="6"/>
  <c r="D321" i="6"/>
  <c r="E321" i="6"/>
  <c r="B322" i="6"/>
  <c r="C322" i="6"/>
  <c r="D322" i="6"/>
  <c r="E322" i="6"/>
  <c r="B323" i="6"/>
  <c r="C323" i="6"/>
  <c r="D323" i="6"/>
  <c r="E323" i="6"/>
  <c r="B324" i="6"/>
  <c r="C324" i="6"/>
  <c r="D324" i="6"/>
  <c r="E324" i="6"/>
  <c r="B325" i="6"/>
  <c r="C325" i="6"/>
  <c r="D325" i="6"/>
  <c r="E325" i="6"/>
  <c r="B326" i="6"/>
  <c r="C326" i="6"/>
  <c r="D326" i="6"/>
  <c r="E326" i="6"/>
  <c r="B327" i="6"/>
  <c r="C327" i="6"/>
  <c r="D327" i="6"/>
  <c r="E327" i="6"/>
  <c r="B328" i="6"/>
  <c r="C328" i="6"/>
  <c r="D328" i="6"/>
  <c r="E328" i="6"/>
  <c r="B329" i="6"/>
  <c r="C329" i="6"/>
  <c r="D329" i="6"/>
  <c r="E329" i="6"/>
  <c r="B330" i="6"/>
  <c r="C330" i="6"/>
  <c r="D330" i="6"/>
  <c r="E330" i="6"/>
  <c r="B331" i="6"/>
  <c r="C331" i="6"/>
  <c r="D331" i="6"/>
  <c r="E331" i="6"/>
  <c r="B332" i="6"/>
  <c r="C332" i="6"/>
  <c r="D332" i="6"/>
  <c r="E332" i="6"/>
  <c r="B333" i="6"/>
  <c r="C333" i="6"/>
  <c r="D333" i="6"/>
  <c r="E333" i="6"/>
  <c r="B334" i="6"/>
  <c r="C334" i="6"/>
  <c r="D334" i="6"/>
  <c r="E334" i="6"/>
  <c r="B335" i="6"/>
  <c r="C335" i="6"/>
  <c r="D335" i="6"/>
  <c r="E335" i="6"/>
  <c r="B336" i="6"/>
  <c r="C336" i="6"/>
  <c r="D336" i="6"/>
  <c r="E336" i="6"/>
  <c r="B337" i="6"/>
  <c r="C337" i="6"/>
  <c r="D337" i="6"/>
  <c r="E337" i="6"/>
  <c r="B338" i="6"/>
  <c r="C338" i="6"/>
  <c r="D338" i="6"/>
  <c r="E338" i="6"/>
  <c r="B339" i="6"/>
  <c r="C339" i="6"/>
  <c r="D339" i="6"/>
  <c r="E339" i="6"/>
  <c r="B340" i="6"/>
  <c r="C340" i="6"/>
  <c r="D340" i="6"/>
  <c r="E340" i="6"/>
  <c r="B341" i="6"/>
  <c r="C341" i="6"/>
  <c r="D341" i="6"/>
  <c r="E341" i="6"/>
  <c r="B342" i="6"/>
  <c r="C342" i="6"/>
  <c r="D342" i="6"/>
  <c r="E342" i="6"/>
  <c r="B343" i="6"/>
  <c r="C343" i="6"/>
  <c r="D343" i="6"/>
  <c r="E343" i="6"/>
  <c r="B344" i="6"/>
  <c r="C344" i="6"/>
  <c r="D344" i="6"/>
  <c r="E344" i="6"/>
  <c r="B345" i="6"/>
  <c r="C345" i="6"/>
  <c r="D345" i="6"/>
  <c r="E345" i="6"/>
  <c r="B346" i="6"/>
  <c r="C346" i="6"/>
  <c r="D346" i="6"/>
  <c r="E346" i="6"/>
  <c r="B347" i="6"/>
  <c r="C347" i="6"/>
  <c r="D347" i="6"/>
  <c r="E347" i="6"/>
  <c r="B348" i="6"/>
  <c r="C348" i="6"/>
  <c r="D348" i="6"/>
  <c r="E348" i="6"/>
  <c r="B349" i="6"/>
  <c r="C349" i="6"/>
  <c r="D349" i="6"/>
  <c r="E349" i="6"/>
  <c r="B350" i="6"/>
  <c r="C350" i="6"/>
  <c r="D350" i="6"/>
  <c r="E350" i="6"/>
  <c r="B351" i="6"/>
  <c r="C351" i="6"/>
  <c r="D351" i="6"/>
  <c r="E351" i="6"/>
  <c r="B352" i="6"/>
  <c r="C352" i="6"/>
  <c r="D352" i="6"/>
  <c r="E352" i="6"/>
  <c r="B353" i="6"/>
  <c r="C353" i="6"/>
  <c r="D353" i="6"/>
  <c r="E353" i="6"/>
  <c r="B354" i="6"/>
  <c r="C354" i="6"/>
  <c r="D354" i="6"/>
  <c r="E354" i="6"/>
  <c r="B355" i="6"/>
  <c r="C355" i="6"/>
  <c r="D355" i="6"/>
  <c r="E355" i="6"/>
  <c r="B356" i="6"/>
  <c r="C356" i="6"/>
  <c r="D356" i="6"/>
  <c r="E356" i="6"/>
  <c r="B357" i="6"/>
  <c r="C357" i="6"/>
  <c r="D357" i="6"/>
  <c r="E357" i="6"/>
  <c r="B358" i="6"/>
  <c r="C358" i="6"/>
  <c r="D358" i="6"/>
  <c r="E358" i="6"/>
  <c r="B359" i="6"/>
  <c r="C359" i="6"/>
  <c r="D359" i="6"/>
  <c r="E359" i="6"/>
  <c r="B360" i="6"/>
  <c r="C360" i="6"/>
  <c r="D360" i="6"/>
  <c r="E360" i="6"/>
  <c r="B361" i="6"/>
  <c r="C361" i="6"/>
  <c r="D361" i="6"/>
  <c r="E361" i="6"/>
  <c r="B362" i="6"/>
  <c r="C362" i="6"/>
  <c r="D362" i="6"/>
  <c r="E362" i="6"/>
  <c r="B363" i="6"/>
  <c r="C363" i="6"/>
  <c r="D363" i="6"/>
  <c r="E363" i="6"/>
  <c r="B364" i="6"/>
  <c r="C364" i="6"/>
  <c r="D364" i="6"/>
  <c r="E364" i="6"/>
  <c r="B365" i="6"/>
  <c r="C365" i="6"/>
  <c r="D365" i="6"/>
  <c r="E365" i="6"/>
  <c r="B366" i="6"/>
  <c r="C366" i="6"/>
  <c r="D366" i="6"/>
  <c r="E366" i="6"/>
  <c r="B367" i="6"/>
  <c r="C367" i="6"/>
  <c r="D367" i="6"/>
  <c r="E367" i="6"/>
  <c r="B368" i="6"/>
  <c r="C368" i="6"/>
  <c r="D368" i="6"/>
  <c r="E368" i="6"/>
  <c r="B369" i="6"/>
  <c r="C369" i="6"/>
  <c r="D369" i="6"/>
  <c r="E369" i="6"/>
  <c r="B370" i="6"/>
  <c r="C370" i="6"/>
  <c r="D370" i="6"/>
  <c r="E370" i="6"/>
  <c r="B371" i="6"/>
  <c r="C371" i="6"/>
  <c r="D371" i="6"/>
  <c r="E371" i="6"/>
  <c r="B372" i="6"/>
  <c r="C372" i="6"/>
  <c r="D372" i="6"/>
  <c r="E372" i="6"/>
  <c r="B373" i="6"/>
  <c r="C373" i="6"/>
  <c r="D373" i="6"/>
  <c r="E373" i="6"/>
  <c r="B374" i="6"/>
  <c r="C374" i="6"/>
  <c r="D374" i="6"/>
  <c r="E374" i="6"/>
  <c r="B375" i="6"/>
  <c r="C375" i="6"/>
  <c r="D375" i="6"/>
  <c r="E375" i="6"/>
  <c r="B376" i="6"/>
  <c r="C376" i="6"/>
  <c r="D376" i="6"/>
  <c r="E376" i="6"/>
  <c r="B377" i="6"/>
  <c r="C377" i="6"/>
  <c r="D377" i="6"/>
  <c r="E377" i="6"/>
  <c r="B378" i="6"/>
  <c r="C378" i="6"/>
  <c r="D378" i="6"/>
  <c r="E378" i="6"/>
  <c r="B379" i="6"/>
  <c r="C379" i="6"/>
  <c r="D379" i="6"/>
  <c r="E379" i="6"/>
  <c r="B380" i="6"/>
  <c r="C380" i="6"/>
  <c r="D380" i="6"/>
  <c r="E380" i="6"/>
  <c r="B381" i="6"/>
  <c r="C381" i="6"/>
  <c r="D381" i="6"/>
  <c r="E381" i="6"/>
  <c r="B382" i="6"/>
  <c r="C382" i="6"/>
  <c r="D382" i="6"/>
  <c r="E382" i="6"/>
  <c r="B383" i="6"/>
  <c r="C383" i="6"/>
  <c r="D383" i="6"/>
  <c r="E383" i="6"/>
  <c r="B384" i="6"/>
  <c r="C384" i="6"/>
  <c r="D384" i="6"/>
  <c r="E384" i="6"/>
  <c r="B385" i="6"/>
  <c r="C385" i="6"/>
  <c r="D385" i="6"/>
  <c r="E385" i="6"/>
  <c r="B386" i="6"/>
  <c r="C386" i="6"/>
  <c r="D386" i="6"/>
  <c r="E386" i="6"/>
  <c r="B387" i="6"/>
  <c r="C387" i="6"/>
  <c r="D387" i="6"/>
  <c r="E387" i="6"/>
  <c r="B388" i="6"/>
  <c r="C388" i="6"/>
  <c r="D388" i="6"/>
  <c r="E388" i="6"/>
  <c r="B389" i="6"/>
  <c r="C389" i="6"/>
  <c r="D389" i="6"/>
  <c r="E389" i="6"/>
  <c r="B390" i="6"/>
  <c r="C390" i="6"/>
  <c r="D390" i="6"/>
  <c r="E390" i="6"/>
  <c r="B391" i="6"/>
  <c r="C391" i="6"/>
  <c r="D391" i="6"/>
  <c r="E391" i="6"/>
  <c r="B392" i="6"/>
  <c r="C392" i="6"/>
  <c r="D392" i="6"/>
  <c r="E392" i="6"/>
  <c r="B393" i="6"/>
  <c r="C393" i="6"/>
  <c r="D393" i="6"/>
  <c r="E393" i="6"/>
  <c r="B394" i="6"/>
  <c r="C394" i="6"/>
  <c r="D394" i="6"/>
  <c r="E394" i="6"/>
  <c r="B395" i="6"/>
  <c r="C395" i="6"/>
  <c r="D395" i="6"/>
  <c r="E395" i="6"/>
  <c r="B396" i="6"/>
  <c r="C396" i="6"/>
  <c r="D396" i="6"/>
  <c r="E396" i="6"/>
  <c r="B397" i="6"/>
  <c r="C397" i="6"/>
  <c r="D397" i="6"/>
  <c r="E397" i="6"/>
  <c r="B398" i="6"/>
  <c r="C398" i="6"/>
  <c r="D398" i="6"/>
  <c r="E398" i="6"/>
  <c r="B399" i="6"/>
  <c r="C399" i="6"/>
  <c r="D399" i="6"/>
  <c r="E399" i="6"/>
  <c r="B400" i="6"/>
  <c r="C400" i="6"/>
  <c r="D400" i="6"/>
  <c r="E400" i="6"/>
  <c r="B401" i="6"/>
  <c r="C401" i="6"/>
  <c r="D401" i="6"/>
  <c r="E401" i="6"/>
  <c r="B402" i="6"/>
  <c r="C402" i="6"/>
  <c r="D402" i="6"/>
  <c r="E402" i="6"/>
  <c r="B403" i="6"/>
  <c r="C403" i="6"/>
  <c r="D403" i="6"/>
  <c r="E403" i="6"/>
  <c r="B404" i="6"/>
  <c r="C404" i="6"/>
  <c r="D404" i="6"/>
  <c r="E404" i="6"/>
  <c r="B405" i="6"/>
  <c r="C405" i="6"/>
  <c r="D405" i="6"/>
  <c r="E405" i="6"/>
  <c r="B406" i="6"/>
  <c r="C406" i="6"/>
  <c r="D406" i="6"/>
  <c r="E406" i="6"/>
  <c r="B407" i="6"/>
  <c r="C407" i="6"/>
  <c r="D407" i="6"/>
  <c r="E407" i="6"/>
  <c r="B408" i="6"/>
  <c r="C408" i="6"/>
  <c r="D408" i="6"/>
  <c r="E408" i="6"/>
  <c r="B409" i="6"/>
  <c r="C409" i="6"/>
  <c r="D409" i="6"/>
  <c r="E409" i="6"/>
  <c r="B410" i="6"/>
  <c r="C410" i="6"/>
  <c r="D410" i="6"/>
  <c r="E410" i="6"/>
  <c r="B411" i="6"/>
  <c r="C411" i="6"/>
  <c r="D411" i="6"/>
  <c r="E411" i="6"/>
  <c r="B412" i="6"/>
  <c r="C412" i="6"/>
  <c r="D412" i="6"/>
  <c r="E412" i="6"/>
  <c r="B413" i="6"/>
  <c r="C413" i="6"/>
  <c r="D413" i="6"/>
  <c r="E413" i="6"/>
  <c r="B414" i="6"/>
  <c r="C414" i="6"/>
  <c r="D414" i="6"/>
  <c r="E414" i="6"/>
  <c r="B415" i="6"/>
  <c r="C415" i="6"/>
  <c r="D415" i="6"/>
  <c r="E415" i="6"/>
  <c r="B416" i="6"/>
  <c r="C416" i="6"/>
  <c r="D416" i="6"/>
  <c r="E416" i="6"/>
  <c r="B417" i="6"/>
  <c r="C417" i="6"/>
  <c r="D417" i="6"/>
  <c r="E417" i="6"/>
  <c r="B418" i="6"/>
  <c r="C418" i="6"/>
  <c r="D418" i="6"/>
  <c r="E418" i="6"/>
  <c r="B419" i="6"/>
  <c r="C419" i="6"/>
  <c r="D419" i="6"/>
  <c r="E419" i="6"/>
  <c r="B420" i="6"/>
  <c r="C420" i="6"/>
  <c r="D420" i="6"/>
  <c r="E420" i="6"/>
  <c r="B421" i="6"/>
  <c r="C421" i="6"/>
  <c r="D421" i="6"/>
  <c r="E421" i="6"/>
  <c r="B422" i="6"/>
  <c r="C422" i="6"/>
  <c r="D422" i="6"/>
  <c r="E422" i="6"/>
  <c r="B423" i="6"/>
  <c r="C423" i="6"/>
  <c r="D423" i="6"/>
  <c r="E423" i="6"/>
  <c r="B424" i="6"/>
  <c r="C424" i="6"/>
  <c r="D424" i="6"/>
  <c r="E424" i="6"/>
  <c r="B425" i="6"/>
  <c r="C425" i="6"/>
  <c r="D425" i="6"/>
  <c r="E425" i="6"/>
  <c r="B426" i="6"/>
  <c r="C426" i="6"/>
  <c r="D426" i="6"/>
  <c r="E426" i="6"/>
  <c r="B427" i="6"/>
  <c r="C427" i="6"/>
  <c r="D427" i="6"/>
  <c r="E427" i="6"/>
  <c r="B428" i="6"/>
  <c r="C428" i="6"/>
  <c r="D428" i="6"/>
  <c r="E428" i="6"/>
  <c r="B429" i="6"/>
  <c r="C429" i="6"/>
  <c r="D429" i="6"/>
  <c r="E429" i="6"/>
  <c r="B430" i="6"/>
  <c r="C430" i="6"/>
  <c r="D430" i="6"/>
  <c r="E430" i="6"/>
  <c r="B431" i="6"/>
  <c r="C431" i="6"/>
  <c r="D431" i="6"/>
  <c r="E431" i="6"/>
  <c r="B432" i="6"/>
  <c r="C432" i="6"/>
  <c r="D432" i="6"/>
  <c r="E432" i="6"/>
  <c r="B433" i="6"/>
  <c r="C433" i="6"/>
  <c r="D433" i="6"/>
  <c r="E433" i="6"/>
  <c r="B434" i="6"/>
  <c r="C434" i="6"/>
  <c r="D434" i="6"/>
  <c r="E434" i="6"/>
  <c r="B435" i="6"/>
  <c r="C435" i="6"/>
  <c r="D435" i="6"/>
  <c r="E435" i="6"/>
  <c r="B436" i="6"/>
  <c r="C436" i="6"/>
  <c r="D436" i="6"/>
  <c r="E436" i="6"/>
  <c r="B437" i="6"/>
  <c r="C437" i="6"/>
  <c r="D437" i="6"/>
  <c r="E437" i="6"/>
  <c r="B438" i="6"/>
  <c r="C438" i="6"/>
  <c r="D438" i="6"/>
  <c r="E438" i="6"/>
  <c r="B439" i="6"/>
  <c r="C439" i="6"/>
  <c r="D439" i="6"/>
  <c r="E439" i="6"/>
  <c r="B440" i="6"/>
  <c r="C440" i="6"/>
  <c r="D440" i="6"/>
  <c r="E440" i="6"/>
  <c r="B441" i="6"/>
  <c r="C441" i="6"/>
  <c r="D441" i="6"/>
  <c r="E441" i="6"/>
  <c r="B442" i="6"/>
  <c r="C442" i="6"/>
  <c r="D442" i="6"/>
  <c r="E442" i="6"/>
  <c r="B443" i="6"/>
  <c r="C443" i="6"/>
  <c r="D443" i="6"/>
  <c r="E443" i="6"/>
  <c r="B444" i="6"/>
  <c r="C444" i="6"/>
  <c r="D444" i="6"/>
  <c r="E444" i="6"/>
  <c r="B445" i="6"/>
  <c r="C445" i="6"/>
  <c r="D445" i="6"/>
  <c r="E445" i="6"/>
  <c r="B446" i="6"/>
  <c r="C446" i="6"/>
  <c r="D446" i="6"/>
  <c r="E446" i="6"/>
  <c r="B447" i="6"/>
  <c r="C447" i="6"/>
  <c r="D447" i="6"/>
  <c r="E447" i="6"/>
  <c r="B448" i="6"/>
  <c r="C448" i="6"/>
  <c r="D448" i="6"/>
  <c r="E448" i="6"/>
  <c r="B449" i="6"/>
  <c r="C449" i="6"/>
  <c r="D449" i="6"/>
  <c r="E449" i="6"/>
  <c r="B450" i="6"/>
  <c r="C450" i="6"/>
  <c r="D450" i="6"/>
  <c r="E450" i="6"/>
  <c r="B451" i="6"/>
  <c r="C451" i="6"/>
  <c r="D451" i="6"/>
  <c r="E451" i="6"/>
  <c r="B452" i="6"/>
  <c r="C452" i="6"/>
  <c r="D452" i="6"/>
  <c r="E452" i="6"/>
  <c r="B453" i="6"/>
  <c r="C453" i="6"/>
  <c r="D453" i="6"/>
  <c r="E453" i="6"/>
  <c r="B454" i="6"/>
  <c r="C454" i="6"/>
  <c r="D454" i="6"/>
  <c r="E454" i="6"/>
  <c r="B455" i="6"/>
  <c r="C455" i="6"/>
  <c r="D455" i="6"/>
  <c r="E455" i="6"/>
  <c r="B456" i="6"/>
  <c r="C456" i="6"/>
  <c r="D456" i="6"/>
  <c r="E456" i="6"/>
  <c r="B457" i="6"/>
  <c r="C457" i="6"/>
  <c r="D457" i="6"/>
  <c r="E457" i="6"/>
  <c r="B458" i="6"/>
  <c r="C458" i="6"/>
  <c r="D458" i="6"/>
  <c r="E458" i="6"/>
  <c r="B459" i="6"/>
  <c r="C459" i="6"/>
  <c r="D459" i="6"/>
  <c r="E459" i="6"/>
  <c r="B460" i="6"/>
  <c r="C460" i="6"/>
  <c r="D460" i="6"/>
  <c r="E460" i="6"/>
  <c r="B461" i="6"/>
  <c r="C461" i="6"/>
  <c r="D461" i="6"/>
  <c r="E461" i="6"/>
  <c r="B462" i="6"/>
  <c r="C462" i="6"/>
  <c r="D462" i="6"/>
  <c r="E462" i="6"/>
  <c r="B463" i="6"/>
  <c r="C463" i="6"/>
  <c r="D463" i="6"/>
  <c r="E463" i="6"/>
  <c r="B464" i="6"/>
  <c r="C464" i="6"/>
  <c r="D464" i="6"/>
  <c r="E464" i="6"/>
  <c r="B465" i="6"/>
  <c r="C465" i="6"/>
  <c r="D465" i="6"/>
  <c r="E465" i="6"/>
  <c r="B466" i="6"/>
  <c r="C466" i="6"/>
  <c r="D466" i="6"/>
  <c r="E466" i="6"/>
  <c r="B467" i="6"/>
  <c r="C467" i="6"/>
  <c r="D467" i="6"/>
  <c r="E467" i="6"/>
  <c r="B468" i="6"/>
  <c r="C468" i="6"/>
  <c r="D468" i="6"/>
  <c r="E468" i="6"/>
  <c r="B469" i="6"/>
  <c r="C469" i="6"/>
  <c r="D469" i="6"/>
  <c r="E469" i="6"/>
  <c r="B470" i="6"/>
  <c r="C470" i="6"/>
  <c r="D470" i="6"/>
  <c r="E470" i="6"/>
  <c r="B471" i="6"/>
  <c r="C471" i="6"/>
  <c r="D471" i="6"/>
  <c r="E471" i="6"/>
  <c r="B472" i="6"/>
  <c r="C472" i="6"/>
  <c r="D472" i="6"/>
  <c r="E472" i="6"/>
  <c r="B473" i="6"/>
  <c r="C473" i="6"/>
  <c r="D473" i="6"/>
  <c r="E473" i="6"/>
  <c r="B474" i="6"/>
  <c r="C474" i="6"/>
  <c r="D474" i="6"/>
  <c r="E474" i="6"/>
  <c r="B475" i="6"/>
  <c r="C475" i="6"/>
  <c r="D475" i="6"/>
  <c r="E475" i="6"/>
  <c r="B476" i="6"/>
  <c r="C476" i="6"/>
  <c r="D476" i="6"/>
  <c r="E476" i="6"/>
  <c r="B477" i="6"/>
  <c r="C477" i="6"/>
  <c r="D477" i="6"/>
  <c r="E477" i="6"/>
  <c r="B478" i="6"/>
  <c r="C478" i="6"/>
  <c r="D478" i="6"/>
  <c r="E478" i="6"/>
  <c r="B479" i="6"/>
  <c r="C479" i="6"/>
  <c r="D479" i="6"/>
  <c r="E479" i="6"/>
  <c r="B480" i="6"/>
  <c r="C480" i="6"/>
  <c r="D480" i="6"/>
  <c r="E480" i="6"/>
  <c r="B481" i="6"/>
  <c r="C481" i="6"/>
  <c r="D481" i="6"/>
  <c r="E481" i="6"/>
  <c r="B482" i="6"/>
  <c r="C482" i="6"/>
  <c r="D482" i="6"/>
  <c r="E482" i="6"/>
  <c r="B483" i="6"/>
  <c r="C483" i="6"/>
  <c r="D483" i="6"/>
  <c r="E483" i="6"/>
  <c r="B484" i="6"/>
  <c r="C484" i="6"/>
  <c r="D484" i="6"/>
  <c r="E484" i="6"/>
  <c r="B485" i="6"/>
  <c r="C485" i="6"/>
  <c r="D485" i="6"/>
  <c r="E485" i="6"/>
  <c r="B486" i="6"/>
  <c r="C486" i="6"/>
  <c r="D486" i="6"/>
  <c r="E486" i="6"/>
  <c r="B487" i="6"/>
  <c r="C487" i="6"/>
  <c r="D487" i="6"/>
  <c r="E487" i="6"/>
  <c r="B488" i="6"/>
  <c r="C488" i="6"/>
  <c r="D488" i="6"/>
  <c r="E488" i="6"/>
  <c r="B489" i="6"/>
  <c r="C489" i="6"/>
  <c r="D489" i="6"/>
  <c r="E489" i="6"/>
  <c r="B490" i="6"/>
  <c r="C490" i="6"/>
  <c r="D490" i="6"/>
  <c r="E490" i="6"/>
  <c r="B491" i="6"/>
  <c r="C491" i="6"/>
  <c r="D491" i="6"/>
  <c r="E491" i="6"/>
  <c r="B492" i="6"/>
  <c r="C492" i="6"/>
  <c r="D492" i="6"/>
  <c r="E492" i="6"/>
  <c r="B493" i="6"/>
  <c r="C493" i="6"/>
  <c r="D493" i="6"/>
  <c r="E493" i="6"/>
  <c r="B494" i="6"/>
  <c r="C494" i="6"/>
  <c r="D494" i="6"/>
  <c r="E494" i="6"/>
  <c r="B495" i="6"/>
  <c r="C495" i="6"/>
  <c r="D495" i="6"/>
  <c r="E495" i="6"/>
  <c r="B496" i="6"/>
  <c r="C496" i="6"/>
  <c r="D496" i="6"/>
  <c r="E496" i="6"/>
  <c r="B497" i="6"/>
  <c r="C497" i="6"/>
  <c r="D497" i="6"/>
  <c r="E497" i="6"/>
  <c r="B498" i="6"/>
  <c r="C498" i="6"/>
  <c r="D498" i="6"/>
  <c r="E498" i="6"/>
  <c r="B499" i="6"/>
  <c r="C499" i="6"/>
  <c r="D499" i="6"/>
  <c r="E499" i="6"/>
  <c r="B500" i="6"/>
  <c r="C500" i="6"/>
  <c r="D500" i="6"/>
  <c r="E500" i="6"/>
  <c r="B501" i="6"/>
  <c r="C501" i="6"/>
  <c r="D501" i="6"/>
  <c r="E501" i="6"/>
  <c r="B502" i="6"/>
  <c r="C502" i="6"/>
  <c r="D502" i="6"/>
  <c r="E502" i="6"/>
  <c r="B503" i="6"/>
  <c r="C503" i="6"/>
  <c r="D503" i="6"/>
  <c r="E503" i="6"/>
  <c r="B504" i="6"/>
  <c r="C504" i="6"/>
  <c r="D504" i="6"/>
  <c r="E504" i="6"/>
  <c r="B505" i="6"/>
  <c r="C505" i="6"/>
  <c r="D505" i="6"/>
  <c r="E505" i="6"/>
  <c r="B506" i="6"/>
  <c r="C506" i="6"/>
  <c r="D506" i="6"/>
  <c r="E506" i="6"/>
  <c r="B507" i="6"/>
  <c r="C507" i="6"/>
  <c r="D507" i="6"/>
  <c r="E507" i="6"/>
  <c r="B508" i="6"/>
  <c r="C508" i="6"/>
  <c r="D508" i="6"/>
  <c r="E508" i="6"/>
  <c r="B509" i="6"/>
  <c r="C509" i="6"/>
  <c r="D509" i="6"/>
  <c r="E509" i="6"/>
  <c r="B510" i="6"/>
  <c r="C510" i="6"/>
  <c r="D510" i="6"/>
  <c r="E510" i="6"/>
  <c r="B511" i="6"/>
  <c r="C511" i="6"/>
  <c r="D511" i="6"/>
  <c r="E511" i="6"/>
  <c r="B512" i="6"/>
  <c r="C512" i="6"/>
  <c r="D512" i="6"/>
  <c r="E512" i="6"/>
  <c r="B513" i="6"/>
  <c r="C513" i="6"/>
  <c r="D513" i="6"/>
  <c r="E513" i="6"/>
  <c r="B514" i="6"/>
  <c r="C514" i="6"/>
  <c r="D514" i="6"/>
  <c r="E514" i="6"/>
  <c r="B515" i="6"/>
  <c r="C515" i="6"/>
  <c r="D515" i="6"/>
  <c r="E515" i="6"/>
  <c r="B516" i="6"/>
  <c r="C516" i="6"/>
  <c r="D516" i="6"/>
  <c r="E516" i="6"/>
  <c r="B517" i="6"/>
  <c r="C517" i="6"/>
  <c r="D517" i="6"/>
  <c r="E517" i="6"/>
  <c r="B518" i="6"/>
  <c r="C518" i="6"/>
  <c r="D518" i="6"/>
  <c r="E518" i="6"/>
  <c r="B519" i="6"/>
  <c r="C519" i="6"/>
  <c r="D519" i="6"/>
  <c r="E519" i="6"/>
  <c r="B520" i="6"/>
  <c r="C520" i="6"/>
  <c r="D520" i="6"/>
  <c r="E520" i="6"/>
  <c r="B521" i="6"/>
  <c r="C521" i="6"/>
  <c r="D521" i="6"/>
  <c r="E521" i="6"/>
  <c r="B522" i="6"/>
  <c r="C522" i="6"/>
  <c r="D522" i="6"/>
  <c r="E522" i="6"/>
  <c r="B523" i="6"/>
  <c r="C523" i="6"/>
  <c r="D523" i="6"/>
  <c r="E523" i="6"/>
  <c r="B524" i="6"/>
  <c r="C524" i="6"/>
  <c r="D524" i="6"/>
  <c r="E524" i="6"/>
  <c r="B525" i="6"/>
  <c r="C525" i="6"/>
  <c r="D525" i="6"/>
  <c r="E525" i="6"/>
  <c r="B526" i="6"/>
  <c r="C526" i="6"/>
  <c r="D526" i="6"/>
  <c r="E526" i="6"/>
  <c r="B527" i="6"/>
  <c r="C527" i="6"/>
  <c r="D527" i="6"/>
  <c r="E527" i="6"/>
  <c r="B528" i="6"/>
  <c r="C528" i="6"/>
  <c r="D528" i="6"/>
  <c r="E528" i="6"/>
  <c r="B529" i="6"/>
  <c r="C529" i="6"/>
  <c r="D529" i="6"/>
  <c r="E529" i="6"/>
  <c r="B530" i="6"/>
  <c r="C530" i="6"/>
  <c r="D530" i="6"/>
  <c r="E530" i="6"/>
  <c r="B531" i="6"/>
  <c r="C531" i="6"/>
  <c r="D531" i="6"/>
  <c r="E531" i="6"/>
  <c r="B532" i="6"/>
  <c r="C532" i="6"/>
  <c r="D532" i="6"/>
  <c r="E532" i="6"/>
  <c r="B533" i="6"/>
  <c r="C533" i="6"/>
  <c r="D533" i="6"/>
  <c r="E533" i="6"/>
  <c r="B534" i="6"/>
  <c r="C534" i="6"/>
  <c r="D534" i="6"/>
  <c r="E534" i="6"/>
  <c r="B535" i="6"/>
  <c r="C535" i="6"/>
  <c r="D535" i="6"/>
  <c r="E535" i="6"/>
  <c r="B536" i="6"/>
  <c r="C536" i="6"/>
  <c r="D536" i="6"/>
  <c r="E536" i="6"/>
  <c r="B537" i="6"/>
  <c r="C537" i="6"/>
  <c r="D537" i="6"/>
  <c r="E537" i="6"/>
  <c r="B538" i="6"/>
  <c r="C538" i="6"/>
  <c r="D538" i="6"/>
  <c r="E538" i="6"/>
  <c r="B539" i="6"/>
  <c r="C539" i="6"/>
  <c r="D539" i="6"/>
  <c r="E539" i="6"/>
  <c r="B540" i="6"/>
  <c r="C540" i="6"/>
  <c r="D540" i="6"/>
  <c r="E540" i="6"/>
  <c r="B541" i="6"/>
  <c r="C541" i="6"/>
  <c r="D541" i="6"/>
  <c r="E541" i="6"/>
  <c r="B542" i="6"/>
  <c r="C542" i="6"/>
  <c r="D542" i="6"/>
  <c r="E542" i="6"/>
  <c r="B543" i="6"/>
  <c r="C543" i="6"/>
  <c r="D543" i="6"/>
  <c r="E543" i="6"/>
  <c r="B544" i="6"/>
  <c r="C544" i="6"/>
  <c r="D544" i="6"/>
  <c r="E544" i="6"/>
  <c r="B545" i="6"/>
  <c r="C545" i="6"/>
  <c r="D545" i="6"/>
  <c r="E545" i="6"/>
  <c r="B546" i="6"/>
  <c r="C546" i="6"/>
  <c r="D546" i="6"/>
  <c r="E546" i="6"/>
  <c r="B547" i="6"/>
  <c r="C547" i="6"/>
  <c r="D547" i="6"/>
  <c r="E547" i="6"/>
  <c r="B548" i="6"/>
  <c r="C548" i="6"/>
  <c r="D548" i="6"/>
  <c r="E548" i="6"/>
  <c r="B549" i="6"/>
  <c r="C549" i="6"/>
  <c r="D549" i="6"/>
  <c r="E549" i="6"/>
  <c r="B550" i="6"/>
  <c r="C550" i="6"/>
  <c r="D550" i="6"/>
  <c r="E550" i="6"/>
  <c r="H356" i="3"/>
  <c r="H357" i="3"/>
  <c r="H358" i="3"/>
  <c r="H359" i="3"/>
  <c r="H360" i="3"/>
  <c r="H361" i="3"/>
  <c r="H362" i="3"/>
  <c r="H363" i="3"/>
  <c r="H364" i="3"/>
  <c r="H327" i="3"/>
  <c r="H328" i="3"/>
  <c r="H329" i="3"/>
  <c r="H330" i="3"/>
  <c r="H355" i="3"/>
  <c r="J377" i="3"/>
  <c r="H344" i="3"/>
  <c r="H345" i="3"/>
  <c r="H346" i="3"/>
  <c r="H347" i="3"/>
  <c r="H348" i="3"/>
  <c r="H349" i="3"/>
  <c r="H350" i="3"/>
  <c r="H351" i="3"/>
  <c r="H285" i="3"/>
  <c r="H286" i="3"/>
  <c r="H287" i="3"/>
  <c r="H288" i="3"/>
  <c r="H289" i="3"/>
  <c r="H290" i="3"/>
  <c r="H269" i="3"/>
  <c r="H270" i="3"/>
  <c r="H271" i="3"/>
  <c r="H272" i="3"/>
  <c r="H273" i="3"/>
  <c r="H274" i="3"/>
  <c r="H253" i="3"/>
  <c r="H254" i="3"/>
  <c r="H255" i="3"/>
  <c r="H256" i="3"/>
  <c r="H257" i="3"/>
  <c r="H258" i="3"/>
  <c r="H168" i="3"/>
  <c r="H169" i="3"/>
  <c r="H170" i="3"/>
  <c r="H171" i="3"/>
  <c r="H172" i="3"/>
  <c r="H177" i="3"/>
  <c r="H107" i="3"/>
  <c r="H108" i="3"/>
  <c r="H109" i="3"/>
  <c r="H110" i="3"/>
  <c r="H111" i="3"/>
  <c r="H112" i="3"/>
  <c r="H113" i="3"/>
  <c r="H114" i="3"/>
  <c r="E6" i="2"/>
  <c r="G6" i="2"/>
  <c r="I6" i="2"/>
  <c r="E16" i="2"/>
  <c r="G16" i="2"/>
  <c r="I16" i="2"/>
  <c r="E7" i="2"/>
  <c r="G7" i="2"/>
  <c r="I7" i="2"/>
  <c r="E20" i="2"/>
  <c r="G20" i="2"/>
  <c r="I20" i="2"/>
  <c r="E45" i="2"/>
  <c r="G45" i="2"/>
  <c r="I45" i="2"/>
  <c r="E5" i="2"/>
  <c r="G5" i="2"/>
  <c r="I5" i="2"/>
  <c r="E2" i="2"/>
  <c r="G2" i="2"/>
  <c r="I2" i="2"/>
  <c r="H24" i="3"/>
  <c r="H25" i="3"/>
  <c r="H26" i="3"/>
  <c r="H27" i="3"/>
  <c r="H28" i="3"/>
  <c r="H29" i="3"/>
  <c r="H30" i="3"/>
  <c r="H31" i="3"/>
  <c r="B7" i="3" a="1"/>
  <c r="B7" i="3" s="1"/>
  <c r="C7" i="3" a="1"/>
  <c r="C7" i="3" s="1"/>
  <c r="H7" i="3"/>
  <c r="B8" i="3" a="1"/>
  <c r="B8" i="3" s="1"/>
  <c r="C8" i="3" a="1"/>
  <c r="C8" i="3" s="1"/>
  <c r="H8" i="3"/>
  <c r="B9" i="3" a="1"/>
  <c r="B9" i="3" s="1"/>
  <c r="C9" i="3" a="1"/>
  <c r="C9" i="3" s="1"/>
  <c r="H9" i="3"/>
  <c r="B10" i="3" a="1"/>
  <c r="B10" i="3" s="1"/>
  <c r="C10" i="3" a="1"/>
  <c r="C10" i="3" s="1"/>
  <c r="H10" i="3"/>
  <c r="B11" i="3" a="1"/>
  <c r="B11" i="3" s="1"/>
  <c r="C11" i="3" a="1"/>
  <c r="C11" i="3" s="1"/>
  <c r="H11" i="3"/>
  <c r="O5" i="1"/>
  <c r="O6" i="1"/>
  <c r="O7" i="1"/>
  <c r="O8" i="1"/>
  <c r="O9" i="1"/>
  <c r="O10" i="1"/>
  <c r="O11" i="1"/>
  <c r="O12" i="1"/>
  <c r="O13" i="1"/>
  <c r="O14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D10" i="3" l="1" a="1"/>
  <c r="D10" i="3" s="1"/>
  <c r="D9" i="3" a="1"/>
  <c r="D9" i="3" s="1"/>
  <c r="I10" i="3" a="1"/>
  <c r="I10" i="3" s="1"/>
  <c r="I11" i="3" a="1"/>
  <c r="I11" i="3" s="1"/>
  <c r="D11" i="3" a="1"/>
  <c r="D11" i="3" s="1"/>
  <c r="E11" i="3" a="1"/>
  <c r="E11" i="3" s="1"/>
  <c r="I8" i="3" a="1"/>
  <c r="I8" i="3" s="1"/>
  <c r="D8" i="3" a="1"/>
  <c r="D8" i="3" s="1"/>
  <c r="I7" i="3" a="1"/>
  <c r="I7" i="3" s="1"/>
  <c r="D7" i="3" a="1"/>
  <c r="D7" i="3" s="1"/>
  <c r="I9" i="3" a="1"/>
  <c r="I9" i="3" s="1"/>
  <c r="H23" i="3" l="1"/>
  <c r="B70" i="3" a="1"/>
  <c r="B70" i="3" s="1"/>
  <c r="C70" i="3" a="1"/>
  <c r="C70" i="3" s="1"/>
  <c r="H70" i="3"/>
  <c r="D70" i="3" l="1" a="1"/>
  <c r="D70" i="3" s="1"/>
  <c r="E70" i="3" a="1"/>
  <c r="E70" i="3" s="1"/>
  <c r="I70" i="3" a="1"/>
  <c r="I70" i="3" s="1"/>
  <c r="H123" i="8"/>
  <c r="H124" i="8"/>
  <c r="B127" i="8"/>
  <c r="C127" i="8"/>
  <c r="H127" i="8"/>
  <c r="H128" i="8"/>
  <c r="H129" i="8"/>
  <c r="H130" i="8"/>
  <c r="H131" i="8"/>
  <c r="H132" i="8"/>
  <c r="H133" i="8"/>
  <c r="H134" i="8"/>
  <c r="H135" i="8"/>
  <c r="H136" i="8"/>
  <c r="H137" i="8"/>
  <c r="B138" i="8"/>
  <c r="C138" i="8"/>
  <c r="H138" i="8"/>
  <c r="H139" i="8"/>
  <c r="B140" i="8"/>
  <c r="C140" i="8"/>
  <c r="H140" i="8"/>
  <c r="H141" i="8"/>
  <c r="H142" i="8"/>
  <c r="H143" i="8"/>
  <c r="H144" i="8"/>
  <c r="H145" i="8"/>
  <c r="I255" i="6"/>
  <c r="I256" i="6"/>
  <c r="I257" i="6"/>
  <c r="I357" i="6"/>
  <c r="I431" i="6"/>
  <c r="I432" i="6"/>
  <c r="I433" i="6"/>
  <c r="I365" i="6"/>
  <c r="I366" i="6"/>
  <c r="K255" i="6"/>
  <c r="K256" i="6"/>
  <c r="K257" i="6"/>
  <c r="K357" i="6"/>
  <c r="K431" i="6"/>
  <c r="K432" i="6"/>
  <c r="K433" i="6"/>
  <c r="K365" i="6"/>
  <c r="K366" i="6"/>
  <c r="I252" i="6"/>
  <c r="I253" i="6"/>
  <c r="I254" i="6"/>
  <c r="K252" i="6"/>
  <c r="K253" i="6"/>
  <c r="K254" i="6"/>
  <c r="E140" i="8" l="1" a="1"/>
  <c r="E140" i="8" s="1"/>
  <c r="E127" i="8" a="1"/>
  <c r="E127" i="8" s="1"/>
  <c r="D140" i="8" a="1"/>
  <c r="D140" i="8" s="1"/>
  <c r="I140" i="8" a="1"/>
  <c r="I140" i="8" s="1"/>
  <c r="E138" i="8" a="1"/>
  <c r="E138" i="8" s="1"/>
  <c r="D127" i="8" a="1"/>
  <c r="D127" i="8" s="1"/>
  <c r="I127" i="8" a="1"/>
  <c r="I127" i="8" s="1"/>
  <c r="I138" i="8" a="1"/>
  <c r="I138" i="8" s="1"/>
  <c r="D138" i="8" a="1"/>
  <c r="D138" i="8" s="1"/>
  <c r="H145" i="3"/>
  <c r="H146" i="3"/>
  <c r="H147" i="3"/>
  <c r="H148" i="3"/>
  <c r="H149" i="3"/>
  <c r="H154" i="3"/>
  <c r="H155" i="3"/>
  <c r="H112" i="8"/>
  <c r="H113" i="8"/>
  <c r="H114" i="8"/>
  <c r="H115" i="8"/>
  <c r="H116" i="8"/>
  <c r="H117" i="8"/>
  <c r="H118" i="8"/>
  <c r="H119" i="8"/>
  <c r="H120" i="8"/>
  <c r="H121" i="8"/>
  <c r="H122" i="8"/>
  <c r="I251" i="6"/>
  <c r="B313" i="4" a="1"/>
  <c r="B313" i="4" s="1"/>
  <c r="C313" i="4" a="1"/>
  <c r="C313" i="4" s="1"/>
  <c r="H343" i="3"/>
  <c r="H300" i="3"/>
  <c r="H301" i="3"/>
  <c r="H302" i="3"/>
  <c r="H303" i="3"/>
  <c r="H304" i="3"/>
  <c r="H305" i="3"/>
  <c r="H306" i="3"/>
  <c r="H295" i="3"/>
  <c r="H284" i="3"/>
  <c r="B279" i="3" a="1"/>
  <c r="B279" i="3" s="1"/>
  <c r="C279" i="3" a="1"/>
  <c r="C279" i="3" s="1"/>
  <c r="H279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04" i="3"/>
  <c r="H205" i="3"/>
  <c r="H206" i="3"/>
  <c r="H207" i="3"/>
  <c r="H199" i="3"/>
  <c r="H191" i="3"/>
  <c r="H192" i="3"/>
  <c r="H193" i="3"/>
  <c r="H194" i="3"/>
  <c r="H195" i="3"/>
  <c r="H196" i="3"/>
  <c r="H197" i="3"/>
  <c r="H198" i="3"/>
  <c r="H132" i="3"/>
  <c r="B112" i="8"/>
  <c r="C112" i="8"/>
  <c r="B113" i="8"/>
  <c r="C113" i="8"/>
  <c r="B114" i="8"/>
  <c r="C114" i="8"/>
  <c r="B115" i="8"/>
  <c r="C115" i="8"/>
  <c r="B116" i="8"/>
  <c r="C116" i="8"/>
  <c r="B117" i="8"/>
  <c r="C117" i="8"/>
  <c r="B118" i="8"/>
  <c r="C118" i="8"/>
  <c r="B119" i="8"/>
  <c r="C119" i="8"/>
  <c r="B120" i="8"/>
  <c r="C120" i="8"/>
  <c r="B121" i="8"/>
  <c r="C121" i="8"/>
  <c r="B122" i="8"/>
  <c r="C122" i="8"/>
  <c r="B123" i="8"/>
  <c r="C123" i="8"/>
  <c r="B124" i="8"/>
  <c r="C124" i="8"/>
  <c r="C53" i="3"/>
  <c r="F53" i="3"/>
  <c r="G53" i="3"/>
  <c r="H53" i="3"/>
  <c r="B20" i="3"/>
  <c r="H22" i="3"/>
  <c r="B33" i="3" l="1" a="1"/>
  <c r="B33" i="3" s="1"/>
  <c r="B37" i="3" a="1"/>
  <c r="B37" i="3" s="1"/>
  <c r="C33" i="3" a="1"/>
  <c r="C33" i="3" s="1"/>
  <c r="C37" i="3" a="1"/>
  <c r="C37" i="3" s="1"/>
  <c r="C111" i="4" s="1"/>
  <c r="C38" i="3" a="1"/>
  <c r="C38" i="3" s="1"/>
  <c r="C112" i="4" s="1"/>
  <c r="B32" i="3" a="1"/>
  <c r="B32" i="3" s="1"/>
  <c r="B36" i="3" a="1"/>
  <c r="B36" i="3" s="1"/>
  <c r="B40" i="3" a="1"/>
  <c r="B40" i="3" s="1"/>
  <c r="C32" i="3" a="1"/>
  <c r="C32" i="3" s="1"/>
  <c r="C106" i="4" s="1"/>
  <c r="C36" i="3" a="1"/>
  <c r="C36" i="3" s="1"/>
  <c r="C110" i="4" s="1"/>
  <c r="C40" i="3" a="1"/>
  <c r="C40" i="3" s="1"/>
  <c r="C114" i="4" s="1"/>
  <c r="B34" i="3" a="1"/>
  <c r="B34" i="3" s="1"/>
  <c r="B38" i="3" a="1"/>
  <c r="B38" i="3" s="1"/>
  <c r="C34" i="3" a="1"/>
  <c r="C34" i="3" s="1"/>
  <c r="C108" i="4" s="1"/>
  <c r="B35" i="3" a="1"/>
  <c r="B35" i="3" s="1"/>
  <c r="B39" i="3" a="1"/>
  <c r="B39" i="3" s="1"/>
  <c r="C35" i="3" a="1"/>
  <c r="C35" i="3" s="1"/>
  <c r="C39" i="3" a="1"/>
  <c r="C39" i="3" s="1"/>
  <c r="C113" i="4" s="1"/>
  <c r="B46" i="3" a="1"/>
  <c r="B46" i="3" s="1"/>
  <c r="B120" i="4" s="1"/>
  <c r="H120" i="4" s="1" a="1"/>
  <c r="H120" i="4" s="1"/>
  <c r="C50" i="3" a="1"/>
  <c r="C50" i="3" s="1"/>
  <c r="C124" i="4" s="1"/>
  <c r="C46" i="3" a="1"/>
  <c r="C46" i="3" s="1"/>
  <c r="C120" i="4" s="1"/>
  <c r="B49" i="3" a="1"/>
  <c r="B49" i="3" s="1"/>
  <c r="B123" i="4" s="1"/>
  <c r="H123" i="4" s="1" a="1"/>
  <c r="H123" i="4" s="1"/>
  <c r="B51" i="3" a="1"/>
  <c r="B51" i="3" s="1"/>
  <c r="B47" i="3" a="1"/>
  <c r="B47" i="3" s="1"/>
  <c r="B121" i="4" s="1"/>
  <c r="H121" i="4" s="1" a="1"/>
  <c r="H121" i="4" s="1"/>
  <c r="C49" i="3" a="1"/>
  <c r="C49" i="3" s="1"/>
  <c r="C123" i="4" s="1"/>
  <c r="C51" i="3" a="1"/>
  <c r="C51" i="3" s="1"/>
  <c r="C47" i="3" a="1"/>
  <c r="C47" i="3" s="1"/>
  <c r="C121" i="4" s="1"/>
  <c r="C48" i="3" a="1"/>
  <c r="C48" i="3" s="1"/>
  <c r="C122" i="4" s="1"/>
  <c r="B50" i="3" a="1"/>
  <c r="B50" i="3" s="1"/>
  <c r="B124" i="4" s="1"/>
  <c r="H124" i="4" s="1" a="1"/>
  <c r="H124" i="4" s="1"/>
  <c r="B48" i="3" a="1"/>
  <c r="B48" i="3" s="1"/>
  <c r="B122" i="4" s="1"/>
  <c r="H122" i="4" s="1" a="1"/>
  <c r="H122" i="4" s="1"/>
  <c r="B43" i="3" a="1"/>
  <c r="B43" i="3" s="1"/>
  <c r="B117" i="4" s="1"/>
  <c r="H117" i="4" s="1" a="1"/>
  <c r="H117" i="4" s="1"/>
  <c r="C45" i="3" a="1"/>
  <c r="C45" i="3" s="1"/>
  <c r="C43" i="3" a="1"/>
  <c r="C43" i="3" s="1"/>
  <c r="C117" i="4" s="1"/>
  <c r="B44" i="3" a="1"/>
  <c r="B44" i="3" s="1"/>
  <c r="B118" i="4" s="1"/>
  <c r="B42" i="3" a="1"/>
  <c r="B42" i="3" s="1"/>
  <c r="B116" i="4" s="1"/>
  <c r="H116" i="4" s="1" a="1"/>
  <c r="H116" i="4" s="1"/>
  <c r="C44" i="3" a="1"/>
  <c r="C44" i="3" s="1"/>
  <c r="C118" i="4" s="1"/>
  <c r="C42" i="3" a="1"/>
  <c r="C42" i="3" s="1"/>
  <c r="C116" i="4" s="1"/>
  <c r="B45" i="3" a="1"/>
  <c r="B45" i="3" s="1"/>
  <c r="C28" i="3" a="1"/>
  <c r="C28" i="3" s="1"/>
  <c r="C102" i="4" s="1"/>
  <c r="B31" i="3" a="1"/>
  <c r="B31" i="3" s="1"/>
  <c r="B105" i="4" s="1"/>
  <c r="B26" i="3" a="1"/>
  <c r="B26" i="3" s="1"/>
  <c r="B100" i="4" s="1"/>
  <c r="C31" i="3" a="1"/>
  <c r="C31" i="3" s="1"/>
  <c r="C105" i="4" s="1"/>
  <c r="C26" i="3" a="1"/>
  <c r="C26" i="3" s="1"/>
  <c r="C100" i="4" s="1"/>
  <c r="B29" i="3" a="1"/>
  <c r="B29" i="3" s="1"/>
  <c r="B103" i="4" s="1"/>
  <c r="B24" i="3" a="1"/>
  <c r="B24" i="3" s="1"/>
  <c r="B98" i="4" s="1"/>
  <c r="C29" i="3" a="1"/>
  <c r="C29" i="3" s="1"/>
  <c r="C103" i="4" s="1"/>
  <c r="C24" i="3" a="1"/>
  <c r="C24" i="3" s="1"/>
  <c r="C98" i="4" s="1"/>
  <c r="B27" i="3" a="1"/>
  <c r="B27" i="3" s="1"/>
  <c r="B101" i="4" s="1"/>
  <c r="H101" i="4" s="1" a="1"/>
  <c r="H101" i="4" s="1"/>
  <c r="C27" i="3" a="1"/>
  <c r="C27" i="3" s="1"/>
  <c r="C101" i="4" s="1"/>
  <c r="B30" i="3" a="1"/>
  <c r="B30" i="3" s="1"/>
  <c r="B28" i="3" a="1"/>
  <c r="B28" i="3" s="1"/>
  <c r="B102" i="4" s="1"/>
  <c r="H102" i="4" s="1" a="1"/>
  <c r="H102" i="4" s="1"/>
  <c r="B25" i="3" a="1"/>
  <c r="B25" i="3" s="1"/>
  <c r="B99" i="4" s="1"/>
  <c r="C30" i="3" a="1"/>
  <c r="C30" i="3" s="1"/>
  <c r="C25" i="3" a="1"/>
  <c r="C25" i="3" s="1"/>
  <c r="C99" i="4" s="1"/>
  <c r="C20" i="3"/>
  <c r="B23" i="3" a="1"/>
  <c r="B23" i="3" s="1"/>
  <c r="B97" i="4" s="1"/>
  <c r="H97" i="4" s="1" a="1"/>
  <c r="H97" i="4" s="1"/>
  <c r="C23" i="3" a="1"/>
  <c r="C23" i="3" s="1"/>
  <c r="C97" i="4" s="1"/>
  <c r="D123" i="8" a="1"/>
  <c r="D123" i="8" s="1"/>
  <c r="E124" i="8" a="1"/>
  <c r="E124" i="8" s="1"/>
  <c r="I124" i="8" a="1"/>
  <c r="I124" i="8" s="1"/>
  <c r="E123" i="8" a="1"/>
  <c r="E123" i="8" s="1"/>
  <c r="I123" i="8" a="1"/>
  <c r="I123" i="8" s="1"/>
  <c r="D124" i="8" a="1"/>
  <c r="D124" i="8" s="1"/>
  <c r="I121" i="8" a="1"/>
  <c r="I121" i="8" s="1"/>
  <c r="I113" i="8" a="1"/>
  <c r="I113" i="8" s="1"/>
  <c r="I112" i="8" a="1"/>
  <c r="I112" i="8" s="1"/>
  <c r="I115" i="8" a="1"/>
  <c r="I115" i="8" s="1"/>
  <c r="D120" i="8" a="1"/>
  <c r="D120" i="8" s="1"/>
  <c r="D115" i="8" a="1"/>
  <c r="D115" i="8" s="1"/>
  <c r="I117" i="8" a="1"/>
  <c r="I117" i="8" s="1"/>
  <c r="I114" i="8" a="1"/>
  <c r="I114" i="8" s="1"/>
  <c r="D114" i="8" a="1"/>
  <c r="D114" i="8" s="1"/>
  <c r="D117" i="8" a="1"/>
  <c r="D117" i="8" s="1"/>
  <c r="I120" i="8" a="1"/>
  <c r="I120" i="8" s="1"/>
  <c r="D118" i="8" a="1"/>
  <c r="D118" i="8" s="1"/>
  <c r="I122" i="8" a="1"/>
  <c r="I122" i="8" s="1"/>
  <c r="D119" i="8" a="1"/>
  <c r="D119" i="8" s="1"/>
  <c r="D112" i="8" a="1"/>
  <c r="D112" i="8" s="1"/>
  <c r="I119" i="8" a="1"/>
  <c r="I119" i="8" s="1"/>
  <c r="D116" i="8" a="1"/>
  <c r="D116" i="8" s="1"/>
  <c r="I118" i="8" a="1"/>
  <c r="I118" i="8" s="1"/>
  <c r="D122" i="8" a="1"/>
  <c r="D122" i="8" s="1"/>
  <c r="D121" i="8" a="1"/>
  <c r="D121" i="8" s="1"/>
  <c r="I116" i="8" a="1"/>
  <c r="I116" i="8" s="1"/>
  <c r="D113" i="8" a="1"/>
  <c r="D113" i="8" s="1"/>
  <c r="H313" i="4" a="1"/>
  <c r="H313" i="4" s="1"/>
  <c r="D313" i="4" a="1"/>
  <c r="D313" i="4" s="1"/>
  <c r="E313" i="4" a="1"/>
  <c r="E313" i="4" s="1"/>
  <c r="I279" i="3" a="1"/>
  <c r="I279" i="3" s="1"/>
  <c r="D279" i="3" a="1"/>
  <c r="D279" i="3" s="1"/>
  <c r="B22" i="3" a="1"/>
  <c r="B22" i="3" s="1"/>
  <c r="B96" i="4" s="1"/>
  <c r="C22" i="3" a="1"/>
  <c r="C22" i="3" s="1"/>
  <c r="C96" i="4" s="1"/>
  <c r="H20" i="3"/>
  <c r="G20" i="3"/>
  <c r="F20" i="3"/>
  <c r="K245" i="6"/>
  <c r="K246" i="6"/>
  <c r="K322" i="6"/>
  <c r="K351" i="6"/>
  <c r="K423" i="6"/>
  <c r="K321" i="6"/>
  <c r="K397" i="6"/>
  <c r="K444" i="6"/>
  <c r="K311" i="6"/>
  <c r="K350" i="6"/>
  <c r="K377" i="6"/>
  <c r="K421" i="6"/>
  <c r="K279" i="6"/>
  <c r="K280" i="6"/>
  <c r="K425" i="6"/>
  <c r="K278" i="6"/>
  <c r="K275" i="6"/>
  <c r="K288" i="6"/>
  <c r="K298" i="6"/>
  <c r="K373" i="6"/>
  <c r="K341" i="6"/>
  <c r="K384" i="6"/>
  <c r="K315" i="6"/>
  <c r="K420" i="6"/>
  <c r="K267" i="6"/>
  <c r="K260" i="6"/>
  <c r="K292" i="6"/>
  <c r="K273" i="6"/>
  <c r="K361" i="6"/>
  <c r="K249" i="6"/>
  <c r="K323" i="6"/>
  <c r="K332" i="6"/>
  <c r="K277" i="6"/>
  <c r="K415" i="6"/>
  <c r="K346" i="6"/>
  <c r="K347" i="6"/>
  <c r="K394" i="6"/>
  <c r="K364" i="6"/>
  <c r="K330" i="6"/>
  <c r="K374" i="6"/>
  <c r="K310" i="6"/>
  <c r="K419" i="6"/>
  <c r="K304" i="6"/>
  <c r="K296" i="6"/>
  <c r="K424" i="6"/>
  <c r="K342" i="6"/>
  <c r="K355" i="6"/>
  <c r="K353" i="6"/>
  <c r="K283" i="6"/>
  <c r="K416" i="6"/>
  <c r="K269" i="6"/>
  <c r="K409" i="6"/>
  <c r="K305" i="6"/>
  <c r="K396" i="6"/>
  <c r="K410" i="6"/>
  <c r="K435" i="6"/>
  <c r="K289" i="6"/>
  <c r="K358" i="6"/>
  <c r="K270" i="6"/>
  <c r="K294" i="6"/>
  <c r="K291" i="6"/>
  <c r="K309" i="6"/>
  <c r="K385" i="6"/>
  <c r="K248" i="6"/>
  <c r="K401" i="6"/>
  <c r="K340" i="6"/>
  <c r="K382" i="6"/>
  <c r="K259" i="6"/>
  <c r="K368" i="6"/>
  <c r="K300" i="6"/>
  <c r="K381" i="6"/>
  <c r="K312" i="6"/>
  <c r="K268" i="6"/>
  <c r="K306" i="6"/>
  <c r="K443" i="6"/>
  <c r="K434" i="6"/>
  <c r="K440" i="6"/>
  <c r="K441" i="6"/>
  <c r="K429" i="6"/>
  <c r="K378" i="6"/>
  <c r="K398" i="6"/>
  <c r="K308" i="6"/>
  <c r="K324" i="6"/>
  <c r="K352" i="6"/>
  <c r="K295" i="6"/>
  <c r="K372" i="6"/>
  <c r="K375" i="6"/>
  <c r="K426" i="6"/>
  <c r="K412" i="6"/>
  <c r="K391" i="6"/>
  <c r="K439" i="6"/>
  <c r="K274" i="6"/>
  <c r="K356" i="6"/>
  <c r="K411" i="6"/>
  <c r="K247" i="6"/>
  <c r="K348" i="6"/>
  <c r="K354" i="6"/>
  <c r="K369" i="6"/>
  <c r="K271" i="6"/>
  <c r="K380" i="6"/>
  <c r="K338" i="6"/>
  <c r="K422" i="6"/>
  <c r="K360" i="6"/>
  <c r="K414" i="6"/>
  <c r="K251" i="6"/>
  <c r="K272" i="6"/>
  <c r="K418" i="6"/>
  <c r="K371" i="6"/>
  <c r="K286" i="6"/>
  <c r="K282" i="6"/>
  <c r="K437" i="6"/>
  <c r="K376" i="6"/>
  <c r="K301" i="6"/>
  <c r="K428" i="6"/>
  <c r="K313" i="6"/>
  <c r="K399" i="6"/>
  <c r="K362" i="6"/>
  <c r="K445" i="6"/>
  <c r="K383" i="6"/>
  <c r="K345" i="6"/>
  <c r="K392" i="6"/>
  <c r="K343" i="6"/>
  <c r="K370" i="6"/>
  <c r="K329" i="6"/>
  <c r="K328" i="6"/>
  <c r="K379" i="6"/>
  <c r="K265" i="6"/>
  <c r="K307" i="6"/>
  <c r="K427" i="6"/>
  <c r="K299" i="6"/>
  <c r="K290" i="6"/>
  <c r="K303" i="6"/>
  <c r="K344" i="6"/>
  <c r="K302" i="6"/>
  <c r="K339" i="6"/>
  <c r="K285" i="6"/>
  <c r="K334" i="6"/>
  <c r="K287" i="6"/>
  <c r="K263" i="6"/>
  <c r="K430" i="6"/>
  <c r="K446" i="6"/>
  <c r="K438" i="6"/>
  <c r="K266" i="6"/>
  <c r="K318" i="6"/>
  <c r="K386" i="6"/>
  <c r="K408" i="6"/>
  <c r="K333" i="6"/>
  <c r="K261" i="6"/>
  <c r="K407" i="6"/>
  <c r="K325" i="6"/>
  <c r="K293" i="6"/>
  <c r="K442" i="6"/>
  <c r="K447" i="6"/>
  <c r="K393" i="6"/>
  <c r="K243" i="6"/>
  <c r="K297" i="6"/>
  <c r="K326" i="6"/>
  <c r="K319" i="6"/>
  <c r="K400" i="6"/>
  <c r="K284" i="6"/>
  <c r="K327" i="6"/>
  <c r="K363" i="6"/>
  <c r="K406" i="6"/>
  <c r="K388" i="6"/>
  <c r="K390" i="6"/>
  <c r="K413" i="6"/>
  <c r="K387" i="6"/>
  <c r="K281" i="6"/>
  <c r="K331" i="6"/>
  <c r="K436" i="6"/>
  <c r="K98" i="6"/>
  <c r="K99" i="6"/>
  <c r="K359" i="6"/>
  <c r="K250" i="6"/>
  <c r="K402" i="6"/>
  <c r="K349" i="6"/>
  <c r="K320" i="6"/>
  <c r="K258" i="6"/>
  <c r="K417" i="6"/>
  <c r="K276" i="6"/>
  <c r="K264" i="6"/>
  <c r="K66" i="6"/>
  <c r="K10" i="6"/>
  <c r="K36" i="6"/>
  <c r="K337" i="6"/>
  <c r="K336" i="6"/>
  <c r="K395" i="6"/>
  <c r="K314" i="6"/>
  <c r="K317" i="6"/>
  <c r="K389" i="6"/>
  <c r="K316" i="6"/>
  <c r="K335" i="6"/>
  <c r="K244" i="6"/>
  <c r="K403" i="6"/>
  <c r="K404" i="6"/>
  <c r="K405" i="6"/>
  <c r="K262" i="6"/>
  <c r="K367" i="6"/>
  <c r="K87" i="6"/>
  <c r="K182" i="6"/>
  <c r="K15" i="6"/>
  <c r="K146" i="6"/>
  <c r="K26" i="6"/>
  <c r="K35" i="6"/>
  <c r="K179" i="6"/>
  <c r="K9" i="6"/>
  <c r="K86" i="6"/>
  <c r="K79" i="6"/>
  <c r="K198" i="6"/>
  <c r="K16" i="6"/>
  <c r="K57" i="6"/>
  <c r="K19" i="6"/>
  <c r="K195" i="6"/>
  <c r="K109" i="6"/>
  <c r="K163" i="6"/>
  <c r="K68" i="6"/>
  <c r="K122" i="6"/>
  <c r="K72" i="6"/>
  <c r="K73" i="6"/>
  <c r="K47" i="6"/>
  <c r="K142" i="6"/>
  <c r="K143" i="6"/>
  <c r="K144" i="6"/>
  <c r="K49" i="6"/>
  <c r="K39" i="6"/>
  <c r="K17" i="6"/>
  <c r="K151" i="6"/>
  <c r="K152" i="6"/>
  <c r="K110" i="6"/>
  <c r="K164" i="6"/>
  <c r="K165" i="6"/>
  <c r="K166" i="6"/>
  <c r="K199" i="6"/>
  <c r="K200" i="6"/>
  <c r="K201" i="6"/>
  <c r="K202" i="6"/>
  <c r="K167" i="6"/>
  <c r="K168" i="6"/>
  <c r="K111" i="6"/>
  <c r="K112" i="6"/>
  <c r="K50" i="6"/>
  <c r="K51" i="6"/>
  <c r="K134" i="6"/>
  <c r="K52" i="6"/>
  <c r="K158" i="6"/>
  <c r="K69" i="6"/>
  <c r="K113" i="6"/>
  <c r="K190" i="6"/>
  <c r="K169" i="6"/>
  <c r="K181" i="6"/>
  <c r="K114" i="6"/>
  <c r="K115" i="6"/>
  <c r="K106" i="6"/>
  <c r="K107" i="6"/>
  <c r="K18" i="6"/>
  <c r="K191" i="6"/>
  <c r="K2" i="6"/>
  <c r="K100" i="6"/>
  <c r="K101" i="6"/>
  <c r="K43" i="6"/>
  <c r="K60" i="6"/>
  <c r="K123" i="6"/>
  <c r="K61" i="6"/>
  <c r="K124" i="6"/>
  <c r="K125" i="6"/>
  <c r="K126" i="6"/>
  <c r="K62" i="6"/>
  <c r="K63" i="6"/>
  <c r="K127" i="6"/>
  <c r="K7" i="6"/>
  <c r="K74" i="6"/>
  <c r="K176" i="6"/>
  <c r="K21" i="6"/>
  <c r="K128" i="6"/>
  <c r="K129" i="6"/>
  <c r="K64" i="6"/>
  <c r="K11" i="6"/>
  <c r="K12" i="6"/>
  <c r="K27" i="6"/>
  <c r="K88" i="6"/>
  <c r="K91" i="6"/>
  <c r="K13" i="6"/>
  <c r="K108" i="6"/>
  <c r="K4" i="6"/>
  <c r="K53" i="6"/>
  <c r="K90" i="6"/>
  <c r="K44" i="6"/>
  <c r="K159" i="6"/>
  <c r="K130" i="6"/>
  <c r="K131" i="6"/>
  <c r="K75" i="6"/>
  <c r="K76" i="6"/>
  <c r="K183" i="6"/>
  <c r="K89" i="6"/>
  <c r="K153" i="6"/>
  <c r="K40" i="6"/>
  <c r="K154" i="6"/>
  <c r="K137" i="6"/>
  <c r="K188" i="6"/>
  <c r="K189" i="6"/>
  <c r="K138" i="6"/>
  <c r="K155" i="6"/>
  <c r="K177" i="6"/>
  <c r="K77" i="6"/>
  <c r="K65" i="6"/>
  <c r="K132" i="6"/>
  <c r="K30" i="6"/>
  <c r="K78" i="6"/>
  <c r="K31" i="6"/>
  <c r="K103" i="6"/>
  <c r="K104" i="6"/>
  <c r="K105" i="6"/>
  <c r="K5" i="6"/>
  <c r="K70" i="6"/>
  <c r="K45" i="6"/>
  <c r="K170" i="6"/>
  <c r="K116" i="6"/>
  <c r="K71" i="6"/>
  <c r="K29" i="6"/>
  <c r="K20" i="6"/>
  <c r="K58" i="6"/>
  <c r="K120" i="6"/>
  <c r="K59" i="6"/>
  <c r="K175" i="6"/>
  <c r="K121" i="6"/>
  <c r="K117" i="6"/>
  <c r="K173" i="6"/>
  <c r="K174" i="6"/>
  <c r="K46" i="6"/>
  <c r="K28" i="6"/>
  <c r="K118" i="6"/>
  <c r="K119" i="6"/>
  <c r="K6" i="6"/>
  <c r="K192" i="6"/>
  <c r="K193" i="6"/>
  <c r="K194" i="6"/>
  <c r="K160" i="6"/>
  <c r="K161" i="6"/>
  <c r="K3" i="6"/>
  <c r="K102" i="6"/>
  <c r="K162" i="6"/>
  <c r="K14" i="6"/>
  <c r="K145" i="6"/>
  <c r="K197" i="6"/>
  <c r="K203" i="6"/>
  <c r="K80" i="6"/>
  <c r="K32" i="6"/>
  <c r="K178" i="6"/>
  <c r="K81" i="6"/>
  <c r="K48" i="6"/>
  <c r="K22" i="6"/>
  <c r="K82" i="6"/>
  <c r="K23" i="6"/>
  <c r="K83" i="6"/>
  <c r="K24" i="6"/>
  <c r="K84" i="6"/>
  <c r="K8" i="6"/>
  <c r="K67" i="6"/>
  <c r="K133" i="6"/>
  <c r="K33" i="6"/>
  <c r="K25" i="6"/>
  <c r="K85" i="6"/>
  <c r="K34" i="6"/>
  <c r="K150" i="6"/>
  <c r="K156" i="6"/>
  <c r="K139" i="6"/>
  <c r="K157" i="6"/>
  <c r="K41" i="6"/>
  <c r="K96" i="6"/>
  <c r="K42" i="6"/>
  <c r="K97" i="6"/>
  <c r="K140" i="6"/>
  <c r="K141" i="6"/>
  <c r="K196" i="6"/>
  <c r="K147" i="6"/>
  <c r="K54" i="6"/>
  <c r="K37" i="6"/>
  <c r="K180" i="6"/>
  <c r="K93" i="6"/>
  <c r="K55" i="6"/>
  <c r="K94" i="6"/>
  <c r="K187" i="6"/>
  <c r="K38" i="6"/>
  <c r="K185" i="6"/>
  <c r="K136" i="6"/>
  <c r="K135" i="6"/>
  <c r="K148" i="6"/>
  <c r="K204" i="6"/>
  <c r="K205" i="6"/>
  <c r="K206" i="6"/>
  <c r="K207" i="6"/>
  <c r="K208" i="6"/>
  <c r="K209" i="6"/>
  <c r="K171" i="6"/>
  <c r="K172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H118" i="4" l="1" a="1"/>
  <c r="H118" i="4" s="1"/>
  <c r="H98" i="4" a="1"/>
  <c r="H98" i="4" s="1"/>
  <c r="B108" i="4"/>
  <c r="H108" i="4" s="1" a="1"/>
  <c r="H108" i="4" s="1"/>
  <c r="D34" i="3" a="1"/>
  <c r="D34" i="3" s="1"/>
  <c r="D108" i="4" s="1"/>
  <c r="E34" i="3" a="1"/>
  <c r="E34" i="3" s="1"/>
  <c r="E108" i="4" s="1"/>
  <c r="I34" i="3" a="1"/>
  <c r="I34" i="3" s="1"/>
  <c r="B106" i="4"/>
  <c r="H106" i="4" s="1" a="1"/>
  <c r="H106" i="4" s="1"/>
  <c r="D32" i="3" a="1"/>
  <c r="D32" i="3" s="1"/>
  <c r="D106" i="4" s="1"/>
  <c r="E32" i="3" a="1"/>
  <c r="E32" i="3" s="1"/>
  <c r="E106" i="4" s="1"/>
  <c r="I32" i="3" a="1"/>
  <c r="I32" i="3" s="1"/>
  <c r="H100" i="4" a="1"/>
  <c r="H100" i="4" s="1"/>
  <c r="B114" i="4"/>
  <c r="H114" i="4" s="1" a="1"/>
  <c r="H114" i="4" s="1"/>
  <c r="E40" i="3" a="1"/>
  <c r="E40" i="3" s="1"/>
  <c r="E114" i="4" s="1"/>
  <c r="D40" i="3" a="1"/>
  <c r="D40" i="3" s="1"/>
  <c r="D114" i="4" s="1"/>
  <c r="I40" i="3" a="1"/>
  <c r="I40" i="3" s="1"/>
  <c r="H99" i="4" a="1"/>
  <c r="H99" i="4" s="1"/>
  <c r="B113" i="4"/>
  <c r="H113" i="4" s="1" a="1"/>
  <c r="H113" i="4" s="1"/>
  <c r="D39" i="3" a="1"/>
  <c r="D39" i="3" s="1"/>
  <c r="D113" i="4" s="1"/>
  <c r="E39" i="3" a="1"/>
  <c r="E39" i="3" s="1"/>
  <c r="E113" i="4" s="1"/>
  <c r="I39" i="3" a="1"/>
  <c r="I39" i="3" s="1"/>
  <c r="I35" i="3" a="1"/>
  <c r="I35" i="3" s="1"/>
  <c r="D35" i="3" a="1"/>
  <c r="D35" i="3" s="1"/>
  <c r="E35" i="3" a="1"/>
  <c r="E35" i="3" s="1"/>
  <c r="B111" i="4"/>
  <c r="H111" i="4" s="1" a="1"/>
  <c r="H111" i="4" s="1"/>
  <c r="I37" i="3" a="1"/>
  <c r="I37" i="3" s="1"/>
  <c r="D37" i="3" a="1"/>
  <c r="D37" i="3" s="1"/>
  <c r="D111" i="4" s="1"/>
  <c r="H103" i="4" a="1"/>
  <c r="H103" i="4" s="1"/>
  <c r="B110" i="4"/>
  <c r="H110" i="4" s="1" a="1"/>
  <c r="H110" i="4" s="1"/>
  <c r="E36" i="3" a="1"/>
  <c r="E36" i="3" s="1"/>
  <c r="E110" i="4" s="1"/>
  <c r="I36" i="3" a="1"/>
  <c r="I36" i="3" s="1"/>
  <c r="D36" i="3" a="1"/>
  <c r="D36" i="3" s="1"/>
  <c r="D110" i="4" s="1"/>
  <c r="H105" i="4" a="1"/>
  <c r="H105" i="4" s="1"/>
  <c r="B112" i="4"/>
  <c r="H112" i="4" s="1" a="1"/>
  <c r="H112" i="4" s="1"/>
  <c r="I38" i="3" a="1"/>
  <c r="I38" i="3" s="1"/>
  <c r="D38" i="3" a="1"/>
  <c r="D38" i="3" s="1"/>
  <c r="D112" i="4" s="1"/>
  <c r="E38" i="3" a="1"/>
  <c r="E38" i="3" s="1"/>
  <c r="E112" i="4" s="1"/>
  <c r="I33" i="3" a="1"/>
  <c r="I33" i="3" s="1"/>
  <c r="D33" i="3" a="1"/>
  <c r="D33" i="3" s="1"/>
  <c r="E33" i="3" a="1"/>
  <c r="E33" i="3" s="1"/>
  <c r="I47" i="3" a="1"/>
  <c r="I47" i="3" s="1"/>
  <c r="D47" i="3" a="1"/>
  <c r="D47" i="3" s="1"/>
  <c r="D121" i="4" s="1"/>
  <c r="I51" i="3" a="1"/>
  <c r="I51" i="3" s="1"/>
  <c r="D51" i="3" a="1"/>
  <c r="D51" i="3" s="1"/>
  <c r="E51" i="3" a="1"/>
  <c r="E51" i="3" s="1"/>
  <c r="D48" i="3" a="1"/>
  <c r="D48" i="3" s="1"/>
  <c r="D122" i="4" s="1"/>
  <c r="I48" i="3" a="1"/>
  <c r="I48" i="3" s="1"/>
  <c r="E48" i="3" a="1"/>
  <c r="E48" i="3" s="1"/>
  <c r="E122" i="4" s="1"/>
  <c r="D49" i="3" a="1"/>
  <c r="D49" i="3" s="1"/>
  <c r="D123" i="4" s="1"/>
  <c r="E49" i="3" a="1"/>
  <c r="E49" i="3" s="1"/>
  <c r="E123" i="4" s="1"/>
  <c r="I49" i="3" a="1"/>
  <c r="I49" i="3" s="1"/>
  <c r="I50" i="3" a="1"/>
  <c r="I50" i="3" s="1"/>
  <c r="D50" i="3" a="1"/>
  <c r="D50" i="3" s="1"/>
  <c r="D124" i="4" s="1"/>
  <c r="E50" i="3" a="1"/>
  <c r="E50" i="3" s="1"/>
  <c r="E124" i="4" s="1"/>
  <c r="I46" i="3" a="1"/>
  <c r="I46" i="3" s="1"/>
  <c r="D46" i="3" a="1"/>
  <c r="D46" i="3" s="1"/>
  <c r="D120" i="4" s="1"/>
  <c r="I43" i="3" a="1"/>
  <c r="I43" i="3" s="1"/>
  <c r="D43" i="3" a="1"/>
  <c r="D43" i="3" s="1"/>
  <c r="D117" i="4" s="1"/>
  <c r="E43" i="3" a="1"/>
  <c r="E43" i="3" s="1"/>
  <c r="E117" i="4" s="1"/>
  <c r="D44" i="3" a="1"/>
  <c r="D44" i="3" s="1"/>
  <c r="D118" i="4" s="1"/>
  <c r="E44" i="3" a="1"/>
  <c r="E44" i="3" s="1"/>
  <c r="E118" i="4" s="1"/>
  <c r="I44" i="3" a="1"/>
  <c r="I44" i="3" s="1"/>
  <c r="E45" i="3" a="1"/>
  <c r="E45" i="3" s="1"/>
  <c r="I45" i="3" a="1"/>
  <c r="I45" i="3" s="1"/>
  <c r="D45" i="3" a="1"/>
  <c r="D45" i="3" s="1"/>
  <c r="I42" i="3" a="1"/>
  <c r="I42" i="3" s="1"/>
  <c r="E42" i="3" a="1"/>
  <c r="E42" i="3" s="1"/>
  <c r="E116" i="4" s="1"/>
  <c r="D42" i="3" a="1"/>
  <c r="D42" i="3" s="1"/>
  <c r="D116" i="4" s="1"/>
  <c r="D30" i="3" a="1"/>
  <c r="D30" i="3" s="1"/>
  <c r="I30" i="3" a="1"/>
  <c r="I30" i="3" s="1"/>
  <c r="I24" i="3" a="1"/>
  <c r="I24" i="3" s="1"/>
  <c r="D24" i="3" a="1"/>
  <c r="D24" i="3" s="1"/>
  <c r="D98" i="4" s="1"/>
  <c r="D26" i="3" a="1"/>
  <c r="D26" i="3" s="1"/>
  <c r="D100" i="4" s="1"/>
  <c r="I26" i="3" a="1"/>
  <c r="I26" i="3" s="1"/>
  <c r="D25" i="3" a="1"/>
  <c r="D25" i="3" s="1"/>
  <c r="D99" i="4" s="1"/>
  <c r="I25" i="3" a="1"/>
  <c r="I25" i="3" s="1"/>
  <c r="I27" i="3" a="1"/>
  <c r="I27" i="3" s="1"/>
  <c r="D27" i="3" a="1"/>
  <c r="D27" i="3" s="1"/>
  <c r="D101" i="4" s="1"/>
  <c r="D29" i="3" a="1"/>
  <c r="D29" i="3" s="1"/>
  <c r="D103" i="4" s="1"/>
  <c r="I29" i="3" a="1"/>
  <c r="I29" i="3" s="1"/>
  <c r="I31" i="3" a="1"/>
  <c r="I31" i="3" s="1"/>
  <c r="D31" i="3" a="1"/>
  <c r="D31" i="3" s="1"/>
  <c r="D105" i="4" s="1"/>
  <c r="D28" i="3" a="1"/>
  <c r="D28" i="3" s="1"/>
  <c r="D102" i="4" s="1"/>
  <c r="I28" i="3" a="1"/>
  <c r="I28" i="3" s="1"/>
  <c r="H96" i="4" a="1"/>
  <c r="H96" i="4" s="1"/>
  <c r="I23" i="3" a="1"/>
  <c r="I23" i="3" s="1"/>
  <c r="D23" i="3" a="1"/>
  <c r="D23" i="3" s="1"/>
  <c r="D97" i="4" s="1"/>
  <c r="B119" i="3"/>
  <c r="C119" i="3"/>
  <c r="B120" i="3"/>
  <c r="C120" i="3"/>
  <c r="B121" i="3"/>
  <c r="C121" i="3"/>
  <c r="B122" i="3"/>
  <c r="C122" i="3"/>
  <c r="B123" i="3"/>
  <c r="C123" i="3"/>
  <c r="B124" i="3"/>
  <c r="C124" i="3"/>
  <c r="B125" i="3"/>
  <c r="C125" i="3"/>
  <c r="B126" i="3"/>
  <c r="C126" i="3"/>
  <c r="B127" i="3"/>
  <c r="C127" i="3"/>
  <c r="B84" i="4" a="1"/>
  <c r="B84" i="4" s="1"/>
  <c r="C84" i="4" a="1"/>
  <c r="C84" i="4" s="1"/>
  <c r="B85" i="4" a="1"/>
  <c r="B85" i="4" s="1"/>
  <c r="C85" i="4" a="1"/>
  <c r="C85" i="4" s="1"/>
  <c r="B86" i="4" a="1"/>
  <c r="B86" i="4" s="1"/>
  <c r="C86" i="4" a="1"/>
  <c r="C86" i="4" s="1"/>
  <c r="B87" i="4" a="1"/>
  <c r="B87" i="4" s="1"/>
  <c r="C87" i="4" a="1"/>
  <c r="C87" i="4" s="1"/>
  <c r="B88" i="4" a="1"/>
  <c r="B88" i="4" s="1"/>
  <c r="C88" i="4" a="1"/>
  <c r="C88" i="4" s="1"/>
  <c r="B89" i="4" a="1"/>
  <c r="B89" i="4" s="1"/>
  <c r="C89" i="4" a="1"/>
  <c r="C89" i="4" s="1"/>
  <c r="B90" i="4" a="1"/>
  <c r="B90" i="4" s="1"/>
  <c r="C90" i="4" a="1"/>
  <c r="C90" i="4" s="1"/>
  <c r="B91" i="4" a="1"/>
  <c r="B91" i="4" s="1"/>
  <c r="C91" i="4" a="1"/>
  <c r="C91" i="4" s="1"/>
  <c r="B92" i="4" a="1"/>
  <c r="B92" i="4" s="1"/>
  <c r="C92" i="4" a="1"/>
  <c r="C92" i="4" s="1"/>
  <c r="H455" i="8"/>
  <c r="H456" i="8"/>
  <c r="H457" i="8"/>
  <c r="H458" i="8"/>
  <c r="H459" i="8"/>
  <c r="H460" i="8"/>
  <c r="H461" i="8"/>
  <c r="H462" i="8"/>
  <c r="H463" i="8"/>
  <c r="H464" i="8"/>
  <c r="H465" i="8"/>
  <c r="H466" i="8"/>
  <c r="B426" i="8" a="1"/>
  <c r="B426" i="8" s="1"/>
  <c r="C426" i="8" a="1"/>
  <c r="C426" i="8" s="1"/>
  <c r="H426" i="8"/>
  <c r="B427" i="8" a="1"/>
  <c r="B427" i="8" s="1"/>
  <c r="C427" i="8" a="1"/>
  <c r="C427" i="8" s="1"/>
  <c r="H427" i="8"/>
  <c r="B428" i="8" a="1"/>
  <c r="B428" i="8" s="1"/>
  <c r="C428" i="8" a="1"/>
  <c r="C428" i="8" s="1"/>
  <c r="H428" i="8"/>
  <c r="B429" i="8" a="1"/>
  <c r="B429" i="8" s="1"/>
  <c r="D429" i="8" s="1" a="1"/>
  <c r="D429" i="8" s="1"/>
  <c r="C429" i="8" a="1"/>
  <c r="C429" i="8" s="1"/>
  <c r="H429" i="8"/>
  <c r="B430" i="8" a="1"/>
  <c r="B430" i="8" s="1"/>
  <c r="C430" i="8" a="1"/>
  <c r="C430" i="8" s="1"/>
  <c r="H430" i="8"/>
  <c r="B431" i="8" a="1"/>
  <c r="B431" i="8" s="1"/>
  <c r="C431" i="8" a="1"/>
  <c r="C431" i="8" s="1"/>
  <c r="H431" i="8"/>
  <c r="B432" i="8" a="1"/>
  <c r="B432" i="8" s="1"/>
  <c r="C432" i="8" a="1"/>
  <c r="C432" i="8" s="1"/>
  <c r="H432" i="8"/>
  <c r="H267" i="8"/>
  <c r="H268" i="8"/>
  <c r="H269" i="8"/>
  <c r="H270" i="8"/>
  <c r="H271" i="8"/>
  <c r="H27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B99" i="8" a="1"/>
  <c r="B99" i="8" s="1"/>
  <c r="C99" i="8" a="1"/>
  <c r="C99" i="8" s="1"/>
  <c r="H99" i="8"/>
  <c r="B100" i="8" a="1"/>
  <c r="B100" i="8" s="1"/>
  <c r="C100" i="8" a="1"/>
  <c r="C100" i="8" s="1"/>
  <c r="H100" i="8"/>
  <c r="B101" i="8" a="1"/>
  <c r="B101" i="8" s="1"/>
  <c r="C101" i="8" a="1"/>
  <c r="C101" i="8" s="1"/>
  <c r="H101" i="8"/>
  <c r="B102" i="8" a="1"/>
  <c r="B102" i="8" s="1"/>
  <c r="C102" i="8" a="1"/>
  <c r="C102" i="8" s="1"/>
  <c r="H102" i="8"/>
  <c r="B103" i="8" a="1"/>
  <c r="B103" i="8" s="1"/>
  <c r="C103" i="8" a="1"/>
  <c r="C103" i="8" s="1"/>
  <c r="H103" i="8"/>
  <c r="B104" i="8" a="1"/>
  <c r="B104" i="8" s="1"/>
  <c r="C104" i="8" a="1"/>
  <c r="C104" i="8" s="1"/>
  <c r="H104" i="8"/>
  <c r="B105" i="8" a="1"/>
  <c r="B105" i="8" s="1"/>
  <c r="C105" i="8" a="1"/>
  <c r="C105" i="8" s="1"/>
  <c r="H105" i="8"/>
  <c r="B106" i="8" a="1"/>
  <c r="B106" i="8" s="1"/>
  <c r="C106" i="8" a="1"/>
  <c r="C106" i="8" s="1"/>
  <c r="H106" i="8"/>
  <c r="B107" i="8" a="1"/>
  <c r="B107" i="8" s="1"/>
  <c r="C107" i="8" a="1"/>
  <c r="C107" i="8" s="1"/>
  <c r="H107" i="8"/>
  <c r="B108" i="8" a="1"/>
  <c r="B108" i="8" s="1"/>
  <c r="C108" i="8" a="1"/>
  <c r="C108" i="8" s="1"/>
  <c r="H108" i="8"/>
  <c r="B63" i="8" a="1"/>
  <c r="B63" i="8" s="1"/>
  <c r="C63" i="8" a="1"/>
  <c r="C63" i="8" s="1"/>
  <c r="H63" i="8"/>
  <c r="B64" i="8" a="1"/>
  <c r="B64" i="8" s="1"/>
  <c r="C64" i="8" a="1"/>
  <c r="C64" i="8" s="1"/>
  <c r="H64" i="8"/>
  <c r="B65" i="8" a="1"/>
  <c r="B65" i="8" s="1"/>
  <c r="C65" i="8" a="1"/>
  <c r="C65" i="8" s="1"/>
  <c r="H65" i="8"/>
  <c r="B66" i="8" a="1"/>
  <c r="B66" i="8" s="1"/>
  <c r="C66" i="8" a="1"/>
  <c r="C66" i="8" s="1"/>
  <c r="H66" i="8"/>
  <c r="B67" i="8" a="1"/>
  <c r="B67" i="8" s="1"/>
  <c r="C67" i="8" a="1"/>
  <c r="C67" i="8" s="1"/>
  <c r="H67" i="8"/>
  <c r="B68" i="8" a="1"/>
  <c r="B68" i="8" s="1"/>
  <c r="C68" i="8" a="1"/>
  <c r="C68" i="8" s="1"/>
  <c r="H68" i="8"/>
  <c r="B69" i="8" a="1"/>
  <c r="B69" i="8" s="1"/>
  <c r="C69" i="8" a="1"/>
  <c r="C69" i="8" s="1"/>
  <c r="H69" i="8"/>
  <c r="B70" i="8" a="1"/>
  <c r="B70" i="8" s="1"/>
  <c r="C70" i="8" a="1"/>
  <c r="C70" i="8" s="1"/>
  <c r="H70" i="8"/>
  <c r="B71" i="8" a="1"/>
  <c r="B71" i="8" s="1"/>
  <c r="C71" i="8" a="1"/>
  <c r="C71" i="8" s="1"/>
  <c r="H71" i="8"/>
  <c r="B72" i="8" a="1"/>
  <c r="B72" i="8" s="1"/>
  <c r="C72" i="8" a="1"/>
  <c r="C72" i="8" s="1"/>
  <c r="H72" i="8"/>
  <c r="B73" i="8" a="1"/>
  <c r="B73" i="8" s="1"/>
  <c r="C73" i="8" a="1"/>
  <c r="C73" i="8" s="1"/>
  <c r="H73" i="8"/>
  <c r="B74" i="8" a="1"/>
  <c r="B74" i="8" s="1"/>
  <c r="C74" i="8" a="1"/>
  <c r="C74" i="8" s="1"/>
  <c r="H74" i="8"/>
  <c r="B75" i="8" a="1"/>
  <c r="B75" i="8" s="1"/>
  <c r="C75" i="8" a="1"/>
  <c r="C75" i="8" s="1"/>
  <c r="H75" i="8"/>
  <c r="B76" i="8" a="1"/>
  <c r="B76" i="8" s="1"/>
  <c r="C76" i="8" a="1"/>
  <c r="C76" i="8" s="1"/>
  <c r="H76" i="8"/>
  <c r="B77" i="8" a="1"/>
  <c r="B77" i="8" s="1"/>
  <c r="C77" i="8" a="1"/>
  <c r="C77" i="8" s="1"/>
  <c r="H77" i="8"/>
  <c r="B78" i="8" a="1"/>
  <c r="B78" i="8" s="1"/>
  <c r="C78" i="8" a="1"/>
  <c r="C78" i="8" s="1"/>
  <c r="H78" i="8"/>
  <c r="B79" i="8" a="1"/>
  <c r="B79" i="8" s="1"/>
  <c r="C79" i="8" a="1"/>
  <c r="C79" i="8" s="1"/>
  <c r="H79" i="8"/>
  <c r="B80" i="8" a="1"/>
  <c r="B80" i="8" s="1"/>
  <c r="C80" i="8" a="1"/>
  <c r="C80" i="8" s="1"/>
  <c r="H80" i="8"/>
  <c r="B81" i="8" a="1"/>
  <c r="B81" i="8" s="1"/>
  <c r="C81" i="8" a="1"/>
  <c r="C81" i="8" s="1"/>
  <c r="H81" i="8"/>
  <c r="B82" i="8" a="1"/>
  <c r="B82" i="8" s="1"/>
  <c r="C82" i="8" a="1"/>
  <c r="C82" i="8" s="1"/>
  <c r="H82" i="8"/>
  <c r="B83" i="8" a="1"/>
  <c r="B83" i="8" s="1"/>
  <c r="C83" i="8" a="1"/>
  <c r="C83" i="8" s="1"/>
  <c r="H83" i="8"/>
  <c r="B84" i="8" a="1"/>
  <c r="B84" i="8" s="1"/>
  <c r="C84" i="8" a="1"/>
  <c r="C84" i="8" s="1"/>
  <c r="H84" i="8"/>
  <c r="B85" i="8" a="1"/>
  <c r="B85" i="8" s="1"/>
  <c r="C85" i="8" a="1"/>
  <c r="C85" i="8" s="1"/>
  <c r="H85" i="8"/>
  <c r="B86" i="8" a="1"/>
  <c r="B86" i="8" s="1"/>
  <c r="E86" i="8" s="1" a="1"/>
  <c r="E86" i="8" s="1"/>
  <c r="C86" i="8" a="1"/>
  <c r="C86" i="8" s="1"/>
  <c r="H86" i="8"/>
  <c r="B87" i="8" a="1"/>
  <c r="B87" i="8" s="1"/>
  <c r="C87" i="8" a="1"/>
  <c r="C87" i="8" s="1"/>
  <c r="H87" i="8"/>
  <c r="B88" i="8" a="1"/>
  <c r="B88" i="8" s="1"/>
  <c r="C88" i="8" a="1"/>
  <c r="C88" i="8" s="1"/>
  <c r="H88" i="8"/>
  <c r="B89" i="8" a="1"/>
  <c r="B89" i="8" s="1"/>
  <c r="C89" i="8" a="1"/>
  <c r="C89" i="8" s="1"/>
  <c r="H89" i="8"/>
  <c r="B90" i="8" a="1"/>
  <c r="B90" i="8" s="1"/>
  <c r="C90" i="8" a="1"/>
  <c r="C90" i="8" s="1"/>
  <c r="H90" i="8"/>
  <c r="B91" i="8" a="1"/>
  <c r="B91" i="8" s="1"/>
  <c r="C91" i="8" a="1"/>
  <c r="C91" i="8" s="1"/>
  <c r="H91" i="8"/>
  <c r="B92" i="8" a="1"/>
  <c r="B92" i="8" s="1"/>
  <c r="C92" i="8" a="1"/>
  <c r="C92" i="8" s="1"/>
  <c r="H92" i="8"/>
  <c r="B93" i="8" a="1"/>
  <c r="B93" i="8" s="1"/>
  <c r="C93" i="8" a="1"/>
  <c r="C93" i="8" s="1"/>
  <c r="H93" i="8"/>
  <c r="B94" i="8" a="1"/>
  <c r="B94" i="8" s="1"/>
  <c r="C94" i="8" a="1"/>
  <c r="C94" i="8" s="1"/>
  <c r="H94" i="8"/>
  <c r="B95" i="8" a="1"/>
  <c r="B95" i="8" s="1"/>
  <c r="C95" i="8" a="1"/>
  <c r="C95" i="8" s="1"/>
  <c r="H95" i="8"/>
  <c r="F198" i="4" l="1"/>
  <c r="G198" i="4" s="1"/>
  <c r="F200" i="4"/>
  <c r="G200" i="4" s="1"/>
  <c r="F199" i="4"/>
  <c r="G199" i="4" s="1"/>
  <c r="D81" i="8" a="1"/>
  <c r="D81" i="8" s="1"/>
  <c r="E77" i="8" a="1"/>
  <c r="E77" i="8" s="1"/>
  <c r="I430" i="8" a="1"/>
  <c r="I430" i="8" s="1"/>
  <c r="E430" i="8" a="1"/>
  <c r="E430" i="8" s="1"/>
  <c r="D86" i="8" a="1"/>
  <c r="D86" i="8" s="1"/>
  <c r="D90" i="4" a="1"/>
  <c r="D90" i="4" s="1"/>
  <c r="H90" i="4" a="1"/>
  <c r="H90" i="4" s="1"/>
  <c r="D89" i="8" a="1"/>
  <c r="D89" i="8" s="1"/>
  <c r="I89" i="8" a="1"/>
  <c r="I89" i="8" s="1"/>
  <c r="D102" i="8" a="1"/>
  <c r="D102" i="8" s="1"/>
  <c r="I102" i="8" a="1"/>
  <c r="I102" i="8" s="1"/>
  <c r="E91" i="8" a="1"/>
  <c r="E91" i="8" s="1"/>
  <c r="D91" i="8" a="1"/>
  <c r="D91" i="8" s="1"/>
  <c r="I91" i="8" a="1"/>
  <c r="I91" i="8" s="1"/>
  <c r="D91" i="4" a="1"/>
  <c r="D91" i="4" s="1"/>
  <c r="H91" i="4" a="1"/>
  <c r="H91" i="4" s="1"/>
  <c r="E83" i="8" a="1"/>
  <c r="E83" i="8" s="1"/>
  <c r="I83" i="8" a="1"/>
  <c r="I83" i="8" s="1"/>
  <c r="D430" i="8" a="1"/>
  <c r="D430" i="8" s="1"/>
  <c r="I86" i="8" a="1"/>
  <c r="I86" i="8" s="1"/>
  <c r="I105" i="8" a="1"/>
  <c r="I105" i="8" s="1"/>
  <c r="D105" i="8" a="1"/>
  <c r="D105" i="8" s="1"/>
  <c r="D93" i="8" a="1"/>
  <c r="D93" i="8" s="1"/>
  <c r="I93" i="8" a="1"/>
  <c r="I93" i="8" s="1"/>
  <c r="E85" i="8" a="1"/>
  <c r="E85" i="8" s="1"/>
  <c r="I85" i="8" a="1"/>
  <c r="I85" i="8" s="1"/>
  <c r="E78" i="8" a="1"/>
  <c r="E78" i="8" s="1"/>
  <c r="D78" i="8" a="1"/>
  <c r="D78" i="8" s="1"/>
  <c r="D104" i="8" a="1"/>
  <c r="D104" i="8" s="1"/>
  <c r="I104" i="8" a="1"/>
  <c r="I104" i="8" s="1"/>
  <c r="D431" i="8" a="1"/>
  <c r="D431" i="8" s="1"/>
  <c r="I431" i="8" a="1"/>
  <c r="I431" i="8" s="1"/>
  <c r="I103" i="8" a="1"/>
  <c r="I103" i="8" s="1"/>
  <c r="D83" i="8" a="1"/>
  <c r="D83" i="8" s="1"/>
  <c r="I429" i="8" a="1"/>
  <c r="I429" i="8" s="1"/>
  <c r="I122" i="3"/>
  <c r="D122" i="3"/>
  <c r="I127" i="3"/>
  <c r="D127" i="3"/>
  <c r="I125" i="3"/>
  <c r="D125" i="3"/>
  <c r="I121" i="3"/>
  <c r="D121" i="3"/>
  <c r="D124" i="3"/>
  <c r="I124" i="3"/>
  <c r="I126" i="3"/>
  <c r="D126" i="3"/>
  <c r="I123" i="3"/>
  <c r="D123" i="3"/>
  <c r="H92" i="4" a="1"/>
  <c r="H92" i="4" s="1"/>
  <c r="D92" i="4" a="1"/>
  <c r="D92" i="4" s="1"/>
  <c r="E92" i="4" a="1"/>
  <c r="E92" i="4" s="1"/>
  <c r="E91" i="4" a="1"/>
  <c r="E91" i="4" s="1"/>
  <c r="D428" i="8" a="1"/>
  <c r="D428" i="8" s="1"/>
  <c r="I428" i="8" a="1"/>
  <c r="I428" i="8" s="1"/>
  <c r="I432" i="8" a="1"/>
  <c r="I432" i="8" s="1"/>
  <c r="D432" i="8" a="1"/>
  <c r="D432" i="8" s="1"/>
  <c r="E432" i="8" a="1"/>
  <c r="E432" i="8" s="1"/>
  <c r="I427" i="8" a="1"/>
  <c r="I427" i="8" s="1"/>
  <c r="D427" i="8" a="1"/>
  <c r="D427" i="8" s="1"/>
  <c r="E429" i="8" a="1"/>
  <c r="E429" i="8" s="1"/>
  <c r="E431" i="8" a="1"/>
  <c r="E431" i="8" s="1"/>
  <c r="D101" i="8" a="1"/>
  <c r="D101" i="8" s="1"/>
  <c r="I101" i="8" a="1"/>
  <c r="I101" i="8" s="1"/>
  <c r="I107" i="8" a="1"/>
  <c r="I107" i="8" s="1"/>
  <c r="D107" i="8" a="1"/>
  <c r="D107" i="8" s="1"/>
  <c r="E108" i="8" a="1"/>
  <c r="E108" i="8" s="1"/>
  <c r="I108" i="8" a="1"/>
  <c r="I108" i="8" s="1"/>
  <c r="D108" i="8" a="1"/>
  <c r="D108" i="8" s="1"/>
  <c r="D106" i="8" a="1"/>
  <c r="D106" i="8" s="1"/>
  <c r="I106" i="8" a="1"/>
  <c r="I106" i="8" s="1"/>
  <c r="D103" i="8" a="1"/>
  <c r="D103" i="8" s="1"/>
  <c r="E88" i="8" a="1"/>
  <c r="E88" i="8" s="1"/>
  <c r="I88" i="8" a="1"/>
  <c r="I88" i="8" s="1"/>
  <c r="D88" i="8" a="1"/>
  <c r="D88" i="8" s="1"/>
  <c r="D94" i="8" a="1"/>
  <c r="D94" i="8" s="1"/>
  <c r="E94" i="8" a="1"/>
  <c r="E94" i="8" s="1"/>
  <c r="I94" i="8" a="1"/>
  <c r="I94" i="8" s="1"/>
  <c r="D79" i="8" a="1"/>
  <c r="D79" i="8" s="1"/>
  <c r="D92" i="8" a="1"/>
  <c r="D92" i="8" s="1"/>
  <c r="E92" i="8" a="1"/>
  <c r="E92" i="8" s="1"/>
  <c r="I92" i="8" a="1"/>
  <c r="I92" i="8" s="1"/>
  <c r="I87" i="8" a="1"/>
  <c r="I87" i="8" s="1"/>
  <c r="D87" i="8" a="1"/>
  <c r="D87" i="8" s="1"/>
  <c r="E87" i="8" a="1"/>
  <c r="E87" i="8" s="1"/>
  <c r="I84" i="8" a="1"/>
  <c r="I84" i="8" s="1"/>
  <c r="D84" i="8" a="1"/>
  <c r="D84" i="8" s="1"/>
  <c r="E84" i="8" a="1"/>
  <c r="E84" i="8" s="1"/>
  <c r="I95" i="8" a="1"/>
  <c r="I95" i="8" s="1"/>
  <c r="D95" i="8" a="1"/>
  <c r="D95" i="8" s="1"/>
  <c r="E95" i="8" a="1"/>
  <c r="E95" i="8" s="1"/>
  <c r="I90" i="8" a="1"/>
  <c r="I90" i="8" s="1"/>
  <c r="D90" i="8" a="1"/>
  <c r="D90" i="8" s="1"/>
  <c r="E90" i="8" a="1"/>
  <c r="E90" i="8" s="1"/>
  <c r="I82" i="8" a="1"/>
  <c r="I82" i="8" s="1"/>
  <c r="D82" i="8" a="1"/>
  <c r="D82" i="8" s="1"/>
  <c r="E82" i="8" a="1"/>
  <c r="E82" i="8" s="1"/>
  <c r="E80" i="8" a="1"/>
  <c r="E80" i="8" s="1"/>
  <c r="D80" i="8" a="1"/>
  <c r="D80" i="8" s="1"/>
  <c r="E93" i="8" a="1"/>
  <c r="E93" i="8" s="1"/>
  <c r="D85" i="8" a="1"/>
  <c r="D85" i="8" s="1"/>
  <c r="D77" i="8" a="1"/>
  <c r="D77" i="8" s="1"/>
  <c r="E89" i="8" a="1"/>
  <c r="E89" i="8" s="1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K3" i="4"/>
  <c r="L3" i="4"/>
  <c r="M3" i="4"/>
  <c r="N3" i="4"/>
  <c r="J3" i="4"/>
  <c r="B441" i="4" a="1"/>
  <c r="B441" i="4" s="1"/>
  <c r="C441" i="4" a="1"/>
  <c r="C441" i="4" s="1"/>
  <c r="B442" i="4" a="1"/>
  <c r="B442" i="4" s="1"/>
  <c r="C442" i="4" a="1"/>
  <c r="C442" i="4" s="1"/>
  <c r="B443" i="4" a="1"/>
  <c r="B443" i="4" s="1"/>
  <c r="C443" i="4" a="1"/>
  <c r="C443" i="4" s="1"/>
  <c r="B367" i="4" a="1"/>
  <c r="B367" i="4" s="1"/>
  <c r="C367" i="4" a="1"/>
  <c r="C367" i="4" s="1"/>
  <c r="B368" i="4" a="1"/>
  <c r="B368" i="4" s="1"/>
  <c r="C368" i="4" a="1"/>
  <c r="C368" i="4" s="1"/>
  <c r="B369" i="4" a="1"/>
  <c r="B369" i="4" s="1"/>
  <c r="C369" i="4" a="1"/>
  <c r="C369" i="4" s="1"/>
  <c r="B350" i="4" a="1"/>
  <c r="B350" i="4" s="1"/>
  <c r="C350" i="4" a="1"/>
  <c r="C350" i="4" s="1"/>
  <c r="T2" i="4" l="1"/>
  <c r="E442" i="4" a="1"/>
  <c r="E442" i="4" s="1"/>
  <c r="H442" i="4" a="1"/>
  <c r="H442" i="4" s="1"/>
  <c r="D442" i="4" a="1"/>
  <c r="D442" i="4" s="1"/>
  <c r="H441" i="4" a="1"/>
  <c r="H441" i="4" s="1"/>
  <c r="D441" i="4" a="1"/>
  <c r="D441" i="4" s="1"/>
  <c r="E441" i="4" a="1"/>
  <c r="E441" i="4" s="1"/>
  <c r="H443" i="4" a="1"/>
  <c r="H443" i="4" s="1"/>
  <c r="D443" i="4" a="1"/>
  <c r="D443" i="4" s="1"/>
  <c r="E443" i="4" a="1"/>
  <c r="E443" i="4" s="1"/>
  <c r="H368" i="4" a="1"/>
  <c r="H368" i="4" s="1"/>
  <c r="D368" i="4" a="1"/>
  <c r="D368" i="4" s="1"/>
  <c r="E368" i="4" a="1"/>
  <c r="E368" i="4" s="1"/>
  <c r="E369" i="4" a="1"/>
  <c r="E369" i="4" s="1"/>
  <c r="D369" i="4" a="1"/>
  <c r="D369" i="4" s="1"/>
  <c r="H369" i="4" a="1"/>
  <c r="H369" i="4" s="1"/>
  <c r="E367" i="4" a="1"/>
  <c r="E367" i="4" s="1"/>
  <c r="H367" i="4" a="1"/>
  <c r="H367" i="4" s="1"/>
  <c r="D367" i="4" a="1"/>
  <c r="D367" i="4" s="1"/>
  <c r="E350" i="4" a="1"/>
  <c r="E350" i="4" s="1"/>
  <c r="D350" i="4" a="1"/>
  <c r="D350" i="4" s="1"/>
  <c r="H350" i="4" a="1"/>
  <c r="H350" i="4" s="1"/>
  <c r="I246" i="6"/>
  <c r="I322" i="6"/>
  <c r="I351" i="6"/>
  <c r="I423" i="6"/>
  <c r="I321" i="6"/>
  <c r="I397" i="6"/>
  <c r="I444" i="6"/>
  <c r="I311" i="6"/>
  <c r="I350" i="6"/>
  <c r="I377" i="6"/>
  <c r="I421" i="6"/>
  <c r="I279" i="6"/>
  <c r="I280" i="6"/>
  <c r="I425" i="6"/>
  <c r="I278" i="6"/>
  <c r="I275" i="6"/>
  <c r="I288" i="6"/>
  <c r="I298" i="6"/>
  <c r="I373" i="6"/>
  <c r="I341" i="6"/>
  <c r="I384" i="6"/>
  <c r="I315" i="6"/>
  <c r="I420" i="6"/>
  <c r="I267" i="6"/>
  <c r="I260" i="6"/>
  <c r="I292" i="6"/>
  <c r="I273" i="6"/>
  <c r="I361" i="6"/>
  <c r="I249" i="6"/>
  <c r="I323" i="6"/>
  <c r="I332" i="6"/>
  <c r="I277" i="6"/>
  <c r="I415" i="6"/>
  <c r="I346" i="6"/>
  <c r="I347" i="6"/>
  <c r="I394" i="6"/>
  <c r="I364" i="6"/>
  <c r="I330" i="6"/>
  <c r="I374" i="6"/>
  <c r="I310" i="6"/>
  <c r="I419" i="6"/>
  <c r="I304" i="6"/>
  <c r="I296" i="6"/>
  <c r="I424" i="6"/>
  <c r="I342" i="6"/>
  <c r="I355" i="6"/>
  <c r="I353" i="6"/>
  <c r="I283" i="6"/>
  <c r="I416" i="6"/>
  <c r="I269" i="6"/>
  <c r="I409" i="6"/>
  <c r="I305" i="6"/>
  <c r="I396" i="6"/>
  <c r="I410" i="6"/>
  <c r="I435" i="6"/>
  <c r="I289" i="6"/>
  <c r="I358" i="6"/>
  <c r="I270" i="6"/>
  <c r="I294" i="6"/>
  <c r="I291" i="6"/>
  <c r="I309" i="6"/>
  <c r="I385" i="6"/>
  <c r="I248" i="6"/>
  <c r="I401" i="6"/>
  <c r="I340" i="6"/>
  <c r="I382" i="6"/>
  <c r="I259" i="6"/>
  <c r="I368" i="6"/>
  <c r="I300" i="6"/>
  <c r="I381" i="6"/>
  <c r="I312" i="6"/>
  <c r="I268" i="6"/>
  <c r="I306" i="6"/>
  <c r="I443" i="6"/>
  <c r="I434" i="6"/>
  <c r="I440" i="6"/>
  <c r="I441" i="6"/>
  <c r="I429" i="6"/>
  <c r="I378" i="6"/>
  <c r="I398" i="6"/>
  <c r="I308" i="6"/>
  <c r="I324" i="6"/>
  <c r="I352" i="6"/>
  <c r="I295" i="6"/>
  <c r="I372" i="6"/>
  <c r="I375" i="6"/>
  <c r="I426" i="6"/>
  <c r="I412" i="6"/>
  <c r="I391" i="6"/>
  <c r="I439" i="6"/>
  <c r="I274" i="6"/>
  <c r="I356" i="6"/>
  <c r="I411" i="6"/>
  <c r="I247" i="6"/>
  <c r="I348" i="6"/>
  <c r="I354" i="6"/>
  <c r="I369" i="6"/>
  <c r="I271" i="6"/>
  <c r="I380" i="6"/>
  <c r="I338" i="6"/>
  <c r="I422" i="6"/>
  <c r="I360" i="6"/>
  <c r="I414" i="6"/>
  <c r="I272" i="6"/>
  <c r="I418" i="6"/>
  <c r="I371" i="6"/>
  <c r="I286" i="6"/>
  <c r="I282" i="6"/>
  <c r="I437" i="6"/>
  <c r="I376" i="6"/>
  <c r="I301" i="6"/>
  <c r="I428" i="6"/>
  <c r="I313" i="6"/>
  <c r="I399" i="6"/>
  <c r="I362" i="6"/>
  <c r="I445" i="6"/>
  <c r="I383" i="6"/>
  <c r="I345" i="6"/>
  <c r="I392" i="6"/>
  <c r="I343" i="6"/>
  <c r="I370" i="6"/>
  <c r="I329" i="6"/>
  <c r="I328" i="6"/>
  <c r="I379" i="6"/>
  <c r="I265" i="6"/>
  <c r="I307" i="6"/>
  <c r="I427" i="6"/>
  <c r="I299" i="6"/>
  <c r="I290" i="6"/>
  <c r="I303" i="6"/>
  <c r="I344" i="6"/>
  <c r="I302" i="6"/>
  <c r="I339" i="6"/>
  <c r="I285" i="6"/>
  <c r="I334" i="6"/>
  <c r="I287" i="6"/>
  <c r="I263" i="6"/>
  <c r="I430" i="6"/>
  <c r="I446" i="6"/>
  <c r="I438" i="6"/>
  <c r="I266" i="6"/>
  <c r="I318" i="6"/>
  <c r="I386" i="6"/>
  <c r="I408" i="6"/>
  <c r="I333" i="6"/>
  <c r="I261" i="6"/>
  <c r="I407" i="6"/>
  <c r="I325" i="6"/>
  <c r="I293" i="6"/>
  <c r="I442" i="6"/>
  <c r="I447" i="6"/>
  <c r="I393" i="6"/>
  <c r="I243" i="6"/>
  <c r="I297" i="6"/>
  <c r="I326" i="6"/>
  <c r="I319" i="6"/>
  <c r="I400" i="6"/>
  <c r="I284" i="6"/>
  <c r="I327" i="6"/>
  <c r="I363" i="6"/>
  <c r="I406" i="6"/>
  <c r="I388" i="6"/>
  <c r="I390" i="6"/>
  <c r="I413" i="6"/>
  <c r="I387" i="6"/>
  <c r="I281" i="6"/>
  <c r="I331" i="6"/>
  <c r="I436" i="6"/>
  <c r="I98" i="6"/>
  <c r="I99" i="6"/>
  <c r="I359" i="6"/>
  <c r="I250" i="6"/>
  <c r="I402" i="6"/>
  <c r="I349" i="6"/>
  <c r="I320" i="6"/>
  <c r="I258" i="6"/>
  <c r="I417" i="6"/>
  <c r="I276" i="6"/>
  <c r="I264" i="6"/>
  <c r="I66" i="6"/>
  <c r="I10" i="6"/>
  <c r="I36" i="6"/>
  <c r="I337" i="6"/>
  <c r="I336" i="6"/>
  <c r="I395" i="6"/>
  <c r="I314" i="6"/>
  <c r="I317" i="6"/>
  <c r="I389" i="6"/>
  <c r="I316" i="6"/>
  <c r="I335" i="6"/>
  <c r="I244" i="6"/>
  <c r="I403" i="6"/>
  <c r="I404" i="6"/>
  <c r="I405" i="6"/>
  <c r="I262" i="6"/>
  <c r="I367" i="6"/>
  <c r="I87" i="6"/>
  <c r="I182" i="6"/>
  <c r="I15" i="6"/>
  <c r="I146" i="6"/>
  <c r="I26" i="6"/>
  <c r="I35" i="6"/>
  <c r="I179" i="6"/>
  <c r="I9" i="6"/>
  <c r="I86" i="6"/>
  <c r="I79" i="6"/>
  <c r="I198" i="6"/>
  <c r="I16" i="6"/>
  <c r="I57" i="6"/>
  <c r="I19" i="6"/>
  <c r="I195" i="6"/>
  <c r="I109" i="6"/>
  <c r="I163" i="6"/>
  <c r="I68" i="6"/>
  <c r="I122" i="6"/>
  <c r="I72" i="6"/>
  <c r="I73" i="6"/>
  <c r="I47" i="6"/>
  <c r="I142" i="6"/>
  <c r="I143" i="6"/>
  <c r="I144" i="6"/>
  <c r="I49" i="6"/>
  <c r="I39" i="6"/>
  <c r="I17" i="6"/>
  <c r="I151" i="6"/>
  <c r="I152" i="6"/>
  <c r="I110" i="6"/>
  <c r="I164" i="6"/>
  <c r="I165" i="6"/>
  <c r="I166" i="6"/>
  <c r="I199" i="6"/>
  <c r="I200" i="6"/>
  <c r="I201" i="6"/>
  <c r="I202" i="6"/>
  <c r="I167" i="6"/>
  <c r="I168" i="6"/>
  <c r="I111" i="6"/>
  <c r="I112" i="6"/>
  <c r="I50" i="6"/>
  <c r="I51" i="6"/>
  <c r="I134" i="6"/>
  <c r="I52" i="6"/>
  <c r="I158" i="6"/>
  <c r="I69" i="6"/>
  <c r="I113" i="6"/>
  <c r="I190" i="6"/>
  <c r="I169" i="6"/>
  <c r="I181" i="6"/>
  <c r="I114" i="6"/>
  <c r="I115" i="6"/>
  <c r="I106" i="6"/>
  <c r="I107" i="6"/>
  <c r="I18" i="6"/>
  <c r="I191" i="6"/>
  <c r="I2" i="6"/>
  <c r="I100" i="6"/>
  <c r="I101" i="6"/>
  <c r="I43" i="6"/>
  <c r="I60" i="6"/>
  <c r="I123" i="6"/>
  <c r="I61" i="6"/>
  <c r="I124" i="6"/>
  <c r="I125" i="6"/>
  <c r="I126" i="6"/>
  <c r="I62" i="6"/>
  <c r="I63" i="6"/>
  <c r="I127" i="6"/>
  <c r="I7" i="6"/>
  <c r="I74" i="6"/>
  <c r="I176" i="6"/>
  <c r="I21" i="6"/>
  <c r="I128" i="6"/>
  <c r="I129" i="6"/>
  <c r="I64" i="6"/>
  <c r="I11" i="6"/>
  <c r="I12" i="6"/>
  <c r="I27" i="6"/>
  <c r="I88" i="6"/>
  <c r="I91" i="6"/>
  <c r="I13" i="6"/>
  <c r="I108" i="6"/>
  <c r="I4" i="6"/>
  <c r="I53" i="6"/>
  <c r="I90" i="6"/>
  <c r="I44" i="6"/>
  <c r="I159" i="6"/>
  <c r="I130" i="6"/>
  <c r="I131" i="6"/>
  <c r="I75" i="6"/>
  <c r="I76" i="6"/>
  <c r="I183" i="6"/>
  <c r="I89" i="6"/>
  <c r="I153" i="6"/>
  <c r="I40" i="6"/>
  <c r="I154" i="6"/>
  <c r="I137" i="6"/>
  <c r="I188" i="6"/>
  <c r="I189" i="6"/>
  <c r="I138" i="6"/>
  <c r="I155" i="6"/>
  <c r="I177" i="6"/>
  <c r="I77" i="6"/>
  <c r="I65" i="6"/>
  <c r="I132" i="6"/>
  <c r="I30" i="6"/>
  <c r="I78" i="6"/>
  <c r="I31" i="6"/>
  <c r="I103" i="6"/>
  <c r="I104" i="6"/>
  <c r="I105" i="6"/>
  <c r="I5" i="6"/>
  <c r="I70" i="6"/>
  <c r="I45" i="6"/>
  <c r="I170" i="6"/>
  <c r="I116" i="6"/>
  <c r="I71" i="6"/>
  <c r="I29" i="6"/>
  <c r="I20" i="6"/>
  <c r="I58" i="6"/>
  <c r="I120" i="6"/>
  <c r="I59" i="6"/>
  <c r="I175" i="6"/>
  <c r="I121" i="6"/>
  <c r="I117" i="6"/>
  <c r="I173" i="6"/>
  <c r="I174" i="6"/>
  <c r="I46" i="6"/>
  <c r="I28" i="6"/>
  <c r="I118" i="6"/>
  <c r="I119" i="6"/>
  <c r="I6" i="6"/>
  <c r="I192" i="6"/>
  <c r="I193" i="6"/>
  <c r="I194" i="6"/>
  <c r="I160" i="6"/>
  <c r="I161" i="6"/>
  <c r="I3" i="6"/>
  <c r="I102" i="6"/>
  <c r="I162" i="6"/>
  <c r="I14" i="6"/>
  <c r="I145" i="6"/>
  <c r="I197" i="6"/>
  <c r="I95" i="6"/>
  <c r="I186" i="6"/>
  <c r="I56" i="6"/>
  <c r="I92" i="6"/>
  <c r="I184" i="6"/>
  <c r="I203" i="6"/>
  <c r="I80" i="6"/>
  <c r="I32" i="6"/>
  <c r="I178" i="6"/>
  <c r="I81" i="6"/>
  <c r="I48" i="6"/>
  <c r="I22" i="6"/>
  <c r="I82" i="6"/>
  <c r="I23" i="6"/>
  <c r="I83" i="6"/>
  <c r="I24" i="6"/>
  <c r="I84" i="6"/>
  <c r="I8" i="6"/>
  <c r="I67" i="6"/>
  <c r="I133" i="6"/>
  <c r="I33" i="6"/>
  <c r="I25" i="6"/>
  <c r="I85" i="6"/>
  <c r="I34" i="6"/>
  <c r="I150" i="6"/>
  <c r="I156" i="6"/>
  <c r="I139" i="6"/>
  <c r="I157" i="6"/>
  <c r="I41" i="6"/>
  <c r="I96" i="6"/>
  <c r="I42" i="6"/>
  <c r="I97" i="6"/>
  <c r="I140" i="6"/>
  <c r="I141" i="6"/>
  <c r="I196" i="6"/>
  <c r="I147" i="6"/>
  <c r="I54" i="6"/>
  <c r="I37" i="6"/>
  <c r="I180" i="6"/>
  <c r="I93" i="6"/>
  <c r="I55" i="6"/>
  <c r="I94" i="6"/>
  <c r="I187" i="6"/>
  <c r="I38" i="6"/>
  <c r="I185" i="6"/>
  <c r="I136" i="6"/>
  <c r="I135" i="6"/>
  <c r="I148" i="6"/>
  <c r="I149" i="6"/>
  <c r="I204" i="6"/>
  <c r="I205" i="6"/>
  <c r="I206" i="6"/>
  <c r="I207" i="6"/>
  <c r="I208" i="6"/>
  <c r="I209" i="6"/>
  <c r="I171" i="6"/>
  <c r="I172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5" i="6"/>
  <c r="B397" i="3" a="1"/>
  <c r="B397" i="3" s="1"/>
  <c r="B396" i="3" a="1"/>
  <c r="B396" i="3" s="1"/>
  <c r="C396" i="3" a="1"/>
  <c r="C396" i="3" s="1"/>
  <c r="C397" i="3" a="1"/>
  <c r="C397" i="3" s="1"/>
  <c r="B398" i="3" a="1"/>
  <c r="B398" i="3" s="1"/>
  <c r="D398" i="3" s="1" a="1"/>
  <c r="D398" i="3" s="1"/>
  <c r="C398" i="3" a="1"/>
  <c r="C398" i="3" s="1"/>
  <c r="B399" i="3" a="1"/>
  <c r="B399" i="3" s="1"/>
  <c r="C399" i="3" a="1"/>
  <c r="C399" i="3" s="1"/>
  <c r="B400" i="3" a="1"/>
  <c r="B400" i="3" s="1"/>
  <c r="C400" i="3" a="1"/>
  <c r="C400" i="3" s="1"/>
  <c r="B401" i="3" a="1"/>
  <c r="B401" i="3" s="1"/>
  <c r="C401" i="3" a="1"/>
  <c r="C401" i="3" s="1"/>
  <c r="B402" i="3" a="1"/>
  <c r="B402" i="3" s="1"/>
  <c r="C402" i="3" a="1"/>
  <c r="C402" i="3" s="1"/>
  <c r="B403" i="3" a="1"/>
  <c r="B403" i="3" s="1"/>
  <c r="C403" i="3" a="1"/>
  <c r="C403" i="3" s="1"/>
  <c r="B394" i="3" a="1"/>
  <c r="B394" i="3" s="1"/>
  <c r="C394" i="3" a="1"/>
  <c r="C394" i="3" s="1"/>
  <c r="B395" i="3" a="1"/>
  <c r="B395" i="3" s="1"/>
  <c r="C395" i="3" a="1"/>
  <c r="C395" i="3" s="1"/>
  <c r="D396" i="3" l="1" a="1"/>
  <c r="D396" i="3" s="1"/>
  <c r="D397" i="3" a="1"/>
  <c r="D397" i="3" s="1"/>
  <c r="D400" i="3" a="1"/>
  <c r="D400" i="3" s="1"/>
  <c r="I400" i="3" a="1"/>
  <c r="I400" i="3" s="1"/>
  <c r="I396" i="3" a="1"/>
  <c r="I396" i="3" s="1"/>
  <c r="D403" i="3" a="1"/>
  <c r="D403" i="3" s="1"/>
  <c r="I403" i="3" a="1"/>
  <c r="I403" i="3" s="1"/>
  <c r="D399" i="3" a="1"/>
  <c r="D399" i="3" s="1"/>
  <c r="I399" i="3" a="1"/>
  <c r="I399" i="3" s="1"/>
  <c r="D402" i="3" a="1"/>
  <c r="D402" i="3" s="1"/>
  <c r="I402" i="3" a="1"/>
  <c r="I402" i="3" s="1"/>
  <c r="I398" i="3" a="1"/>
  <c r="I398" i="3" s="1"/>
  <c r="D401" i="3" a="1"/>
  <c r="D401" i="3" s="1"/>
  <c r="I401" i="3" a="1"/>
  <c r="I401" i="3" s="1"/>
  <c r="I397" i="3" a="1"/>
  <c r="I397" i="3" s="1"/>
  <c r="D395" i="3" a="1"/>
  <c r="D395" i="3" s="1"/>
  <c r="I395" i="3" a="1"/>
  <c r="I395" i="3" s="1"/>
  <c r="D394" i="3" a="1"/>
  <c r="D394" i="3" s="1"/>
  <c r="I394" i="3" a="1"/>
  <c r="I394" i="3" s="1"/>
  <c r="AI23" i="4" l="1"/>
  <c r="AI25" i="4"/>
  <c r="AI42" i="4"/>
  <c r="AI44" i="4"/>
  <c r="AI61" i="4"/>
  <c r="AI63" i="4"/>
  <c r="AI655" i="4"/>
  <c r="AH23" i="4"/>
  <c r="AH25" i="4"/>
  <c r="AH42" i="4"/>
  <c r="AH44" i="4"/>
  <c r="AH61" i="4"/>
  <c r="AH63" i="4"/>
  <c r="AH655" i="4"/>
  <c r="B385" i="3" l="1" a="1"/>
  <c r="B385" i="3" s="1"/>
  <c r="B386" i="3" a="1"/>
  <c r="B386" i="3" s="1"/>
  <c r="B387" i="3" a="1"/>
  <c r="B387" i="3" s="1"/>
  <c r="B388" i="3" a="1"/>
  <c r="B388" i="3" s="1"/>
  <c r="B389" i="3" a="1"/>
  <c r="B389" i="3" s="1"/>
  <c r="B390" i="3" a="1"/>
  <c r="B390" i="3" s="1"/>
  <c r="B391" i="3" a="1"/>
  <c r="B391" i="3" s="1"/>
  <c r="B392" i="3" a="1"/>
  <c r="B392" i="3" s="1"/>
  <c r="B393" i="3" a="1"/>
  <c r="B393" i="3" s="1"/>
  <c r="AG23" i="4"/>
  <c r="AG25" i="4"/>
  <c r="AG42" i="4"/>
  <c r="AG44" i="4"/>
  <c r="AG61" i="4"/>
  <c r="AG63" i="4"/>
  <c r="AG655" i="4"/>
  <c r="J353" i="3"/>
  <c r="C390" i="3" l="1" a="1"/>
  <c r="C390" i="3" s="1"/>
  <c r="C391" i="3" a="1"/>
  <c r="C391" i="3" s="1"/>
  <c r="C392" i="3" a="1"/>
  <c r="C392" i="3" s="1"/>
  <c r="C393" i="3" a="1"/>
  <c r="C393" i="3" s="1"/>
  <c r="D393" i="3" s="1" a="1"/>
  <c r="D393" i="3" s="1"/>
  <c r="I391" i="3" l="1" a="1"/>
  <c r="I391" i="3" s="1"/>
  <c r="D391" i="3" a="1"/>
  <c r="D391" i="3" s="1"/>
  <c r="B79" i="4" l="1" a="1"/>
  <c r="B79" i="4" s="1"/>
  <c r="C79" i="4" a="1"/>
  <c r="C79" i="4" s="1"/>
  <c r="H79" i="4" l="1" a="1"/>
  <c r="H79" i="4" s="1"/>
  <c r="AI79" i="4" s="1"/>
  <c r="E79" i="4" a="1"/>
  <c r="E79" i="4" s="1"/>
  <c r="D79" i="4" a="1"/>
  <c r="D79" i="4" s="1"/>
  <c r="B128" i="4" a="1"/>
  <c r="B128" i="4" s="1"/>
  <c r="C128" i="4" a="1"/>
  <c r="C128" i="4" s="1"/>
  <c r="C109" i="8"/>
  <c r="E109" i="8"/>
  <c r="G109" i="8"/>
  <c r="H109" i="8"/>
  <c r="H111" i="8"/>
  <c r="AG79" i="4" l="1"/>
  <c r="AH79" i="4"/>
  <c r="O79" i="4"/>
  <c r="W79" i="4"/>
  <c r="P79" i="4"/>
  <c r="X79" i="4"/>
  <c r="L79" i="4"/>
  <c r="T79" i="4"/>
  <c r="AC79" i="4"/>
  <c r="N79" i="4"/>
  <c r="Q79" i="4"/>
  <c r="Y79" i="4"/>
  <c r="J79" i="4"/>
  <c r="R79" i="4"/>
  <c r="Z79" i="4"/>
  <c r="K79" i="4"/>
  <c r="S79" i="4"/>
  <c r="AA79" i="4"/>
  <c r="AB79" i="4"/>
  <c r="M79" i="4"/>
  <c r="V79" i="4"/>
  <c r="AD79" i="4"/>
  <c r="U79" i="4"/>
  <c r="D128" i="4" a="1"/>
  <c r="D128" i="4" s="1"/>
  <c r="E98" i="6"/>
  <c r="D98" i="6"/>
  <c r="C98" i="6"/>
  <c r="B98" i="6"/>
  <c r="D5" i="7" l="1"/>
  <c r="C5" i="7" s="1"/>
  <c r="D6" i="7"/>
  <c r="C6" i="7" s="1"/>
  <c r="D7" i="7"/>
  <c r="C7" i="7" s="1"/>
  <c r="D8" i="7"/>
  <c r="C8" i="7" s="1"/>
  <c r="D9" i="7"/>
  <c r="C9" i="7" s="1"/>
  <c r="D10" i="7"/>
  <c r="C10" i="7" s="1"/>
  <c r="D11" i="7"/>
  <c r="C11" i="7" s="1"/>
  <c r="D12" i="7"/>
  <c r="C12" i="7" s="1"/>
  <c r="D13" i="7"/>
  <c r="C13" i="7" s="1"/>
  <c r="D14" i="7"/>
  <c r="C14" i="7" s="1"/>
  <c r="D15" i="7"/>
  <c r="C15" i="7" s="1"/>
  <c r="D16" i="7"/>
  <c r="C16" i="7" s="1"/>
  <c r="D17" i="7"/>
  <c r="C17" i="7" s="1"/>
  <c r="D18" i="7"/>
  <c r="C18" i="7" s="1"/>
  <c r="D19" i="7"/>
  <c r="C19" i="7" s="1"/>
  <c r="D20" i="7"/>
  <c r="C20" i="7" s="1"/>
  <c r="D21" i="7"/>
  <c r="C21" i="7" s="1"/>
  <c r="D22" i="7"/>
  <c r="C22" i="7" s="1"/>
  <c r="D23" i="7"/>
  <c r="C23" i="7" s="1"/>
  <c r="D24" i="7"/>
  <c r="C24" i="7" s="1"/>
  <c r="D3" i="7"/>
  <c r="C3" i="7" s="1"/>
  <c r="D4" i="7"/>
  <c r="C4" i="7" s="1"/>
  <c r="N60" i="8" l="1"/>
  <c r="K702" i="8"/>
  <c r="K694" i="8"/>
  <c r="K683" i="8"/>
  <c r="K675" i="8"/>
  <c r="K664" i="8"/>
  <c r="K656" i="8"/>
  <c r="B656" i="8"/>
  <c r="C715" i="8" s="1" a="1"/>
  <c r="C715" i="8" s="1"/>
  <c r="C654" i="8" a="1"/>
  <c r="C654" i="8" s="1"/>
  <c r="B654" i="8" a="1"/>
  <c r="B654" i="8" s="1"/>
  <c r="H653" i="8"/>
  <c r="C653" i="8" a="1"/>
  <c r="C653" i="8" s="1"/>
  <c r="B653" i="8" a="1"/>
  <c r="B653" i="8" s="1"/>
  <c r="I653" i="8" s="1" a="1"/>
  <c r="I653" i="8" s="1"/>
  <c r="C652" i="8" a="1"/>
  <c r="C652" i="8" s="1"/>
  <c r="B652" i="8" a="1"/>
  <c r="B652" i="8" s="1"/>
  <c r="H651" i="8"/>
  <c r="C651" i="8" a="1"/>
  <c r="C651" i="8" s="1"/>
  <c r="B651" i="8" a="1"/>
  <c r="B651" i="8" s="1"/>
  <c r="I651" i="8" s="1" a="1"/>
  <c r="I651" i="8" s="1"/>
  <c r="C650" i="8" a="1"/>
  <c r="C650" i="8" s="1"/>
  <c r="B650" i="8" a="1"/>
  <c r="B650" i="8" s="1"/>
  <c r="H649" i="8"/>
  <c r="C649" i="8" a="1"/>
  <c r="C649" i="8" s="1"/>
  <c r="B649" i="8" a="1"/>
  <c r="B649" i="8" s="1"/>
  <c r="I649" i="8" s="1" a="1"/>
  <c r="I649" i="8" s="1"/>
  <c r="C648" i="8" a="1"/>
  <c r="C648" i="8" s="1"/>
  <c r="B648" i="8" a="1"/>
  <c r="B648" i="8" s="1"/>
  <c r="I648" i="8" s="1" a="1"/>
  <c r="I648" i="8" s="1"/>
  <c r="H647" i="8"/>
  <c r="C647" i="8" a="1"/>
  <c r="C647" i="8" s="1"/>
  <c r="B647" i="8" a="1"/>
  <c r="B647" i="8" s="1"/>
  <c r="C646" i="8" a="1"/>
  <c r="C646" i="8" s="1"/>
  <c r="B646" i="8" a="1"/>
  <c r="B646" i="8" s="1"/>
  <c r="I646" i="8" s="1" a="1"/>
  <c r="I646" i="8" s="1"/>
  <c r="K645" i="8"/>
  <c r="H645" i="8"/>
  <c r="C645" i="8" a="1"/>
  <c r="C645" i="8" s="1"/>
  <c r="B645" i="8" a="1"/>
  <c r="B645" i="8" s="1"/>
  <c r="C644" i="8" a="1"/>
  <c r="C644" i="8" s="1"/>
  <c r="B644" i="8" a="1"/>
  <c r="B644" i="8" s="1"/>
  <c r="I644" i="8" s="1" a="1"/>
  <c r="I644" i="8" s="1"/>
  <c r="H643" i="8"/>
  <c r="C643" i="8" a="1"/>
  <c r="C643" i="8" s="1"/>
  <c r="B643" i="8" a="1"/>
  <c r="B643" i="8" s="1"/>
  <c r="I643" i="8" s="1" a="1"/>
  <c r="I643" i="8" s="1"/>
  <c r="C642" i="8" a="1"/>
  <c r="C642" i="8" s="1"/>
  <c r="B642" i="8" a="1"/>
  <c r="B642" i="8" s="1"/>
  <c r="I642" i="8" s="1" a="1"/>
  <c r="I642" i="8" s="1"/>
  <c r="H641" i="8"/>
  <c r="C641" i="8" a="1"/>
  <c r="C641" i="8" s="1"/>
  <c r="B641" i="8" a="1"/>
  <c r="B641" i="8" s="1"/>
  <c r="C640" i="8" a="1"/>
  <c r="C640" i="8" s="1"/>
  <c r="B640" i="8" a="1"/>
  <c r="B640" i="8" s="1"/>
  <c r="I640" i="8" s="1" a="1"/>
  <c r="I640" i="8" s="1"/>
  <c r="H639" i="8"/>
  <c r="C639" i="8" a="1"/>
  <c r="C639" i="8" s="1"/>
  <c r="B639" i="8" a="1"/>
  <c r="B639" i="8" s="1"/>
  <c r="I639" i="8" s="1" a="1"/>
  <c r="I639" i="8" s="1"/>
  <c r="C638" i="8" a="1"/>
  <c r="C638" i="8" s="1"/>
  <c r="B638" i="8" a="1"/>
  <c r="B638" i="8" s="1"/>
  <c r="I638" i="8" s="1" a="1"/>
  <c r="I638" i="8" s="1"/>
  <c r="K637" i="8"/>
  <c r="H637" i="8"/>
  <c r="C637" i="8" a="1"/>
  <c r="C637" i="8" s="1"/>
  <c r="B637" i="8" a="1"/>
  <c r="B637" i="8" s="1"/>
  <c r="C636" i="8" a="1"/>
  <c r="C636" i="8" s="1"/>
  <c r="B636" i="8" a="1"/>
  <c r="B636" i="8" s="1"/>
  <c r="I636" i="8" s="1" a="1"/>
  <c r="I636" i="8" s="1"/>
  <c r="H635" i="8"/>
  <c r="C635" i="8" a="1"/>
  <c r="C635" i="8" s="1"/>
  <c r="B635" i="8" a="1"/>
  <c r="B635" i="8" s="1"/>
  <c r="C634" i="8" a="1"/>
  <c r="C634" i="8" s="1"/>
  <c r="B634" i="8" a="1"/>
  <c r="B634" i="8" s="1"/>
  <c r="H633" i="8"/>
  <c r="C633" i="8" a="1"/>
  <c r="C633" i="8" s="1"/>
  <c r="B633" i="8" a="1"/>
  <c r="B633" i="8" s="1"/>
  <c r="C632" i="8" a="1"/>
  <c r="C632" i="8" s="1"/>
  <c r="B632" i="8" a="1"/>
  <c r="B632" i="8" s="1"/>
  <c r="H631" i="8"/>
  <c r="C631" i="8" a="1"/>
  <c r="C631" i="8" s="1"/>
  <c r="B631" i="8" a="1"/>
  <c r="B631" i="8" s="1"/>
  <c r="C630" i="8" a="1"/>
  <c r="C630" i="8" s="1"/>
  <c r="B630" i="8" a="1"/>
  <c r="B630" i="8" s="1"/>
  <c r="H629" i="8"/>
  <c r="C629" i="8" a="1"/>
  <c r="C629" i="8" s="1"/>
  <c r="B629" i="8" a="1"/>
  <c r="B629" i="8" s="1"/>
  <c r="C628" i="8" a="1"/>
  <c r="C628" i="8" s="1"/>
  <c r="B628" i="8" a="1"/>
  <c r="B628" i="8" s="1"/>
  <c r="H627" i="8"/>
  <c r="C627" i="8" a="1"/>
  <c r="C627" i="8" s="1"/>
  <c r="B627" i="8" a="1"/>
  <c r="B627" i="8" s="1"/>
  <c r="C626" i="8" a="1"/>
  <c r="C626" i="8" s="1"/>
  <c r="B626" i="8" a="1"/>
  <c r="B626" i="8" s="1"/>
  <c r="H625" i="8"/>
  <c r="C625" i="8" a="1"/>
  <c r="C625" i="8" s="1"/>
  <c r="B625" i="8" a="1"/>
  <c r="B625" i="8" s="1"/>
  <c r="C624" i="8" a="1"/>
  <c r="C624" i="8" s="1"/>
  <c r="B624" i="8" a="1"/>
  <c r="B624" i="8" s="1"/>
  <c r="H623" i="8"/>
  <c r="C623" i="8" a="1"/>
  <c r="C623" i="8" s="1"/>
  <c r="B623" i="8" a="1"/>
  <c r="B623" i="8" s="1"/>
  <c r="C618" i="8" a="1"/>
  <c r="C618" i="8" s="1"/>
  <c r="B618" i="8" a="1"/>
  <c r="B618" i="8" s="1"/>
  <c r="D618" i="8" s="1" a="1"/>
  <c r="D618" i="8" s="1"/>
  <c r="C617" i="8" a="1"/>
  <c r="C617" i="8" s="1"/>
  <c r="B617" i="8" a="1"/>
  <c r="B617" i="8" s="1"/>
  <c r="C616" i="8" a="1"/>
  <c r="C616" i="8" s="1"/>
  <c r="B616" i="8" a="1"/>
  <c r="B616" i="8" s="1"/>
  <c r="H615" i="8"/>
  <c r="C615" i="8" a="1"/>
  <c r="C615" i="8" s="1"/>
  <c r="B615" i="8" a="1"/>
  <c r="B615" i="8" s="1"/>
  <c r="C614" i="8" a="1"/>
  <c r="C614" i="8" s="1"/>
  <c r="B614" i="8" a="1"/>
  <c r="B614" i="8" s="1"/>
  <c r="K613" i="8"/>
  <c r="C613" i="8" a="1"/>
  <c r="C613" i="8" s="1"/>
  <c r="B613" i="8" a="1"/>
  <c r="B613" i="8" s="1"/>
  <c r="C612" i="8" a="1"/>
  <c r="C612" i="8" s="1"/>
  <c r="B612" i="8" a="1"/>
  <c r="B612" i="8" s="1"/>
  <c r="H611" i="8"/>
  <c r="C611" i="8" a="1"/>
  <c r="C611" i="8" s="1"/>
  <c r="B611" i="8" a="1"/>
  <c r="B611" i="8" s="1"/>
  <c r="C610" i="8" a="1"/>
  <c r="C610" i="8" s="1"/>
  <c r="B610" i="8" a="1"/>
  <c r="B610" i="8" s="1"/>
  <c r="K609" i="8"/>
  <c r="C609" i="8" a="1"/>
  <c r="C609" i="8" s="1"/>
  <c r="B609" i="8" a="1"/>
  <c r="B609" i="8" s="1"/>
  <c r="C608" i="8" a="1"/>
  <c r="C608" i="8" s="1"/>
  <c r="B608" i="8" a="1"/>
  <c r="B608" i="8" s="1"/>
  <c r="H607" i="8"/>
  <c r="C607" i="8" a="1"/>
  <c r="C607" i="8" s="1"/>
  <c r="B607" i="8" a="1"/>
  <c r="B607" i="8" s="1"/>
  <c r="C606" i="8" a="1"/>
  <c r="C606" i="8" s="1"/>
  <c r="B606" i="8" a="1"/>
  <c r="B606" i="8" s="1"/>
  <c r="K605" i="8"/>
  <c r="C605" i="8" a="1"/>
  <c r="C605" i="8" s="1"/>
  <c r="B605" i="8" a="1"/>
  <c r="B605" i="8" s="1"/>
  <c r="C604" i="8" a="1"/>
  <c r="C604" i="8" s="1"/>
  <c r="B604" i="8" a="1"/>
  <c r="B604" i="8" s="1"/>
  <c r="H603" i="8"/>
  <c r="C603" i="8" a="1"/>
  <c r="C603" i="8" s="1"/>
  <c r="B603" i="8" a="1"/>
  <c r="B603" i="8" s="1"/>
  <c r="K601" i="8"/>
  <c r="K593" i="8"/>
  <c r="K589" i="8"/>
  <c r="K585" i="8"/>
  <c r="K581" i="8"/>
  <c r="H579" i="8"/>
  <c r="H578" i="8"/>
  <c r="H577" i="8"/>
  <c r="H576" i="8"/>
  <c r="H575" i="8"/>
  <c r="K574" i="8"/>
  <c r="H574" i="8"/>
  <c r="H573" i="8"/>
  <c r="H572" i="8"/>
  <c r="H571" i="8"/>
  <c r="K570" i="8"/>
  <c r="H570" i="8"/>
  <c r="H569" i="8"/>
  <c r="H568" i="8"/>
  <c r="H567" i="8"/>
  <c r="K566" i="8"/>
  <c r="H566" i="8"/>
  <c r="H565" i="8"/>
  <c r="H564" i="8"/>
  <c r="K562" i="8"/>
  <c r="H560" i="8"/>
  <c r="H559" i="8"/>
  <c r="H558" i="8"/>
  <c r="H557" i="8"/>
  <c r="H556" i="8"/>
  <c r="H555" i="8"/>
  <c r="H554" i="8"/>
  <c r="H553" i="8"/>
  <c r="H552" i="8"/>
  <c r="H551" i="8"/>
  <c r="H550" i="8"/>
  <c r="H549" i="8"/>
  <c r="H548" i="8"/>
  <c r="H547" i="8"/>
  <c r="H546" i="8"/>
  <c r="H545" i="8"/>
  <c r="H541" i="8"/>
  <c r="H540" i="8"/>
  <c r="H539" i="8"/>
  <c r="H538" i="8"/>
  <c r="H537" i="8"/>
  <c r="H536" i="8"/>
  <c r="H535" i="8"/>
  <c r="H534" i="8"/>
  <c r="H533" i="8"/>
  <c r="H532" i="8"/>
  <c r="H531" i="8"/>
  <c r="H530" i="8"/>
  <c r="H529" i="8"/>
  <c r="H528" i="8"/>
  <c r="H527" i="8"/>
  <c r="H526" i="8"/>
  <c r="H522" i="8"/>
  <c r="H521" i="8"/>
  <c r="H520" i="8"/>
  <c r="H519" i="8"/>
  <c r="H518" i="8"/>
  <c r="H517" i="8"/>
  <c r="H516" i="8"/>
  <c r="H515" i="8"/>
  <c r="H514" i="8"/>
  <c r="H513" i="8"/>
  <c r="H512" i="8"/>
  <c r="H511" i="8"/>
  <c r="H510" i="8"/>
  <c r="H509" i="8"/>
  <c r="H508" i="8"/>
  <c r="H507" i="8"/>
  <c r="H503" i="8"/>
  <c r="H502" i="8"/>
  <c r="H501" i="8"/>
  <c r="H500" i="8"/>
  <c r="H499" i="8"/>
  <c r="H498" i="8"/>
  <c r="H497" i="8"/>
  <c r="H496" i="8"/>
  <c r="H495" i="8"/>
  <c r="H494" i="8"/>
  <c r="H493" i="8"/>
  <c r="H492" i="8"/>
  <c r="H491" i="8"/>
  <c r="H490" i="8"/>
  <c r="H489" i="8"/>
  <c r="H488" i="8"/>
  <c r="H485" i="8"/>
  <c r="H484" i="8"/>
  <c r="H483" i="8"/>
  <c r="H482" i="8"/>
  <c r="H481" i="8"/>
  <c r="H480" i="8"/>
  <c r="H479" i="8"/>
  <c r="H478" i="8"/>
  <c r="H477" i="8"/>
  <c r="H476" i="8"/>
  <c r="H475" i="8"/>
  <c r="H474" i="8"/>
  <c r="H473" i="8"/>
  <c r="H472" i="8"/>
  <c r="H471" i="8"/>
  <c r="H470" i="8"/>
  <c r="I467" i="8" a="1"/>
  <c r="I467" i="8" s="1"/>
  <c r="H454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25" i="8"/>
  <c r="H421" i="8"/>
  <c r="H420" i="8"/>
  <c r="H419" i="8"/>
  <c r="H418" i="8"/>
  <c r="H417" i="8"/>
  <c r="H416" i="8"/>
  <c r="H415" i="8"/>
  <c r="H414" i="8"/>
  <c r="H413" i="8"/>
  <c r="H412" i="8"/>
  <c r="H411" i="8"/>
  <c r="H410" i="8"/>
  <c r="H409" i="8"/>
  <c r="H408" i="8"/>
  <c r="H407" i="8"/>
  <c r="H406" i="8"/>
  <c r="B404" i="8"/>
  <c r="C419" i="8" s="1" a="1"/>
  <c r="C419" i="8" s="1"/>
  <c r="C402" i="8" a="1"/>
  <c r="C402" i="8" s="1"/>
  <c r="B402" i="8" a="1"/>
  <c r="B402" i="8" s="1"/>
  <c r="C401" i="8" a="1"/>
  <c r="C401" i="8" s="1"/>
  <c r="B401" i="8" a="1"/>
  <c r="B401" i="8" s="1"/>
  <c r="I401" i="8" s="1" a="1"/>
  <c r="I401" i="8" s="1"/>
  <c r="C400" i="8" a="1"/>
  <c r="C400" i="8" s="1"/>
  <c r="B400" i="8" a="1"/>
  <c r="B400" i="8" s="1"/>
  <c r="C399" i="8" a="1"/>
  <c r="C399" i="8" s="1"/>
  <c r="B399" i="8" a="1"/>
  <c r="B399" i="8" s="1"/>
  <c r="C398" i="8" a="1"/>
  <c r="C398" i="8" s="1"/>
  <c r="B398" i="8" a="1"/>
  <c r="B398" i="8" s="1"/>
  <c r="C397" i="8" a="1"/>
  <c r="C397" i="8" s="1"/>
  <c r="B397" i="8" a="1"/>
  <c r="B397" i="8" s="1"/>
  <c r="D397" i="8" s="1" a="1"/>
  <c r="D397" i="8" s="1"/>
  <c r="C396" i="8" a="1"/>
  <c r="C396" i="8" s="1"/>
  <c r="B396" i="8" a="1"/>
  <c r="B396" i="8" s="1"/>
  <c r="C395" i="8" a="1"/>
  <c r="C395" i="8" s="1"/>
  <c r="B395" i="8" a="1"/>
  <c r="B395" i="8" s="1"/>
  <c r="C394" i="8" a="1"/>
  <c r="C394" i="8" s="1"/>
  <c r="B394" i="8" a="1"/>
  <c r="B394" i="8" s="1"/>
  <c r="C393" i="8" a="1"/>
  <c r="C393" i="8" s="1"/>
  <c r="B393" i="8" a="1"/>
  <c r="B393" i="8" s="1"/>
  <c r="C392" i="8" a="1"/>
  <c r="C392" i="8" s="1"/>
  <c r="B392" i="8" a="1"/>
  <c r="B392" i="8" s="1"/>
  <c r="C391" i="8" a="1"/>
  <c r="C391" i="8" s="1"/>
  <c r="B391" i="8" a="1"/>
  <c r="B391" i="8" s="1"/>
  <c r="I391" i="8" s="1" a="1"/>
  <c r="I391" i="8" s="1"/>
  <c r="C390" i="8" a="1"/>
  <c r="C390" i="8" s="1"/>
  <c r="B390" i="8" a="1"/>
  <c r="B390" i="8" s="1"/>
  <c r="C389" i="8" a="1"/>
  <c r="C389" i="8" s="1"/>
  <c r="B389" i="8" a="1"/>
  <c r="B389" i="8" s="1"/>
  <c r="C388" i="8" a="1"/>
  <c r="C388" i="8" s="1"/>
  <c r="B388" i="8" a="1"/>
  <c r="B388" i="8" s="1"/>
  <c r="C387" i="8" a="1"/>
  <c r="C387" i="8" s="1"/>
  <c r="B387" i="8" a="1"/>
  <c r="B387" i="8" s="1"/>
  <c r="K380" i="8"/>
  <c r="K378" i="8"/>
  <c r="K376" i="8"/>
  <c r="K374" i="8"/>
  <c r="K372" i="8"/>
  <c r="K370" i="8"/>
  <c r="K368" i="8"/>
  <c r="K366" i="8"/>
  <c r="H364" i="8"/>
  <c r="H363" i="8"/>
  <c r="H362" i="8"/>
  <c r="K361" i="8"/>
  <c r="H361" i="8"/>
  <c r="H360" i="8"/>
  <c r="K359" i="8"/>
  <c r="H359" i="8"/>
  <c r="H358" i="8"/>
  <c r="K357" i="8"/>
  <c r="H357" i="8"/>
  <c r="H356" i="8"/>
  <c r="K355" i="8"/>
  <c r="H355" i="8"/>
  <c r="H354" i="8"/>
  <c r="K353" i="8"/>
  <c r="H353" i="8"/>
  <c r="H352" i="8"/>
  <c r="K351" i="8"/>
  <c r="H351" i="8"/>
  <c r="H350" i="8"/>
  <c r="K349" i="8"/>
  <c r="H349" i="8"/>
  <c r="K347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H315" i="8"/>
  <c r="H314" i="8"/>
  <c r="H313" i="8"/>
  <c r="H312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66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5" i="8"/>
  <c r="H222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185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48" i="8"/>
  <c r="H98" i="8"/>
  <c r="C98" i="8" a="1"/>
  <c r="C98" i="8" s="1"/>
  <c r="B98" i="8" a="1"/>
  <c r="B98" i="8" s="1"/>
  <c r="H62" i="8"/>
  <c r="H57" i="8"/>
  <c r="C57" i="8" a="1"/>
  <c r="C57" i="8" s="1"/>
  <c r="B57" i="8" a="1"/>
  <c r="B57" i="8" s="1"/>
  <c r="H56" i="8"/>
  <c r="C56" i="8" a="1"/>
  <c r="C56" i="8" s="1"/>
  <c r="B56" i="8" a="1"/>
  <c r="B56" i="8" s="1"/>
  <c r="H55" i="8"/>
  <c r="C55" i="8" a="1"/>
  <c r="C55" i="8" s="1"/>
  <c r="B55" i="8" a="1"/>
  <c r="B55" i="8" s="1"/>
  <c r="H54" i="8"/>
  <c r="C54" i="8" a="1"/>
  <c r="C54" i="8" s="1"/>
  <c r="B54" i="8" a="1"/>
  <c r="B54" i="8" s="1"/>
  <c r="H53" i="8"/>
  <c r="C53" i="8" a="1"/>
  <c r="C53" i="8" s="1"/>
  <c r="B53" i="8" a="1"/>
  <c r="B53" i="8" s="1"/>
  <c r="H52" i="8"/>
  <c r="C52" i="8" a="1"/>
  <c r="C52" i="8" s="1"/>
  <c r="B52" i="8" a="1"/>
  <c r="B52" i="8" s="1"/>
  <c r="H51" i="8"/>
  <c r="C51" i="8" a="1"/>
  <c r="C51" i="8" s="1"/>
  <c r="B51" i="8" a="1"/>
  <c r="B51" i="8" s="1"/>
  <c r="H50" i="8"/>
  <c r="C50" i="8" a="1"/>
  <c r="C50" i="8" s="1"/>
  <c r="B50" i="8" a="1"/>
  <c r="B50" i="8" s="1"/>
  <c r="H49" i="8"/>
  <c r="C49" i="8" a="1"/>
  <c r="C49" i="8" s="1"/>
  <c r="B49" i="8" a="1"/>
  <c r="B49" i="8" s="1"/>
  <c r="H48" i="8"/>
  <c r="C48" i="8" a="1"/>
  <c r="C48" i="8" s="1"/>
  <c r="B48" i="8" a="1"/>
  <c r="B48" i="8" s="1"/>
  <c r="H47" i="8"/>
  <c r="C47" i="8" a="1"/>
  <c r="C47" i="8" s="1"/>
  <c r="B47" i="8" a="1"/>
  <c r="B47" i="8" s="1"/>
  <c r="H46" i="8"/>
  <c r="C46" i="8" a="1"/>
  <c r="C46" i="8" s="1"/>
  <c r="B46" i="8" a="1"/>
  <c r="B46" i="8" s="1"/>
  <c r="H45" i="8"/>
  <c r="C45" i="8" a="1"/>
  <c r="C45" i="8" s="1"/>
  <c r="B45" i="8" a="1"/>
  <c r="B45" i="8" s="1"/>
  <c r="H44" i="8"/>
  <c r="C44" i="8" a="1"/>
  <c r="C44" i="8" s="1"/>
  <c r="B44" i="8" a="1"/>
  <c r="B44" i="8" s="1"/>
  <c r="H43" i="8"/>
  <c r="C43" i="8" a="1"/>
  <c r="C43" i="8" s="1"/>
  <c r="B43" i="8" a="1"/>
  <c r="B43" i="8" s="1"/>
  <c r="H42" i="8"/>
  <c r="C42" i="8" a="1"/>
  <c r="C42" i="8" s="1"/>
  <c r="B42" i="8" a="1"/>
  <c r="B42" i="8" s="1"/>
  <c r="H40" i="8"/>
  <c r="G40" i="8"/>
  <c r="F40" i="8"/>
  <c r="E40" i="8"/>
  <c r="C40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B21" i="8"/>
  <c r="C34" i="8" s="1" a="1"/>
  <c r="C34" i="8" s="1"/>
  <c r="H19" i="8"/>
  <c r="C19" i="8" a="1"/>
  <c r="C19" i="8" s="1"/>
  <c r="B19" i="8" a="1"/>
  <c r="B19" i="8" s="1"/>
  <c r="D19" i="8" s="1" a="1"/>
  <c r="D19" i="8" s="1"/>
  <c r="H18" i="8"/>
  <c r="C18" i="8" a="1"/>
  <c r="C18" i="8" s="1"/>
  <c r="B18" i="8" a="1"/>
  <c r="B18" i="8" s="1"/>
  <c r="I18" i="8" s="1" a="1"/>
  <c r="I18" i="8" s="1"/>
  <c r="H17" i="8"/>
  <c r="C17" i="8" a="1"/>
  <c r="C17" i="8" s="1"/>
  <c r="B17" i="8" a="1"/>
  <c r="B17" i="8" s="1"/>
  <c r="H16" i="8"/>
  <c r="C16" i="8" a="1"/>
  <c r="C16" i="8" s="1"/>
  <c r="B16" i="8" a="1"/>
  <c r="B16" i="8" s="1"/>
  <c r="H15" i="8"/>
  <c r="C15" i="8" a="1"/>
  <c r="C15" i="8" s="1"/>
  <c r="B15" i="8" a="1"/>
  <c r="B15" i="8" s="1"/>
  <c r="H14" i="8"/>
  <c r="C14" i="8" a="1"/>
  <c r="C14" i="8" s="1"/>
  <c r="B14" i="8" a="1"/>
  <c r="B14" i="8" s="1"/>
  <c r="H13" i="8"/>
  <c r="C13" i="8" a="1"/>
  <c r="C13" i="8" s="1"/>
  <c r="B13" i="8" a="1"/>
  <c r="B13" i="8" s="1"/>
  <c r="H12" i="8"/>
  <c r="C12" i="8" a="1"/>
  <c r="C12" i="8" s="1"/>
  <c r="B12" i="8" a="1"/>
  <c r="B12" i="8" s="1"/>
  <c r="H11" i="8"/>
  <c r="C11" i="8" a="1"/>
  <c r="C11" i="8" s="1"/>
  <c r="B11" i="8" a="1"/>
  <c r="B11" i="8" s="1"/>
  <c r="H10" i="8"/>
  <c r="C10" i="8" a="1"/>
  <c r="C10" i="8" s="1"/>
  <c r="B10" i="8" a="1"/>
  <c r="B10" i="8" s="1"/>
  <c r="H9" i="8"/>
  <c r="C9" i="8" a="1"/>
  <c r="C9" i="8" s="1"/>
  <c r="B9" i="8" a="1"/>
  <c r="B9" i="8" s="1"/>
  <c r="H8" i="8"/>
  <c r="C8" i="8" a="1"/>
  <c r="C8" i="8" s="1"/>
  <c r="B8" i="8" a="1"/>
  <c r="B8" i="8" s="1"/>
  <c r="H7" i="8"/>
  <c r="C7" i="8" a="1"/>
  <c r="C7" i="8" s="1"/>
  <c r="B7" i="8" a="1"/>
  <c r="B7" i="8" s="1"/>
  <c r="H6" i="8"/>
  <c r="C6" i="8" a="1"/>
  <c r="C6" i="8" s="1"/>
  <c r="B6" i="8" a="1"/>
  <c r="B6" i="8" s="1"/>
  <c r="H5" i="8"/>
  <c r="C5" i="8" a="1"/>
  <c r="C5" i="8" s="1"/>
  <c r="B5" i="8" a="1"/>
  <c r="B5" i="8" s="1"/>
  <c r="H4" i="8"/>
  <c r="C4" i="8" a="1"/>
  <c r="C4" i="8" s="1"/>
  <c r="B4" i="8" a="1"/>
  <c r="B4" i="8" s="1"/>
  <c r="J326" i="3"/>
  <c r="J331" i="3"/>
  <c r="J335" i="3"/>
  <c r="J380" i="3"/>
  <c r="N5" i="1"/>
  <c r="M6" i="1" s="1"/>
  <c r="D6" i="1" s="1"/>
  <c r="D5" i="1"/>
  <c r="I11" i="8" l="1" a="1"/>
  <c r="I11" i="8" s="1"/>
  <c r="I389" i="8" a="1"/>
  <c r="I389" i="8" s="1"/>
  <c r="I634" i="8" a="1"/>
  <c r="I634" i="8" s="1"/>
  <c r="I632" i="8" a="1"/>
  <c r="I632" i="8" s="1"/>
  <c r="I633" i="8" a="1"/>
  <c r="I633" i="8" s="1"/>
  <c r="I630" i="8" a="1"/>
  <c r="I630" i="8" s="1"/>
  <c r="D10" i="8" a="1"/>
  <c r="D10" i="8" s="1"/>
  <c r="N6" i="1"/>
  <c r="M7" i="1" s="1"/>
  <c r="D7" i="1" s="1"/>
  <c r="I608" i="8" a="1"/>
  <c r="I608" i="8" s="1"/>
  <c r="D613" i="8" a="1"/>
  <c r="D613" i="8" s="1"/>
  <c r="I616" i="8" a="1"/>
  <c r="I616" i="8" s="1"/>
  <c r="I611" i="8" a="1"/>
  <c r="I611" i="8" s="1"/>
  <c r="I609" i="8" a="1"/>
  <c r="I609" i="8" s="1"/>
  <c r="D605" i="8" a="1"/>
  <c r="D605" i="8" s="1"/>
  <c r="I57" i="8" a="1"/>
  <c r="I57" i="8" s="1"/>
  <c r="I48" i="8" a="1"/>
  <c r="I48" i="8" s="1"/>
  <c r="I56" i="8" a="1"/>
  <c r="I56" i="8" s="1"/>
  <c r="D50" i="8" a="1"/>
  <c r="D50" i="8" s="1"/>
  <c r="I628" i="8" a="1"/>
  <c r="I628" i="8" s="1"/>
  <c r="H658" i="8"/>
  <c r="C668" i="8" a="1"/>
  <c r="C668" i="8" s="1"/>
  <c r="I605" i="8" a="1"/>
  <c r="I605" i="8" s="1"/>
  <c r="H677" i="8"/>
  <c r="C407" i="8" a="1"/>
  <c r="C407" i="8" s="1"/>
  <c r="E60" i="8"/>
  <c r="D608" i="8" a="1"/>
  <c r="D608" i="8" s="1"/>
  <c r="C711" i="8" a="1"/>
  <c r="C711" i="8" s="1"/>
  <c r="I613" i="8" a="1"/>
  <c r="I613" i="8" s="1"/>
  <c r="B658" i="8" a="1"/>
  <c r="B658" i="8" s="1"/>
  <c r="B62" i="8" a="1"/>
  <c r="B62" i="8" s="1"/>
  <c r="B659" i="8" a="1"/>
  <c r="B659" i="8" s="1"/>
  <c r="H376" i="8"/>
  <c r="B662" i="8" a="1"/>
  <c r="B662" i="8" s="1"/>
  <c r="C663" i="8" a="1"/>
  <c r="C663" i="8" s="1"/>
  <c r="B668" i="8" a="1"/>
  <c r="B668" i="8" s="1"/>
  <c r="H696" i="8"/>
  <c r="H715" i="8"/>
  <c r="D402" i="8" a="1"/>
  <c r="D402" i="8" s="1"/>
  <c r="E402" i="8" a="1"/>
  <c r="E402" i="8" s="1"/>
  <c r="D606" i="8" a="1"/>
  <c r="D606" i="8" s="1"/>
  <c r="I650" i="8" a="1"/>
  <c r="I650" i="8" s="1"/>
  <c r="E650" i="8" a="1"/>
  <c r="E650" i="8" s="1"/>
  <c r="D650" i="8" a="1"/>
  <c r="D650" i="8" s="1"/>
  <c r="D399" i="8" a="1"/>
  <c r="D399" i="8" s="1"/>
  <c r="E399" i="8" a="1"/>
  <c r="E399" i="8" s="1"/>
  <c r="I612" i="8" a="1"/>
  <c r="I612" i="8" s="1"/>
  <c r="D612" i="8" a="1"/>
  <c r="D612" i="8" s="1"/>
  <c r="I614" i="8" a="1"/>
  <c r="I614" i="8" s="1"/>
  <c r="D614" i="8" a="1"/>
  <c r="D614" i="8" s="1"/>
  <c r="E614" i="8" a="1"/>
  <c r="E614" i="8" s="1"/>
  <c r="I635" i="8" a="1"/>
  <c r="I635" i="8" s="1"/>
  <c r="E635" i="8" a="1"/>
  <c r="E635" i="8" s="1"/>
  <c r="D635" i="8" a="1"/>
  <c r="D635" i="8" s="1"/>
  <c r="E387" i="8" a="1"/>
  <c r="E387" i="8" s="1"/>
  <c r="D387" i="8" a="1"/>
  <c r="D387" i="8" s="1"/>
  <c r="I387" i="8" a="1"/>
  <c r="I387" i="8" s="1"/>
  <c r="D615" i="8" a="1"/>
  <c r="D615" i="8" s="1"/>
  <c r="D629" i="8" a="1"/>
  <c r="D629" i="8" s="1"/>
  <c r="I629" i="8" a="1"/>
  <c r="I629" i="8" s="1"/>
  <c r="I647" i="8" a="1"/>
  <c r="I647" i="8" s="1"/>
  <c r="E647" i="8" a="1"/>
  <c r="E647" i="8" s="1"/>
  <c r="D647" i="8" a="1"/>
  <c r="D647" i="8" s="1"/>
  <c r="B36" i="8" a="1"/>
  <c r="B36" i="8" s="1"/>
  <c r="B410" i="8" a="1"/>
  <c r="B410" i="8" s="1"/>
  <c r="B413" i="8" a="1"/>
  <c r="B413" i="8" s="1"/>
  <c r="B415" i="8" a="1"/>
  <c r="B415" i="8" s="1"/>
  <c r="C417" i="8" a="1"/>
  <c r="C417" i="8" s="1"/>
  <c r="C420" i="8" a="1"/>
  <c r="C420" i="8" s="1"/>
  <c r="B663" i="8" a="1"/>
  <c r="B663" i="8" s="1"/>
  <c r="B667" i="8" a="1"/>
  <c r="B667" i="8" s="1"/>
  <c r="B406" i="8" a="1"/>
  <c r="B406" i="8" s="1"/>
  <c r="C410" i="8" a="1"/>
  <c r="C410" i="8" s="1"/>
  <c r="E618" i="8" a="1"/>
  <c r="E618" i="8" s="1"/>
  <c r="C406" i="8" a="1"/>
  <c r="C406" i="8" s="1"/>
  <c r="B408" i="8" a="1"/>
  <c r="B408" i="8" s="1"/>
  <c r="C415" i="8" a="1"/>
  <c r="C415" i="8" s="1"/>
  <c r="B418" i="8" a="1"/>
  <c r="B418" i="8" s="1"/>
  <c r="B421" i="8" a="1"/>
  <c r="B421" i="8" s="1"/>
  <c r="I618" i="8" a="1"/>
  <c r="I618" i="8" s="1"/>
  <c r="D633" i="8" a="1"/>
  <c r="D633" i="8" s="1"/>
  <c r="C411" i="8" a="1"/>
  <c r="C411" i="8" s="1"/>
  <c r="C659" i="8" a="1"/>
  <c r="C659" i="8" s="1"/>
  <c r="C664" i="8" a="1"/>
  <c r="C664" i="8" s="1"/>
  <c r="C669" i="8" a="1"/>
  <c r="C669" i="8" s="1"/>
  <c r="B683" i="8" a="1"/>
  <c r="B683" i="8" s="1"/>
  <c r="H378" i="8"/>
  <c r="B416" i="8" a="1"/>
  <c r="B416" i="8" s="1"/>
  <c r="C418" i="8" a="1"/>
  <c r="C418" i="8" s="1"/>
  <c r="D611" i="8" a="1"/>
  <c r="D611" i="8" s="1"/>
  <c r="E633" i="8" a="1"/>
  <c r="E633" i="8" s="1"/>
  <c r="B660" i="8" a="1"/>
  <c r="B660" i="8" s="1"/>
  <c r="B407" i="8" a="1"/>
  <c r="B407" i="8" s="1"/>
  <c r="B409" i="8" a="1"/>
  <c r="B409" i="8" s="1"/>
  <c r="C414" i="8" a="1"/>
  <c r="C414" i="8" s="1"/>
  <c r="H595" i="8"/>
  <c r="D617" i="8" a="1"/>
  <c r="D617" i="8" s="1"/>
  <c r="C689" i="8" a="1"/>
  <c r="C689" i="8" s="1"/>
  <c r="C60" i="8"/>
  <c r="H370" i="8"/>
  <c r="C409" i="8" a="1"/>
  <c r="C409" i="8" s="1"/>
  <c r="C412" i="8" a="1"/>
  <c r="C412" i="8" s="1"/>
  <c r="B417" i="8" a="1"/>
  <c r="B417" i="8" s="1"/>
  <c r="C661" i="8" a="1"/>
  <c r="C661" i="8" s="1"/>
  <c r="B665" i="8" a="1"/>
  <c r="B665" i="8" s="1"/>
  <c r="B708" i="8" a="1"/>
  <c r="B708" i="8" s="1"/>
  <c r="I49" i="8" a="1"/>
  <c r="I49" i="8" s="1"/>
  <c r="D49" i="8" a="1"/>
  <c r="D49" i="8" s="1"/>
  <c r="D57" i="8" a="1"/>
  <c r="D57" i="8" s="1"/>
  <c r="G60" i="8"/>
  <c r="H60" i="8"/>
  <c r="C62" i="8" a="1"/>
  <c r="C62" i="8" s="1"/>
  <c r="B28" i="8" a="1"/>
  <c r="B28" i="8" s="1"/>
  <c r="D18" i="8" a="1"/>
  <c r="D18" i="8" s="1"/>
  <c r="E18" i="8" a="1"/>
  <c r="E18" i="8" s="1"/>
  <c r="C30" i="8" a="1"/>
  <c r="C30" i="8" s="1"/>
  <c r="C38" i="8" a="1"/>
  <c r="C38" i="8" s="1"/>
  <c r="D14" i="8" a="1"/>
  <c r="D14" i="8" s="1"/>
  <c r="I14" i="8" a="1"/>
  <c r="I14" i="8" s="1"/>
  <c r="E14" i="8" a="1"/>
  <c r="E14" i="8" s="1"/>
  <c r="D55" i="8" a="1"/>
  <c r="D55" i="8" s="1"/>
  <c r="I55" i="8" a="1"/>
  <c r="I55" i="8" s="1"/>
  <c r="D52" i="8" a="1"/>
  <c r="D52" i="8" s="1"/>
  <c r="I52" i="8" a="1"/>
  <c r="I52" i="8" s="1"/>
  <c r="I10" i="8" a="1"/>
  <c r="I10" i="8" s="1"/>
  <c r="E16" i="8" a="1"/>
  <c r="E16" i="8" s="1"/>
  <c r="D16" i="8" a="1"/>
  <c r="D16" i="8" s="1"/>
  <c r="I16" i="8" a="1"/>
  <c r="I16" i="8" s="1"/>
  <c r="I12" i="8" a="1"/>
  <c r="I12" i="8" s="1"/>
  <c r="D12" i="8" a="1"/>
  <c r="D12" i="8" s="1"/>
  <c r="I51" i="8" a="1"/>
  <c r="I51" i="8" s="1"/>
  <c r="D51" i="8" a="1"/>
  <c r="D51" i="8" s="1"/>
  <c r="D53" i="8" a="1"/>
  <c r="D53" i="8" s="1"/>
  <c r="I53" i="8" a="1"/>
  <c r="I53" i="8" s="1"/>
  <c r="I15" i="8" a="1"/>
  <c r="I15" i="8" s="1"/>
  <c r="E15" i="8" a="1"/>
  <c r="E15" i="8" s="1"/>
  <c r="D15" i="8" a="1"/>
  <c r="D15" i="8" s="1"/>
  <c r="I17" i="8" a="1"/>
  <c r="I17" i="8" s="1"/>
  <c r="E17" i="8" a="1"/>
  <c r="E17" i="8" s="1"/>
  <c r="D17" i="8" a="1"/>
  <c r="D17" i="8" s="1"/>
  <c r="D11" i="8" a="1"/>
  <c r="D11" i="8" s="1"/>
  <c r="E13" i="8" a="1"/>
  <c r="E13" i="8" s="1"/>
  <c r="D13" i="8" a="1"/>
  <c r="D13" i="8" s="1"/>
  <c r="I13" i="8" a="1"/>
  <c r="I13" i="8" s="1"/>
  <c r="I54" i="8" a="1"/>
  <c r="I54" i="8" s="1"/>
  <c r="D54" i="8" a="1"/>
  <c r="D54" i="8" s="1"/>
  <c r="I50" i="8" a="1"/>
  <c r="I50" i="8" s="1"/>
  <c r="E19" i="8" a="1"/>
  <c r="E19" i="8" s="1"/>
  <c r="B27" i="8" a="1"/>
  <c r="B27" i="8" s="1"/>
  <c r="C29" i="8" a="1"/>
  <c r="C29" i="8" s="1"/>
  <c r="B35" i="8" a="1"/>
  <c r="B35" i="8" s="1"/>
  <c r="C37" i="8" a="1"/>
  <c r="C37" i="8" s="1"/>
  <c r="D48" i="8" a="1"/>
  <c r="D48" i="8" s="1"/>
  <c r="D56" i="8" a="1"/>
  <c r="D56" i="8" s="1"/>
  <c r="C24" i="8" a="1"/>
  <c r="C24" i="8" s="1"/>
  <c r="I19" i="8" a="1"/>
  <c r="I19" i="8" s="1"/>
  <c r="B30" i="8" a="1"/>
  <c r="B30" i="8" s="1"/>
  <c r="C32" i="8" a="1"/>
  <c r="C32" i="8" s="1"/>
  <c r="B38" i="8" a="1"/>
  <c r="B38" i="8" s="1"/>
  <c r="B25" i="8" a="1"/>
  <c r="B25" i="8" s="1"/>
  <c r="C27" i="8" a="1"/>
  <c r="C27" i="8" s="1"/>
  <c r="B33" i="8" a="1"/>
  <c r="B33" i="8" s="1"/>
  <c r="C35" i="8" a="1"/>
  <c r="C35" i="8" s="1"/>
  <c r="B23" i="8" a="1"/>
  <c r="B23" i="8" s="1"/>
  <c r="C25" i="8" a="1"/>
  <c r="C25" i="8" s="1"/>
  <c r="B31" i="8" a="1"/>
  <c r="B31" i="8" s="1"/>
  <c r="C33" i="8" a="1"/>
  <c r="C33" i="8" s="1"/>
  <c r="B26" i="8" a="1"/>
  <c r="B26" i="8" s="1"/>
  <c r="C28" i="8" a="1"/>
  <c r="C28" i="8" s="1"/>
  <c r="B34" i="8" a="1"/>
  <c r="B34" i="8" s="1"/>
  <c r="C36" i="8" a="1"/>
  <c r="C36" i="8" s="1"/>
  <c r="C23" i="8" a="1"/>
  <c r="C23" i="8" s="1"/>
  <c r="B29" i="8" a="1"/>
  <c r="B29" i="8" s="1"/>
  <c r="C31" i="8" a="1"/>
  <c r="C31" i="8" s="1"/>
  <c r="B37" i="8" a="1"/>
  <c r="B37" i="8" s="1"/>
  <c r="B24" i="8" a="1"/>
  <c r="B24" i="8" s="1"/>
  <c r="C26" i="8" a="1"/>
  <c r="C26" i="8" s="1"/>
  <c r="B32" i="8" a="1"/>
  <c r="B32" i="8" s="1"/>
  <c r="D388" i="8" a="1"/>
  <c r="D388" i="8" s="1"/>
  <c r="I388" i="8" a="1"/>
  <c r="I388" i="8" s="1"/>
  <c r="I392" i="8" a="1"/>
  <c r="I392" i="8" s="1"/>
  <c r="E392" i="8" a="1"/>
  <c r="E392" i="8" s="1"/>
  <c r="D392" i="8" a="1"/>
  <c r="D392" i="8" s="1"/>
  <c r="E395" i="8" a="1"/>
  <c r="E395" i="8" s="1"/>
  <c r="D395" i="8" a="1"/>
  <c r="D395" i="8" s="1"/>
  <c r="I395" i="8" a="1"/>
  <c r="I395" i="8" s="1"/>
  <c r="E388" i="8" a="1"/>
  <c r="E388" i="8" s="1"/>
  <c r="I393" i="8" a="1"/>
  <c r="I393" i="8" s="1"/>
  <c r="E393" i="8" a="1"/>
  <c r="E393" i="8" s="1"/>
  <c r="D393" i="8" a="1"/>
  <c r="D393" i="8" s="1"/>
  <c r="I396" i="8" a="1"/>
  <c r="I396" i="8" s="1"/>
  <c r="E396" i="8" a="1"/>
  <c r="E396" i="8" s="1"/>
  <c r="D396" i="8" a="1"/>
  <c r="D396" i="8" s="1"/>
  <c r="H380" i="8"/>
  <c r="H387" i="8"/>
  <c r="H395" i="8"/>
  <c r="H374" i="8"/>
  <c r="H368" i="8"/>
  <c r="H372" i="8"/>
  <c r="H382" i="8"/>
  <c r="H389" i="8"/>
  <c r="I398" i="8" a="1"/>
  <c r="I398" i="8" s="1"/>
  <c r="E398" i="8" a="1"/>
  <c r="E398" i="8" s="1"/>
  <c r="D398" i="8" a="1"/>
  <c r="D398" i="8" s="1"/>
  <c r="H391" i="8"/>
  <c r="H393" i="8"/>
  <c r="I390" i="8" a="1"/>
  <c r="I390" i="8" s="1"/>
  <c r="E390" i="8" a="1"/>
  <c r="E390" i="8" s="1"/>
  <c r="E391" i="8" a="1"/>
  <c r="E391" i="8" s="1"/>
  <c r="D391" i="8" a="1"/>
  <c r="D391" i="8" s="1"/>
  <c r="I400" i="8" a="1"/>
  <c r="I400" i="8" s="1"/>
  <c r="E400" i="8" a="1"/>
  <c r="E400" i="8" s="1"/>
  <c r="D389" i="8" a="1"/>
  <c r="D389" i="8" s="1"/>
  <c r="I397" i="8" a="1"/>
  <c r="I397" i="8" s="1"/>
  <c r="E397" i="8" a="1"/>
  <c r="E397" i="8" s="1"/>
  <c r="D400" i="8" a="1"/>
  <c r="D400" i="8" s="1"/>
  <c r="H397" i="8"/>
  <c r="E389" i="8" a="1"/>
  <c r="E389" i="8" s="1"/>
  <c r="D390" i="8" a="1"/>
  <c r="D390" i="8" s="1"/>
  <c r="I394" i="8" a="1"/>
  <c r="I394" i="8" s="1"/>
  <c r="E394" i="8" a="1"/>
  <c r="E394" i="8" s="1"/>
  <c r="D394" i="8" a="1"/>
  <c r="D394" i="8" s="1"/>
  <c r="H399" i="8"/>
  <c r="H401" i="8"/>
  <c r="I402" i="8" a="1"/>
  <c r="I402" i="8" s="1"/>
  <c r="I399" i="8" a="1"/>
  <c r="I399" i="8" s="1"/>
  <c r="D401" i="8" a="1"/>
  <c r="D401" i="8" s="1"/>
  <c r="B420" i="8" a="1"/>
  <c r="B420" i="8" s="1"/>
  <c r="C416" i="8" a="1"/>
  <c r="C416" i="8" s="1"/>
  <c r="B414" i="8" a="1"/>
  <c r="B414" i="8" s="1"/>
  <c r="C408" i="8" a="1"/>
  <c r="C408" i="8" s="1"/>
  <c r="C421" i="8" a="1"/>
  <c r="C421" i="8" s="1"/>
  <c r="B419" i="8" a="1"/>
  <c r="B419" i="8" s="1"/>
  <c r="C413" i="8" a="1"/>
  <c r="C413" i="8" s="1"/>
  <c r="B411" i="8" a="1"/>
  <c r="B411" i="8" s="1"/>
  <c r="E401" i="8" a="1"/>
  <c r="E401" i="8" s="1"/>
  <c r="B412" i="8" a="1"/>
  <c r="B412" i="8" s="1"/>
  <c r="I603" i="8" a="1"/>
  <c r="I603" i="8" s="1"/>
  <c r="D603" i="8" a="1"/>
  <c r="D603" i="8" s="1"/>
  <c r="D610" i="8" a="1"/>
  <c r="D610" i="8" s="1"/>
  <c r="I610" i="8" a="1"/>
  <c r="I610" i="8" s="1"/>
  <c r="H587" i="8"/>
  <c r="H583" i="8"/>
  <c r="H591" i="8"/>
  <c r="D637" i="8" a="1"/>
  <c r="D637" i="8" s="1"/>
  <c r="I637" i="8" a="1"/>
  <c r="I637" i="8" s="1"/>
  <c r="E637" i="8" a="1"/>
  <c r="E637" i="8" s="1"/>
  <c r="I604" i="8" a="1"/>
  <c r="I604" i="8" s="1"/>
  <c r="D604" i="8" a="1"/>
  <c r="D604" i="8" s="1"/>
  <c r="D607" i="8" a="1"/>
  <c r="D607" i="8" s="1"/>
  <c r="I607" i="8" a="1"/>
  <c r="I607" i="8" s="1"/>
  <c r="I606" i="8" a="1"/>
  <c r="I606" i="8" s="1"/>
  <c r="D609" i="8" a="1"/>
  <c r="D609" i="8" s="1"/>
  <c r="D616" i="8" a="1"/>
  <c r="D616" i="8" s="1"/>
  <c r="D625" i="8" a="1"/>
  <c r="D625" i="8" s="1"/>
  <c r="I625" i="8" a="1"/>
  <c r="I625" i="8" s="1"/>
  <c r="D631" i="8" a="1"/>
  <c r="D631" i="8" s="1"/>
  <c r="I631" i="8" a="1"/>
  <c r="I631" i="8" s="1"/>
  <c r="D652" i="8" a="1"/>
  <c r="D652" i="8" s="1"/>
  <c r="I652" i="8" a="1"/>
  <c r="I652" i="8" s="1"/>
  <c r="E652" i="8" a="1"/>
  <c r="E652" i="8" s="1"/>
  <c r="I617" i="8" a="1"/>
  <c r="I617" i="8" s="1"/>
  <c r="I641" i="8" a="1"/>
  <c r="I641" i="8" s="1"/>
  <c r="E641" i="8" a="1"/>
  <c r="E641" i="8" s="1"/>
  <c r="D641" i="8" a="1"/>
  <c r="D641" i="8" s="1"/>
  <c r="I627" i="8" a="1"/>
  <c r="I627" i="8" s="1"/>
  <c r="D627" i="8" a="1"/>
  <c r="D627" i="8" s="1"/>
  <c r="I615" i="8" a="1"/>
  <c r="I615" i="8" s="1"/>
  <c r="D624" i="8" a="1"/>
  <c r="D624" i="8" s="1"/>
  <c r="I624" i="8" a="1"/>
  <c r="I624" i="8" s="1"/>
  <c r="E643" i="8" a="1"/>
  <c r="E643" i="8" s="1"/>
  <c r="D643" i="8" a="1"/>
  <c r="D643" i="8" s="1"/>
  <c r="E645" i="8" a="1"/>
  <c r="E645" i="8" s="1"/>
  <c r="D645" i="8" a="1"/>
  <c r="D645" i="8" s="1"/>
  <c r="I645" i="8" a="1"/>
  <c r="I645" i="8" s="1"/>
  <c r="D623" i="8" a="1"/>
  <c r="D623" i="8" s="1"/>
  <c r="I623" i="8" a="1"/>
  <c r="I623" i="8" s="1"/>
  <c r="I626" i="8" a="1"/>
  <c r="I626" i="8" s="1"/>
  <c r="D626" i="8" a="1"/>
  <c r="D626" i="8" s="1"/>
  <c r="D639" i="8" a="1"/>
  <c r="D639" i="8" s="1"/>
  <c r="B723" i="8" a="1"/>
  <c r="B723" i="8" s="1"/>
  <c r="C722" i="8" a="1"/>
  <c r="C722" i="8" s="1"/>
  <c r="B719" i="8" a="1"/>
  <c r="B719" i="8" s="1"/>
  <c r="C718" i="8" a="1"/>
  <c r="C718" i="8" s="1"/>
  <c r="B704" i="8" a="1"/>
  <c r="B704" i="8" s="1"/>
  <c r="C703" i="8" a="1"/>
  <c r="C703" i="8" s="1"/>
  <c r="C696" i="8" a="1"/>
  <c r="C696" i="8" s="1"/>
  <c r="C685" i="8" a="1"/>
  <c r="C685" i="8" s="1"/>
  <c r="B730" i="8" a="1"/>
  <c r="B730" i="8" s="1"/>
  <c r="C729" i="8" a="1"/>
  <c r="C729" i="8" s="1"/>
  <c r="B726" i="8" a="1"/>
  <c r="B726" i="8" s="1"/>
  <c r="C725" i="8" a="1"/>
  <c r="C725" i="8" s="1"/>
  <c r="B715" i="8" a="1"/>
  <c r="B715" i="8" s="1"/>
  <c r="B711" i="8" a="1"/>
  <c r="B711" i="8" s="1"/>
  <c r="C710" i="8" a="1"/>
  <c r="C710" i="8" s="1"/>
  <c r="B707" i="8" a="1"/>
  <c r="B707" i="8" s="1"/>
  <c r="C706" i="8" a="1"/>
  <c r="C706" i="8" s="1"/>
  <c r="B700" i="8" a="1"/>
  <c r="B700" i="8" s="1"/>
  <c r="C699" i="8" a="1"/>
  <c r="C699" i="8" s="1"/>
  <c r="C692" i="8" a="1"/>
  <c r="C692" i="8" s="1"/>
  <c r="B722" i="8" a="1"/>
  <c r="B722" i="8" s="1"/>
  <c r="C721" i="8" a="1"/>
  <c r="C721" i="8" s="1"/>
  <c r="B718" i="8" a="1"/>
  <c r="B718" i="8" s="1"/>
  <c r="C717" i="8" a="1"/>
  <c r="C717" i="8" s="1"/>
  <c r="B703" i="8" a="1"/>
  <c r="B703" i="8" s="1"/>
  <c r="B696" i="8" a="1"/>
  <c r="B696" i="8" s="1"/>
  <c r="B685" i="8" a="1"/>
  <c r="B685" i="8" s="1"/>
  <c r="C684" i="8" a="1"/>
  <c r="C684" i="8" s="1"/>
  <c r="C677" i="8" a="1"/>
  <c r="C677" i="8" s="1"/>
  <c r="C666" i="8" a="1"/>
  <c r="C666" i="8" s="1"/>
  <c r="B729" i="8" a="1"/>
  <c r="B729" i="8" s="1"/>
  <c r="C728" i="8" a="1"/>
  <c r="C728" i="8" s="1"/>
  <c r="B725" i="8" a="1"/>
  <c r="B725" i="8" s="1"/>
  <c r="C724" i="8" a="1"/>
  <c r="C724" i="8" s="1"/>
  <c r="B710" i="8" a="1"/>
  <c r="B710" i="8" s="1"/>
  <c r="C709" i="8" a="1"/>
  <c r="C709" i="8" s="1"/>
  <c r="B706" i="8" a="1"/>
  <c r="B706" i="8" s="1"/>
  <c r="C705" i="8" a="1"/>
  <c r="C705" i="8" s="1"/>
  <c r="C702" i="8" a="1"/>
  <c r="C702" i="8" s="1"/>
  <c r="B699" i="8" a="1"/>
  <c r="B699" i="8" s="1"/>
  <c r="B721" i="8" a="1"/>
  <c r="B721" i="8" s="1"/>
  <c r="C720" i="8" a="1"/>
  <c r="C720" i="8" s="1"/>
  <c r="B717" i="8" a="1"/>
  <c r="B717" i="8" s="1"/>
  <c r="C716" i="8" a="1"/>
  <c r="C716" i="8" s="1"/>
  <c r="B684" i="8" a="1"/>
  <c r="B684" i="8" s="1"/>
  <c r="B677" i="8" a="1"/>
  <c r="B677" i="8" s="1"/>
  <c r="B666" i="8" a="1"/>
  <c r="B666" i="8" s="1"/>
  <c r="C665" i="8" a="1"/>
  <c r="C665" i="8" s="1"/>
  <c r="C658" i="8" a="1"/>
  <c r="C658" i="8" s="1"/>
  <c r="B728" i="8" a="1"/>
  <c r="B728" i="8" s="1"/>
  <c r="C727" i="8" a="1"/>
  <c r="C727" i="8" s="1"/>
  <c r="B724" i="8" a="1"/>
  <c r="B724" i="8" s="1"/>
  <c r="B709" i="8" a="1"/>
  <c r="B709" i="8" s="1"/>
  <c r="C708" i="8" a="1"/>
  <c r="C708" i="8" s="1"/>
  <c r="B705" i="8" a="1"/>
  <c r="B705" i="8" s="1"/>
  <c r="B702" i="8" a="1"/>
  <c r="B702" i="8" s="1"/>
  <c r="C701" i="8" a="1"/>
  <c r="C701" i="8" s="1"/>
  <c r="B698" i="8" a="1"/>
  <c r="B698" i="8" s="1"/>
  <c r="C697" i="8" a="1"/>
  <c r="C697" i="8" s="1"/>
  <c r="B661" i="8" a="1"/>
  <c r="B661" i="8" s="1"/>
  <c r="C662" i="8" a="1"/>
  <c r="C662" i="8" s="1"/>
  <c r="C667" i="8" a="1"/>
  <c r="C667" i="8" s="1"/>
  <c r="B671" i="8" a="1"/>
  <c r="B671" i="8" s="1"/>
  <c r="C672" i="8" a="1"/>
  <c r="C672" i="8" s="1"/>
  <c r="B678" i="8" a="1"/>
  <c r="B678" i="8" s="1"/>
  <c r="C679" i="8" a="1"/>
  <c r="C679" i="8" s="1"/>
  <c r="B688" i="8" a="1"/>
  <c r="B688" i="8" s="1"/>
  <c r="B697" i="8" a="1"/>
  <c r="B697" i="8" s="1"/>
  <c r="H685" i="8"/>
  <c r="C671" i="8" a="1"/>
  <c r="C671" i="8" s="1"/>
  <c r="C678" i="8" a="1"/>
  <c r="C678" i="8" s="1"/>
  <c r="B682" i="8" a="1"/>
  <c r="B682" i="8" s="1"/>
  <c r="C683" i="8" a="1"/>
  <c r="C683" i="8" s="1"/>
  <c r="C688" i="8" a="1"/>
  <c r="C688" i="8" s="1"/>
  <c r="B692" i="8" a="1"/>
  <c r="B692" i="8" s="1"/>
  <c r="E639" i="8" a="1"/>
  <c r="E639" i="8" s="1"/>
  <c r="H666" i="8"/>
  <c r="I654" i="8" a="1"/>
  <c r="I654" i="8" s="1"/>
  <c r="E654" i="8" a="1"/>
  <c r="E654" i="8" s="1"/>
  <c r="D654" i="8" a="1"/>
  <c r="D654" i="8" s="1"/>
  <c r="B670" i="8" a="1"/>
  <c r="B670" i="8" s="1"/>
  <c r="C682" i="8" a="1"/>
  <c r="C682" i="8" s="1"/>
  <c r="B687" i="8" a="1"/>
  <c r="B687" i="8" s="1"/>
  <c r="C700" i="8" a="1"/>
  <c r="C700" i="8" s="1"/>
  <c r="H723" i="8"/>
  <c r="B716" i="8" a="1"/>
  <c r="B716" i="8" s="1"/>
  <c r="C719" i="8" a="1"/>
  <c r="C719" i="8" s="1"/>
  <c r="C660" i="8" a="1"/>
  <c r="C660" i="8" s="1"/>
  <c r="B664" i="8" a="1"/>
  <c r="B664" i="8" s="1"/>
  <c r="C670" i="8" a="1"/>
  <c r="C670" i="8" s="1"/>
  <c r="B681" i="8" a="1"/>
  <c r="B681" i="8" s="1"/>
  <c r="B686" i="8" a="1"/>
  <c r="B686" i="8" s="1"/>
  <c r="C687" i="8" a="1"/>
  <c r="C687" i="8" s="1"/>
  <c r="B691" i="8" a="1"/>
  <c r="B691" i="8" s="1"/>
  <c r="C726" i="8" a="1"/>
  <c r="C726" i="8" s="1"/>
  <c r="B669" i="8" a="1"/>
  <c r="B669" i="8" s="1"/>
  <c r="C681" i="8" a="1"/>
  <c r="C681" i="8" s="1"/>
  <c r="B690" i="8" a="1"/>
  <c r="B690" i="8" s="1"/>
  <c r="C691" i="8" a="1"/>
  <c r="C691" i="8" s="1"/>
  <c r="B701" i="8" a="1"/>
  <c r="B701" i="8" s="1"/>
  <c r="B720" i="8" a="1"/>
  <c r="B720" i="8" s="1"/>
  <c r="C723" i="8" a="1"/>
  <c r="C723" i="8" s="1"/>
  <c r="B673" i="8" a="1"/>
  <c r="B673" i="8" s="1"/>
  <c r="B680" i="8" a="1"/>
  <c r="B680" i="8" s="1"/>
  <c r="C686" i="8" a="1"/>
  <c r="C686" i="8" s="1"/>
  <c r="C698" i="8" a="1"/>
  <c r="C698" i="8" s="1"/>
  <c r="C707" i="8" a="1"/>
  <c r="C707" i="8" s="1"/>
  <c r="B727" i="8" a="1"/>
  <c r="B727" i="8" s="1"/>
  <c r="C730" i="8" a="1"/>
  <c r="C730" i="8" s="1"/>
  <c r="B672" i="8" a="1"/>
  <c r="B672" i="8" s="1"/>
  <c r="C673" i="8" a="1"/>
  <c r="C673" i="8" s="1"/>
  <c r="B679" i="8" a="1"/>
  <c r="B679" i="8" s="1"/>
  <c r="C680" i="8" a="1"/>
  <c r="C680" i="8" s="1"/>
  <c r="H704" i="8"/>
  <c r="B689" i="8" a="1"/>
  <c r="B689" i="8" s="1"/>
  <c r="C690" i="8" a="1"/>
  <c r="C690" i="8" s="1"/>
  <c r="C704" i="8" a="1"/>
  <c r="C704" i="8" s="1"/>
  <c r="H368" i="3"/>
  <c r="D667" i="8" l="1" a="1"/>
  <c r="D667" i="8" s="1"/>
  <c r="D683" i="8" a="1"/>
  <c r="D683" i="8" s="1"/>
  <c r="I665" i="8" a="1"/>
  <c r="I665" i="8" s="1"/>
  <c r="D659" i="8" a="1"/>
  <c r="D659" i="8" s="1"/>
  <c r="I407" i="8" a="1"/>
  <c r="I407" i="8" s="1"/>
  <c r="D418" i="8" a="1"/>
  <c r="D418" i="8" s="1"/>
  <c r="I409" i="8" a="1"/>
  <c r="I409" i="8" s="1"/>
  <c r="D415" i="8" a="1"/>
  <c r="D415" i="8" s="1"/>
  <c r="I416" i="8" a="1"/>
  <c r="I416" i="8" s="1"/>
  <c r="D421" i="8" a="1"/>
  <c r="D421" i="8" s="1"/>
  <c r="D410" i="8" a="1"/>
  <c r="D410" i="8" s="1"/>
  <c r="I683" i="8" a="1"/>
  <c r="I683" i="8" s="1"/>
  <c r="I408" i="8" a="1"/>
  <c r="I408" i="8" s="1"/>
  <c r="D409" i="8" a="1"/>
  <c r="D409" i="8" s="1"/>
  <c r="D36" i="8" a="1"/>
  <c r="D36" i="8" s="1"/>
  <c r="D408" i="8" a="1"/>
  <c r="D408" i="8" s="1"/>
  <c r="I659" i="8" a="1"/>
  <c r="I659" i="8" s="1"/>
  <c r="I668" i="8" a="1"/>
  <c r="I668" i="8" s="1"/>
  <c r="D416" i="8" a="1"/>
  <c r="D416" i="8" s="1"/>
  <c r="D708" i="8" a="1"/>
  <c r="D708" i="8" s="1"/>
  <c r="I658" i="8" a="1"/>
  <c r="I658" i="8" s="1"/>
  <c r="D658" i="8" a="1"/>
  <c r="D658" i="8" s="1"/>
  <c r="I662" i="8" a="1"/>
  <c r="I662" i="8" s="1"/>
  <c r="I410" i="8" a="1"/>
  <c r="I410" i="8" s="1"/>
  <c r="I667" i="8" a="1"/>
  <c r="I667" i="8" s="1"/>
  <c r="D662" i="8" a="1"/>
  <c r="D662" i="8" s="1"/>
  <c r="D668" i="8" a="1"/>
  <c r="D668" i="8" s="1"/>
  <c r="I708" i="8" a="1"/>
  <c r="I708" i="8" s="1"/>
  <c r="D665" i="8" a="1"/>
  <c r="D665" i="8" s="1"/>
  <c r="I421" i="8" a="1"/>
  <c r="I421" i="8" s="1"/>
  <c r="I418" i="8" a="1"/>
  <c r="I418" i="8" s="1"/>
  <c r="I406" i="8" a="1"/>
  <c r="I406" i="8" s="1"/>
  <c r="D406" i="8" a="1"/>
  <c r="D406" i="8" s="1"/>
  <c r="I417" i="8" a="1"/>
  <c r="I417" i="8" s="1"/>
  <c r="D407" i="8" a="1"/>
  <c r="D407" i="8" s="1"/>
  <c r="D417" i="8" a="1"/>
  <c r="D417" i="8" s="1"/>
  <c r="I660" i="8" a="1"/>
  <c r="I660" i="8" s="1"/>
  <c r="E36" i="8" a="1"/>
  <c r="E36" i="8" s="1"/>
  <c r="I413" i="8" a="1"/>
  <c r="I413" i="8" s="1"/>
  <c r="D413" i="8" a="1"/>
  <c r="D413" i="8" s="1"/>
  <c r="I36" i="8" a="1"/>
  <c r="I36" i="8" s="1"/>
  <c r="D660" i="8" a="1"/>
  <c r="D660" i="8" s="1"/>
  <c r="I415" i="8" a="1"/>
  <c r="I415" i="8" s="1"/>
  <c r="I663" i="8" a="1"/>
  <c r="I663" i="8" s="1"/>
  <c r="D663" i="8" a="1"/>
  <c r="D663" i="8" s="1"/>
  <c r="I28" i="8" a="1"/>
  <c r="I28" i="8" s="1"/>
  <c r="D28" i="8" a="1"/>
  <c r="D28" i="8" s="1"/>
  <c r="D670" i="8" a="1"/>
  <c r="D670" i="8" s="1"/>
  <c r="I670" i="8" a="1"/>
  <c r="I670" i="8" s="1"/>
  <c r="E697" i="8" a="1"/>
  <c r="E697" i="8" s="1"/>
  <c r="I697" i="8" a="1"/>
  <c r="I697" i="8" s="1"/>
  <c r="D697" i="8" a="1"/>
  <c r="D697" i="8" s="1"/>
  <c r="D709" i="8" a="1"/>
  <c r="D709" i="8" s="1"/>
  <c r="I709" i="8" a="1"/>
  <c r="I709" i="8" s="1"/>
  <c r="I661" i="8" a="1"/>
  <c r="I661" i="8" s="1"/>
  <c r="D661" i="8" a="1"/>
  <c r="D661" i="8" s="1"/>
  <c r="D677" i="8" a="1"/>
  <c r="D677" i="8" s="1"/>
  <c r="I677" i="8" a="1"/>
  <c r="I677" i="8" s="1"/>
  <c r="I718" i="8" a="1"/>
  <c r="I718" i="8" s="1"/>
  <c r="D718" i="8" a="1"/>
  <c r="D718" i="8" s="1"/>
  <c r="I419" i="8" a="1"/>
  <c r="I419" i="8" s="1"/>
  <c r="D419" i="8" a="1"/>
  <c r="D419" i="8" s="1"/>
  <c r="I672" i="8" a="1"/>
  <c r="I672" i="8" s="1"/>
  <c r="D672" i="8" a="1"/>
  <c r="D672" i="8" s="1"/>
  <c r="I682" i="8" a="1"/>
  <c r="I682" i="8" s="1"/>
  <c r="D682" i="8" a="1"/>
  <c r="D682" i="8" s="1"/>
  <c r="I688" i="8" a="1"/>
  <c r="I688" i="8" s="1"/>
  <c r="E688" i="8" a="1"/>
  <c r="E688" i="8" s="1"/>
  <c r="D688" i="8" a="1"/>
  <c r="D688" i="8" s="1"/>
  <c r="D724" i="8" a="1"/>
  <c r="D724" i="8" s="1"/>
  <c r="I724" i="8" a="1"/>
  <c r="I724" i="8" s="1"/>
  <c r="D684" i="8" a="1"/>
  <c r="D684" i="8" s="1"/>
  <c r="I684" i="8" a="1"/>
  <c r="I684" i="8" s="1"/>
  <c r="I706" i="8" a="1"/>
  <c r="I706" i="8" s="1"/>
  <c r="D706" i="8" a="1"/>
  <c r="D706" i="8" s="1"/>
  <c r="I711" i="8" a="1"/>
  <c r="I711" i="8" s="1"/>
  <c r="D711" i="8" a="1"/>
  <c r="D711" i="8" s="1"/>
  <c r="I37" i="8" a="1"/>
  <c r="I37" i="8" s="1"/>
  <c r="E37" i="8" a="1"/>
  <c r="E37" i="8" s="1"/>
  <c r="D37" i="8" a="1"/>
  <c r="D37" i="8" s="1"/>
  <c r="I34" i="8" a="1"/>
  <c r="I34" i="8" s="1"/>
  <c r="E34" i="8" a="1"/>
  <c r="E34" i="8" s="1"/>
  <c r="D34" i="8" a="1"/>
  <c r="D34" i="8" s="1"/>
  <c r="D30" i="8" a="1"/>
  <c r="D30" i="8" s="1"/>
  <c r="I30" i="8" a="1"/>
  <c r="I30" i="8" s="1"/>
  <c r="E691" i="8" a="1"/>
  <c r="E691" i="8" s="1"/>
  <c r="D691" i="8" a="1"/>
  <c r="D691" i="8" s="1"/>
  <c r="I691" i="8" a="1"/>
  <c r="I691" i="8" s="1"/>
  <c r="I722" i="8" a="1"/>
  <c r="I722" i="8" s="1"/>
  <c r="D722" i="8" a="1"/>
  <c r="D722" i="8" s="1"/>
  <c r="I715" i="8" a="1"/>
  <c r="I715" i="8" s="1"/>
  <c r="D715" i="8" a="1"/>
  <c r="D715" i="8" s="1"/>
  <c r="D669" i="8" a="1"/>
  <c r="D669" i="8" s="1"/>
  <c r="I669" i="8" a="1"/>
  <c r="I669" i="8" s="1"/>
  <c r="D720" i="8" a="1"/>
  <c r="D720" i="8" s="1"/>
  <c r="I720" i="8" a="1"/>
  <c r="I720" i="8" s="1"/>
  <c r="D716" i="8" a="1"/>
  <c r="D716" i="8" s="1"/>
  <c r="I716" i="8" a="1"/>
  <c r="I716" i="8" s="1"/>
  <c r="I678" i="8" a="1"/>
  <c r="I678" i="8" s="1"/>
  <c r="D678" i="8" a="1"/>
  <c r="D678" i="8" s="1"/>
  <c r="D698" i="8" a="1"/>
  <c r="D698" i="8" s="1"/>
  <c r="I698" i="8" a="1"/>
  <c r="I698" i="8" s="1"/>
  <c r="E698" i="8" a="1"/>
  <c r="E698" i="8" s="1"/>
  <c r="D728" i="8" a="1"/>
  <c r="D728" i="8" s="1"/>
  <c r="I728" i="8" a="1"/>
  <c r="I728" i="8" s="1"/>
  <c r="E728" i="8" a="1"/>
  <c r="E728" i="8" s="1"/>
  <c r="D717" i="8" a="1"/>
  <c r="D717" i="8" s="1"/>
  <c r="I717" i="8" a="1"/>
  <c r="I717" i="8" s="1"/>
  <c r="I710" i="8" a="1"/>
  <c r="I710" i="8" s="1"/>
  <c r="D710" i="8" a="1"/>
  <c r="D710" i="8" s="1"/>
  <c r="D704" i="8" a="1"/>
  <c r="D704" i="8" s="1"/>
  <c r="I704" i="8" a="1"/>
  <c r="I704" i="8" s="1"/>
  <c r="I412" i="8" a="1"/>
  <c r="I412" i="8" s="1"/>
  <c r="D412" i="8" a="1"/>
  <c r="D412" i="8" s="1"/>
  <c r="I414" i="8" a="1"/>
  <c r="I414" i="8" s="1"/>
  <c r="D414" i="8" a="1"/>
  <c r="D414" i="8" s="1"/>
  <c r="I29" i="8" a="1"/>
  <c r="I29" i="8" s="1"/>
  <c r="D29" i="8" a="1"/>
  <c r="D29" i="8" s="1"/>
  <c r="I31" i="8" a="1"/>
  <c r="I31" i="8" s="1"/>
  <c r="D31" i="8" a="1"/>
  <c r="D31" i="8" s="1"/>
  <c r="D33" i="8" a="1"/>
  <c r="D33" i="8" s="1"/>
  <c r="I33" i="8" a="1"/>
  <c r="I33" i="8" s="1"/>
  <c r="E33" i="8" a="1"/>
  <c r="E33" i="8" s="1"/>
  <c r="I689" i="8" a="1"/>
  <c r="I689" i="8" s="1"/>
  <c r="E689" i="8" a="1"/>
  <c r="E689" i="8" s="1"/>
  <c r="D689" i="8" a="1"/>
  <c r="D689" i="8" s="1"/>
  <c r="D686" i="8" a="1"/>
  <c r="D686" i="8" s="1"/>
  <c r="I686" i="8" a="1"/>
  <c r="I686" i="8" s="1"/>
  <c r="I685" i="8" a="1"/>
  <c r="I685" i="8" s="1"/>
  <c r="D685" i="8" a="1"/>
  <c r="D685" i="8" s="1"/>
  <c r="I726" i="8" a="1"/>
  <c r="I726" i="8" s="1"/>
  <c r="D726" i="8" a="1"/>
  <c r="D726" i="8" s="1"/>
  <c r="D701" i="8" a="1"/>
  <c r="D701" i="8" s="1"/>
  <c r="I701" i="8" a="1"/>
  <c r="I701" i="8" s="1"/>
  <c r="D681" i="8" a="1"/>
  <c r="D681" i="8" s="1"/>
  <c r="I681" i="8" a="1"/>
  <c r="I681" i="8" s="1"/>
  <c r="I671" i="8" a="1"/>
  <c r="I671" i="8" s="1"/>
  <c r="D671" i="8" a="1"/>
  <c r="D671" i="8" s="1"/>
  <c r="D702" i="8" a="1"/>
  <c r="D702" i="8" s="1"/>
  <c r="I702" i="8" a="1"/>
  <c r="I702" i="8" s="1"/>
  <c r="D721" i="8" a="1"/>
  <c r="D721" i="8" s="1"/>
  <c r="I721" i="8" a="1"/>
  <c r="I721" i="8" s="1"/>
  <c r="I725" i="8" a="1"/>
  <c r="I725" i="8" s="1"/>
  <c r="D725" i="8" a="1"/>
  <c r="D725" i="8" s="1"/>
  <c r="I696" i="8" a="1"/>
  <c r="I696" i="8" s="1"/>
  <c r="E696" i="8" a="1"/>
  <c r="E696" i="8" s="1"/>
  <c r="D696" i="8" a="1"/>
  <c r="D696" i="8" s="1"/>
  <c r="I700" i="8" a="1"/>
  <c r="I700" i="8" s="1"/>
  <c r="E700" i="8" a="1"/>
  <c r="E700" i="8" s="1"/>
  <c r="D700" i="8" a="1"/>
  <c r="D700" i="8" s="1"/>
  <c r="I719" i="8" a="1"/>
  <c r="I719" i="8" s="1"/>
  <c r="D719" i="8" a="1"/>
  <c r="D719" i="8" s="1"/>
  <c r="B434" i="8"/>
  <c r="B425" i="8" a="1"/>
  <c r="B425" i="8" s="1"/>
  <c r="C425" i="8" a="1"/>
  <c r="C425" i="8" s="1"/>
  <c r="I690" i="8" a="1"/>
  <c r="I690" i="8" s="1"/>
  <c r="D690" i="8" a="1"/>
  <c r="D690" i="8" s="1"/>
  <c r="D687" i="8" a="1"/>
  <c r="D687" i="8" s="1"/>
  <c r="I687" i="8" a="1"/>
  <c r="I687" i="8" s="1"/>
  <c r="I692" i="8" a="1"/>
  <c r="I692" i="8" s="1"/>
  <c r="E692" i="8" a="1"/>
  <c r="E692" i="8" s="1"/>
  <c r="D692" i="8" a="1"/>
  <c r="D692" i="8" s="1"/>
  <c r="D705" i="8" a="1"/>
  <c r="D705" i="8" s="1"/>
  <c r="I705" i="8" a="1"/>
  <c r="I705" i="8" s="1"/>
  <c r="I699" i="8" a="1"/>
  <c r="I699" i="8" s="1"/>
  <c r="D699" i="8" a="1"/>
  <c r="D699" i="8" s="1"/>
  <c r="I703" i="8" a="1"/>
  <c r="I703" i="8" s="1"/>
  <c r="D703" i="8" a="1"/>
  <c r="D703" i="8" s="1"/>
  <c r="I730" i="8" a="1"/>
  <c r="I730" i="8" s="1"/>
  <c r="E730" i="8" a="1"/>
  <c r="E730" i="8" s="1"/>
  <c r="D730" i="8" a="1"/>
  <c r="D730" i="8" s="1"/>
  <c r="I411" i="8" a="1"/>
  <c r="I411" i="8" s="1"/>
  <c r="D411" i="8" a="1"/>
  <c r="D411" i="8" s="1"/>
  <c r="I420" i="8" a="1"/>
  <c r="I420" i="8" s="1"/>
  <c r="D420" i="8" a="1"/>
  <c r="D420" i="8" s="1"/>
  <c r="D32" i="8" a="1"/>
  <c r="D32" i="8" s="1"/>
  <c r="E32" i="8" a="1"/>
  <c r="E32" i="8" s="1"/>
  <c r="I32" i="8" a="1"/>
  <c r="I32" i="8" s="1"/>
  <c r="E35" i="8" a="1"/>
  <c r="E35" i="8" s="1"/>
  <c r="D35" i="8" a="1"/>
  <c r="D35" i="8" s="1"/>
  <c r="I35" i="8" a="1"/>
  <c r="I35" i="8" s="1"/>
  <c r="I673" i="8" a="1"/>
  <c r="I673" i="8" s="1"/>
  <c r="D673" i="8" a="1"/>
  <c r="D673" i="8" s="1"/>
  <c r="D727" i="8" a="1"/>
  <c r="D727" i="8" s="1"/>
  <c r="I727" i="8" a="1"/>
  <c r="I727" i="8" s="1"/>
  <c r="I679" i="8" a="1"/>
  <c r="I679" i="8" s="1"/>
  <c r="D679" i="8" a="1"/>
  <c r="D679" i="8" s="1"/>
  <c r="I680" i="8" a="1"/>
  <c r="I680" i="8" s="1"/>
  <c r="D680" i="8" a="1"/>
  <c r="D680" i="8" s="1"/>
  <c r="D664" i="8" a="1"/>
  <c r="D664" i="8" s="1"/>
  <c r="I664" i="8" a="1"/>
  <c r="I664" i="8" s="1"/>
  <c r="D666" i="8" a="1"/>
  <c r="D666" i="8" s="1"/>
  <c r="I666" i="8" a="1"/>
  <c r="I666" i="8" s="1"/>
  <c r="I729" i="8" a="1"/>
  <c r="I729" i="8" s="1"/>
  <c r="E729" i="8" a="1"/>
  <c r="E729" i="8" s="1"/>
  <c r="D729" i="8" a="1"/>
  <c r="D729" i="8" s="1"/>
  <c r="I707" i="8" a="1"/>
  <c r="I707" i="8" s="1"/>
  <c r="D707" i="8" a="1"/>
  <c r="D707" i="8" s="1"/>
  <c r="D723" i="8" a="1"/>
  <c r="D723" i="8" s="1"/>
  <c r="I723" i="8" a="1"/>
  <c r="I723" i="8" s="1"/>
  <c r="E38" i="8" a="1"/>
  <c r="E38" i="8" s="1"/>
  <c r="D38" i="8" a="1"/>
  <c r="D38" i="8" s="1"/>
  <c r="I38" i="8" a="1"/>
  <c r="I38" i="8" s="1"/>
  <c r="B372" i="4"/>
  <c r="C409" i="4" a="1"/>
  <c r="C409" i="4" s="1"/>
  <c r="B409" i="4" a="1"/>
  <c r="B409" i="4" s="1"/>
  <c r="B423" i="4" a="1"/>
  <c r="B423" i="4" s="1"/>
  <c r="C370" i="4" a="1"/>
  <c r="C370" i="4" s="1"/>
  <c r="B370" i="4" a="1"/>
  <c r="B370" i="4" s="1"/>
  <c r="H370" i="4" s="1" a="1"/>
  <c r="H370" i="4" s="1"/>
  <c r="C355" i="4" a="1"/>
  <c r="C355" i="4" s="1"/>
  <c r="B355" i="4" a="1"/>
  <c r="B355" i="4" s="1"/>
  <c r="C351" i="4" a="1"/>
  <c r="C351" i="4" s="1"/>
  <c r="B351" i="4" a="1"/>
  <c r="B351" i="4" s="1"/>
  <c r="H351" i="4" s="1" a="1"/>
  <c r="H351" i="4" s="1"/>
  <c r="C336" i="4" a="1"/>
  <c r="C336" i="4" s="1"/>
  <c r="B336" i="4" a="1"/>
  <c r="B336" i="4" s="1"/>
  <c r="C332" i="4" a="1"/>
  <c r="C332" i="4" s="1"/>
  <c r="B332" i="4" a="1"/>
  <c r="B332" i="4" s="1"/>
  <c r="C317" i="4" a="1"/>
  <c r="C317" i="4" s="1"/>
  <c r="B317" i="4" a="1"/>
  <c r="B317" i="4" s="1"/>
  <c r="C290" i="4" a="1"/>
  <c r="C290" i="4" s="1"/>
  <c r="B290" i="4" a="1"/>
  <c r="B290" i="4" s="1"/>
  <c r="C271" i="4" a="1"/>
  <c r="C271" i="4" s="1"/>
  <c r="B271" i="4" a="1"/>
  <c r="B271" i="4" s="1"/>
  <c r="C258" i="4" a="1"/>
  <c r="C258" i="4" s="1"/>
  <c r="B258" i="4" a="1"/>
  <c r="B258" i="4" s="1"/>
  <c r="C240" i="4" a="1"/>
  <c r="C240" i="4" s="1"/>
  <c r="B240" i="4" a="1"/>
  <c r="B240" i="4" s="1"/>
  <c r="C222" i="4" a="1"/>
  <c r="C222" i="4" s="1"/>
  <c r="B222" i="4" a="1"/>
  <c r="B222" i="4" s="1"/>
  <c r="C204" i="4" a="1"/>
  <c r="C204" i="4" s="1"/>
  <c r="B204" i="4" a="1"/>
  <c r="B204" i="4" s="1"/>
  <c r="C191" i="4" a="1"/>
  <c r="C191" i="4" s="1"/>
  <c r="C118" i="3" s="1"/>
  <c r="C178" i="4" a="1"/>
  <c r="C178" i="4" s="1"/>
  <c r="B178" i="4" a="1"/>
  <c r="B178" i="4" s="1"/>
  <c r="C165" i="4" a="1"/>
  <c r="C165" i="4" s="1"/>
  <c r="B165" i="4" a="1"/>
  <c r="B165" i="4" s="1"/>
  <c r="C147" i="4" a="1"/>
  <c r="C147" i="4" s="1"/>
  <c r="B147" i="4" a="1"/>
  <c r="B147" i="4" s="1"/>
  <c r="C83" i="4" a="1"/>
  <c r="C83" i="4" s="1"/>
  <c r="B83" i="4" a="1"/>
  <c r="B83" i="4" s="1"/>
  <c r="C78" i="4" a="1"/>
  <c r="C78" i="4" s="1"/>
  <c r="B78" i="4" a="1"/>
  <c r="B78" i="4" s="1"/>
  <c r="C77" i="4" a="1"/>
  <c r="C77" i="4" s="1"/>
  <c r="B77" i="4" a="1"/>
  <c r="B77" i="4" s="1"/>
  <c r="C76" i="4" a="1"/>
  <c r="C76" i="4" s="1"/>
  <c r="B76" i="4" a="1"/>
  <c r="B76" i="4" s="1"/>
  <c r="C75" i="4" a="1"/>
  <c r="C75" i="4" s="1"/>
  <c r="B75" i="4" a="1"/>
  <c r="B75" i="4" s="1"/>
  <c r="C74" i="4" a="1"/>
  <c r="C74" i="4" s="1"/>
  <c r="B74" i="4" a="1"/>
  <c r="B74" i="4" s="1"/>
  <c r="C73" i="4" a="1"/>
  <c r="C73" i="4" s="1"/>
  <c r="B73" i="4" a="1"/>
  <c r="B73" i="4" s="1"/>
  <c r="C72" i="4" a="1"/>
  <c r="C72" i="4" s="1"/>
  <c r="B72" i="4" a="1"/>
  <c r="B72" i="4" s="1"/>
  <c r="C71" i="4" a="1"/>
  <c r="C71" i="4" s="1"/>
  <c r="B71" i="4" a="1"/>
  <c r="B71" i="4" s="1"/>
  <c r="C70" i="4" a="1"/>
  <c r="C70" i="4" s="1"/>
  <c r="B70" i="4" a="1"/>
  <c r="B70" i="4" s="1"/>
  <c r="C69" i="4" a="1"/>
  <c r="C69" i="4" s="1"/>
  <c r="B69" i="4" a="1"/>
  <c r="B69" i="4" s="1"/>
  <c r="C68" i="4" a="1"/>
  <c r="C68" i="4" s="1"/>
  <c r="B68" i="4" a="1"/>
  <c r="B68" i="4" s="1"/>
  <c r="C67" i="4" a="1"/>
  <c r="C67" i="4" s="1"/>
  <c r="B67" i="4" a="1"/>
  <c r="B67" i="4" s="1"/>
  <c r="C66" i="4" a="1"/>
  <c r="C66" i="4" s="1"/>
  <c r="B66" i="4" a="1"/>
  <c r="B66" i="4" s="1"/>
  <c r="C65" i="4" a="1"/>
  <c r="C65" i="4" s="1"/>
  <c r="B65" i="4" a="1"/>
  <c r="B65" i="4" s="1"/>
  <c r="C64" i="4" a="1"/>
  <c r="C64" i="4" s="1"/>
  <c r="B64" i="4" a="1"/>
  <c r="B64" i="4" s="1"/>
  <c r="C60" i="4" a="1"/>
  <c r="C60" i="4" s="1"/>
  <c r="B60" i="4" a="1"/>
  <c r="B60" i="4" s="1"/>
  <c r="H60" i="4" s="1" a="1"/>
  <c r="H60" i="4" s="1"/>
  <c r="AI60" i="4" s="1"/>
  <c r="C59" i="4" a="1"/>
  <c r="C59" i="4" s="1"/>
  <c r="B59" i="4" a="1"/>
  <c r="B59" i="4" s="1"/>
  <c r="H59" i="4" s="1" a="1"/>
  <c r="H59" i="4" s="1"/>
  <c r="AI59" i="4" s="1"/>
  <c r="C58" i="4" a="1"/>
  <c r="C58" i="4" s="1"/>
  <c r="B58" i="4" a="1"/>
  <c r="B58" i="4" s="1"/>
  <c r="C57" i="4" a="1"/>
  <c r="C57" i="4" s="1"/>
  <c r="B57" i="4" a="1"/>
  <c r="B57" i="4" s="1"/>
  <c r="C56" i="4" a="1"/>
  <c r="C56" i="4" s="1"/>
  <c r="B56" i="4" a="1"/>
  <c r="B56" i="4" s="1"/>
  <c r="C55" i="4" a="1"/>
  <c r="C55" i="4" s="1"/>
  <c r="B55" i="4" a="1"/>
  <c r="B55" i="4" s="1"/>
  <c r="C54" i="4" a="1"/>
  <c r="C54" i="4" s="1"/>
  <c r="B54" i="4" a="1"/>
  <c r="B54" i="4" s="1"/>
  <c r="C53" i="4" a="1"/>
  <c r="C53" i="4" s="1"/>
  <c r="B53" i="4" a="1"/>
  <c r="B53" i="4" s="1"/>
  <c r="C52" i="4" a="1"/>
  <c r="C52" i="4" s="1"/>
  <c r="B52" i="4" a="1"/>
  <c r="B52" i="4" s="1"/>
  <c r="C51" i="4" a="1"/>
  <c r="C51" i="4" s="1"/>
  <c r="B51" i="4" a="1"/>
  <c r="B51" i="4" s="1"/>
  <c r="C50" i="4" a="1"/>
  <c r="C50" i="4" s="1"/>
  <c r="B50" i="4" a="1"/>
  <c r="B50" i="4" s="1"/>
  <c r="C49" i="4" a="1"/>
  <c r="C49" i="4" s="1"/>
  <c r="B49" i="4" a="1"/>
  <c r="B49" i="4" s="1"/>
  <c r="C48" i="4" a="1"/>
  <c r="C48" i="4" s="1"/>
  <c r="B48" i="4" a="1"/>
  <c r="B48" i="4" s="1"/>
  <c r="C47" i="4" a="1"/>
  <c r="C47" i="4" s="1"/>
  <c r="B47" i="4" a="1"/>
  <c r="B47" i="4" s="1"/>
  <c r="C46" i="4" a="1"/>
  <c r="C46" i="4" s="1"/>
  <c r="B46" i="4" a="1"/>
  <c r="B46" i="4" s="1"/>
  <c r="C45" i="4" a="1"/>
  <c r="C45" i="4" s="1"/>
  <c r="B45" i="4" a="1"/>
  <c r="B45" i="4" s="1"/>
  <c r="C41" i="4" a="1"/>
  <c r="C41" i="4" s="1"/>
  <c r="B41" i="4" a="1"/>
  <c r="B41" i="4" s="1"/>
  <c r="C40" i="4" a="1"/>
  <c r="C40" i="4" s="1"/>
  <c r="B40" i="4" a="1"/>
  <c r="B40" i="4" s="1"/>
  <c r="C39" i="4" a="1"/>
  <c r="C39" i="4" s="1"/>
  <c r="B39" i="4" a="1"/>
  <c r="B39" i="4" s="1"/>
  <c r="C38" i="4" a="1"/>
  <c r="C38" i="4" s="1"/>
  <c r="B38" i="4" a="1"/>
  <c r="B38" i="4" s="1"/>
  <c r="C37" i="4" a="1"/>
  <c r="C37" i="4" s="1"/>
  <c r="B37" i="4" a="1"/>
  <c r="B37" i="4" s="1"/>
  <c r="C36" i="4" a="1"/>
  <c r="C36" i="4" s="1"/>
  <c r="B36" i="4" a="1"/>
  <c r="B36" i="4" s="1"/>
  <c r="C35" i="4" a="1"/>
  <c r="C35" i="4" s="1"/>
  <c r="B35" i="4" a="1"/>
  <c r="B35" i="4" s="1"/>
  <c r="C34" i="4" a="1"/>
  <c r="C34" i="4" s="1"/>
  <c r="B34" i="4" a="1"/>
  <c r="B34" i="4" s="1"/>
  <c r="C33" i="4" a="1"/>
  <c r="C33" i="4" s="1"/>
  <c r="B33" i="4" a="1"/>
  <c r="B33" i="4" s="1"/>
  <c r="C32" i="4" a="1"/>
  <c r="C32" i="4" s="1"/>
  <c r="B32" i="4" a="1"/>
  <c r="B32" i="4" s="1"/>
  <c r="C31" i="4" a="1"/>
  <c r="C31" i="4" s="1"/>
  <c r="B31" i="4" a="1"/>
  <c r="B31" i="4" s="1"/>
  <c r="C30" i="4" a="1"/>
  <c r="C30" i="4" s="1"/>
  <c r="B30" i="4" a="1"/>
  <c r="B30" i="4" s="1"/>
  <c r="C29" i="4" a="1"/>
  <c r="C29" i="4" s="1"/>
  <c r="B29" i="4" a="1"/>
  <c r="B29" i="4" s="1"/>
  <c r="C28" i="4" a="1"/>
  <c r="C28" i="4" s="1"/>
  <c r="B28" i="4" a="1"/>
  <c r="B28" i="4" s="1"/>
  <c r="C27" i="4" a="1"/>
  <c r="C27" i="4" s="1"/>
  <c r="B27" i="4" a="1"/>
  <c r="B27" i="4" s="1"/>
  <c r="C26" i="4" a="1"/>
  <c r="C26" i="4" s="1"/>
  <c r="B26" i="4" a="1"/>
  <c r="B26" i="4" s="1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J42" i="4"/>
  <c r="J44" i="4"/>
  <c r="J61" i="4"/>
  <c r="J63" i="4"/>
  <c r="J23" i="4"/>
  <c r="J25" i="4"/>
  <c r="C22" i="4" a="1"/>
  <c r="C22" i="4" s="1"/>
  <c r="B22" i="4" a="1"/>
  <c r="B22" i="4" s="1"/>
  <c r="C21" i="4" a="1"/>
  <c r="C21" i="4" s="1"/>
  <c r="B21" i="4" a="1"/>
  <c r="B21" i="4" s="1"/>
  <c r="C20" i="4" a="1"/>
  <c r="C20" i="4" s="1"/>
  <c r="B20" i="4" a="1"/>
  <c r="B20" i="4" s="1"/>
  <c r="C19" i="4" a="1"/>
  <c r="C19" i="4" s="1"/>
  <c r="B19" i="4" a="1"/>
  <c r="B19" i="4" s="1"/>
  <c r="C18" i="4" a="1"/>
  <c r="C18" i="4" s="1"/>
  <c r="B18" i="4" a="1"/>
  <c r="B18" i="4" s="1"/>
  <c r="C17" i="4" a="1"/>
  <c r="C17" i="4" s="1"/>
  <c r="B17" i="4" a="1"/>
  <c r="B17" i="4" s="1"/>
  <c r="C16" i="4" a="1"/>
  <c r="C16" i="4" s="1"/>
  <c r="B16" i="4" a="1"/>
  <c r="B16" i="4" s="1"/>
  <c r="C15" i="4" a="1"/>
  <c r="C15" i="4" s="1"/>
  <c r="B15" i="4" a="1"/>
  <c r="B15" i="4" s="1"/>
  <c r="C14" i="4" a="1"/>
  <c r="C14" i="4" s="1"/>
  <c r="B14" i="4" a="1"/>
  <c r="B14" i="4" s="1"/>
  <c r="C13" i="4" a="1"/>
  <c r="C13" i="4" s="1"/>
  <c r="B13" i="4" a="1"/>
  <c r="B13" i="4" s="1"/>
  <c r="C12" i="4" a="1"/>
  <c r="C12" i="4" s="1"/>
  <c r="B12" i="4" a="1"/>
  <c r="B12" i="4" s="1"/>
  <c r="C11" i="4" a="1"/>
  <c r="C11" i="4" s="1"/>
  <c r="B11" i="4" a="1"/>
  <c r="B11" i="4" s="1"/>
  <c r="C10" i="4" a="1"/>
  <c r="C10" i="4" s="1"/>
  <c r="B10" i="4" a="1"/>
  <c r="B10" i="4" s="1"/>
  <c r="C9" i="4" a="1"/>
  <c r="C9" i="4" s="1"/>
  <c r="B9" i="4" a="1"/>
  <c r="B9" i="4" s="1"/>
  <c r="C8" i="4" a="1"/>
  <c r="C8" i="4" s="1"/>
  <c r="B8" i="4" a="1"/>
  <c r="B8" i="4" s="1"/>
  <c r="C7" i="4" a="1"/>
  <c r="C7" i="4" s="1"/>
  <c r="B7" i="4" a="1"/>
  <c r="B7" i="4" s="1"/>
  <c r="B377" i="4" l="1" a="1"/>
  <c r="B377" i="4" s="1"/>
  <c r="C380" i="4" a="1"/>
  <c r="C380" i="4" s="1"/>
  <c r="C383" i="4" a="1"/>
  <c r="C383" i="4" s="1"/>
  <c r="C377" i="4" a="1"/>
  <c r="C377" i="4" s="1"/>
  <c r="B384" i="4" a="1"/>
  <c r="B384" i="4" s="1"/>
  <c r="B378" i="4" a="1"/>
  <c r="B378" i="4" s="1"/>
  <c r="B381" i="4" a="1"/>
  <c r="B381" i="4" s="1"/>
  <c r="C384" i="4" a="1"/>
  <c r="C384" i="4" s="1"/>
  <c r="B375" i="4" a="1"/>
  <c r="B375" i="4" s="1"/>
  <c r="C378" i="4" a="1"/>
  <c r="C378" i="4" s="1"/>
  <c r="C381" i="4" a="1"/>
  <c r="C381" i="4" s="1"/>
  <c r="C375" i="4" a="1"/>
  <c r="C375" i="4" s="1"/>
  <c r="B382" i="4" a="1"/>
  <c r="B382" i="4" s="1"/>
  <c r="B376" i="4" a="1"/>
  <c r="B376" i="4" s="1"/>
  <c r="B379" i="4" a="1"/>
  <c r="B379" i="4" s="1"/>
  <c r="C382" i="4" a="1"/>
  <c r="C382" i="4" s="1"/>
  <c r="C376" i="4" a="1"/>
  <c r="C376" i="4" s="1"/>
  <c r="C379" i="4" a="1"/>
  <c r="C379" i="4" s="1"/>
  <c r="B380" i="4" a="1"/>
  <c r="B380" i="4" s="1"/>
  <c r="B383" i="4" a="1"/>
  <c r="B383" i="4" s="1"/>
  <c r="H332" i="4" a="1"/>
  <c r="H332" i="4" s="1"/>
  <c r="H78" i="4" a="1"/>
  <c r="H78" i="4" s="1"/>
  <c r="AI78" i="4" s="1"/>
  <c r="H77" i="4" a="1"/>
  <c r="H77" i="4" s="1"/>
  <c r="AI77" i="4" s="1"/>
  <c r="H74" i="4" a="1"/>
  <c r="H74" i="4" s="1"/>
  <c r="AI74" i="4" s="1"/>
  <c r="H72" i="4" a="1"/>
  <c r="H72" i="4" s="1"/>
  <c r="AI72" i="4" s="1"/>
  <c r="H76" i="4" a="1"/>
  <c r="H76" i="4" s="1"/>
  <c r="AI76" i="4" s="1"/>
  <c r="H75" i="4" a="1"/>
  <c r="H75" i="4" s="1"/>
  <c r="AI75" i="4" s="1"/>
  <c r="H73" i="4" a="1"/>
  <c r="H73" i="4" s="1"/>
  <c r="AI73" i="4" s="1"/>
  <c r="H71" i="4" a="1"/>
  <c r="H71" i="4" s="1"/>
  <c r="AI71" i="4" s="1"/>
  <c r="H70" i="4" a="1"/>
  <c r="H70" i="4" s="1"/>
  <c r="AI70" i="4" s="1"/>
  <c r="H69" i="4" a="1"/>
  <c r="H69" i="4" s="1"/>
  <c r="AI69" i="4" s="1"/>
  <c r="H58" i="4" a="1"/>
  <c r="H58" i="4" s="1"/>
  <c r="AI58" i="4" s="1"/>
  <c r="AG60" i="4"/>
  <c r="AH60" i="4"/>
  <c r="AG59" i="4"/>
  <c r="AH59" i="4"/>
  <c r="H67" i="4" a="1"/>
  <c r="H67" i="4" s="1"/>
  <c r="AI67" i="4" s="1"/>
  <c r="H68" i="4" a="1"/>
  <c r="H68" i="4" s="1"/>
  <c r="AI68" i="4" s="1"/>
  <c r="H57" i="4" a="1"/>
  <c r="H57" i="4" s="1"/>
  <c r="AI57" i="4" s="1"/>
  <c r="H16" i="4" a="1"/>
  <c r="H16" i="4" s="1"/>
  <c r="AI16" i="4" s="1"/>
  <c r="H20" i="4" a="1"/>
  <c r="H20" i="4" s="1"/>
  <c r="B387" i="4" a="1"/>
  <c r="B387" i="4" s="1"/>
  <c r="C451" i="8" a="1"/>
  <c r="C451" i="8" s="1"/>
  <c r="B449" i="8" a="1"/>
  <c r="B449" i="8" s="1"/>
  <c r="C443" i="8" a="1"/>
  <c r="C443" i="8" s="1"/>
  <c r="B441" i="8" a="1"/>
  <c r="B441" i="8" s="1"/>
  <c r="C448" i="8" a="1"/>
  <c r="C448" i="8" s="1"/>
  <c r="B446" i="8" a="1"/>
  <c r="B446" i="8" s="1"/>
  <c r="C440" i="8" a="1"/>
  <c r="C440" i="8" s="1"/>
  <c r="B438" i="8" a="1"/>
  <c r="B438" i="8" s="1"/>
  <c r="B451" i="8" a="1"/>
  <c r="B451" i="8" s="1"/>
  <c r="C445" i="8" a="1"/>
  <c r="C445" i="8" s="1"/>
  <c r="B443" i="8" a="1"/>
  <c r="B443" i="8" s="1"/>
  <c r="C450" i="8" a="1"/>
  <c r="C450" i="8" s="1"/>
  <c r="B448" i="8" a="1"/>
  <c r="B448" i="8" s="1"/>
  <c r="C442" i="8" a="1"/>
  <c r="C442" i="8" s="1"/>
  <c r="B440" i="8" a="1"/>
  <c r="B440" i="8" s="1"/>
  <c r="C447" i="8" a="1"/>
  <c r="C447" i="8" s="1"/>
  <c r="B445" i="8" a="1"/>
  <c r="B445" i="8" s="1"/>
  <c r="C439" i="8" a="1"/>
  <c r="C439" i="8" s="1"/>
  <c r="B437" i="8" a="1"/>
  <c r="B437" i="8" s="1"/>
  <c r="B450" i="8" a="1"/>
  <c r="B450" i="8" s="1"/>
  <c r="C444" i="8" a="1"/>
  <c r="C444" i="8" s="1"/>
  <c r="B442" i="8" a="1"/>
  <c r="B442" i="8" s="1"/>
  <c r="C436" i="8" a="1"/>
  <c r="C436" i="8" s="1"/>
  <c r="C449" i="8" a="1"/>
  <c r="C449" i="8" s="1"/>
  <c r="B447" i="8" a="1"/>
  <c r="B447" i="8" s="1"/>
  <c r="C441" i="8" a="1"/>
  <c r="C441" i="8" s="1"/>
  <c r="B439" i="8" a="1"/>
  <c r="B439" i="8" s="1"/>
  <c r="B452" i="8"/>
  <c r="B444" i="8" a="1"/>
  <c r="B444" i="8" s="1"/>
  <c r="C437" i="8" a="1"/>
  <c r="C437" i="8" s="1"/>
  <c r="B436" i="8" a="1"/>
  <c r="B436" i="8" s="1"/>
  <c r="C446" i="8" a="1"/>
  <c r="C446" i="8" s="1"/>
  <c r="C438" i="8" a="1"/>
  <c r="C438" i="8" s="1"/>
  <c r="H13" i="4" a="1"/>
  <c r="H13" i="4" s="1"/>
  <c r="H17" i="4" a="1"/>
  <c r="H17" i="4" s="1"/>
  <c r="H21" i="4" a="1"/>
  <c r="H21" i="4" s="1"/>
  <c r="B391" i="4" a="1"/>
  <c r="B391" i="4" s="1"/>
  <c r="B393" i="4" a="1"/>
  <c r="B393" i="4" s="1"/>
  <c r="H393" i="4" s="1" a="1"/>
  <c r="H393" i="4" s="1"/>
  <c r="B395" i="4" a="1"/>
  <c r="B395" i="4" s="1"/>
  <c r="H395" i="4" s="1" a="1"/>
  <c r="H395" i="4" s="1"/>
  <c r="B397" i="4" a="1"/>
  <c r="B397" i="4" s="1"/>
  <c r="H397" i="4" s="1" a="1"/>
  <c r="H397" i="4" s="1"/>
  <c r="B399" i="4" a="1"/>
  <c r="B399" i="4" s="1"/>
  <c r="D399" i="4" s="1" a="1"/>
  <c r="D399" i="4" s="1"/>
  <c r="B401" i="4" a="1"/>
  <c r="B401" i="4" s="1"/>
  <c r="D401" i="4" s="1" a="1"/>
  <c r="D401" i="4" s="1"/>
  <c r="B403" i="4" a="1"/>
  <c r="B403" i="4" s="1"/>
  <c r="D403" i="4" s="1" a="1"/>
  <c r="D403" i="4" s="1"/>
  <c r="B405" i="4" a="1"/>
  <c r="B405" i="4" s="1"/>
  <c r="D405" i="4" s="1" a="1"/>
  <c r="D405" i="4" s="1"/>
  <c r="C390" i="4" a="1"/>
  <c r="C390" i="4" s="1"/>
  <c r="C392" i="4" a="1"/>
  <c r="C392" i="4" s="1"/>
  <c r="C394" i="4" a="1"/>
  <c r="C394" i="4" s="1"/>
  <c r="C396" i="4" a="1"/>
  <c r="C396" i="4" s="1"/>
  <c r="C398" i="4" a="1"/>
  <c r="C398" i="4" s="1"/>
  <c r="C400" i="4" a="1"/>
  <c r="C400" i="4" s="1"/>
  <c r="C402" i="4" a="1"/>
  <c r="C402" i="4" s="1"/>
  <c r="C404" i="4" a="1"/>
  <c r="C404" i="4" s="1"/>
  <c r="B390" i="4" a="1"/>
  <c r="B390" i="4" s="1"/>
  <c r="D390" i="4" s="1" a="1"/>
  <c r="D390" i="4" s="1"/>
  <c r="B392" i="4" a="1"/>
  <c r="B392" i="4" s="1"/>
  <c r="H392" i="4" s="1" a="1"/>
  <c r="H392" i="4" s="1"/>
  <c r="B394" i="4" a="1"/>
  <c r="B394" i="4" s="1"/>
  <c r="H394" i="4" s="1" a="1"/>
  <c r="H394" i="4" s="1"/>
  <c r="B396" i="4" a="1"/>
  <c r="B396" i="4" s="1"/>
  <c r="H396" i="4" s="1" a="1"/>
  <c r="H396" i="4" s="1"/>
  <c r="B398" i="4" a="1"/>
  <c r="B398" i="4" s="1"/>
  <c r="H398" i="4" s="1" a="1"/>
  <c r="H398" i="4" s="1"/>
  <c r="B400" i="4" a="1"/>
  <c r="B400" i="4" s="1"/>
  <c r="D400" i="4" s="1" a="1"/>
  <c r="D400" i="4" s="1"/>
  <c r="B402" i="4" a="1"/>
  <c r="B402" i="4" s="1"/>
  <c r="H402" i="4" s="1" a="1"/>
  <c r="H402" i="4" s="1"/>
  <c r="B404" i="4" a="1"/>
  <c r="B404" i="4" s="1"/>
  <c r="D404" i="4" s="1" a="1"/>
  <c r="D404" i="4" s="1"/>
  <c r="C391" i="4" a="1"/>
  <c r="C391" i="4" s="1"/>
  <c r="C393" i="4" a="1"/>
  <c r="C393" i="4" s="1"/>
  <c r="C395" i="4" a="1"/>
  <c r="C395" i="4" s="1"/>
  <c r="C397" i="4" a="1"/>
  <c r="C397" i="4" s="1"/>
  <c r="C399" i="4" a="1"/>
  <c r="C399" i="4" s="1"/>
  <c r="C401" i="4" a="1"/>
  <c r="C401" i="4" s="1"/>
  <c r="C403" i="4" a="1"/>
  <c r="C403" i="4" s="1"/>
  <c r="C405" i="4" a="1"/>
  <c r="C405" i="4" s="1"/>
  <c r="H409" i="4" a="1"/>
  <c r="H409" i="4" s="1"/>
  <c r="C374" i="4" a="1"/>
  <c r="C374" i="4" s="1"/>
  <c r="B386" i="4" a="1"/>
  <c r="B386" i="4" s="1"/>
  <c r="B374" i="4" a="1"/>
  <c r="B374" i="4" s="1"/>
  <c r="B385" i="4" a="1"/>
  <c r="B385" i="4" s="1"/>
  <c r="B389" i="4" a="1"/>
  <c r="B389" i="4" s="1"/>
  <c r="B388" i="4" a="1"/>
  <c r="B388" i="4" s="1"/>
  <c r="D409" i="4" a="1"/>
  <c r="D409" i="4" s="1"/>
  <c r="C385" i="4" a="1"/>
  <c r="C385" i="4" s="1"/>
  <c r="C386" i="4" a="1"/>
  <c r="C386" i="4" s="1"/>
  <c r="C387" i="4" a="1"/>
  <c r="C387" i="4" s="1"/>
  <c r="C388" i="4" a="1"/>
  <c r="C388" i="4" s="1"/>
  <c r="C389" i="4" a="1"/>
  <c r="C389" i="4" s="1"/>
  <c r="B422" i="4" a="1"/>
  <c r="B422" i="4" s="1"/>
  <c r="C424" i="4" a="1"/>
  <c r="C424" i="4" s="1"/>
  <c r="B424" i="4" a="1"/>
  <c r="B424" i="4" s="1"/>
  <c r="C422" i="4" a="1"/>
  <c r="C422" i="4" s="1"/>
  <c r="C423" i="4" a="1"/>
  <c r="C423" i="4" s="1"/>
  <c r="H423" i="4" s="1" a="1"/>
  <c r="H423" i="4" s="1"/>
  <c r="H128" i="4" a="1"/>
  <c r="H128" i="4" s="1"/>
  <c r="H290" i="4" a="1"/>
  <c r="H290" i="4" s="1"/>
  <c r="H317" i="4" a="1"/>
  <c r="H317" i="4" s="1"/>
  <c r="D370" i="4" a="1"/>
  <c r="D370" i="4" s="1"/>
  <c r="E370" i="4" a="1"/>
  <c r="E370" i="4" s="1"/>
  <c r="D351" i="4" a="1"/>
  <c r="D351" i="4" s="1"/>
  <c r="E351" i="4" a="1"/>
  <c r="E351" i="4" s="1"/>
  <c r="H15" i="4" a="1"/>
  <c r="H15" i="4" s="1"/>
  <c r="H19" i="4" a="1"/>
  <c r="H19" i="4" s="1"/>
  <c r="D14" i="4" a="1"/>
  <c r="D14" i="4" s="1"/>
  <c r="H14" i="4" a="1"/>
  <c r="H14" i="4" s="1"/>
  <c r="D18" i="4" a="1"/>
  <c r="D18" i="4" s="1"/>
  <c r="H18" i="4" a="1"/>
  <c r="H18" i="4" s="1"/>
  <c r="D22" i="4" a="1"/>
  <c r="D22" i="4" s="1"/>
  <c r="H22" i="4" a="1"/>
  <c r="H22" i="4" s="1"/>
  <c r="AI22" i="4" s="1"/>
  <c r="K59" i="4"/>
  <c r="O59" i="4"/>
  <c r="S59" i="4"/>
  <c r="W59" i="4"/>
  <c r="AA59" i="4"/>
  <c r="N59" i="4"/>
  <c r="R59" i="4"/>
  <c r="V59" i="4"/>
  <c r="Z59" i="4"/>
  <c r="AD59" i="4"/>
  <c r="M59" i="4"/>
  <c r="Q59" i="4"/>
  <c r="U59" i="4"/>
  <c r="Y59" i="4"/>
  <c r="AC59" i="4"/>
  <c r="J59" i="4"/>
  <c r="L59" i="4"/>
  <c r="P59" i="4"/>
  <c r="T59" i="4"/>
  <c r="X59" i="4"/>
  <c r="AB59" i="4"/>
  <c r="D332" i="4" a="1"/>
  <c r="D332" i="4" s="1"/>
  <c r="E332" i="4" a="1"/>
  <c r="E332" i="4" s="1"/>
  <c r="D317" i="4" a="1"/>
  <c r="D317" i="4" s="1"/>
  <c r="D290" i="4" a="1"/>
  <c r="D290" i="4" s="1"/>
  <c r="D67" i="4" a="1"/>
  <c r="D67" i="4" s="1"/>
  <c r="D69" i="4" a="1"/>
  <c r="D69" i="4" s="1"/>
  <c r="D71" i="4" a="1"/>
  <c r="D71" i="4" s="1"/>
  <c r="D73" i="4" a="1"/>
  <c r="D73" i="4" s="1"/>
  <c r="D75" i="4" a="1"/>
  <c r="D75" i="4" s="1"/>
  <c r="E77" i="4" a="1"/>
  <c r="E77" i="4" s="1"/>
  <c r="D77" i="4" a="1"/>
  <c r="D77" i="4" s="1"/>
  <c r="D68" i="4" a="1"/>
  <c r="D68" i="4" s="1"/>
  <c r="D70" i="4" a="1"/>
  <c r="D70" i="4" s="1"/>
  <c r="D72" i="4" a="1"/>
  <c r="D72" i="4" s="1"/>
  <c r="D74" i="4" a="1"/>
  <c r="D74" i="4" s="1"/>
  <c r="E76" i="4" a="1"/>
  <c r="E76" i="4" s="1"/>
  <c r="D76" i="4" a="1"/>
  <c r="D76" i="4" s="1"/>
  <c r="D78" i="4" a="1"/>
  <c r="D78" i="4" s="1"/>
  <c r="E78" i="4" a="1"/>
  <c r="E78" i="4" s="1"/>
  <c r="D58" i="4" a="1"/>
  <c r="D58" i="4" s="1"/>
  <c r="E58" i="4" a="1"/>
  <c r="E58" i="4" s="1"/>
  <c r="D59" i="4" a="1"/>
  <c r="D59" i="4" s="1"/>
  <c r="E59" i="4" a="1"/>
  <c r="E59" i="4" s="1"/>
  <c r="D60" i="4" a="1"/>
  <c r="D60" i="4" s="1"/>
  <c r="E60" i="4" a="1"/>
  <c r="E60" i="4" s="1"/>
  <c r="D57" i="4" a="1"/>
  <c r="D57" i="4" s="1"/>
  <c r="D13" i="4" a="1"/>
  <c r="D13" i="4" s="1"/>
  <c r="D15" i="4" a="1"/>
  <c r="D15" i="4" s="1"/>
  <c r="D17" i="4" a="1"/>
  <c r="D17" i="4" s="1"/>
  <c r="D19" i="4" a="1"/>
  <c r="D19" i="4" s="1"/>
  <c r="D21" i="4" a="1"/>
  <c r="D21" i="4" s="1"/>
  <c r="D16" i="4" a="1"/>
  <c r="D16" i="4" s="1"/>
  <c r="D20" i="4" a="1"/>
  <c r="D20" i="4" s="1"/>
  <c r="D41" i="4" a="1"/>
  <c r="D41" i="4" s="1"/>
  <c r="D40" i="4" a="1"/>
  <c r="D40" i="4" s="1"/>
  <c r="H379" i="4" l="1" a="1"/>
  <c r="H379" i="4" s="1"/>
  <c r="D379" i="4" a="1"/>
  <c r="D379" i="4" s="1"/>
  <c r="H381" i="4" a="1"/>
  <c r="H381" i="4" s="1"/>
  <c r="D381" i="4" a="1"/>
  <c r="D381" i="4" s="1"/>
  <c r="H376" i="4" a="1"/>
  <c r="H376" i="4" s="1"/>
  <c r="D376" i="4" a="1"/>
  <c r="D376" i="4" s="1"/>
  <c r="D378" i="4" a="1"/>
  <c r="D378" i="4" s="1"/>
  <c r="H378" i="4" a="1"/>
  <c r="H378" i="4" s="1"/>
  <c r="D382" i="4" a="1"/>
  <c r="D382" i="4" s="1"/>
  <c r="H382" i="4" a="1"/>
  <c r="H382" i="4" s="1"/>
  <c r="H384" i="4" a="1"/>
  <c r="H384" i="4" s="1"/>
  <c r="D384" i="4" a="1"/>
  <c r="D384" i="4" s="1"/>
  <c r="E384" i="4" a="1"/>
  <c r="E384" i="4" s="1"/>
  <c r="H383" i="4" a="1"/>
  <c r="H383" i="4" s="1"/>
  <c r="D383" i="4" a="1"/>
  <c r="D383" i="4" s="1"/>
  <c r="H380" i="4" a="1"/>
  <c r="H380" i="4" s="1"/>
  <c r="D380" i="4" a="1"/>
  <c r="D380" i="4" s="1"/>
  <c r="H375" i="4" a="1"/>
  <c r="H375" i="4" s="1"/>
  <c r="D375" i="4" a="1"/>
  <c r="D375" i="4" s="1"/>
  <c r="D377" i="4" a="1"/>
  <c r="D377" i="4" s="1"/>
  <c r="H377" i="4" a="1"/>
  <c r="H377" i="4" s="1"/>
  <c r="K16" i="4"/>
  <c r="B455" i="8" a="1"/>
  <c r="B455" i="8" s="1"/>
  <c r="C460" i="8" a="1"/>
  <c r="C460" i="8" s="1"/>
  <c r="C465" i="8" a="1"/>
  <c r="C465" i="8" s="1"/>
  <c r="C455" i="8" a="1"/>
  <c r="C455" i="8" s="1"/>
  <c r="B458" i="8" a="1"/>
  <c r="B458" i="8" s="1"/>
  <c r="B463" i="8" a="1"/>
  <c r="B463" i="8" s="1"/>
  <c r="C458" i="8" a="1"/>
  <c r="C458" i="8" s="1"/>
  <c r="B461" i="8" a="1"/>
  <c r="B461" i="8" s="1"/>
  <c r="C463" i="8" a="1"/>
  <c r="C463" i="8" s="1"/>
  <c r="B466" i="8" a="1"/>
  <c r="B466" i="8" s="1"/>
  <c r="B457" i="8" a="1"/>
  <c r="B457" i="8" s="1"/>
  <c r="B462" i="8" a="1"/>
  <c r="B462" i="8" s="1"/>
  <c r="B456" i="8" a="1"/>
  <c r="B456" i="8" s="1"/>
  <c r="C461" i="8" a="1"/>
  <c r="C461" i="8" s="1"/>
  <c r="C466" i="8" a="1"/>
  <c r="C466" i="8" s="1"/>
  <c r="B460" i="8" a="1"/>
  <c r="B460" i="8" s="1"/>
  <c r="B465" i="8" a="1"/>
  <c r="B465" i="8" s="1"/>
  <c r="C456" i="8" a="1"/>
  <c r="C456" i="8" s="1"/>
  <c r="B459" i="8" a="1"/>
  <c r="B459" i="8" s="1"/>
  <c r="B464" i="8" a="1"/>
  <c r="B464" i="8" s="1"/>
  <c r="C459" i="8" a="1"/>
  <c r="C459" i="8" s="1"/>
  <c r="C464" i="8" a="1"/>
  <c r="C464" i="8" s="1"/>
  <c r="C457" i="8" a="1"/>
  <c r="C457" i="8" s="1"/>
  <c r="C462" i="8" a="1"/>
  <c r="C462" i="8" s="1"/>
  <c r="X73" i="4"/>
  <c r="W73" i="4"/>
  <c r="O69" i="4"/>
  <c r="M77" i="4"/>
  <c r="P73" i="4"/>
  <c r="U73" i="4"/>
  <c r="Z73" i="4"/>
  <c r="J73" i="4"/>
  <c r="O73" i="4"/>
  <c r="M73" i="4"/>
  <c r="R73" i="4"/>
  <c r="AC73" i="4"/>
  <c r="X77" i="4"/>
  <c r="AD78" i="4"/>
  <c r="Y78" i="4"/>
  <c r="AD70" i="4"/>
  <c r="T72" i="4"/>
  <c r="Y72" i="4"/>
  <c r="U72" i="4"/>
  <c r="X71" i="4"/>
  <c r="Q71" i="4"/>
  <c r="W71" i="4"/>
  <c r="Z72" i="4"/>
  <c r="V72" i="4"/>
  <c r="AA72" i="4"/>
  <c r="K72" i="4"/>
  <c r="J72" i="4"/>
  <c r="W77" i="4"/>
  <c r="P69" i="4"/>
  <c r="Z69" i="4"/>
  <c r="O70" i="4"/>
  <c r="Y70" i="4"/>
  <c r="O78" i="4"/>
  <c r="AD72" i="4"/>
  <c r="O72" i="4"/>
  <c r="AC72" i="4"/>
  <c r="R72" i="4"/>
  <c r="AB72" i="4"/>
  <c r="Q72" i="4"/>
  <c r="N72" i="4"/>
  <c r="X72" i="4"/>
  <c r="M72" i="4"/>
  <c r="W72" i="4"/>
  <c r="P72" i="4"/>
  <c r="S72" i="4"/>
  <c r="L72" i="4"/>
  <c r="W76" i="4"/>
  <c r="R74" i="4"/>
  <c r="M74" i="4"/>
  <c r="W58" i="4"/>
  <c r="L58" i="4"/>
  <c r="P76" i="4"/>
  <c r="Y75" i="4"/>
  <c r="N75" i="4"/>
  <c r="AB75" i="4"/>
  <c r="U75" i="4"/>
  <c r="AA75" i="4"/>
  <c r="X75" i="4"/>
  <c r="Q75" i="4"/>
  <c r="W75" i="4"/>
  <c r="T75" i="4"/>
  <c r="M75" i="4"/>
  <c r="S75" i="4"/>
  <c r="P75" i="4"/>
  <c r="AD75" i="4"/>
  <c r="O75" i="4"/>
  <c r="L75" i="4"/>
  <c r="Z75" i="4"/>
  <c r="K75" i="4"/>
  <c r="J75" i="4"/>
  <c r="V75" i="4"/>
  <c r="AC75" i="4"/>
  <c r="R75" i="4"/>
  <c r="T73" i="4"/>
  <c r="AD73" i="4"/>
  <c r="S73" i="4"/>
  <c r="L73" i="4"/>
  <c r="V73" i="4"/>
  <c r="K73" i="4"/>
  <c r="Y73" i="4"/>
  <c r="N73" i="4"/>
  <c r="X74" i="4"/>
  <c r="AB73" i="4"/>
  <c r="Q73" i="4"/>
  <c r="AA73" i="4"/>
  <c r="Z16" i="4"/>
  <c r="Y16" i="4"/>
  <c r="AB69" i="4"/>
  <c r="Q69" i="4"/>
  <c r="AA69" i="4"/>
  <c r="Y77" i="4"/>
  <c r="N77" i="4"/>
  <c r="X69" i="4"/>
  <c r="M69" i="4"/>
  <c r="W69" i="4"/>
  <c r="U77" i="4"/>
  <c r="J77" i="4"/>
  <c r="T69" i="4"/>
  <c r="AD69" i="4"/>
  <c r="S69" i="4"/>
  <c r="AB77" i="4"/>
  <c r="Q77" i="4"/>
  <c r="AA77" i="4"/>
  <c r="L69" i="4"/>
  <c r="V69" i="4"/>
  <c r="K69" i="4"/>
  <c r="T77" i="4"/>
  <c r="AD77" i="4"/>
  <c r="S77" i="4"/>
  <c r="AC69" i="4"/>
  <c r="R69" i="4"/>
  <c r="P77" i="4"/>
  <c r="Z77" i="4"/>
  <c r="O77" i="4"/>
  <c r="Y69" i="4"/>
  <c r="N69" i="4"/>
  <c r="L77" i="4"/>
  <c r="V77" i="4"/>
  <c r="K77" i="4"/>
  <c r="U69" i="4"/>
  <c r="J69" i="4"/>
  <c r="AC77" i="4"/>
  <c r="R77" i="4"/>
  <c r="S76" i="4"/>
  <c r="L76" i="4"/>
  <c r="AD76" i="4"/>
  <c r="O76" i="4"/>
  <c r="AC76" i="4"/>
  <c r="K57" i="4"/>
  <c r="Z76" i="4"/>
  <c r="K76" i="4"/>
  <c r="Y76" i="4"/>
  <c r="V76" i="4"/>
  <c r="J76" i="4"/>
  <c r="U76" i="4"/>
  <c r="R76" i="4"/>
  <c r="AB76" i="4"/>
  <c r="Q76" i="4"/>
  <c r="N76" i="4"/>
  <c r="X76" i="4"/>
  <c r="M76" i="4"/>
  <c r="AA76" i="4"/>
  <c r="T76" i="4"/>
  <c r="D391" i="4" a="1"/>
  <c r="D391" i="4" s="1"/>
  <c r="V16" i="4"/>
  <c r="J16" i="4"/>
  <c r="U16" i="4"/>
  <c r="Z70" i="4"/>
  <c r="K70" i="4"/>
  <c r="U70" i="4"/>
  <c r="Z78" i="4"/>
  <c r="K78" i="4"/>
  <c r="U78" i="4"/>
  <c r="R16" i="4"/>
  <c r="AB16" i="4"/>
  <c r="Q16" i="4"/>
  <c r="V70" i="4"/>
  <c r="AB70" i="4"/>
  <c r="Q70" i="4"/>
  <c r="V78" i="4"/>
  <c r="AB78" i="4"/>
  <c r="Q78" i="4"/>
  <c r="N16" i="4"/>
  <c r="X16" i="4"/>
  <c r="M16" i="4"/>
  <c r="R70" i="4"/>
  <c r="X70" i="4"/>
  <c r="M70" i="4"/>
  <c r="R78" i="4"/>
  <c r="X78" i="4"/>
  <c r="M78" i="4"/>
  <c r="AA16" i="4"/>
  <c r="T16" i="4"/>
  <c r="N70" i="4"/>
  <c r="T70" i="4"/>
  <c r="N78" i="4"/>
  <c r="T78" i="4"/>
  <c r="W16" i="4"/>
  <c r="P16" i="4"/>
  <c r="AA70" i="4"/>
  <c r="P70" i="4"/>
  <c r="AA78" i="4"/>
  <c r="P78" i="4"/>
  <c r="S16" i="4"/>
  <c r="L16" i="4"/>
  <c r="W70" i="4"/>
  <c r="L70" i="4"/>
  <c r="W78" i="4"/>
  <c r="L78" i="4"/>
  <c r="AD16" i="4"/>
  <c r="O16" i="4"/>
  <c r="AC16" i="4"/>
  <c r="J70" i="4"/>
  <c r="S70" i="4"/>
  <c r="AC70" i="4"/>
  <c r="J78" i="4"/>
  <c r="S78" i="4"/>
  <c r="AC78" i="4"/>
  <c r="J58" i="4"/>
  <c r="S58" i="4"/>
  <c r="AC58" i="4"/>
  <c r="N74" i="4"/>
  <c r="T74" i="4"/>
  <c r="AD58" i="4"/>
  <c r="O58" i="4"/>
  <c r="Y58" i="4"/>
  <c r="AA74" i="4"/>
  <c r="P74" i="4"/>
  <c r="Z58" i="4"/>
  <c r="K58" i="4"/>
  <c r="U58" i="4"/>
  <c r="W74" i="4"/>
  <c r="L74" i="4"/>
  <c r="V58" i="4"/>
  <c r="AB58" i="4"/>
  <c r="Q58" i="4"/>
  <c r="J74" i="4"/>
  <c r="S74" i="4"/>
  <c r="AC74" i="4"/>
  <c r="R58" i="4"/>
  <c r="X58" i="4"/>
  <c r="M58" i="4"/>
  <c r="AD74" i="4"/>
  <c r="O74" i="4"/>
  <c r="Y74" i="4"/>
  <c r="N58" i="4"/>
  <c r="T58" i="4"/>
  <c r="Z74" i="4"/>
  <c r="K74" i="4"/>
  <c r="U74" i="4"/>
  <c r="AA58" i="4"/>
  <c r="P58" i="4"/>
  <c r="V74" i="4"/>
  <c r="AB74" i="4"/>
  <c r="Q74" i="4"/>
  <c r="AG74" i="4"/>
  <c r="AH72" i="4"/>
  <c r="AG72" i="4"/>
  <c r="T71" i="4"/>
  <c r="M71" i="4"/>
  <c r="S71" i="4"/>
  <c r="P71" i="4"/>
  <c r="AD71" i="4"/>
  <c r="O71" i="4"/>
  <c r="L71" i="4"/>
  <c r="Z71" i="4"/>
  <c r="K71" i="4"/>
  <c r="J71" i="4"/>
  <c r="V71" i="4"/>
  <c r="AC71" i="4"/>
  <c r="R71" i="4"/>
  <c r="Y71" i="4"/>
  <c r="N71" i="4"/>
  <c r="AB71" i="4"/>
  <c r="U71" i="4"/>
  <c r="AA71" i="4"/>
  <c r="AH74" i="4"/>
  <c r="AH76" i="4"/>
  <c r="AH78" i="4"/>
  <c r="AH77" i="4"/>
  <c r="AG78" i="4"/>
  <c r="AG77" i="4"/>
  <c r="AG76" i="4"/>
  <c r="AH73" i="4"/>
  <c r="AH75" i="4"/>
  <c r="AG75" i="4"/>
  <c r="AG71" i="4"/>
  <c r="AG70" i="4"/>
  <c r="AG73" i="4"/>
  <c r="AH70" i="4"/>
  <c r="AH71" i="4"/>
  <c r="AH69" i="4"/>
  <c r="AG69" i="4"/>
  <c r="AH58" i="4"/>
  <c r="AG58" i="4"/>
  <c r="AH18" i="4"/>
  <c r="AI18" i="4"/>
  <c r="AH13" i="4"/>
  <c r="AI13" i="4"/>
  <c r="AH14" i="4"/>
  <c r="AI14" i="4"/>
  <c r="AH20" i="4"/>
  <c r="AI20" i="4"/>
  <c r="AH19" i="4"/>
  <c r="AI19" i="4"/>
  <c r="AH21" i="4"/>
  <c r="AI21" i="4"/>
  <c r="AH15" i="4"/>
  <c r="AI15" i="4"/>
  <c r="AH17" i="4"/>
  <c r="AI17" i="4"/>
  <c r="AG57" i="4"/>
  <c r="AH57" i="4"/>
  <c r="AG16" i="4"/>
  <c r="AH16" i="4"/>
  <c r="AG22" i="4"/>
  <c r="AH22" i="4"/>
  <c r="AG68" i="4"/>
  <c r="AH68" i="4"/>
  <c r="AG67" i="4"/>
  <c r="AH67" i="4"/>
  <c r="L57" i="4"/>
  <c r="V57" i="4"/>
  <c r="AC57" i="4"/>
  <c r="R57" i="4"/>
  <c r="Y57" i="4"/>
  <c r="N57" i="4"/>
  <c r="U57" i="4"/>
  <c r="J57" i="4"/>
  <c r="AB57" i="4"/>
  <c r="Q57" i="4"/>
  <c r="AA57" i="4"/>
  <c r="X57" i="4"/>
  <c r="M57" i="4"/>
  <c r="W57" i="4"/>
  <c r="T57" i="4"/>
  <c r="AD57" i="4"/>
  <c r="S57" i="4"/>
  <c r="P57" i="4"/>
  <c r="Z57" i="4"/>
  <c r="O57" i="4"/>
  <c r="Y14" i="4"/>
  <c r="AG14" i="4"/>
  <c r="T20" i="4"/>
  <c r="AG20" i="4"/>
  <c r="J21" i="4"/>
  <c r="AG21" i="4"/>
  <c r="W17" i="4"/>
  <c r="AG17" i="4"/>
  <c r="K19" i="4"/>
  <c r="AG19" i="4"/>
  <c r="R13" i="4"/>
  <c r="AG13" i="4"/>
  <c r="O15" i="4"/>
  <c r="AG15" i="4"/>
  <c r="M18" i="4"/>
  <c r="AG18" i="4"/>
  <c r="K20" i="4"/>
  <c r="AC20" i="4"/>
  <c r="Z20" i="4"/>
  <c r="S20" i="4"/>
  <c r="P20" i="4"/>
  <c r="AD20" i="4"/>
  <c r="O20" i="4"/>
  <c r="L20" i="4"/>
  <c r="V20" i="4"/>
  <c r="J20" i="4"/>
  <c r="Y20" i="4"/>
  <c r="R20" i="4"/>
  <c r="U20" i="4"/>
  <c r="N20" i="4"/>
  <c r="AB20" i="4"/>
  <c r="Q20" i="4"/>
  <c r="AA20" i="4"/>
  <c r="X20" i="4"/>
  <c r="M20" i="4"/>
  <c r="W20" i="4"/>
  <c r="D423" i="4" a="1"/>
  <c r="D423" i="4" s="1"/>
  <c r="H391" i="4" a="1"/>
  <c r="H391" i="4" s="1"/>
  <c r="H405" i="4" a="1"/>
  <c r="H405" i="4" s="1"/>
  <c r="E405" i="4" a="1"/>
  <c r="E405" i="4" s="1"/>
  <c r="P17" i="4"/>
  <c r="Z17" i="4"/>
  <c r="V17" i="4"/>
  <c r="J17" i="4"/>
  <c r="O17" i="4"/>
  <c r="K17" i="4"/>
  <c r="S21" i="4"/>
  <c r="L17" i="4"/>
  <c r="Y13" i="4"/>
  <c r="U17" i="4"/>
  <c r="O13" i="4"/>
  <c r="AB21" i="4"/>
  <c r="AD17" i="4"/>
  <c r="Q21" i="4"/>
  <c r="AD21" i="4"/>
  <c r="W13" i="4"/>
  <c r="E397" i="4" a="1"/>
  <c r="E397" i="4" s="1"/>
  <c r="D397" i="4" a="1"/>
  <c r="D397" i="4" s="1"/>
  <c r="T13" i="4"/>
  <c r="M21" i="4"/>
  <c r="O21" i="4"/>
  <c r="AC13" i="4"/>
  <c r="S13" i="4"/>
  <c r="X21" i="4"/>
  <c r="Z21" i="4"/>
  <c r="T17" i="4"/>
  <c r="S17" i="4"/>
  <c r="U13" i="4"/>
  <c r="T21" i="4"/>
  <c r="R21" i="4"/>
  <c r="Q13" i="4"/>
  <c r="P21" i="4"/>
  <c r="N21" i="4"/>
  <c r="Z13" i="4"/>
  <c r="AC21" i="4"/>
  <c r="AA21" i="4"/>
  <c r="V13" i="4"/>
  <c r="Y21" i="4"/>
  <c r="W21" i="4"/>
  <c r="X13" i="4"/>
  <c r="AA13" i="4"/>
  <c r="AC17" i="4"/>
  <c r="R17" i="4"/>
  <c r="L21" i="4"/>
  <c r="V21" i="4"/>
  <c r="K21" i="4"/>
  <c r="Y17" i="4"/>
  <c r="N17" i="4"/>
  <c r="AB13" i="4"/>
  <c r="AD13" i="4"/>
  <c r="AB17" i="4"/>
  <c r="Q17" i="4"/>
  <c r="AA17" i="4"/>
  <c r="U21" i="4"/>
  <c r="X17" i="4"/>
  <c r="M17" i="4"/>
  <c r="P13" i="4"/>
  <c r="D445" i="8" a="1"/>
  <c r="D445" i="8" s="1"/>
  <c r="I445" i="8" a="1"/>
  <c r="I445" i="8" s="1"/>
  <c r="E445" i="8" a="1"/>
  <c r="E445" i="8" s="1"/>
  <c r="I451" i="8" a="1"/>
  <c r="I451" i="8" s="1"/>
  <c r="E451" i="8" a="1"/>
  <c r="E451" i="8" s="1"/>
  <c r="D451" i="8" a="1"/>
  <c r="D451" i="8" s="1"/>
  <c r="D444" i="8" a="1"/>
  <c r="D444" i="8" s="1"/>
  <c r="I444" i="8" a="1"/>
  <c r="I444" i="8" s="1"/>
  <c r="D442" i="8" a="1"/>
  <c r="D442" i="8" s="1"/>
  <c r="I442" i="8" a="1"/>
  <c r="I442" i="8" s="1"/>
  <c r="E449" i="8" a="1"/>
  <c r="E449" i="8" s="1"/>
  <c r="D449" i="8" a="1"/>
  <c r="D449" i="8" s="1"/>
  <c r="I449" i="8" a="1"/>
  <c r="I449" i="8" s="1"/>
  <c r="B454" i="8" a="1"/>
  <c r="B454" i="8" s="1"/>
  <c r="C454" i="8" a="1"/>
  <c r="C454" i="8" s="1"/>
  <c r="B468" i="8"/>
  <c r="D450" i="8" a="1"/>
  <c r="D450" i="8" s="1"/>
  <c r="I450" i="8" a="1"/>
  <c r="I450" i="8" s="1"/>
  <c r="E450" i="8" a="1"/>
  <c r="E450" i="8" s="1"/>
  <c r="I443" i="8" a="1"/>
  <c r="I443" i="8" s="1"/>
  <c r="D443" i="8" a="1"/>
  <c r="D443" i="8" s="1"/>
  <c r="I448" i="8" a="1"/>
  <c r="I448" i="8" s="1"/>
  <c r="E448" i="8" a="1"/>
  <c r="E448" i="8" s="1"/>
  <c r="D448" i="8" a="1"/>
  <c r="D448" i="8" s="1"/>
  <c r="I446" i="8" a="1"/>
  <c r="I446" i="8" s="1"/>
  <c r="E446" i="8" a="1"/>
  <c r="E446" i="8" s="1"/>
  <c r="D446" i="8" a="1"/>
  <c r="D446" i="8" s="1"/>
  <c r="E447" i="8" a="1"/>
  <c r="E447" i="8" s="1"/>
  <c r="D447" i="8" a="1"/>
  <c r="D447" i="8" s="1"/>
  <c r="I447" i="8" a="1"/>
  <c r="I447" i="8" s="1"/>
  <c r="E395" i="4" a="1"/>
  <c r="E395" i="4" s="1"/>
  <c r="D395" i="4" a="1"/>
  <c r="D395" i="4" s="1"/>
  <c r="E394" i="4" a="1"/>
  <c r="E394" i="4" s="1"/>
  <c r="D394" i="4" a="1"/>
  <c r="D394" i="4" s="1"/>
  <c r="E396" i="4" a="1"/>
  <c r="E396" i="4" s="1"/>
  <c r="D396" i="4" a="1"/>
  <c r="D396" i="4" s="1"/>
  <c r="D393" i="4" a="1"/>
  <c r="D393" i="4" s="1"/>
  <c r="E392" i="4" a="1"/>
  <c r="E392" i="4" s="1"/>
  <c r="D392" i="4" a="1"/>
  <c r="D392" i="4" s="1"/>
  <c r="E393" i="4" a="1"/>
  <c r="E393" i="4" s="1"/>
  <c r="E404" i="4" a="1"/>
  <c r="E404" i="4" s="1"/>
  <c r="D398" i="4" a="1"/>
  <c r="D398" i="4" s="1"/>
  <c r="E399" i="4" a="1"/>
  <c r="E399" i="4" s="1"/>
  <c r="H399" i="4" a="1"/>
  <c r="H399" i="4" s="1"/>
  <c r="E398" i="4" a="1"/>
  <c r="E398" i="4" s="1"/>
  <c r="H404" i="4" a="1"/>
  <c r="H404" i="4" s="1"/>
  <c r="E403" i="4" a="1"/>
  <c r="E403" i="4" s="1"/>
  <c r="E402" i="4" a="1"/>
  <c r="E402" i="4" s="1"/>
  <c r="E401" i="4" a="1"/>
  <c r="E401" i="4" s="1"/>
  <c r="E400" i="4" a="1"/>
  <c r="E400" i="4" s="1"/>
  <c r="H400" i="4" a="1"/>
  <c r="H400" i="4" s="1"/>
  <c r="H401" i="4" a="1"/>
  <c r="H401" i="4" s="1"/>
  <c r="D402" i="4" a="1"/>
  <c r="D402" i="4" s="1"/>
  <c r="H403" i="4" a="1"/>
  <c r="H403" i="4" s="1"/>
  <c r="AD19" i="4"/>
  <c r="H390" i="4" a="1"/>
  <c r="H390" i="4" s="1"/>
  <c r="S15" i="4"/>
  <c r="Q15" i="4"/>
  <c r="P15" i="4"/>
  <c r="R15" i="4"/>
  <c r="T15" i="4"/>
  <c r="Y15" i="4"/>
  <c r="V15" i="4"/>
  <c r="W15" i="4"/>
  <c r="X15" i="4"/>
  <c r="AC15" i="4"/>
  <c r="AD15" i="4"/>
  <c r="AA15" i="4"/>
  <c r="J15" i="4"/>
  <c r="M15" i="4"/>
  <c r="N15" i="4"/>
  <c r="K15" i="4"/>
  <c r="AB15" i="4"/>
  <c r="L15" i="4"/>
  <c r="U15" i="4"/>
  <c r="Z15" i="4"/>
  <c r="Y19" i="4"/>
  <c r="U14" i="4"/>
  <c r="W14" i="4"/>
  <c r="H424" i="4" a="1"/>
  <c r="H424" i="4" s="1"/>
  <c r="H422" i="4" a="1"/>
  <c r="H422" i="4" s="1"/>
  <c r="H388" i="4" a="1"/>
  <c r="H388" i="4" s="1"/>
  <c r="H385" i="4" a="1"/>
  <c r="H385" i="4" s="1"/>
  <c r="H389" i="4" a="1"/>
  <c r="H389" i="4" s="1"/>
  <c r="H387" i="4" a="1"/>
  <c r="H387" i="4" s="1"/>
  <c r="H386" i="4" a="1"/>
  <c r="H386" i="4" s="1"/>
  <c r="D424" i="4" a="1"/>
  <c r="D424" i="4" s="1"/>
  <c r="D389" i="4" a="1"/>
  <c r="D389" i="4" s="1"/>
  <c r="D422" i="4" a="1"/>
  <c r="D422" i="4" s="1"/>
  <c r="D387" i="4" a="1"/>
  <c r="D387" i="4" s="1"/>
  <c r="D388" i="4" a="1"/>
  <c r="D388" i="4" s="1"/>
  <c r="D385" i="4" a="1"/>
  <c r="D385" i="4" s="1"/>
  <c r="D386" i="4" a="1"/>
  <c r="D386" i="4" s="1"/>
  <c r="B445" i="4"/>
  <c r="B428" i="4" a="1"/>
  <c r="B428" i="4" s="1"/>
  <c r="C428" i="4" a="1"/>
  <c r="C428" i="4" s="1"/>
  <c r="R14" i="4"/>
  <c r="P14" i="4"/>
  <c r="Z14" i="4"/>
  <c r="O14" i="4"/>
  <c r="X14" i="4"/>
  <c r="AC14" i="4"/>
  <c r="AD14" i="4"/>
  <c r="S14" i="4"/>
  <c r="AB14" i="4"/>
  <c r="Q14" i="4"/>
  <c r="V14" i="4"/>
  <c r="AA14" i="4"/>
  <c r="T14" i="4"/>
  <c r="K18" i="4"/>
  <c r="P19" i="4"/>
  <c r="S19" i="4"/>
  <c r="N19" i="4"/>
  <c r="Y18" i="4"/>
  <c r="AB19" i="4"/>
  <c r="L19" i="4"/>
  <c r="U19" i="4"/>
  <c r="Z19" i="4"/>
  <c r="O19" i="4"/>
  <c r="T19" i="4"/>
  <c r="AC19" i="4"/>
  <c r="M19" i="4"/>
  <c r="R19" i="4"/>
  <c r="W19" i="4"/>
  <c r="X19" i="4"/>
  <c r="J19" i="4"/>
  <c r="Q19" i="4"/>
  <c r="V19" i="4"/>
  <c r="AA19" i="4"/>
  <c r="N18" i="4"/>
  <c r="V18" i="4"/>
  <c r="Q18" i="4"/>
  <c r="AB18" i="4"/>
  <c r="AD18" i="4"/>
  <c r="S18" i="4"/>
  <c r="L18" i="4"/>
  <c r="AA18" i="4"/>
  <c r="T18" i="4"/>
  <c r="J18" i="4"/>
  <c r="R18" i="4"/>
  <c r="W18" i="4"/>
  <c r="P18" i="4"/>
  <c r="U18" i="4"/>
  <c r="Z18" i="4"/>
  <c r="O18" i="4"/>
  <c r="X18" i="4"/>
  <c r="AC18" i="4"/>
  <c r="L67" i="4"/>
  <c r="P67" i="4"/>
  <c r="T67" i="4"/>
  <c r="X67" i="4"/>
  <c r="AB67" i="4"/>
  <c r="K67" i="4"/>
  <c r="O67" i="4"/>
  <c r="S67" i="4"/>
  <c r="W67" i="4"/>
  <c r="AA67" i="4"/>
  <c r="R67" i="4"/>
  <c r="Z67" i="4"/>
  <c r="Q67" i="4"/>
  <c r="Y67" i="4"/>
  <c r="N67" i="4"/>
  <c r="V67" i="4"/>
  <c r="AD67" i="4"/>
  <c r="M67" i="4"/>
  <c r="U67" i="4"/>
  <c r="AC67" i="4"/>
  <c r="J67" i="4"/>
  <c r="N68" i="4"/>
  <c r="R68" i="4"/>
  <c r="V68" i="4"/>
  <c r="Z68" i="4"/>
  <c r="AD68" i="4"/>
  <c r="M68" i="4"/>
  <c r="Q68" i="4"/>
  <c r="U68" i="4"/>
  <c r="Y68" i="4"/>
  <c r="AC68" i="4"/>
  <c r="L68" i="4"/>
  <c r="T68" i="4"/>
  <c r="AB68" i="4"/>
  <c r="K68" i="4"/>
  <c r="S68" i="4"/>
  <c r="AA68" i="4"/>
  <c r="P68" i="4"/>
  <c r="X68" i="4"/>
  <c r="O68" i="4"/>
  <c r="W68" i="4"/>
  <c r="J68" i="4"/>
  <c r="N60" i="4"/>
  <c r="R60" i="4"/>
  <c r="V60" i="4"/>
  <c r="Z60" i="4"/>
  <c r="AD60" i="4"/>
  <c r="M60" i="4"/>
  <c r="Q60" i="4"/>
  <c r="U60" i="4"/>
  <c r="Y60" i="4"/>
  <c r="AC60" i="4"/>
  <c r="P60" i="4"/>
  <c r="X60" i="4"/>
  <c r="O60" i="4"/>
  <c r="W60" i="4"/>
  <c r="L60" i="4"/>
  <c r="T60" i="4"/>
  <c r="AB60" i="4"/>
  <c r="K60" i="4"/>
  <c r="S60" i="4"/>
  <c r="AA60" i="4"/>
  <c r="J60" i="4"/>
  <c r="N655" i="4"/>
  <c r="R655" i="4"/>
  <c r="V655" i="4"/>
  <c r="Z655" i="4"/>
  <c r="AD655" i="4"/>
  <c r="M655" i="4"/>
  <c r="Q655" i="4"/>
  <c r="U655" i="4"/>
  <c r="Y655" i="4"/>
  <c r="AC655" i="4"/>
  <c r="L655" i="4"/>
  <c r="P655" i="4"/>
  <c r="T655" i="4"/>
  <c r="X655" i="4"/>
  <c r="AB655" i="4"/>
  <c r="K655" i="4"/>
  <c r="O655" i="4"/>
  <c r="S655" i="4"/>
  <c r="W655" i="4"/>
  <c r="AA655" i="4"/>
  <c r="J655" i="4"/>
  <c r="C450" i="4" l="1" a="1"/>
  <c r="C450" i="4" s="1"/>
  <c r="B457" i="4" a="1"/>
  <c r="B457" i="4" s="1"/>
  <c r="C460" i="4" a="1"/>
  <c r="C460" i="4" s="1"/>
  <c r="B451" i="4" a="1"/>
  <c r="B451" i="4" s="1"/>
  <c r="B454" i="4" a="1"/>
  <c r="B454" i="4" s="1"/>
  <c r="C457" i="4" a="1"/>
  <c r="C457" i="4" s="1"/>
  <c r="B448" i="4" a="1"/>
  <c r="B448" i="4" s="1"/>
  <c r="C451" i="4" a="1"/>
  <c r="C451" i="4" s="1"/>
  <c r="C454" i="4" a="1"/>
  <c r="C454" i="4" s="1"/>
  <c r="C448" i="4" a="1"/>
  <c r="C448" i="4" s="1"/>
  <c r="B455" i="4" a="1"/>
  <c r="B455" i="4" s="1"/>
  <c r="B458" i="4" a="1"/>
  <c r="B458" i="4" s="1"/>
  <c r="B449" i="4" a="1"/>
  <c r="B449" i="4" s="1"/>
  <c r="B452" i="4" a="1"/>
  <c r="B452" i="4" s="1"/>
  <c r="C455" i="4" a="1"/>
  <c r="C455" i="4" s="1"/>
  <c r="C458" i="4" a="1"/>
  <c r="C458" i="4" s="1"/>
  <c r="C449" i="4" a="1"/>
  <c r="C449" i="4" s="1"/>
  <c r="C452" i="4" a="1"/>
  <c r="C452" i="4" s="1"/>
  <c r="B459" i="4" a="1"/>
  <c r="B459" i="4" s="1"/>
  <c r="B453" i="4" a="1"/>
  <c r="B453" i="4" s="1"/>
  <c r="B456" i="4" a="1"/>
  <c r="B456" i="4" s="1"/>
  <c r="C459" i="4" a="1"/>
  <c r="C459" i="4" s="1"/>
  <c r="B450" i="4" a="1"/>
  <c r="B450" i="4" s="1"/>
  <c r="C453" i="4" a="1"/>
  <c r="C453" i="4" s="1"/>
  <c r="C456" i="4" a="1"/>
  <c r="C456" i="4" s="1"/>
  <c r="B460" i="4" a="1"/>
  <c r="B460" i="4" s="1"/>
  <c r="D457" i="8" a="1"/>
  <c r="D457" i="8" s="1"/>
  <c r="I459" i="8" a="1"/>
  <c r="I459" i="8" s="1"/>
  <c r="D459" i="8" a="1"/>
  <c r="D459" i="8" s="1"/>
  <c r="D462" i="8" a="1"/>
  <c r="D462" i="8" s="1"/>
  <c r="E462" i="8" a="1"/>
  <c r="E462" i="8" s="1"/>
  <c r="I462" i="8" a="1"/>
  <c r="I462" i="8" s="1"/>
  <c r="I458" i="8" a="1"/>
  <c r="I458" i="8" s="1"/>
  <c r="D458" i="8" a="1"/>
  <c r="D458" i="8" s="1"/>
  <c r="E464" i="8" a="1"/>
  <c r="E464" i="8" s="1"/>
  <c r="I464" i="8" a="1"/>
  <c r="I464" i="8" s="1"/>
  <c r="D464" i="8" a="1"/>
  <c r="D464" i="8" s="1"/>
  <c r="I463" i="8" a="1"/>
  <c r="I463" i="8" s="1"/>
  <c r="D463" i="8" a="1"/>
  <c r="D463" i="8" s="1"/>
  <c r="E463" i="8" a="1"/>
  <c r="E463" i="8" s="1"/>
  <c r="D465" i="8" a="1"/>
  <c r="D465" i="8" s="1"/>
  <c r="I465" i="8" a="1"/>
  <c r="I465" i="8" s="1"/>
  <c r="E465" i="8" a="1"/>
  <c r="E465" i="8" s="1"/>
  <c r="I466" i="8" a="1"/>
  <c r="I466" i="8" s="1"/>
  <c r="E466" i="8" a="1"/>
  <c r="E466" i="8" s="1"/>
  <c r="D466" i="8" a="1"/>
  <c r="D466" i="8" s="1"/>
  <c r="D460" i="8" a="1"/>
  <c r="D460" i="8" s="1"/>
  <c r="I460" i="8" a="1"/>
  <c r="I460" i="8" s="1"/>
  <c r="D461" i="8" a="1"/>
  <c r="D461" i="8" s="1"/>
  <c r="I461" i="8" a="1"/>
  <c r="I461" i="8" s="1"/>
  <c r="C482" i="8" a="1"/>
  <c r="C482" i="8" s="1"/>
  <c r="B480" i="8" a="1"/>
  <c r="B480" i="8" s="1"/>
  <c r="C474" i="8" a="1"/>
  <c r="C474" i="8" s="1"/>
  <c r="B484" i="8" a="1"/>
  <c r="B484" i="8" s="1"/>
  <c r="C483" i="8" a="1"/>
  <c r="C483" i="8" s="1"/>
  <c r="B479" i="8" a="1"/>
  <c r="B479" i="8" s="1"/>
  <c r="B483" i="8" a="1"/>
  <c r="B483" i="8" s="1"/>
  <c r="C470" i="8" a="1"/>
  <c r="C470" i="8" s="1"/>
  <c r="B482" i="8" a="1"/>
  <c r="B482" i="8" s="1"/>
  <c r="C481" i="8" a="1"/>
  <c r="C481" i="8" s="1"/>
  <c r="B478" i="8" a="1"/>
  <c r="B478" i="8" s="1"/>
  <c r="C477" i="8" a="1"/>
  <c r="C477" i="8" s="1"/>
  <c r="B486" i="8"/>
  <c r="C485" i="8" a="1"/>
  <c r="C485" i="8" s="1"/>
  <c r="B481" i="8" a="1"/>
  <c r="B481" i="8" s="1"/>
  <c r="C480" i="8" a="1"/>
  <c r="C480" i="8" s="1"/>
  <c r="C475" i="8" a="1"/>
  <c r="C475" i="8" s="1"/>
  <c r="C473" i="8" a="1"/>
  <c r="C473" i="8" s="1"/>
  <c r="C472" i="8" a="1"/>
  <c r="C472" i="8" s="1"/>
  <c r="C471" i="8" a="1"/>
  <c r="C471" i="8" s="1"/>
  <c r="B485" i="8" a="1"/>
  <c r="B485" i="8" s="1"/>
  <c r="C476" i="8" a="1"/>
  <c r="C476" i="8" s="1"/>
  <c r="B473" i="8" a="1"/>
  <c r="B473" i="8" s="1"/>
  <c r="B472" i="8" a="1"/>
  <c r="B472" i="8" s="1"/>
  <c r="B476" i="8" a="1"/>
  <c r="B476" i="8" s="1"/>
  <c r="B475" i="8" a="1"/>
  <c r="B475" i="8" s="1"/>
  <c r="B474" i="8" a="1"/>
  <c r="B474" i="8" s="1"/>
  <c r="B471" i="8" a="1"/>
  <c r="B471" i="8" s="1"/>
  <c r="B470" i="8" a="1"/>
  <c r="B470" i="8" s="1"/>
  <c r="B477" i="8" a="1"/>
  <c r="B477" i="8" s="1"/>
  <c r="C478" i="8" a="1"/>
  <c r="C478" i="8" s="1"/>
  <c r="C484" i="8" a="1"/>
  <c r="C484" i="8" s="1"/>
  <c r="C479" i="8" a="1"/>
  <c r="C479" i="8" s="1"/>
  <c r="B464" i="4"/>
  <c r="B462" i="4" a="1"/>
  <c r="B462" i="4" s="1"/>
  <c r="B461" i="4" a="1"/>
  <c r="B461" i="4" s="1"/>
  <c r="B447" i="4" a="1"/>
  <c r="B447" i="4" s="1"/>
  <c r="C462" i="4" a="1"/>
  <c r="C462" i="4" s="1"/>
  <c r="C461" i="4" a="1"/>
  <c r="C461" i="4" s="1"/>
  <c r="C447" i="4" a="1"/>
  <c r="C447" i="4" s="1"/>
  <c r="H450" i="4" l="1" a="1"/>
  <c r="H450" i="4" s="1"/>
  <c r="D450" i="4" a="1"/>
  <c r="D450" i="4" s="1"/>
  <c r="H448" i="4" a="1"/>
  <c r="H448" i="4" s="1"/>
  <c r="D448" i="4" a="1"/>
  <c r="D448" i="4" s="1"/>
  <c r="C469" i="4" a="1"/>
  <c r="C469" i="4" s="1"/>
  <c r="C472" i="4" a="1"/>
  <c r="C472" i="4" s="1"/>
  <c r="B476" i="4" a="1"/>
  <c r="B476" i="4" s="1"/>
  <c r="B479" i="4" a="1"/>
  <c r="B479" i="4" s="1"/>
  <c r="B470" i="4" a="1"/>
  <c r="B470" i="4" s="1"/>
  <c r="B473" i="4" a="1"/>
  <c r="B473" i="4" s="1"/>
  <c r="C479" i="4" a="1"/>
  <c r="C479" i="4" s="1"/>
  <c r="B467" i="4" a="1"/>
  <c r="B467" i="4" s="1"/>
  <c r="C473" i="4" a="1"/>
  <c r="C473" i="4" s="1"/>
  <c r="C476" i="4" a="1"/>
  <c r="C476" i="4" s="1"/>
  <c r="C467" i="4" a="1"/>
  <c r="C467" i="4" s="1"/>
  <c r="C470" i="4" a="1"/>
  <c r="C470" i="4" s="1"/>
  <c r="B474" i="4" a="1"/>
  <c r="B474" i="4" s="1"/>
  <c r="B468" i="4" a="1"/>
  <c r="B468" i="4" s="1"/>
  <c r="B471" i="4" a="1"/>
  <c r="B471" i="4" s="1"/>
  <c r="B477" i="4" a="1"/>
  <c r="B477" i="4" s="1"/>
  <c r="C471" i="4" a="1"/>
  <c r="C471" i="4" s="1"/>
  <c r="C474" i="4" a="1"/>
  <c r="C474" i="4" s="1"/>
  <c r="C477" i="4" a="1"/>
  <c r="C477" i="4" s="1"/>
  <c r="C468" i="4" a="1"/>
  <c r="C468" i="4" s="1"/>
  <c r="B472" i="4" a="1"/>
  <c r="B472" i="4" s="1"/>
  <c r="B475" i="4" a="1"/>
  <c r="B475" i="4" s="1"/>
  <c r="B478" i="4" a="1"/>
  <c r="B478" i="4" s="1"/>
  <c r="B469" i="4" a="1"/>
  <c r="B469" i="4" s="1"/>
  <c r="C475" i="4" a="1"/>
  <c r="C475" i="4" s="1"/>
  <c r="C478" i="4" a="1"/>
  <c r="C478" i="4" s="1"/>
  <c r="H452" i="4" a="1"/>
  <c r="H452" i="4" s="1"/>
  <c r="D452" i="4" a="1"/>
  <c r="D452" i="4" s="1"/>
  <c r="H456" i="4" a="1"/>
  <c r="H456" i="4" s="1"/>
  <c r="D456" i="4" a="1"/>
  <c r="D456" i="4" s="1"/>
  <c r="D449" i="4" a="1"/>
  <c r="D449" i="4" s="1"/>
  <c r="H449" i="4" a="1"/>
  <c r="H449" i="4" s="1"/>
  <c r="H454" i="4" a="1"/>
  <c r="H454" i="4" s="1"/>
  <c r="D454" i="4" a="1"/>
  <c r="D454" i="4" s="1"/>
  <c r="H453" i="4" a="1"/>
  <c r="H453" i="4" s="1"/>
  <c r="D453" i="4" a="1"/>
  <c r="D453" i="4" s="1"/>
  <c r="D458" i="4" a="1"/>
  <c r="D458" i="4" s="1"/>
  <c r="E458" i="4" a="1"/>
  <c r="E458" i="4" s="1"/>
  <c r="H458" i="4" a="1"/>
  <c r="H458" i="4" s="1"/>
  <c r="D451" i="4" a="1"/>
  <c r="D451" i="4" s="1"/>
  <c r="H451" i="4" a="1"/>
  <c r="H451" i="4" s="1"/>
  <c r="D459" i="4" a="1"/>
  <c r="D459" i="4" s="1"/>
  <c r="E459" i="4" a="1"/>
  <c r="E459" i="4" s="1"/>
  <c r="H459" i="4" a="1"/>
  <c r="H459" i="4" s="1"/>
  <c r="D455" i="4" a="1"/>
  <c r="D455" i="4" s="1"/>
  <c r="H455" i="4" a="1"/>
  <c r="H455" i="4" s="1"/>
  <c r="H460" i="4" a="1"/>
  <c r="H460" i="4" s="1"/>
  <c r="D460" i="4" a="1"/>
  <c r="D460" i="4" s="1"/>
  <c r="E460" i="4" a="1"/>
  <c r="E460" i="4" s="1"/>
  <c r="E457" i="4" a="1"/>
  <c r="E457" i="4" s="1"/>
  <c r="H457" i="4" a="1"/>
  <c r="H457" i="4" s="1"/>
  <c r="D457" i="4" a="1"/>
  <c r="D457" i="4" s="1"/>
  <c r="B480" i="4" a="1"/>
  <c r="B480" i="4" s="1"/>
  <c r="C480" i="4" a="1"/>
  <c r="C480" i="4" s="1"/>
  <c r="N7" i="1"/>
  <c r="I474" i="8" a="1"/>
  <c r="I474" i="8" s="1"/>
  <c r="D474" i="8" a="1"/>
  <c r="D474" i="8" s="1"/>
  <c r="I475" i="8" a="1"/>
  <c r="I475" i="8" s="1"/>
  <c r="D475" i="8" a="1"/>
  <c r="D475" i="8" s="1"/>
  <c r="I478" i="8" a="1"/>
  <c r="I478" i="8" s="1"/>
  <c r="D478" i="8" a="1"/>
  <c r="D478" i="8" s="1"/>
  <c r="D484" i="8" a="1"/>
  <c r="D484" i="8" s="1"/>
  <c r="I484" i="8" a="1"/>
  <c r="I484" i="8" s="1"/>
  <c r="E484" i="8" a="1"/>
  <c r="E484" i="8" s="1"/>
  <c r="D476" i="8" a="1"/>
  <c r="D476" i="8" s="1"/>
  <c r="I476" i="8" a="1"/>
  <c r="I476" i="8" s="1"/>
  <c r="D472" i="8" a="1"/>
  <c r="D472" i="8" s="1"/>
  <c r="I472" i="8" a="1"/>
  <c r="I472" i="8" s="1"/>
  <c r="I482" i="8" a="1"/>
  <c r="I482" i="8" s="1"/>
  <c r="E482" i="8" a="1"/>
  <c r="E482" i="8" s="1"/>
  <c r="D482" i="8" a="1"/>
  <c r="D482" i="8" s="1"/>
  <c r="E480" i="8" a="1"/>
  <c r="E480" i="8" s="1"/>
  <c r="I480" i="8" a="1"/>
  <c r="I480" i="8" s="1"/>
  <c r="D480" i="8" a="1"/>
  <c r="D480" i="8" s="1"/>
  <c r="I473" i="8" a="1"/>
  <c r="I473" i="8" s="1"/>
  <c r="D473" i="8" a="1"/>
  <c r="D473" i="8" s="1"/>
  <c r="I477" i="8" a="1"/>
  <c r="I477" i="8" s="1"/>
  <c r="D477" i="8" a="1"/>
  <c r="D477" i="8" s="1"/>
  <c r="D481" i="8" a="1"/>
  <c r="D481" i="8" s="1"/>
  <c r="I481" i="8" a="1"/>
  <c r="I481" i="8" s="1"/>
  <c r="E481" i="8" a="1"/>
  <c r="E481" i="8" s="1"/>
  <c r="I470" i="8" a="1"/>
  <c r="I470" i="8" s="1"/>
  <c r="D470" i="8" a="1"/>
  <c r="D470" i="8" s="1"/>
  <c r="I485" i="8" a="1"/>
  <c r="I485" i="8" s="1"/>
  <c r="E485" i="8" a="1"/>
  <c r="E485" i="8" s="1"/>
  <c r="D485" i="8" a="1"/>
  <c r="D485" i="8" s="1"/>
  <c r="I483" i="8" a="1"/>
  <c r="I483" i="8" s="1"/>
  <c r="E483" i="8" a="1"/>
  <c r="E483" i="8" s="1"/>
  <c r="D483" i="8" a="1"/>
  <c r="D483" i="8" s="1"/>
  <c r="D471" i="8" a="1"/>
  <c r="D471" i="8" s="1"/>
  <c r="I471" i="8" a="1"/>
  <c r="I471" i="8" s="1"/>
  <c r="B503" i="8" a="1"/>
  <c r="B503" i="8" s="1"/>
  <c r="C497" i="8" a="1"/>
  <c r="C497" i="8" s="1"/>
  <c r="B495" i="8" a="1"/>
  <c r="B495" i="8" s="1"/>
  <c r="C502" i="8" a="1"/>
  <c r="C502" i="8" s="1"/>
  <c r="C491" i="8" a="1"/>
  <c r="C491" i="8" s="1"/>
  <c r="B489" i="8" a="1"/>
  <c r="B489" i="8" s="1"/>
  <c r="B501" i="8" a="1"/>
  <c r="B501" i="8" s="1"/>
  <c r="C500" i="8" a="1"/>
  <c r="C500" i="8" s="1"/>
  <c r="B496" i="8" a="1"/>
  <c r="B496" i="8" s="1"/>
  <c r="B493" i="8" a="1"/>
  <c r="B493" i="8" s="1"/>
  <c r="C503" i="8" a="1"/>
  <c r="C503" i="8" s="1"/>
  <c r="B502" i="8" a="1"/>
  <c r="B502" i="8" s="1"/>
  <c r="B488" i="8" a="1"/>
  <c r="B488" i="8" s="1"/>
  <c r="B505" i="8"/>
  <c r="C496" i="8" a="1"/>
  <c r="C496" i="8" s="1"/>
  <c r="C495" i="8" a="1"/>
  <c r="C495" i="8" s="1"/>
  <c r="C494" i="8" a="1"/>
  <c r="C494" i="8" s="1"/>
  <c r="B494" i="8" a="1"/>
  <c r="B494" i="8" s="1"/>
  <c r="C493" i="8" a="1"/>
  <c r="C493" i="8" s="1"/>
  <c r="C499" i="8" a="1"/>
  <c r="C499" i="8" s="1"/>
  <c r="C498" i="8" a="1"/>
  <c r="C498" i="8" s="1"/>
  <c r="B497" i="8" a="1"/>
  <c r="B497" i="8" s="1"/>
  <c r="C490" i="8" a="1"/>
  <c r="C490" i="8" s="1"/>
  <c r="C501" i="8" a="1"/>
  <c r="C501" i="8" s="1"/>
  <c r="B500" i="8" a="1"/>
  <c r="B500" i="8" s="1"/>
  <c r="B498" i="8" a="1"/>
  <c r="B498" i="8" s="1"/>
  <c r="B492" i="8" a="1"/>
  <c r="B492" i="8" s="1"/>
  <c r="B491" i="8" a="1"/>
  <c r="B491" i="8" s="1"/>
  <c r="B490" i="8" a="1"/>
  <c r="B490" i="8" s="1"/>
  <c r="C489" i="8" a="1"/>
  <c r="C489" i="8" s="1"/>
  <c r="C488" i="8" a="1"/>
  <c r="C488" i="8" s="1"/>
  <c r="B499" i="8" a="1"/>
  <c r="B499" i="8" s="1"/>
  <c r="C492" i="8" a="1"/>
  <c r="C492" i="8" s="1"/>
  <c r="I479" i="8" a="1"/>
  <c r="I479" i="8" s="1"/>
  <c r="E479" i="8" a="1"/>
  <c r="E479" i="8" s="1"/>
  <c r="D479" i="8" a="1"/>
  <c r="D479" i="8" s="1"/>
  <c r="H462" i="4" a="1"/>
  <c r="H462" i="4" s="1"/>
  <c r="H461" i="4" a="1"/>
  <c r="H461" i="4" s="1"/>
  <c r="D461" i="4" a="1"/>
  <c r="D461" i="4" s="1"/>
  <c r="E461" i="4" a="1"/>
  <c r="E461" i="4" s="1"/>
  <c r="C481" i="4" a="1"/>
  <c r="C481" i="4" s="1"/>
  <c r="B483" i="4"/>
  <c r="B466" i="4" a="1"/>
  <c r="B466" i="4" s="1"/>
  <c r="B481" i="4" a="1"/>
  <c r="B481" i="4" s="1"/>
  <c r="C466" i="4" a="1"/>
  <c r="C466" i="4" s="1"/>
  <c r="D462" i="4" a="1"/>
  <c r="D462" i="4" s="1"/>
  <c r="E462" i="4" a="1"/>
  <c r="E462" i="4" s="1"/>
  <c r="H392" i="3"/>
  <c r="H390" i="3"/>
  <c r="H388" i="3"/>
  <c r="H386" i="3"/>
  <c r="H384" i="3"/>
  <c r="H342" i="3"/>
  <c r="H334" i="3"/>
  <c r="H326" i="3"/>
  <c r="H299" i="3"/>
  <c r="H294" i="3"/>
  <c r="H283" i="3"/>
  <c r="H278" i="3"/>
  <c r="H268" i="3"/>
  <c r="H262" i="3"/>
  <c r="H252" i="3"/>
  <c r="H226" i="3"/>
  <c r="H203" i="3"/>
  <c r="H190" i="3"/>
  <c r="H167" i="3"/>
  <c r="H144" i="3"/>
  <c r="H131" i="3"/>
  <c r="H106" i="3"/>
  <c r="H105" i="3"/>
  <c r="H92" i="3"/>
  <c r="H75" i="3"/>
  <c r="H74" i="3"/>
  <c r="H55" i="3"/>
  <c r="B6" i="3" a="1"/>
  <c r="B6" i="3" s="1"/>
  <c r="C6" i="3" a="1"/>
  <c r="C6" i="3" s="1"/>
  <c r="O42" i="1"/>
  <c r="O41" i="1"/>
  <c r="O40" i="1"/>
  <c r="O39" i="1"/>
  <c r="H6" i="3"/>
  <c r="H474" i="4" l="1" a="1"/>
  <c r="H474" i="4" s="1"/>
  <c r="H469" i="4" a="1"/>
  <c r="H469" i="4" s="1"/>
  <c r="D469" i="4" a="1"/>
  <c r="D469" i="4" s="1"/>
  <c r="E477" i="4" a="1"/>
  <c r="E477" i="4" s="1"/>
  <c r="H477" i="4" a="1"/>
  <c r="H477" i="4" s="1"/>
  <c r="D477" i="4" a="1"/>
  <c r="D477" i="4" s="1"/>
  <c r="H467" i="4" a="1"/>
  <c r="H467" i="4" s="1"/>
  <c r="D467" i="4" a="1"/>
  <c r="D467" i="4" s="1"/>
  <c r="B487" i="4" a="1"/>
  <c r="B487" i="4" s="1"/>
  <c r="B490" i="4" a="1"/>
  <c r="B490" i="4" s="1"/>
  <c r="C493" i="4" a="1"/>
  <c r="C493" i="4" s="1"/>
  <c r="B497" i="4" a="1"/>
  <c r="B497" i="4" s="1"/>
  <c r="C487" i="4" a="1"/>
  <c r="C487" i="4" s="1"/>
  <c r="C490" i="4" a="1"/>
  <c r="C490" i="4" s="1"/>
  <c r="C497" i="4" a="1"/>
  <c r="C497" i="4" s="1"/>
  <c r="B491" i="4" a="1"/>
  <c r="B491" i="4" s="1"/>
  <c r="B494" i="4" a="1"/>
  <c r="B494" i="4" s="1"/>
  <c r="B488" i="4" a="1"/>
  <c r="B488" i="4" s="1"/>
  <c r="C491" i="4" a="1"/>
  <c r="C491" i="4" s="1"/>
  <c r="C494" i="4" a="1"/>
  <c r="C494" i="4" s="1"/>
  <c r="C488" i="4" a="1"/>
  <c r="C488" i="4" s="1"/>
  <c r="B495" i="4" a="1"/>
  <c r="B495" i="4" s="1"/>
  <c r="B489" i="4" a="1"/>
  <c r="B489" i="4" s="1"/>
  <c r="B492" i="4" a="1"/>
  <c r="B492" i="4" s="1"/>
  <c r="C495" i="4" a="1"/>
  <c r="C495" i="4" s="1"/>
  <c r="B486" i="4" a="1"/>
  <c r="B486" i="4" s="1"/>
  <c r="C489" i="4" a="1"/>
  <c r="C489" i="4" s="1"/>
  <c r="C492" i="4" a="1"/>
  <c r="C492" i="4" s="1"/>
  <c r="B496" i="4" a="1"/>
  <c r="B496" i="4" s="1"/>
  <c r="C486" i="4" a="1"/>
  <c r="C486" i="4" s="1"/>
  <c r="B493" i="4" a="1"/>
  <c r="B493" i="4" s="1"/>
  <c r="C496" i="4" a="1"/>
  <c r="C496" i="4" s="1"/>
  <c r="H478" i="4" a="1"/>
  <c r="H478" i="4" s="1"/>
  <c r="E478" i="4" a="1"/>
  <c r="E478" i="4" s="1"/>
  <c r="D478" i="4" a="1"/>
  <c r="D478" i="4" s="1"/>
  <c r="H471" i="4" a="1"/>
  <c r="H471" i="4" s="1"/>
  <c r="D471" i="4" a="1"/>
  <c r="D471" i="4" s="1"/>
  <c r="D475" i="4" a="1"/>
  <c r="D475" i="4" s="1"/>
  <c r="H475" i="4" a="1"/>
  <c r="H475" i="4" s="1"/>
  <c r="D468" i="4" a="1"/>
  <c r="D468" i="4" s="1"/>
  <c r="H468" i="4" a="1"/>
  <c r="H468" i="4" s="1"/>
  <c r="H473" i="4" a="1"/>
  <c r="H473" i="4" s="1"/>
  <c r="D473" i="4" a="1"/>
  <c r="D473" i="4" s="1"/>
  <c r="D472" i="4" a="1"/>
  <c r="D472" i="4" s="1"/>
  <c r="D474" i="4" a="1"/>
  <c r="D474" i="4" s="1"/>
  <c r="D470" i="4" a="1"/>
  <c r="D470" i="4" s="1"/>
  <c r="H470" i="4" a="1"/>
  <c r="H470" i="4" s="1"/>
  <c r="H479" i="4" a="1"/>
  <c r="H479" i="4" s="1"/>
  <c r="E479" i="4" a="1"/>
  <c r="E479" i="4" s="1"/>
  <c r="D479" i="4" a="1"/>
  <c r="D479" i="4" s="1"/>
  <c r="E476" i="4" a="1"/>
  <c r="E476" i="4" s="1"/>
  <c r="H476" i="4" a="1"/>
  <c r="H476" i="4" s="1"/>
  <c r="D476" i="4" a="1"/>
  <c r="D476" i="4" s="1"/>
  <c r="H472" i="4" a="1"/>
  <c r="H472" i="4" s="1"/>
  <c r="D480" i="4" a="1"/>
  <c r="D480" i="4" s="1"/>
  <c r="H480" i="4" a="1"/>
  <c r="H480" i="4" s="1"/>
  <c r="E480" i="4" a="1"/>
  <c r="E480" i="4" s="1"/>
  <c r="B498" i="4" a="1"/>
  <c r="B498" i="4" s="1"/>
  <c r="C499" i="4" a="1"/>
  <c r="C499" i="4" s="1"/>
  <c r="C498" i="4" a="1"/>
  <c r="C498" i="4" s="1"/>
  <c r="B499" i="4" a="1"/>
  <c r="B499" i="4" s="1"/>
  <c r="M8" i="1"/>
  <c r="N8" i="1" s="1"/>
  <c r="E497" i="8" a="1"/>
  <c r="E497" i="8" s="1"/>
  <c r="D497" i="8" a="1"/>
  <c r="D497" i="8" s="1"/>
  <c r="I497" i="8" a="1"/>
  <c r="I497" i="8" s="1"/>
  <c r="D493" i="8" a="1"/>
  <c r="D493" i="8" s="1"/>
  <c r="I493" i="8" a="1"/>
  <c r="I493" i="8" s="1"/>
  <c r="D495" i="8" a="1"/>
  <c r="D495" i="8" s="1"/>
  <c r="I495" i="8" a="1"/>
  <c r="I495" i="8" s="1"/>
  <c r="I490" i="8" a="1"/>
  <c r="I490" i="8" s="1"/>
  <c r="D490" i="8" a="1"/>
  <c r="D490" i="8" s="1"/>
  <c r="D496" i="8" a="1"/>
  <c r="D496" i="8" s="1"/>
  <c r="I496" i="8" a="1"/>
  <c r="I496" i="8" s="1"/>
  <c r="D491" i="8" a="1"/>
  <c r="D491" i="8" s="1"/>
  <c r="I491" i="8" a="1"/>
  <c r="I491" i="8" s="1"/>
  <c r="I503" i="8" a="1"/>
  <c r="I503" i="8" s="1"/>
  <c r="E503" i="8" a="1"/>
  <c r="E503" i="8" s="1"/>
  <c r="D503" i="8" a="1"/>
  <c r="D503" i="8" s="1"/>
  <c r="C519" i="8" a="1"/>
  <c r="C519" i="8" s="1"/>
  <c r="B517" i="8" a="1"/>
  <c r="B517" i="8" s="1"/>
  <c r="C511" i="8" a="1"/>
  <c r="C511" i="8" s="1"/>
  <c r="B509" i="8" a="1"/>
  <c r="B509" i="8" s="1"/>
  <c r="C521" i="8" a="1"/>
  <c r="C521" i="8" s="1"/>
  <c r="B519" i="8" a="1"/>
  <c r="B519" i="8" s="1"/>
  <c r="C513" i="8" a="1"/>
  <c r="C513" i="8" s="1"/>
  <c r="C522" i="8" a="1"/>
  <c r="C522" i="8" s="1"/>
  <c r="C520" i="8" a="1"/>
  <c r="C520" i="8" s="1"/>
  <c r="B511" i="8" a="1"/>
  <c r="B511" i="8" s="1"/>
  <c r="C510" i="8" a="1"/>
  <c r="C510" i="8" s="1"/>
  <c r="B507" i="8" a="1"/>
  <c r="B507" i="8" s="1"/>
  <c r="B516" i="8" a="1"/>
  <c r="B516" i="8" s="1"/>
  <c r="C514" i="8" a="1"/>
  <c r="C514" i="8" s="1"/>
  <c r="C508" i="8" a="1"/>
  <c r="C508" i="8" s="1"/>
  <c r="B518" i="8" a="1"/>
  <c r="B518" i="8" s="1"/>
  <c r="B512" i="8" a="1"/>
  <c r="B512" i="8" s="1"/>
  <c r="B514" i="8" a="1"/>
  <c r="B514" i="8" s="1"/>
  <c r="B521" i="8" a="1"/>
  <c r="B521" i="8" s="1"/>
  <c r="B520" i="8" a="1"/>
  <c r="B520" i="8" s="1"/>
  <c r="C515" i="8" a="1"/>
  <c r="C515" i="8" s="1"/>
  <c r="B515" i="8" a="1"/>
  <c r="B515" i="8" s="1"/>
  <c r="C507" i="8" a="1"/>
  <c r="C507" i="8" s="1"/>
  <c r="B522" i="8" a="1"/>
  <c r="B522" i="8" s="1"/>
  <c r="C516" i="8" a="1"/>
  <c r="C516" i="8" s="1"/>
  <c r="C509" i="8" a="1"/>
  <c r="C509" i="8" s="1"/>
  <c r="B508" i="8" a="1"/>
  <c r="B508" i="8" s="1"/>
  <c r="C518" i="8" a="1"/>
  <c r="C518" i="8" s="1"/>
  <c r="C517" i="8" a="1"/>
  <c r="C517" i="8" s="1"/>
  <c r="C512" i="8" a="1"/>
  <c r="C512" i="8" s="1"/>
  <c r="B510" i="8" a="1"/>
  <c r="B510" i="8" s="1"/>
  <c r="B513" i="8" a="1"/>
  <c r="B513" i="8" s="1"/>
  <c r="E501" i="8" a="1"/>
  <c r="E501" i="8" s="1"/>
  <c r="D501" i="8" a="1"/>
  <c r="D501" i="8" s="1"/>
  <c r="I501" i="8" a="1"/>
  <c r="I501" i="8" s="1"/>
  <c r="I498" i="8" a="1"/>
  <c r="I498" i="8" s="1"/>
  <c r="E498" i="8" a="1"/>
  <c r="E498" i="8" s="1"/>
  <c r="D498" i="8" a="1"/>
  <c r="D498" i="8" s="1"/>
  <c r="I494" i="8" a="1"/>
  <c r="I494" i="8" s="1"/>
  <c r="D494" i="8" a="1"/>
  <c r="D494" i="8" s="1"/>
  <c r="D492" i="8" a="1"/>
  <c r="D492" i="8" s="1"/>
  <c r="I492" i="8" a="1"/>
  <c r="I492" i="8" s="1"/>
  <c r="I500" i="8" a="1"/>
  <c r="I500" i="8" s="1"/>
  <c r="E500" i="8" a="1"/>
  <c r="E500" i="8" s="1"/>
  <c r="D500" i="8" a="1"/>
  <c r="D500" i="8" s="1"/>
  <c r="I502" i="8" a="1"/>
  <c r="I502" i="8" s="1"/>
  <c r="E502" i="8" a="1"/>
  <c r="E502" i="8" s="1"/>
  <c r="D502" i="8" a="1"/>
  <c r="D502" i="8" s="1"/>
  <c r="D499" i="8" a="1"/>
  <c r="D499" i="8" s="1"/>
  <c r="I499" i="8" a="1"/>
  <c r="I499" i="8" s="1"/>
  <c r="E499" i="8" a="1"/>
  <c r="E499" i="8" s="1"/>
  <c r="H481" i="4" a="1"/>
  <c r="H481" i="4" s="1"/>
  <c r="E481" i="4" a="1"/>
  <c r="E481" i="4" s="1"/>
  <c r="D481" i="4" a="1"/>
  <c r="D481" i="4" s="1"/>
  <c r="C500" i="4" a="1"/>
  <c r="C500" i="4" s="1"/>
  <c r="C485" i="4" a="1"/>
  <c r="C485" i="4" s="1"/>
  <c r="B502" i="4"/>
  <c r="B500" i="4" a="1"/>
  <c r="B500" i="4" s="1"/>
  <c r="H500" i="4" s="1" a="1"/>
  <c r="H500" i="4" s="1"/>
  <c r="B485" i="4" a="1"/>
  <c r="B485" i="4" s="1"/>
  <c r="F10" i="4"/>
  <c r="F14" i="4"/>
  <c r="F18" i="4"/>
  <c r="F22" i="4"/>
  <c r="F7" i="4"/>
  <c r="F9" i="4"/>
  <c r="F13" i="4"/>
  <c r="F17" i="4"/>
  <c r="F21" i="4"/>
  <c r="F8" i="4"/>
  <c r="F12" i="4"/>
  <c r="F16" i="4"/>
  <c r="F20" i="4"/>
  <c r="F11" i="4"/>
  <c r="F15" i="4"/>
  <c r="F19" i="4"/>
  <c r="N22" i="4"/>
  <c r="R22" i="4"/>
  <c r="V22" i="4"/>
  <c r="Z22" i="4"/>
  <c r="AD22" i="4"/>
  <c r="M22" i="4"/>
  <c r="Q22" i="4"/>
  <c r="U22" i="4"/>
  <c r="Y22" i="4"/>
  <c r="AC22" i="4"/>
  <c r="L22" i="4"/>
  <c r="T22" i="4"/>
  <c r="AB22" i="4"/>
  <c r="K22" i="4"/>
  <c r="S22" i="4"/>
  <c r="AA22" i="4"/>
  <c r="P22" i="4"/>
  <c r="X22" i="4"/>
  <c r="O22" i="4"/>
  <c r="W22" i="4"/>
  <c r="J22" i="4"/>
  <c r="G25" i="7"/>
  <c r="E24" i="7"/>
  <c r="E3" i="7"/>
  <c r="E4" i="7"/>
  <c r="F4" i="7" s="1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497" i="4" l="1" a="1"/>
  <c r="E497" i="4" s="1"/>
  <c r="D497" i="4" a="1"/>
  <c r="D497" i="4" s="1"/>
  <c r="H497" i="4" a="1"/>
  <c r="H497" i="4" s="1"/>
  <c r="H486" i="4" a="1"/>
  <c r="H486" i="4" s="1"/>
  <c r="D486" i="4" a="1"/>
  <c r="D486" i="4" s="1"/>
  <c r="D488" i="4" a="1"/>
  <c r="D488" i="4" s="1"/>
  <c r="H488" i="4" a="1"/>
  <c r="H488" i="4" s="1"/>
  <c r="H490" i="4" a="1"/>
  <c r="H490" i="4" s="1"/>
  <c r="D490" i="4" a="1"/>
  <c r="D490" i="4" s="1"/>
  <c r="H494" i="4" a="1"/>
  <c r="H494" i="4" s="1"/>
  <c r="D494" i="4" a="1"/>
  <c r="D494" i="4" s="1"/>
  <c r="D487" i="4" a="1"/>
  <c r="D487" i="4" s="1"/>
  <c r="H487" i="4" a="1"/>
  <c r="H487" i="4" s="1"/>
  <c r="B505" i="4" a="1"/>
  <c r="B505" i="4" s="1"/>
  <c r="B311" i="3" s="1"/>
  <c r="C508" i="4" a="1"/>
  <c r="C508" i="4" s="1"/>
  <c r="C314" i="3" s="1"/>
  <c r="C511" i="4" a="1"/>
  <c r="C511" i="4" s="1"/>
  <c r="B515" i="4" a="1"/>
  <c r="B515" i="4" s="1"/>
  <c r="C505" i="4" a="1"/>
  <c r="C505" i="4" s="1"/>
  <c r="C311" i="3" s="1"/>
  <c r="B512" i="4" a="1"/>
  <c r="B512" i="4" s="1"/>
  <c r="C515" i="4" a="1"/>
  <c r="C515" i="4" s="1"/>
  <c r="B506" i="4" a="1"/>
  <c r="B506" i="4" s="1"/>
  <c r="B312" i="3" s="1"/>
  <c r="B509" i="4" a="1"/>
  <c r="B509" i="4" s="1"/>
  <c r="C512" i="4" a="1"/>
  <c r="C512" i="4" s="1"/>
  <c r="B516" i="4" a="1"/>
  <c r="B516" i="4" s="1"/>
  <c r="C506" i="4" a="1"/>
  <c r="C506" i="4" s="1"/>
  <c r="C312" i="3" s="1"/>
  <c r="C509" i="4" a="1"/>
  <c r="C509" i="4" s="1"/>
  <c r="C516" i="4" a="1"/>
  <c r="C516" i="4" s="1"/>
  <c r="B510" i="4" a="1"/>
  <c r="B510" i="4" s="1"/>
  <c r="B513" i="4" a="1"/>
  <c r="B513" i="4" s="1"/>
  <c r="B517" i="4" a="1"/>
  <c r="B517" i="4" s="1"/>
  <c r="B507" i="4" a="1"/>
  <c r="B507" i="4" s="1"/>
  <c r="B313" i="3" s="1"/>
  <c r="C510" i="4" a="1"/>
  <c r="C510" i="4" s="1"/>
  <c r="C513" i="4" a="1"/>
  <c r="C513" i="4" s="1"/>
  <c r="C517" i="4" a="1"/>
  <c r="C517" i="4" s="1"/>
  <c r="C507" i="4" a="1"/>
  <c r="C507" i="4" s="1"/>
  <c r="C313" i="3" s="1"/>
  <c r="B514" i="4" a="1"/>
  <c r="B514" i="4" s="1"/>
  <c r="B508" i="4" a="1"/>
  <c r="B508" i="4" s="1"/>
  <c r="B314" i="3" s="1"/>
  <c r="B511" i="4" a="1"/>
  <c r="B511" i="4" s="1"/>
  <c r="C514" i="4" a="1"/>
  <c r="C514" i="4" s="1"/>
  <c r="H492" i="4" a="1"/>
  <c r="H492" i="4" s="1"/>
  <c r="D492" i="4" a="1"/>
  <c r="D492" i="4" s="1"/>
  <c r="D491" i="4" a="1"/>
  <c r="D491" i="4" s="1"/>
  <c r="H491" i="4" a="1"/>
  <c r="H491" i="4" s="1"/>
  <c r="D493" i="4" a="1"/>
  <c r="D493" i="4" s="1"/>
  <c r="H493" i="4" a="1"/>
  <c r="H493" i="4" s="1"/>
  <c r="H489" i="4" a="1"/>
  <c r="H489" i="4" s="1"/>
  <c r="D489" i="4" a="1"/>
  <c r="D489" i="4" s="1"/>
  <c r="E495" i="4" a="1"/>
  <c r="E495" i="4" s="1"/>
  <c r="D495" i="4" a="1"/>
  <c r="D495" i="4" s="1"/>
  <c r="H495" i="4" a="1"/>
  <c r="H495" i="4" s="1"/>
  <c r="E496" i="4" a="1"/>
  <c r="E496" i="4" s="1"/>
  <c r="H496" i="4" a="1"/>
  <c r="H496" i="4" s="1"/>
  <c r="D496" i="4" a="1"/>
  <c r="D496" i="4" s="1"/>
  <c r="H499" i="4" a="1"/>
  <c r="H499" i="4" s="1"/>
  <c r="E499" i="4" a="1"/>
  <c r="E499" i="4" s="1"/>
  <c r="D499" i="4" a="1"/>
  <c r="D499" i="4" s="1"/>
  <c r="E498" i="4" a="1"/>
  <c r="E498" i="4" s="1"/>
  <c r="H498" i="4" a="1"/>
  <c r="H498" i="4" s="1"/>
  <c r="D498" i="4" a="1"/>
  <c r="D498" i="4" s="1"/>
  <c r="M9" i="1"/>
  <c r="N9" i="1" s="1"/>
  <c r="I514" i="8" a="1"/>
  <c r="I514" i="8" s="1"/>
  <c r="D514" i="8" a="1"/>
  <c r="D514" i="8" s="1"/>
  <c r="I509" i="8" a="1"/>
  <c r="I509" i="8" s="1"/>
  <c r="D509" i="8" a="1"/>
  <c r="D509" i="8" s="1"/>
  <c r="I522" i="8" a="1"/>
  <c r="I522" i="8" s="1"/>
  <c r="E522" i="8" a="1"/>
  <c r="E522" i="8" s="1"/>
  <c r="D522" i="8" a="1"/>
  <c r="D522" i="8" s="1"/>
  <c r="I512" i="8" a="1"/>
  <c r="I512" i="8" s="1"/>
  <c r="D512" i="8" a="1"/>
  <c r="D512" i="8" s="1"/>
  <c r="I511" i="8" a="1"/>
  <c r="I511" i="8" s="1"/>
  <c r="D511" i="8" a="1"/>
  <c r="D511" i="8" s="1"/>
  <c r="E517" i="8" a="1"/>
  <c r="E517" i="8" s="1"/>
  <c r="I517" i="8" a="1"/>
  <c r="I517" i="8" s="1"/>
  <c r="D517" i="8" a="1"/>
  <c r="D517" i="8" s="1"/>
  <c r="D515" i="8" a="1"/>
  <c r="D515" i="8" s="1"/>
  <c r="I515" i="8" a="1"/>
  <c r="I515" i="8" s="1"/>
  <c r="D518" i="8" a="1"/>
  <c r="D518" i="8" s="1"/>
  <c r="I518" i="8" a="1"/>
  <c r="I518" i="8" s="1"/>
  <c r="E518" i="8" a="1"/>
  <c r="E518" i="8" s="1"/>
  <c r="B524" i="8"/>
  <c r="I510" i="8" a="1"/>
  <c r="I510" i="8" s="1"/>
  <c r="D510" i="8" a="1"/>
  <c r="D510" i="8" s="1"/>
  <c r="D513" i="8" a="1"/>
  <c r="D513" i="8" s="1"/>
  <c r="I513" i="8" a="1"/>
  <c r="I513" i="8" s="1"/>
  <c r="I520" i="8" a="1"/>
  <c r="I520" i="8" s="1"/>
  <c r="E520" i="8" a="1"/>
  <c r="E520" i="8" s="1"/>
  <c r="D520" i="8" a="1"/>
  <c r="D520" i="8" s="1"/>
  <c r="D519" i="8" a="1"/>
  <c r="D519" i="8" s="1"/>
  <c r="I519" i="8" a="1"/>
  <c r="I519" i="8" s="1"/>
  <c r="E519" i="8" a="1"/>
  <c r="E519" i="8" s="1"/>
  <c r="D508" i="8" a="1"/>
  <c r="D508" i="8" s="1"/>
  <c r="I508" i="8" a="1"/>
  <c r="I508" i="8" s="1"/>
  <c r="D521" i="8" a="1"/>
  <c r="D521" i="8" s="1"/>
  <c r="I521" i="8" a="1"/>
  <c r="I521" i="8" s="1"/>
  <c r="E521" i="8" a="1"/>
  <c r="E521" i="8" s="1"/>
  <c r="I516" i="8" a="1"/>
  <c r="I516" i="8" s="1"/>
  <c r="E516" i="8" a="1"/>
  <c r="E516" i="8" s="1"/>
  <c r="D516" i="8" a="1"/>
  <c r="D516" i="8" s="1"/>
  <c r="F39" i="4"/>
  <c r="F30" i="4"/>
  <c r="F31" i="4"/>
  <c r="F33" i="4"/>
  <c r="F34" i="4"/>
  <c r="F26" i="4"/>
  <c r="F29" i="4"/>
  <c r="F35" i="4"/>
  <c r="F38" i="4"/>
  <c r="F27" i="4"/>
  <c r="G12" i="4"/>
  <c r="G18" i="4"/>
  <c r="G16" i="4"/>
  <c r="G22" i="4"/>
  <c r="G14" i="4"/>
  <c r="G21" i="4"/>
  <c r="G10" i="4"/>
  <c r="G19" i="4"/>
  <c r="G17" i="4"/>
  <c r="G15" i="4"/>
  <c r="G13" i="4"/>
  <c r="G11" i="4"/>
  <c r="G9" i="4"/>
  <c r="F41" i="4"/>
  <c r="G20" i="4"/>
  <c r="F36" i="4"/>
  <c r="F40" i="4"/>
  <c r="F409" i="4"/>
  <c r="F28" i="4"/>
  <c r="F32" i="4"/>
  <c r="F37" i="4"/>
  <c r="F424" i="4"/>
  <c r="F14" i="7"/>
  <c r="B281" i="3"/>
  <c r="B278" i="3" a="1"/>
  <c r="B278" i="3" s="1"/>
  <c r="C278" i="3" a="1"/>
  <c r="C278" i="3" s="1"/>
  <c r="F422" i="4"/>
  <c r="F423" i="4"/>
  <c r="H485" i="4" a="1"/>
  <c r="H485" i="4" s="1"/>
  <c r="D485" i="4" a="1"/>
  <c r="D485" i="4" s="1"/>
  <c r="B519" i="4" a="1"/>
  <c r="B519" i="4" s="1"/>
  <c r="B518" i="4" a="1"/>
  <c r="B518" i="4" s="1"/>
  <c r="B504" i="4" a="1"/>
  <c r="B504" i="4" s="1"/>
  <c r="B310" i="3" s="1"/>
  <c r="C519" i="4" a="1"/>
  <c r="C519" i="4" s="1"/>
  <c r="C518" i="4" a="1"/>
  <c r="C518" i="4" s="1"/>
  <c r="C504" i="4" a="1"/>
  <c r="C504" i="4" s="1"/>
  <c r="C310" i="3" s="1"/>
  <c r="E500" i="4" a="1"/>
  <c r="E500" i="4" s="1"/>
  <c r="D500" i="4" a="1"/>
  <c r="D500" i="4" s="1"/>
  <c r="F19" i="7"/>
  <c r="F23" i="7"/>
  <c r="F24" i="7"/>
  <c r="F21" i="7"/>
  <c r="F22" i="7"/>
  <c r="F20" i="7"/>
  <c r="F13" i="7"/>
  <c r="F18" i="7"/>
  <c r="F16" i="7"/>
  <c r="F17" i="7"/>
  <c r="F15" i="7"/>
  <c r="G8" i="4"/>
  <c r="G7" i="4"/>
  <c r="F12" i="7"/>
  <c r="F10" i="7"/>
  <c r="F11" i="7"/>
  <c r="F8" i="7"/>
  <c r="F9" i="7"/>
  <c r="F6" i="7"/>
  <c r="F5" i="7"/>
  <c r="F7" i="7"/>
  <c r="F3" i="7"/>
  <c r="D25" i="7"/>
  <c r="C25" i="7"/>
  <c r="E25" i="7"/>
  <c r="F430" i="4" l="1"/>
  <c r="G430" i="4" s="1"/>
  <c r="F431" i="4"/>
  <c r="G431" i="4" s="1"/>
  <c r="F433" i="4"/>
  <c r="G433" i="4" s="1"/>
  <c r="F440" i="4"/>
  <c r="G440" i="4" s="1"/>
  <c r="F436" i="4"/>
  <c r="G436" i="4" s="1"/>
  <c r="F437" i="4"/>
  <c r="G437" i="4" s="1"/>
  <c r="F439" i="4"/>
  <c r="G439" i="4" s="1"/>
  <c r="F432" i="4"/>
  <c r="G432" i="4" s="1"/>
  <c r="F435" i="4"/>
  <c r="G435" i="4" s="1"/>
  <c r="F429" i="4"/>
  <c r="G429" i="4" s="1"/>
  <c r="F438" i="4"/>
  <c r="G438" i="4" s="1"/>
  <c r="F434" i="4"/>
  <c r="G434" i="4" s="1"/>
  <c r="F508" i="4"/>
  <c r="G508" i="4" s="1"/>
  <c r="H508" i="4" a="1"/>
  <c r="H508" i="4" s="1"/>
  <c r="D508" i="4" a="1"/>
  <c r="D508" i="4" s="1"/>
  <c r="D513" i="4" a="1"/>
  <c r="D513" i="4" s="1"/>
  <c r="H513" i="4" a="1"/>
  <c r="H513" i="4" s="1"/>
  <c r="F513" i="4"/>
  <c r="G513" i="4" s="1"/>
  <c r="H506" i="4" a="1"/>
  <c r="H506" i="4" s="1"/>
  <c r="D506" i="4" a="1"/>
  <c r="D506" i="4" s="1"/>
  <c r="E514" i="4" a="1"/>
  <c r="E514" i="4" s="1"/>
  <c r="F514" i="4"/>
  <c r="G514" i="4" s="1"/>
  <c r="D514" i="4" a="1"/>
  <c r="D514" i="4" s="1"/>
  <c r="H514" i="4" a="1"/>
  <c r="H514" i="4" s="1"/>
  <c r="F510" i="4"/>
  <c r="G510" i="4" s="1"/>
  <c r="H510" i="4" a="1"/>
  <c r="H510" i="4" s="1"/>
  <c r="D510" i="4" a="1"/>
  <c r="D510" i="4" s="1"/>
  <c r="H512" i="4" a="1"/>
  <c r="H512" i="4" s="1"/>
  <c r="D512" i="4" a="1"/>
  <c r="D512" i="4" s="1"/>
  <c r="F512" i="4"/>
  <c r="G512" i="4" s="1"/>
  <c r="E515" i="4" a="1"/>
  <c r="E515" i="4" s="1"/>
  <c r="F515" i="4"/>
  <c r="G515" i="4" s="1"/>
  <c r="H515" i="4" a="1"/>
  <c r="H515" i="4" s="1"/>
  <c r="D515" i="4" a="1"/>
  <c r="D515" i="4" s="1"/>
  <c r="H516" i="4" a="1"/>
  <c r="H516" i="4" s="1"/>
  <c r="D516" i="4" a="1"/>
  <c r="D516" i="4" s="1"/>
  <c r="E516" i="4" a="1"/>
  <c r="E516" i="4" s="1"/>
  <c r="F516" i="4"/>
  <c r="G516" i="4" s="1"/>
  <c r="F507" i="4"/>
  <c r="G507" i="4" s="1"/>
  <c r="H507" i="4" a="1"/>
  <c r="H507" i="4" s="1"/>
  <c r="D507" i="4" a="1"/>
  <c r="D507" i="4" s="1"/>
  <c r="H511" i="4" a="1"/>
  <c r="H511" i="4" s="1"/>
  <c r="D511" i="4" a="1"/>
  <c r="D511" i="4" s="1"/>
  <c r="F511" i="4"/>
  <c r="G511" i="4" s="1"/>
  <c r="F517" i="4"/>
  <c r="G517" i="4" s="1"/>
  <c r="H517" i="4" a="1"/>
  <c r="H517" i="4" s="1"/>
  <c r="D517" i="4" a="1"/>
  <c r="D517" i="4" s="1"/>
  <c r="E517" i="4" a="1"/>
  <c r="E517" i="4" s="1"/>
  <c r="H509" i="4" a="1"/>
  <c r="H509" i="4" s="1"/>
  <c r="D509" i="4" a="1"/>
  <c r="D509" i="4" s="1"/>
  <c r="F509" i="4"/>
  <c r="G509" i="4" s="1"/>
  <c r="H505" i="4" a="1"/>
  <c r="H505" i="4" s="1"/>
  <c r="D505" i="4" a="1"/>
  <c r="D505" i="4" s="1"/>
  <c r="D313" i="3" a="1"/>
  <c r="D313" i="3" s="1"/>
  <c r="I313" i="3" a="1"/>
  <c r="I313" i="3" s="1"/>
  <c r="D314" i="3" a="1"/>
  <c r="D314" i="3" s="1"/>
  <c r="I314" i="3" a="1"/>
  <c r="I314" i="3" s="1"/>
  <c r="D310" i="3" a="1"/>
  <c r="D310" i="3" s="1"/>
  <c r="I310" i="3" a="1"/>
  <c r="I310" i="3" s="1"/>
  <c r="I311" i="3" a="1"/>
  <c r="I311" i="3" s="1"/>
  <c r="D311" i="3" a="1"/>
  <c r="D311" i="3" s="1"/>
  <c r="I312" i="3" a="1"/>
  <c r="I312" i="3" s="1"/>
  <c r="D312" i="3" a="1"/>
  <c r="D312" i="3" s="1"/>
  <c r="C286" i="3" a="1"/>
  <c r="C286" i="3" s="1"/>
  <c r="B289" i="3" a="1"/>
  <c r="B289" i="3" s="1"/>
  <c r="C289" i="3" a="1"/>
  <c r="C289" i="3" s="1"/>
  <c r="B288" i="3" a="1"/>
  <c r="B288" i="3" s="1"/>
  <c r="B287" i="3" a="1"/>
  <c r="B287" i="3" s="1"/>
  <c r="C287" i="3" a="1"/>
  <c r="C287" i="3" s="1"/>
  <c r="B290" i="3" a="1"/>
  <c r="B290" i="3" s="1"/>
  <c r="B285" i="3" a="1"/>
  <c r="B285" i="3" s="1"/>
  <c r="C290" i="3" a="1"/>
  <c r="C290" i="3" s="1"/>
  <c r="C288" i="3" a="1"/>
  <c r="C288" i="3" s="1"/>
  <c r="B286" i="3" a="1"/>
  <c r="B286" i="3" s="1"/>
  <c r="C285" i="3" a="1"/>
  <c r="C285" i="3" s="1"/>
  <c r="B284" i="3" a="1"/>
  <c r="B284" i="3" s="1"/>
  <c r="C284" i="3" a="1"/>
  <c r="C284" i="3" s="1"/>
  <c r="M10" i="1"/>
  <c r="N10" i="1" s="1"/>
  <c r="F443" i="4"/>
  <c r="G443" i="4" s="1"/>
  <c r="F442" i="4"/>
  <c r="G442" i="4" s="1"/>
  <c r="F441" i="4"/>
  <c r="G441" i="4" s="1"/>
  <c r="B540" i="8" a="1"/>
  <c r="B540" i="8" s="1"/>
  <c r="C539" i="8" a="1"/>
  <c r="C539" i="8" s="1"/>
  <c r="B537" i="8" a="1"/>
  <c r="B537" i="8" s="1"/>
  <c r="B543" i="8"/>
  <c r="C536" i="8" a="1"/>
  <c r="C536" i="8" s="1"/>
  <c r="B534" i="8" a="1"/>
  <c r="B534" i="8" s="1"/>
  <c r="C528" i="8" a="1"/>
  <c r="C528" i="8" s="1"/>
  <c r="B526" i="8" a="1"/>
  <c r="B526" i="8" s="1"/>
  <c r="C541" i="8" a="1"/>
  <c r="C541" i="8" s="1"/>
  <c r="C538" i="8" a="1"/>
  <c r="C538" i="8" s="1"/>
  <c r="B536" i="8" a="1"/>
  <c r="B536" i="8" s="1"/>
  <c r="C530" i="8" a="1"/>
  <c r="C530" i="8" s="1"/>
  <c r="B528" i="8" a="1"/>
  <c r="B528" i="8" s="1"/>
  <c r="C537" i="8" a="1"/>
  <c r="C537" i="8" s="1"/>
  <c r="B541" i="8" a="1"/>
  <c r="B541" i="8" s="1"/>
  <c r="B535" i="8" a="1"/>
  <c r="B535" i="8" s="1"/>
  <c r="C534" i="8" a="1"/>
  <c r="C534" i="8" s="1"/>
  <c r="C533" i="8" a="1"/>
  <c r="C533" i="8" s="1"/>
  <c r="B532" i="8" a="1"/>
  <c r="B532" i="8" s="1"/>
  <c r="B531" i="8" a="1"/>
  <c r="B531" i="8" s="1"/>
  <c r="B530" i="8" a="1"/>
  <c r="B530" i="8" s="1"/>
  <c r="C527" i="8" a="1"/>
  <c r="C527" i="8" s="1"/>
  <c r="B539" i="8" a="1"/>
  <c r="B539" i="8" s="1"/>
  <c r="B529" i="8" a="1"/>
  <c r="B529" i="8" s="1"/>
  <c r="C532" i="8" a="1"/>
  <c r="C532" i="8" s="1"/>
  <c r="C529" i="8" a="1"/>
  <c r="C529" i="8" s="1"/>
  <c r="B538" i="8" a="1"/>
  <c r="B538" i="8" s="1"/>
  <c r="C526" i="8" a="1"/>
  <c r="C526" i="8" s="1"/>
  <c r="C540" i="8" a="1"/>
  <c r="C540" i="8" s="1"/>
  <c r="C535" i="8" a="1"/>
  <c r="C535" i="8" s="1"/>
  <c r="B527" i="8" a="1"/>
  <c r="B527" i="8" s="1"/>
  <c r="B533" i="8" a="1"/>
  <c r="B533" i="8" s="1"/>
  <c r="C531" i="8" a="1"/>
  <c r="C531" i="8" s="1"/>
  <c r="G27" i="4"/>
  <c r="G26" i="4"/>
  <c r="G37" i="4"/>
  <c r="G423" i="4"/>
  <c r="G31" i="4"/>
  <c r="G30" i="4"/>
  <c r="G29" i="4"/>
  <c r="G424" i="4"/>
  <c r="G40" i="4"/>
  <c r="G32" i="4"/>
  <c r="G36" i="4"/>
  <c r="G28" i="4"/>
  <c r="G39" i="4"/>
  <c r="G34" i="4"/>
  <c r="G422" i="4"/>
  <c r="G33" i="4"/>
  <c r="G41" i="4"/>
  <c r="G38" i="4"/>
  <c r="G35" i="4"/>
  <c r="G409" i="4"/>
  <c r="B292" i="3"/>
  <c r="B283" i="3" a="1"/>
  <c r="B283" i="3" s="1"/>
  <c r="C283" i="3" a="1"/>
  <c r="C283" i="3" s="1"/>
  <c r="F45" i="4"/>
  <c r="G45" i="4" s="1"/>
  <c r="F52" i="4"/>
  <c r="G52" i="4" s="1"/>
  <c r="F51" i="4"/>
  <c r="G51" i="4" s="1"/>
  <c r="F56" i="4"/>
  <c r="G56" i="4" s="1"/>
  <c r="F55" i="4"/>
  <c r="G55" i="4" s="1"/>
  <c r="F53" i="4"/>
  <c r="G53" i="4" s="1"/>
  <c r="F47" i="4"/>
  <c r="G47" i="4" s="1"/>
  <c r="F50" i="4"/>
  <c r="G50" i="4" s="1"/>
  <c r="F58" i="4"/>
  <c r="G58" i="4" s="1"/>
  <c r="F46" i="4"/>
  <c r="G46" i="4" s="1"/>
  <c r="F59" i="4"/>
  <c r="G59" i="4" s="1"/>
  <c r="F60" i="4"/>
  <c r="G60" i="4" s="1"/>
  <c r="F48" i="4"/>
  <c r="G48" i="4" s="1"/>
  <c r="F54" i="4"/>
  <c r="G54" i="4" s="1"/>
  <c r="F49" i="4"/>
  <c r="G49" i="4" s="1"/>
  <c r="F57" i="4"/>
  <c r="G57" i="4" s="1"/>
  <c r="I278" i="3" a="1"/>
  <c r="I278" i="3" s="1"/>
  <c r="D278" i="3" a="1"/>
  <c r="D278" i="3" s="1"/>
  <c r="H519" i="4" a="1"/>
  <c r="H519" i="4" s="1"/>
  <c r="H518" i="4" a="1"/>
  <c r="H518" i="4" s="1"/>
  <c r="B540" i="4"/>
  <c r="B523" i="4" a="1"/>
  <c r="B523" i="4" s="1"/>
  <c r="C523" i="4" a="1"/>
  <c r="C523" i="4" s="1"/>
  <c r="D519" i="4" a="1"/>
  <c r="D519" i="4" s="1"/>
  <c r="E519" i="4" a="1"/>
  <c r="E519" i="4" s="1"/>
  <c r="D518" i="4" a="1"/>
  <c r="D518" i="4" s="1"/>
  <c r="E518" i="4" a="1"/>
  <c r="E518" i="4" s="1"/>
  <c r="F25" i="7"/>
  <c r="B543" i="4" l="1" a="1"/>
  <c r="B543" i="4" s="1"/>
  <c r="B549" i="4" a="1"/>
  <c r="B549" i="4" s="1"/>
  <c r="B555" i="4" a="1"/>
  <c r="B555" i="4" s="1"/>
  <c r="C543" i="4" a="1"/>
  <c r="C543" i="4" s="1"/>
  <c r="C549" i="4" a="1"/>
  <c r="C549" i="4" s="1"/>
  <c r="C555" i="4" a="1"/>
  <c r="C555" i="4" s="1"/>
  <c r="B544" i="4" a="1"/>
  <c r="B544" i="4" s="1"/>
  <c r="B550" i="4" a="1"/>
  <c r="B550" i="4" s="1"/>
  <c r="B556" i="4" a="1"/>
  <c r="B556" i="4" s="1"/>
  <c r="C544" i="4" a="1"/>
  <c r="C544" i="4" s="1"/>
  <c r="C550" i="4" a="1"/>
  <c r="C550" i="4" s="1"/>
  <c r="C556" i="4" a="1"/>
  <c r="C556" i="4" s="1"/>
  <c r="B545" i="4" a="1"/>
  <c r="B545" i="4" s="1"/>
  <c r="B551" i="4" a="1"/>
  <c r="B551" i="4" s="1"/>
  <c r="B557" i="4" a="1"/>
  <c r="B557" i="4" s="1"/>
  <c r="C545" i="4" a="1"/>
  <c r="C545" i="4" s="1"/>
  <c r="C551" i="4" a="1"/>
  <c r="C551" i="4" s="1"/>
  <c r="C557" i="4" a="1"/>
  <c r="C557" i="4" s="1"/>
  <c r="B546" i="4" a="1"/>
  <c r="B546" i="4" s="1"/>
  <c r="B552" i="4" a="1"/>
  <c r="B552" i="4" s="1"/>
  <c r="C546" i="4" a="1"/>
  <c r="C546" i="4" s="1"/>
  <c r="C552" i="4" a="1"/>
  <c r="C552" i="4" s="1"/>
  <c r="B547" i="4" a="1"/>
  <c r="B547" i="4" s="1"/>
  <c r="B553" i="4" a="1"/>
  <c r="B553" i="4" s="1"/>
  <c r="C547" i="4" a="1"/>
  <c r="C547" i="4" s="1"/>
  <c r="C553" i="4" a="1"/>
  <c r="C553" i="4" s="1"/>
  <c r="B548" i="4" a="1"/>
  <c r="B548" i="4" s="1"/>
  <c r="B554" i="4" a="1"/>
  <c r="B554" i="4" s="1"/>
  <c r="C548" i="4" a="1"/>
  <c r="C548" i="4" s="1"/>
  <c r="C554" i="4" a="1"/>
  <c r="C554" i="4" s="1"/>
  <c r="F456" i="4"/>
  <c r="G456" i="4" s="1"/>
  <c r="F454" i="4"/>
  <c r="G454" i="4" s="1"/>
  <c r="F460" i="4"/>
  <c r="G460" i="4" s="1"/>
  <c r="F453" i="4"/>
  <c r="G453" i="4" s="1"/>
  <c r="F455" i="4"/>
  <c r="G455" i="4" s="1"/>
  <c r="F457" i="4"/>
  <c r="G457" i="4" s="1"/>
  <c r="F452" i="4"/>
  <c r="G452" i="4" s="1"/>
  <c r="F451" i="4"/>
  <c r="G451" i="4" s="1"/>
  <c r="F458" i="4"/>
  <c r="G458" i="4" s="1"/>
  <c r="F459" i="4"/>
  <c r="G459" i="4" s="1"/>
  <c r="D287" i="3" a="1"/>
  <c r="D287" i="3" s="1"/>
  <c r="I287" i="3" a="1"/>
  <c r="I287" i="3" s="1"/>
  <c r="I288" i="3" a="1"/>
  <c r="I288" i="3" s="1"/>
  <c r="D288" i="3" a="1"/>
  <c r="D288" i="3" s="1"/>
  <c r="D285" i="3" a="1"/>
  <c r="D285" i="3" s="1"/>
  <c r="I285" i="3" a="1"/>
  <c r="I285" i="3" s="1"/>
  <c r="I289" i="3" a="1"/>
  <c r="I289" i="3" s="1"/>
  <c r="D289" i="3" a="1"/>
  <c r="D289" i="3" s="1"/>
  <c r="I286" i="3" a="1"/>
  <c r="I286" i="3" s="1"/>
  <c r="D286" i="3" a="1"/>
  <c r="D286" i="3" s="1"/>
  <c r="I290" i="3" a="1"/>
  <c r="I290" i="3" s="1"/>
  <c r="D290" i="3" a="1"/>
  <c r="D290" i="3" s="1"/>
  <c r="C295" i="3" a="1"/>
  <c r="C295" i="3" s="1"/>
  <c r="B295" i="3" a="1"/>
  <c r="B295" i="3" s="1"/>
  <c r="D284" i="3" a="1"/>
  <c r="D284" i="3" s="1"/>
  <c r="I284" i="3" a="1"/>
  <c r="I284" i="3" s="1"/>
  <c r="M11" i="1"/>
  <c r="N11" i="1" s="1"/>
  <c r="F79" i="4"/>
  <c r="G79" i="4" s="1"/>
  <c r="I533" i="8" a="1"/>
  <c r="I533" i="8" s="1"/>
  <c r="D533" i="8" a="1"/>
  <c r="D533" i="8" s="1"/>
  <c r="E533" i="8" a="1"/>
  <c r="E533" i="8" s="1"/>
  <c r="I536" i="8" a="1"/>
  <c r="I536" i="8" s="1"/>
  <c r="E536" i="8" a="1"/>
  <c r="E536" i="8" s="1"/>
  <c r="D536" i="8" a="1"/>
  <c r="D536" i="8" s="1"/>
  <c r="I537" i="8" a="1"/>
  <c r="I537" i="8" s="1"/>
  <c r="E537" i="8" a="1"/>
  <c r="E537" i="8" s="1"/>
  <c r="D537" i="8" a="1"/>
  <c r="D537" i="8" s="1"/>
  <c r="I527" i="8" a="1"/>
  <c r="I527" i="8" s="1"/>
  <c r="D527" i="8" a="1"/>
  <c r="D527" i="8" s="1"/>
  <c r="D529" i="8" a="1"/>
  <c r="D529" i="8" s="1"/>
  <c r="I529" i="8" a="1"/>
  <c r="I529" i="8" s="1"/>
  <c r="E535" i="8" a="1"/>
  <c r="E535" i="8" s="1"/>
  <c r="I535" i="8" a="1"/>
  <c r="I535" i="8" s="1"/>
  <c r="D535" i="8" a="1"/>
  <c r="D535" i="8" s="1"/>
  <c r="I539" i="8" a="1"/>
  <c r="I539" i="8" s="1"/>
  <c r="E539" i="8" a="1"/>
  <c r="E539" i="8" s="1"/>
  <c r="D539" i="8" a="1"/>
  <c r="D539" i="8" s="1"/>
  <c r="D541" i="8" a="1"/>
  <c r="D541" i="8" s="1"/>
  <c r="I541" i="8" a="1"/>
  <c r="I541" i="8" s="1"/>
  <c r="E541" i="8" a="1"/>
  <c r="E541" i="8" s="1"/>
  <c r="E540" i="8" a="1"/>
  <c r="E540" i="8" s="1"/>
  <c r="D540" i="8" a="1"/>
  <c r="D540" i="8" s="1"/>
  <c r="I540" i="8" a="1"/>
  <c r="I540" i="8" s="1"/>
  <c r="D526" i="8" a="1"/>
  <c r="D526" i="8" s="1"/>
  <c r="I526" i="8" a="1"/>
  <c r="I526" i="8" s="1"/>
  <c r="D530" i="8" a="1"/>
  <c r="D530" i="8" s="1"/>
  <c r="I530" i="8" a="1"/>
  <c r="I530" i="8" s="1"/>
  <c r="E530" i="8" a="1"/>
  <c r="E530" i="8" s="1"/>
  <c r="E538" i="8" a="1"/>
  <c r="E538" i="8" s="1"/>
  <c r="D538" i="8" a="1"/>
  <c r="D538" i="8" s="1"/>
  <c r="I538" i="8" a="1"/>
  <c r="I538" i="8" s="1"/>
  <c r="I531" i="8" a="1"/>
  <c r="I531" i="8" s="1"/>
  <c r="D531" i="8" a="1"/>
  <c r="D531" i="8" s="1"/>
  <c r="E531" i="8" a="1"/>
  <c r="E531" i="8" s="1"/>
  <c r="E534" i="8" a="1"/>
  <c r="E534" i="8" s="1"/>
  <c r="I534" i="8" a="1"/>
  <c r="I534" i="8" s="1"/>
  <c r="D534" i="8" a="1"/>
  <c r="D534" i="8" s="1"/>
  <c r="E532" i="8" a="1"/>
  <c r="E532" i="8" s="1"/>
  <c r="D532" i="8" a="1"/>
  <c r="D532" i="8" s="1"/>
  <c r="I532" i="8" a="1"/>
  <c r="I532" i="8" s="1"/>
  <c r="I528" i="8" a="1"/>
  <c r="I528" i="8" s="1"/>
  <c r="D528" i="8" a="1"/>
  <c r="D528" i="8" s="1"/>
  <c r="B560" i="8" a="1"/>
  <c r="B560" i="8" s="1"/>
  <c r="C554" i="8" a="1"/>
  <c r="C554" i="8" s="1"/>
  <c r="B552" i="8" a="1"/>
  <c r="B552" i="8" s="1"/>
  <c r="C546" i="8" a="1"/>
  <c r="C546" i="8" s="1"/>
  <c r="C556" i="8" a="1"/>
  <c r="C556" i="8" s="1"/>
  <c r="B554" i="8" a="1"/>
  <c r="B554" i="8" s="1"/>
  <c r="C548" i="8" a="1"/>
  <c r="C548" i="8" s="1"/>
  <c r="B546" i="8" a="1"/>
  <c r="B546" i="8" s="1"/>
  <c r="B559" i="8" a="1"/>
  <c r="B559" i="8" s="1"/>
  <c r="C553" i="8" a="1"/>
  <c r="C553" i="8" s="1"/>
  <c r="B551" i="8" a="1"/>
  <c r="B551" i="8" s="1"/>
  <c r="C545" i="8" a="1"/>
  <c r="C545" i="8" s="1"/>
  <c r="C558" i="8" a="1"/>
  <c r="C558" i="8" s="1"/>
  <c r="B556" i="8" a="1"/>
  <c r="B556" i="8" s="1"/>
  <c r="C550" i="8" a="1"/>
  <c r="C550" i="8" s="1"/>
  <c r="B548" i="8" a="1"/>
  <c r="B548" i="8" s="1"/>
  <c r="B562" i="8"/>
  <c r="C555" i="8" a="1"/>
  <c r="C555" i="8" s="1"/>
  <c r="B553" i="8" a="1"/>
  <c r="B553" i="8" s="1"/>
  <c r="C547" i="8" a="1"/>
  <c r="C547" i="8" s="1"/>
  <c r="B545" i="8" a="1"/>
  <c r="B545" i="8" s="1"/>
  <c r="C560" i="8" a="1"/>
  <c r="C560" i="8" s="1"/>
  <c r="B558" i="8" a="1"/>
  <c r="B558" i="8" s="1"/>
  <c r="C552" i="8" a="1"/>
  <c r="C552" i="8" s="1"/>
  <c r="B550" i="8" a="1"/>
  <c r="B550" i="8" s="1"/>
  <c r="B557" i="8" a="1"/>
  <c r="B557" i="8" s="1"/>
  <c r="C559" i="8" a="1"/>
  <c r="C559" i="8" s="1"/>
  <c r="C549" i="8" a="1"/>
  <c r="C549" i="8" s="1"/>
  <c r="B549" i="8" a="1"/>
  <c r="B549" i="8" s="1"/>
  <c r="C551" i="8" a="1"/>
  <c r="C551" i="8" s="1"/>
  <c r="B555" i="8" a="1"/>
  <c r="B555" i="8" s="1"/>
  <c r="B547" i="8" a="1"/>
  <c r="B547" i="8" s="1"/>
  <c r="C557" i="8" a="1"/>
  <c r="C557" i="8" s="1"/>
  <c r="F461" i="4"/>
  <c r="F462" i="4"/>
  <c r="I283" i="3" a="1"/>
  <c r="I283" i="3" s="1"/>
  <c r="D283" i="3" a="1"/>
  <c r="D283" i="3" s="1"/>
  <c r="F66" i="4"/>
  <c r="F67" i="4"/>
  <c r="F74" i="4"/>
  <c r="F68" i="4"/>
  <c r="F72" i="4"/>
  <c r="F64" i="4"/>
  <c r="F77" i="4"/>
  <c r="F70" i="4"/>
  <c r="F78" i="4"/>
  <c r="F71" i="4"/>
  <c r="F76" i="4"/>
  <c r="F65" i="4"/>
  <c r="F73" i="4"/>
  <c r="F75" i="4"/>
  <c r="F69" i="4"/>
  <c r="B297" i="3"/>
  <c r="C294" i="3" a="1"/>
  <c r="C294" i="3" s="1"/>
  <c r="B294" i="3" a="1"/>
  <c r="B294" i="3" s="1"/>
  <c r="C542" i="4" a="1"/>
  <c r="C542" i="4" s="1"/>
  <c r="B559" i="4"/>
  <c r="B542" i="4" a="1"/>
  <c r="B542" i="4" s="1"/>
  <c r="H553" i="4" l="1" a="1"/>
  <c r="H553" i="4" s="1"/>
  <c r="D553" i="4" a="1"/>
  <c r="D553" i="4" s="1"/>
  <c r="E553" i="4" a="1"/>
  <c r="E553" i="4" s="1"/>
  <c r="H547" i="4" a="1"/>
  <c r="H547" i="4" s="1"/>
  <c r="D547" i="4" a="1"/>
  <c r="D547" i="4" s="1"/>
  <c r="H556" i="4" a="1"/>
  <c r="H556" i="4" s="1"/>
  <c r="E556" i="4" a="1"/>
  <c r="E556" i="4" s="1"/>
  <c r="D556" i="4" a="1"/>
  <c r="D556" i="4" s="1"/>
  <c r="H552" i="4" a="1"/>
  <c r="H552" i="4" s="1"/>
  <c r="E552" i="4" a="1"/>
  <c r="E552" i="4" s="1"/>
  <c r="D552" i="4" a="1"/>
  <c r="D552" i="4" s="1"/>
  <c r="D550" i="4" a="1"/>
  <c r="D550" i="4" s="1"/>
  <c r="H550" i="4" a="1"/>
  <c r="H550" i="4" s="1"/>
  <c r="D546" i="4" a="1"/>
  <c r="D546" i="4" s="1"/>
  <c r="H546" i="4" a="1"/>
  <c r="H546" i="4" s="1"/>
  <c r="D544" i="4" a="1"/>
  <c r="D544" i="4" s="1"/>
  <c r="H544" i="4" a="1"/>
  <c r="H544" i="4" s="1"/>
  <c r="B562" i="4" a="1"/>
  <c r="B562" i="4" s="1"/>
  <c r="B568" i="4" a="1"/>
  <c r="B568" i="4" s="1"/>
  <c r="B574" i="4" a="1"/>
  <c r="B574" i="4" s="1"/>
  <c r="C562" i="4" a="1"/>
  <c r="C562" i="4" s="1"/>
  <c r="C568" i="4" a="1"/>
  <c r="C568" i="4" s="1"/>
  <c r="C574" i="4" a="1"/>
  <c r="C574" i="4" s="1"/>
  <c r="B569" i="4" a="1"/>
  <c r="B569" i="4" s="1"/>
  <c r="B575" i="4" a="1"/>
  <c r="B575" i="4" s="1"/>
  <c r="C569" i="4" a="1"/>
  <c r="C569" i="4" s="1"/>
  <c r="C575" i="4" a="1"/>
  <c r="C575" i="4" s="1"/>
  <c r="B564" i="4" a="1"/>
  <c r="B564" i="4" s="1"/>
  <c r="B570" i="4" a="1"/>
  <c r="B570" i="4" s="1"/>
  <c r="B576" i="4" a="1"/>
  <c r="B576" i="4" s="1"/>
  <c r="C564" i="4" a="1"/>
  <c r="C564" i="4" s="1"/>
  <c r="C570" i="4" a="1"/>
  <c r="C570" i="4" s="1"/>
  <c r="C576" i="4" a="1"/>
  <c r="C576" i="4" s="1"/>
  <c r="B565" i="4" a="1"/>
  <c r="B565" i="4" s="1"/>
  <c r="B571" i="4" a="1"/>
  <c r="B571" i="4" s="1"/>
  <c r="C565" i="4" a="1"/>
  <c r="C565" i="4" s="1"/>
  <c r="C571" i="4" a="1"/>
  <c r="C571" i="4" s="1"/>
  <c r="B566" i="4" a="1"/>
  <c r="B566" i="4" s="1"/>
  <c r="B572" i="4" a="1"/>
  <c r="B572" i="4" s="1"/>
  <c r="C566" i="4" a="1"/>
  <c r="C566" i="4" s="1"/>
  <c r="C572" i="4" a="1"/>
  <c r="C572" i="4" s="1"/>
  <c r="B567" i="4" a="1"/>
  <c r="B567" i="4" s="1"/>
  <c r="B573" i="4" a="1"/>
  <c r="B573" i="4" s="1"/>
  <c r="C567" i="4" a="1"/>
  <c r="C567" i="4" s="1"/>
  <c r="C573" i="4" a="1"/>
  <c r="C573" i="4" s="1"/>
  <c r="D554" i="4" a="1"/>
  <c r="D554" i="4" s="1"/>
  <c r="E554" i="4" a="1"/>
  <c r="E554" i="4" s="1"/>
  <c r="H554" i="4" a="1"/>
  <c r="H554" i="4" s="1"/>
  <c r="H548" i="4" a="1"/>
  <c r="H548" i="4" s="1"/>
  <c r="D548" i="4" a="1"/>
  <c r="D548" i="4" s="1"/>
  <c r="H557" i="4" a="1"/>
  <c r="H557" i="4" s="1"/>
  <c r="D557" i="4" a="1"/>
  <c r="D557" i="4" s="1"/>
  <c r="E557" i="4" a="1"/>
  <c r="E557" i="4" s="1"/>
  <c r="H555" i="4" a="1"/>
  <c r="H555" i="4" s="1"/>
  <c r="D555" i="4" a="1"/>
  <c r="D555" i="4" s="1"/>
  <c r="E555" i="4" a="1"/>
  <c r="E555" i="4" s="1"/>
  <c r="H551" i="4" a="1"/>
  <c r="H551" i="4" s="1"/>
  <c r="D551" i="4" a="1"/>
  <c r="D551" i="4" s="1"/>
  <c r="H549" i="4" a="1"/>
  <c r="H549" i="4" s="1"/>
  <c r="D549" i="4" a="1"/>
  <c r="D549" i="4" s="1"/>
  <c r="H545" i="4" a="1"/>
  <c r="H545" i="4" s="1"/>
  <c r="D545" i="4" a="1"/>
  <c r="D545" i="4" s="1"/>
  <c r="H543" i="4" a="1"/>
  <c r="H543" i="4" s="1"/>
  <c r="D543" i="4" a="1"/>
  <c r="D543" i="4" s="1"/>
  <c r="F472" i="4"/>
  <c r="G472" i="4" s="1"/>
  <c r="F468" i="4"/>
  <c r="G468" i="4" s="1"/>
  <c r="F470" i="4"/>
  <c r="G470" i="4" s="1"/>
  <c r="F476" i="4"/>
  <c r="G476" i="4" s="1"/>
  <c r="F469" i="4"/>
  <c r="G469" i="4" s="1"/>
  <c r="F471" i="4"/>
  <c r="G471" i="4" s="1"/>
  <c r="F477" i="4"/>
  <c r="G477" i="4" s="1"/>
  <c r="F473" i="4"/>
  <c r="G473" i="4" s="1"/>
  <c r="F474" i="4"/>
  <c r="G474" i="4" s="1"/>
  <c r="F479" i="4"/>
  <c r="G479" i="4" s="1"/>
  <c r="F478" i="4"/>
  <c r="G478" i="4" s="1"/>
  <c r="F475" i="4"/>
  <c r="G475" i="4" s="1"/>
  <c r="B302" i="3" a="1"/>
  <c r="B302" i="3" s="1"/>
  <c r="C302" i="3" a="1"/>
  <c r="C302" i="3" s="1"/>
  <c r="B305" i="3" a="1"/>
  <c r="B305" i="3" s="1"/>
  <c r="B300" i="3" a="1"/>
  <c r="B300" i="3" s="1"/>
  <c r="C305" i="3" a="1"/>
  <c r="C305" i="3" s="1"/>
  <c r="C300" i="3" a="1"/>
  <c r="C300" i="3" s="1"/>
  <c r="B303" i="3" a="1"/>
  <c r="B303" i="3" s="1"/>
  <c r="C303" i="3" a="1"/>
  <c r="C303" i="3" s="1"/>
  <c r="B306" i="3" a="1"/>
  <c r="B306" i="3" s="1"/>
  <c r="C301" i="3" a="1"/>
  <c r="C301" i="3" s="1"/>
  <c r="B304" i="3" a="1"/>
  <c r="B304" i="3" s="1"/>
  <c r="B301" i="3" a="1"/>
  <c r="B301" i="3" s="1"/>
  <c r="C306" i="3" a="1"/>
  <c r="C306" i="3" s="1"/>
  <c r="C304" i="3" a="1"/>
  <c r="C304" i="3" s="1"/>
  <c r="I295" i="3" a="1"/>
  <c r="I295" i="3" s="1"/>
  <c r="D295" i="3" a="1"/>
  <c r="D295" i="3" s="1"/>
  <c r="M12" i="1"/>
  <c r="N12" i="1" s="1"/>
  <c r="M13" i="1" s="1"/>
  <c r="N13" i="1" s="1"/>
  <c r="F480" i="4"/>
  <c r="G480" i="4" s="1"/>
  <c r="I549" i="8" a="1"/>
  <c r="I549" i="8" s="1"/>
  <c r="E549" i="8" a="1"/>
  <c r="E549" i="8" s="1"/>
  <c r="D549" i="8" a="1"/>
  <c r="D549" i="8" s="1"/>
  <c r="D556" i="8" a="1"/>
  <c r="D556" i="8" s="1"/>
  <c r="I556" i="8" a="1"/>
  <c r="I556" i="8" s="1"/>
  <c r="E556" i="8" a="1"/>
  <c r="E556" i="8" s="1"/>
  <c r="E546" i="8" a="1"/>
  <c r="E546" i="8" s="1"/>
  <c r="D546" i="8" a="1"/>
  <c r="D546" i="8" s="1"/>
  <c r="I546" i="8" a="1"/>
  <c r="I546" i="8" s="1"/>
  <c r="E560" i="8" a="1"/>
  <c r="E560" i="8" s="1"/>
  <c r="D560" i="8" a="1"/>
  <c r="D560" i="8" s="1"/>
  <c r="I560" i="8" a="1"/>
  <c r="I560" i="8" s="1"/>
  <c r="I545" i="8" a="1"/>
  <c r="I545" i="8" s="1"/>
  <c r="E545" i="8" a="1"/>
  <c r="E545" i="8" s="1"/>
  <c r="D545" i="8" a="1"/>
  <c r="D545" i="8" s="1"/>
  <c r="D547" i="8" a="1"/>
  <c r="D547" i="8" s="1"/>
  <c r="I547" i="8" a="1"/>
  <c r="I547" i="8" s="1"/>
  <c r="E547" i="8" a="1"/>
  <c r="E547" i="8" s="1"/>
  <c r="E554" i="8" a="1"/>
  <c r="E554" i="8" s="1"/>
  <c r="D554" i="8" a="1"/>
  <c r="D554" i="8" s="1"/>
  <c r="I554" i="8" a="1"/>
  <c r="I554" i="8" s="1"/>
  <c r="I557" i="8" a="1"/>
  <c r="I557" i="8" s="1"/>
  <c r="E557" i="8" a="1"/>
  <c r="E557" i="8" s="1"/>
  <c r="D557" i="8" a="1"/>
  <c r="D557" i="8" s="1"/>
  <c r="E558" i="8" a="1"/>
  <c r="E558" i="8" s="1"/>
  <c r="D558" i="8" a="1"/>
  <c r="D558" i="8" s="1"/>
  <c r="I558" i="8" a="1"/>
  <c r="I558" i="8" s="1"/>
  <c r="D555" i="8" a="1"/>
  <c r="D555" i="8" s="1"/>
  <c r="I555" i="8" a="1"/>
  <c r="I555" i="8" s="1"/>
  <c r="E555" i="8" a="1"/>
  <c r="E555" i="8" s="1"/>
  <c r="I551" i="8" a="1"/>
  <c r="I551" i="8" s="1"/>
  <c r="E551" i="8" a="1"/>
  <c r="E551" i="8" s="1"/>
  <c r="D551" i="8" a="1"/>
  <c r="D551" i="8" s="1"/>
  <c r="I553" i="8" a="1"/>
  <c r="I553" i="8" s="1"/>
  <c r="E553" i="8" a="1"/>
  <c r="E553" i="8" s="1"/>
  <c r="D553" i="8" a="1"/>
  <c r="D553" i="8" s="1"/>
  <c r="D550" i="8" a="1"/>
  <c r="D550" i="8" s="1"/>
  <c r="I550" i="8" a="1"/>
  <c r="I550" i="8" s="1"/>
  <c r="B578" i="8" a="1"/>
  <c r="B578" i="8" s="1"/>
  <c r="B573" i="8" a="1"/>
  <c r="B573" i="8" s="1"/>
  <c r="C570" i="8" a="1"/>
  <c r="C570" i="8" s="1"/>
  <c r="B568" i="8" a="1"/>
  <c r="B568" i="8" s="1"/>
  <c r="C565" i="8" a="1"/>
  <c r="C565" i="8" s="1"/>
  <c r="B581" i="8"/>
  <c r="B570" i="8" a="1"/>
  <c r="B570" i="8" s="1"/>
  <c r="B565" i="8" a="1"/>
  <c r="B565" i="8" s="1"/>
  <c r="C579" i="8" a="1"/>
  <c r="C579" i="8" s="1"/>
  <c r="B577" i="8" a="1"/>
  <c r="B577" i="8" s="1"/>
  <c r="C574" i="8" a="1"/>
  <c r="C574" i="8" s="1"/>
  <c r="B572" i="8" a="1"/>
  <c r="B572" i="8" s="1"/>
  <c r="C569" i="8" a="1"/>
  <c r="C569" i="8" s="1"/>
  <c r="B567" i="8" a="1"/>
  <c r="B567" i="8" s="1"/>
  <c r="C564" i="8" a="1"/>
  <c r="C564" i="8" s="1"/>
  <c r="C576" i="8" a="1"/>
  <c r="C576" i="8" s="1"/>
  <c r="C571" i="8" a="1"/>
  <c r="C571" i="8" s="1"/>
  <c r="B579" i="8" a="1"/>
  <c r="B579" i="8" s="1"/>
  <c r="B574" i="8" a="1"/>
  <c r="B574" i="8" s="1"/>
  <c r="B569" i="8" a="1"/>
  <c r="B569" i="8" s="1"/>
  <c r="C566" i="8" a="1"/>
  <c r="C566" i="8" s="1"/>
  <c r="B564" i="8" a="1"/>
  <c r="B564" i="8" s="1"/>
  <c r="C578" i="8" a="1"/>
  <c r="C578" i="8" s="1"/>
  <c r="B576" i="8" a="1"/>
  <c r="B576" i="8" s="1"/>
  <c r="C573" i="8" a="1"/>
  <c r="C573" i="8" s="1"/>
  <c r="B571" i="8" a="1"/>
  <c r="B571" i="8" s="1"/>
  <c r="C568" i="8" a="1"/>
  <c r="C568" i="8" s="1"/>
  <c r="C572" i="8" a="1"/>
  <c r="C572" i="8" s="1"/>
  <c r="C575" i="8" a="1"/>
  <c r="C575" i="8" s="1"/>
  <c r="C567" i="8" a="1"/>
  <c r="C567" i="8" s="1"/>
  <c r="B575" i="8" a="1"/>
  <c r="B575" i="8" s="1"/>
  <c r="C577" i="8" a="1"/>
  <c r="C577" i="8" s="1"/>
  <c r="B566" i="8" a="1"/>
  <c r="B566" i="8" s="1"/>
  <c r="E552" i="8" a="1"/>
  <c r="E552" i="8" s="1"/>
  <c r="D552" i="8" a="1"/>
  <c r="D552" i="8" s="1"/>
  <c r="I552" i="8" a="1"/>
  <c r="I552" i="8" s="1"/>
  <c r="D548" i="8" a="1"/>
  <c r="D548" i="8" s="1"/>
  <c r="I548" i="8" a="1"/>
  <c r="I548" i="8" s="1"/>
  <c r="E548" i="8" a="1"/>
  <c r="E548" i="8" s="1"/>
  <c r="I559" i="8" a="1"/>
  <c r="I559" i="8" s="1"/>
  <c r="E559" i="8" a="1"/>
  <c r="E559" i="8" s="1"/>
  <c r="D559" i="8" a="1"/>
  <c r="D559" i="8" s="1"/>
  <c r="H126" i="4"/>
  <c r="E126" i="4"/>
  <c r="C126" i="4"/>
  <c r="F126" i="4"/>
  <c r="C145" i="4"/>
  <c r="G145" i="4"/>
  <c r="G126" i="4"/>
  <c r="G68" i="4"/>
  <c r="G72" i="4"/>
  <c r="G76" i="4"/>
  <c r="G74" i="4"/>
  <c r="G71" i="4"/>
  <c r="G67" i="4"/>
  <c r="G69" i="4"/>
  <c r="G78" i="4"/>
  <c r="G66" i="4"/>
  <c r="G75" i="4"/>
  <c r="G70" i="4"/>
  <c r="G73" i="4"/>
  <c r="G77" i="4"/>
  <c r="G462" i="4"/>
  <c r="G65" i="4"/>
  <c r="G64" i="4"/>
  <c r="F481" i="4"/>
  <c r="C299" i="3" a="1"/>
  <c r="C299" i="3" s="1"/>
  <c r="B299" i="3" a="1"/>
  <c r="B299" i="3" s="1"/>
  <c r="G461" i="4"/>
  <c r="B578" i="4"/>
  <c r="B561" i="4" a="1"/>
  <c r="B561" i="4" s="1"/>
  <c r="C561" i="4" a="1"/>
  <c r="C561" i="4" s="1"/>
  <c r="H565" i="4" l="1" a="1"/>
  <c r="H565" i="4" s="1"/>
  <c r="D565" i="4" a="1"/>
  <c r="D565" i="4" s="1"/>
  <c r="D573" i="4" a="1"/>
  <c r="D573" i="4" s="1"/>
  <c r="E573" i="4" a="1"/>
  <c r="E573" i="4" s="1"/>
  <c r="H573" i="4" a="1"/>
  <c r="H573" i="4" s="1"/>
  <c r="D567" i="4" a="1"/>
  <c r="D567" i="4" s="1"/>
  <c r="H567" i="4" a="1"/>
  <c r="H567" i="4" s="1"/>
  <c r="H576" i="4" a="1"/>
  <c r="H576" i="4" s="1"/>
  <c r="D576" i="4" a="1"/>
  <c r="D576" i="4" s="1"/>
  <c r="E576" i="4" a="1"/>
  <c r="E576" i="4" s="1"/>
  <c r="E574" i="4" a="1"/>
  <c r="E574" i="4" s="1"/>
  <c r="H574" i="4" a="1"/>
  <c r="H574" i="4" s="1"/>
  <c r="D574" i="4" a="1"/>
  <c r="D574" i="4" s="1"/>
  <c r="H570" i="4" a="1"/>
  <c r="H570" i="4" s="1"/>
  <c r="D570" i="4" a="1"/>
  <c r="D570" i="4" s="1"/>
  <c r="H568" i="4" a="1"/>
  <c r="H568" i="4" s="1"/>
  <c r="D568" i="4" a="1"/>
  <c r="D568" i="4" s="1"/>
  <c r="H564" i="4" a="1"/>
  <c r="H564" i="4" s="1"/>
  <c r="D564" i="4" a="1"/>
  <c r="D564" i="4" s="1"/>
  <c r="H562" i="4" a="1"/>
  <c r="H562" i="4" s="1"/>
  <c r="D562" i="4" a="1"/>
  <c r="D562" i="4" s="1"/>
  <c r="E572" i="4" a="1"/>
  <c r="E572" i="4" s="1"/>
  <c r="H572" i="4" a="1"/>
  <c r="H572" i="4" s="1"/>
  <c r="D572" i="4" a="1"/>
  <c r="D572" i="4" s="1"/>
  <c r="H566" i="4" a="1"/>
  <c r="H566" i="4" s="1"/>
  <c r="D566" i="4" a="1"/>
  <c r="D566" i="4" s="1"/>
  <c r="B586" i="4" a="1"/>
  <c r="B586" i="4" s="1"/>
  <c r="C586" i="4" a="1"/>
  <c r="C586" i="4" s="1"/>
  <c r="B587" i="4" a="1"/>
  <c r="B587" i="4" s="1"/>
  <c r="C587" i="4" a="1"/>
  <c r="C587" i="4" s="1"/>
  <c r="B582" i="4" a="1"/>
  <c r="B582" i="4" s="1"/>
  <c r="C582" i="4" a="1"/>
  <c r="C582" i="4" s="1"/>
  <c r="B583" i="4" a="1"/>
  <c r="B583" i="4" s="1"/>
  <c r="B589" i="4" a="1"/>
  <c r="B589" i="4" s="1"/>
  <c r="C583" i="4" a="1"/>
  <c r="C583" i="4" s="1"/>
  <c r="C589" i="4" a="1"/>
  <c r="C589" i="4" s="1"/>
  <c r="D575" i="4" a="1"/>
  <c r="D575" i="4" s="1"/>
  <c r="E575" i="4" a="1"/>
  <c r="E575" i="4" s="1"/>
  <c r="H575" i="4" a="1"/>
  <c r="H575" i="4" s="1"/>
  <c r="E571" i="4" a="1"/>
  <c r="E571" i="4" s="1"/>
  <c r="H571" i="4" a="1"/>
  <c r="H571" i="4" s="1"/>
  <c r="D571" i="4" a="1"/>
  <c r="D571" i="4" s="1"/>
  <c r="H569" i="4" a="1"/>
  <c r="H569" i="4" s="1"/>
  <c r="D569" i="4" a="1"/>
  <c r="D569" i="4" s="1"/>
  <c r="F494" i="4"/>
  <c r="G494" i="4" s="1"/>
  <c r="F497" i="4"/>
  <c r="G497" i="4" s="1"/>
  <c r="F496" i="4"/>
  <c r="G496" i="4" s="1"/>
  <c r="F495" i="4"/>
  <c r="G495" i="4" s="1"/>
  <c r="F492" i="4"/>
  <c r="G492" i="4" s="1"/>
  <c r="F493" i="4"/>
  <c r="G493" i="4" s="1"/>
  <c r="I300" i="3" a="1"/>
  <c r="I300" i="3" s="1"/>
  <c r="D300" i="3" a="1"/>
  <c r="D300" i="3" s="1"/>
  <c r="I306" i="3" a="1"/>
  <c r="I306" i="3" s="1"/>
  <c r="D306" i="3" a="1"/>
  <c r="D306" i="3" s="1"/>
  <c r="D305" i="3" a="1"/>
  <c r="D305" i="3" s="1"/>
  <c r="I305" i="3" a="1"/>
  <c r="I305" i="3" s="1"/>
  <c r="I303" i="3" a="1"/>
  <c r="I303" i="3" s="1"/>
  <c r="D303" i="3" a="1"/>
  <c r="D303" i="3" s="1"/>
  <c r="D302" i="3" a="1"/>
  <c r="D302" i="3" s="1"/>
  <c r="I302" i="3" a="1"/>
  <c r="I302" i="3" s="1"/>
  <c r="D301" i="3" a="1"/>
  <c r="D301" i="3" s="1"/>
  <c r="I301" i="3" a="1"/>
  <c r="I301" i="3" s="1"/>
  <c r="D304" i="3" a="1"/>
  <c r="D304" i="3" s="1"/>
  <c r="I304" i="3" a="1"/>
  <c r="I304" i="3" s="1"/>
  <c r="M14" i="1"/>
  <c r="N14" i="1" s="1"/>
  <c r="M15" i="1" s="1"/>
  <c r="F499" i="4"/>
  <c r="G499" i="4" s="1"/>
  <c r="F498" i="4"/>
  <c r="G498" i="4" s="1"/>
  <c r="E570" i="8" a="1"/>
  <c r="E570" i="8" s="1"/>
  <c r="D570" i="8" a="1"/>
  <c r="D570" i="8" s="1"/>
  <c r="I570" i="8" a="1"/>
  <c r="I570" i="8" s="1"/>
  <c r="D566" i="8" a="1"/>
  <c r="D566" i="8" s="1"/>
  <c r="I566" i="8" a="1"/>
  <c r="I566" i="8" s="1"/>
  <c r="E566" i="8" a="1"/>
  <c r="E566" i="8" s="1"/>
  <c r="I574" i="8" a="1"/>
  <c r="I574" i="8" s="1"/>
  <c r="D574" i="8" a="1"/>
  <c r="D574" i="8" s="1"/>
  <c r="E574" i="8" a="1"/>
  <c r="E574" i="8" s="1"/>
  <c r="C597" i="8" a="1"/>
  <c r="C597" i="8" s="1"/>
  <c r="C596" i="8" a="1"/>
  <c r="C596" i="8" s="1"/>
  <c r="B590" i="8" a="1"/>
  <c r="B590" i="8" s="1"/>
  <c r="B587" i="8" a="1"/>
  <c r="B587" i="8" s="1"/>
  <c r="C586" i="8" a="1"/>
  <c r="C586" i="8" s="1"/>
  <c r="C583" i="8" a="1"/>
  <c r="C583" i="8" s="1"/>
  <c r="B596" i="8" a="1"/>
  <c r="B596" i="8" s="1"/>
  <c r="C595" i="8" a="1"/>
  <c r="C595" i="8" s="1"/>
  <c r="B586" i="8" a="1"/>
  <c r="B586" i="8" s="1"/>
  <c r="B583" i="8" a="1"/>
  <c r="B583" i="8" s="1"/>
  <c r="B592" i="8" a="1"/>
  <c r="B592" i="8" s="1"/>
  <c r="B589" i="8" a="1"/>
  <c r="B589" i="8" s="1"/>
  <c r="C588" i="8" a="1"/>
  <c r="C588" i="8" s="1"/>
  <c r="C585" i="8" a="1"/>
  <c r="C585" i="8" s="1"/>
  <c r="B595" i="8" a="1"/>
  <c r="B595" i="8" s="1"/>
  <c r="C594" i="8" a="1"/>
  <c r="C594" i="8" s="1"/>
  <c r="C591" i="8" a="1"/>
  <c r="C591" i="8" s="1"/>
  <c r="B588" i="8" a="1"/>
  <c r="B588" i="8" s="1"/>
  <c r="B585" i="8" a="1"/>
  <c r="B585" i="8" s="1"/>
  <c r="C584" i="8" a="1"/>
  <c r="C584" i="8" s="1"/>
  <c r="B594" i="8" a="1"/>
  <c r="B594" i="8" s="1"/>
  <c r="B591" i="8" a="1"/>
  <c r="B591" i="8" s="1"/>
  <c r="C590" i="8" a="1"/>
  <c r="C590" i="8" s="1"/>
  <c r="C587" i="8" a="1"/>
  <c r="C587" i="8" s="1"/>
  <c r="B598" i="8" a="1"/>
  <c r="B598" i="8" s="1"/>
  <c r="B597" i="8" a="1"/>
  <c r="B597" i="8" s="1"/>
  <c r="C593" i="8" a="1"/>
  <c r="C593" i="8" s="1"/>
  <c r="B593" i="8" a="1"/>
  <c r="B593" i="8" s="1"/>
  <c r="B584" i="8" a="1"/>
  <c r="B584" i="8" s="1"/>
  <c r="C589" i="8" a="1"/>
  <c r="C589" i="8" s="1"/>
  <c r="C598" i="8" a="1"/>
  <c r="C598" i="8" s="1"/>
  <c r="C592" i="8" a="1"/>
  <c r="C592" i="8" s="1"/>
  <c r="I569" i="8" a="1"/>
  <c r="I569" i="8" s="1"/>
  <c r="D569" i="8" a="1"/>
  <c r="D569" i="8" s="1"/>
  <c r="E569" i="8" a="1"/>
  <c r="E569" i="8" s="1"/>
  <c r="E571" i="8" a="1"/>
  <c r="E571" i="8" s="1"/>
  <c r="D571" i="8" a="1"/>
  <c r="D571" i="8" s="1"/>
  <c r="I571" i="8" a="1"/>
  <c r="I571" i="8" s="1"/>
  <c r="I579" i="8" a="1"/>
  <c r="I579" i="8" s="1"/>
  <c r="E579" i="8" a="1"/>
  <c r="E579" i="8" s="1"/>
  <c r="D579" i="8" a="1"/>
  <c r="D579" i="8" s="1"/>
  <c r="I572" i="8" a="1"/>
  <c r="I572" i="8" s="1"/>
  <c r="E572" i="8" a="1"/>
  <c r="E572" i="8" s="1"/>
  <c r="D572" i="8" a="1"/>
  <c r="D572" i="8" s="1"/>
  <c r="I567" i="8" a="1"/>
  <c r="I567" i="8" s="1"/>
  <c r="E567" i="8" a="1"/>
  <c r="E567" i="8" s="1"/>
  <c r="D567" i="8" a="1"/>
  <c r="D567" i="8" s="1"/>
  <c r="I575" i="8" a="1"/>
  <c r="I575" i="8" s="1"/>
  <c r="E575" i="8" a="1"/>
  <c r="E575" i="8" s="1"/>
  <c r="D575" i="8" a="1"/>
  <c r="D575" i="8" s="1"/>
  <c r="E576" i="8" a="1"/>
  <c r="E576" i="8" s="1"/>
  <c r="D576" i="8" a="1"/>
  <c r="D576" i="8" s="1"/>
  <c r="I576" i="8" a="1"/>
  <c r="I576" i="8" s="1"/>
  <c r="I577" i="8" a="1"/>
  <c r="I577" i="8" s="1"/>
  <c r="E577" i="8" a="1"/>
  <c r="E577" i="8" s="1"/>
  <c r="D577" i="8" a="1"/>
  <c r="D577" i="8" s="1"/>
  <c r="E568" i="8" a="1"/>
  <c r="E568" i="8" s="1"/>
  <c r="D568" i="8" a="1"/>
  <c r="D568" i="8" s="1"/>
  <c r="I568" i="8" a="1"/>
  <c r="I568" i="8" s="1"/>
  <c r="I564" i="8" a="1"/>
  <c r="I564" i="8" s="1"/>
  <c r="E564" i="8" a="1"/>
  <c r="E564" i="8" s="1"/>
  <c r="D564" i="8" a="1"/>
  <c r="D564" i="8" s="1"/>
  <c r="E573" i="8" a="1"/>
  <c r="E573" i="8" s="1"/>
  <c r="D573" i="8" a="1"/>
  <c r="D573" i="8" s="1"/>
  <c r="I573" i="8" a="1"/>
  <c r="I573" i="8" s="1"/>
  <c r="E565" i="8" a="1"/>
  <c r="E565" i="8" s="1"/>
  <c r="D565" i="8" a="1"/>
  <c r="D565" i="8" s="1"/>
  <c r="I565" i="8" a="1"/>
  <c r="I565" i="8" s="1"/>
  <c r="E578" i="8" a="1"/>
  <c r="E578" i="8" s="1"/>
  <c r="D578" i="8" a="1"/>
  <c r="D578" i="8" s="1"/>
  <c r="I578" i="8" a="1"/>
  <c r="I578" i="8" s="1"/>
  <c r="F145" i="4"/>
  <c r="E145" i="4"/>
  <c r="H145" i="4"/>
  <c r="F500" i="4"/>
  <c r="C55" i="3" a="1"/>
  <c r="C55" i="3" s="1"/>
  <c r="C111" i="8" s="1"/>
  <c r="B55" i="3" a="1"/>
  <c r="B55" i="3" s="1"/>
  <c r="B72" i="3"/>
  <c r="G481" i="4"/>
  <c r="H561" i="4" a="1"/>
  <c r="H561" i="4" s="1"/>
  <c r="B591" i="4"/>
  <c r="B580" i="4" a="1"/>
  <c r="B580" i="4" s="1"/>
  <c r="C580" i="4" a="1"/>
  <c r="C580" i="4" s="1"/>
  <c r="D561" i="4" a="1"/>
  <c r="D561" i="4" s="1"/>
  <c r="B594" i="4" l="1" a="1"/>
  <c r="B594" i="4" s="1"/>
  <c r="B600" i="4" a="1"/>
  <c r="B600" i="4" s="1"/>
  <c r="C594" i="4" a="1"/>
  <c r="C594" i="4" s="1"/>
  <c r="C600" i="4" a="1"/>
  <c r="C600" i="4" s="1"/>
  <c r="B595" i="4" a="1"/>
  <c r="B595" i="4" s="1"/>
  <c r="B601" i="4" a="1"/>
  <c r="B601" i="4" s="1"/>
  <c r="C595" i="4" a="1"/>
  <c r="C595" i="4" s="1"/>
  <c r="C601" i="4" a="1"/>
  <c r="C601" i="4" s="1"/>
  <c r="B596" i="4" a="1"/>
  <c r="B596" i="4" s="1"/>
  <c r="B602" i="4" a="1"/>
  <c r="B602" i="4" s="1"/>
  <c r="C596" i="4" a="1"/>
  <c r="C596" i="4" s="1"/>
  <c r="C602" i="4" a="1"/>
  <c r="C602" i="4" s="1"/>
  <c r="B597" i="4" a="1"/>
  <c r="B597" i="4" s="1"/>
  <c r="C597" i="4" a="1"/>
  <c r="C597" i="4" s="1"/>
  <c r="B598" i="4" a="1"/>
  <c r="B598" i="4" s="1"/>
  <c r="C598" i="4" a="1"/>
  <c r="C598" i="4" s="1"/>
  <c r="B599" i="4" a="1"/>
  <c r="B599" i="4" s="1"/>
  <c r="C599" i="4" a="1"/>
  <c r="C599" i="4" s="1"/>
  <c r="D587" i="4" a="1"/>
  <c r="D587" i="4" s="1"/>
  <c r="H587" i="4" a="1"/>
  <c r="H587" i="4" s="1"/>
  <c r="H586" i="4" a="1"/>
  <c r="H586" i="4" s="1"/>
  <c r="D586" i="4" a="1"/>
  <c r="D586" i="4" s="1"/>
  <c r="H589" i="4" a="1"/>
  <c r="H589" i="4" s="1"/>
  <c r="D589" i="4" a="1"/>
  <c r="D589" i="4" s="1"/>
  <c r="H583" i="4" a="1"/>
  <c r="H583" i="4" s="1"/>
  <c r="D583" i="4" a="1"/>
  <c r="D583" i="4" s="1"/>
  <c r="D588" i="4" a="1"/>
  <c r="D588" i="4" s="1"/>
  <c r="H588" i="4" a="1"/>
  <c r="H588" i="4" s="1"/>
  <c r="D582" i="4" a="1"/>
  <c r="D582" i="4" s="1"/>
  <c r="H582" i="4" a="1"/>
  <c r="H582" i="4" s="1"/>
  <c r="N15" i="1"/>
  <c r="B15" i="1"/>
  <c r="B77" i="3" a="1"/>
  <c r="B77" i="3" s="1"/>
  <c r="C79" i="3" a="1"/>
  <c r="C79" i="3" s="1"/>
  <c r="B82" i="3" a="1"/>
  <c r="B82" i="3" s="1"/>
  <c r="B88" i="3" a="1"/>
  <c r="B88" i="3" s="1"/>
  <c r="B132" i="8" s="1"/>
  <c r="B79" i="3" a="1"/>
  <c r="B79" i="3" s="1"/>
  <c r="B87" i="3" a="1"/>
  <c r="B87" i="3" s="1"/>
  <c r="B131" i="8" s="1"/>
  <c r="C77" i="3" a="1"/>
  <c r="C77" i="3" s="1"/>
  <c r="C82" i="3" a="1"/>
  <c r="C82" i="3" s="1"/>
  <c r="B85" i="3" a="1"/>
  <c r="B85" i="3" s="1"/>
  <c r="C87" i="3" a="1"/>
  <c r="C87" i="3" s="1"/>
  <c r="C131" i="8" s="1"/>
  <c r="C76" i="3" a="1"/>
  <c r="C76" i="3" s="1"/>
  <c r="C130" i="8" s="1"/>
  <c r="B137" i="8"/>
  <c r="B80" i="3" a="1"/>
  <c r="B80" i="3" s="1"/>
  <c r="C85" i="3" a="1"/>
  <c r="C85" i="3" s="1"/>
  <c r="C136" i="8"/>
  <c r="C80" i="3" a="1"/>
  <c r="C80" i="3" s="1"/>
  <c r="B81" i="3" a="1"/>
  <c r="B81" i="3" s="1"/>
  <c r="B84" i="3" a="1"/>
  <c r="B84" i="3" s="1"/>
  <c r="C84" i="3" a="1"/>
  <c r="C84" i="3" s="1"/>
  <c r="C137" i="8"/>
  <c r="B78" i="3" a="1"/>
  <c r="B78" i="3" s="1"/>
  <c r="B83" i="3" a="1"/>
  <c r="B83" i="3" s="1"/>
  <c r="C86" i="3" a="1"/>
  <c r="C86" i="3" s="1"/>
  <c r="C135" i="8"/>
  <c r="C78" i="3" a="1"/>
  <c r="C78" i="3" s="1"/>
  <c r="C83" i="3" a="1"/>
  <c r="C83" i="3" s="1"/>
  <c r="B86" i="3" a="1"/>
  <c r="B86" i="3" s="1"/>
  <c r="C88" i="3" a="1"/>
  <c r="C88" i="3" s="1"/>
  <c r="C132" i="8" s="1"/>
  <c r="C134" i="8"/>
  <c r="B76" i="3" a="1"/>
  <c r="B76" i="3" s="1"/>
  <c r="B130" i="8" s="1"/>
  <c r="C81" i="3" a="1"/>
  <c r="C81" i="3" s="1"/>
  <c r="B133" i="8"/>
  <c r="C133" i="8"/>
  <c r="B136" i="8"/>
  <c r="B134" i="8"/>
  <c r="B149" i="8" a="1"/>
  <c r="B149" i="8" s="1"/>
  <c r="B160" i="8" a="1"/>
  <c r="B160" i="8" s="1"/>
  <c r="C155" i="8" a="1"/>
  <c r="C155" i="8" s="1"/>
  <c r="B154" i="8" a="1"/>
  <c r="B154" i="8" s="1"/>
  <c r="C146" i="8"/>
  <c r="B159" i="8" a="1"/>
  <c r="B159" i="8" s="1"/>
  <c r="C154" i="8" a="1"/>
  <c r="C154" i="8" s="1"/>
  <c r="C156" i="8" a="1"/>
  <c r="C156" i="8" s="1"/>
  <c r="B158" i="8" a="1"/>
  <c r="B158" i="8" s="1"/>
  <c r="C153" i="8" a="1"/>
  <c r="C153" i="8" s="1"/>
  <c r="H146" i="8"/>
  <c r="B150" i="8" a="1"/>
  <c r="B150" i="8" s="1"/>
  <c r="B157" i="8" a="1"/>
  <c r="B157" i="8" s="1"/>
  <c r="C152" i="8" a="1"/>
  <c r="C152" i="8" s="1"/>
  <c r="C163" i="8" a="1"/>
  <c r="C163" i="8" s="1"/>
  <c r="B156" i="8" a="1"/>
  <c r="B156" i="8" s="1"/>
  <c r="C157" i="8" a="1"/>
  <c r="C157" i="8" s="1"/>
  <c r="C162" i="8" a="1"/>
  <c r="C162" i="8" s="1"/>
  <c r="B155" i="8" a="1"/>
  <c r="B155" i="8" s="1"/>
  <c r="C150" i="8" a="1"/>
  <c r="C150" i="8" s="1"/>
  <c r="C161" i="8" a="1"/>
  <c r="C161" i="8" s="1"/>
  <c r="C159" i="8" a="1"/>
  <c r="C159" i="8" s="1"/>
  <c r="C160" i="8" a="1"/>
  <c r="C160" i="8" s="1"/>
  <c r="B153" i="8" a="1"/>
  <c r="B153" i="8" s="1"/>
  <c r="C151" i="8" a="1"/>
  <c r="C151" i="8" s="1"/>
  <c r="B148" i="8" a="1"/>
  <c r="B148" i="8" s="1"/>
  <c r="C149" i="8" a="1"/>
  <c r="C149" i="8" s="1"/>
  <c r="B163" i="8" a="1"/>
  <c r="B163" i="8" s="1"/>
  <c r="C158" i="8" a="1"/>
  <c r="C158" i="8" s="1"/>
  <c r="B162" i="8" a="1"/>
  <c r="B162" i="8" s="1"/>
  <c r="G146" i="8"/>
  <c r="B152" i="8" a="1"/>
  <c r="B152" i="8" s="1"/>
  <c r="B151" i="8" a="1"/>
  <c r="B151" i="8" s="1"/>
  <c r="B161" i="8" a="1"/>
  <c r="B161" i="8" s="1"/>
  <c r="B164" i="8"/>
  <c r="E146" i="8"/>
  <c r="C148" i="8" a="1"/>
  <c r="C148" i="8" s="1"/>
  <c r="C75" i="3" a="1"/>
  <c r="C75" i="3" s="1"/>
  <c r="C129" i="8" s="1"/>
  <c r="B75" i="3" a="1"/>
  <c r="B75" i="3" s="1"/>
  <c r="B129" i="8" s="1"/>
  <c r="B111" i="8"/>
  <c r="I585" i="8" a="1"/>
  <c r="I585" i="8" s="1"/>
  <c r="D585" i="8" a="1"/>
  <c r="D585" i="8" s="1"/>
  <c r="I589" i="8" a="1"/>
  <c r="I589" i="8" s="1"/>
  <c r="D589" i="8" a="1"/>
  <c r="D589" i="8" s="1"/>
  <c r="I598" i="8" a="1"/>
  <c r="I598" i="8" s="1"/>
  <c r="D598" i="8" a="1"/>
  <c r="D598" i="8" s="1"/>
  <c r="I588" i="8" a="1"/>
  <c r="I588" i="8" s="1"/>
  <c r="D588" i="8" a="1"/>
  <c r="D588" i="8" s="1"/>
  <c r="I592" i="8" a="1"/>
  <c r="I592" i="8" s="1"/>
  <c r="D592" i="8" a="1"/>
  <c r="D592" i="8" s="1"/>
  <c r="D587" i="8" a="1"/>
  <c r="D587" i="8" s="1"/>
  <c r="I587" i="8" a="1"/>
  <c r="I587" i="8" s="1"/>
  <c r="I586" i="8" a="1"/>
  <c r="I586" i="8" s="1"/>
  <c r="D586" i="8" a="1"/>
  <c r="D586" i="8" s="1"/>
  <c r="D584" i="8" a="1"/>
  <c r="D584" i="8" s="1"/>
  <c r="I584" i="8" a="1"/>
  <c r="I584" i="8" s="1"/>
  <c r="D593" i="8" a="1"/>
  <c r="D593" i="8" s="1"/>
  <c r="I593" i="8" a="1"/>
  <c r="I593" i="8" s="1"/>
  <c r="D591" i="8" a="1"/>
  <c r="D591" i="8" s="1"/>
  <c r="I591" i="8" a="1"/>
  <c r="I591" i="8" s="1"/>
  <c r="D594" i="8" a="1"/>
  <c r="D594" i="8" s="1"/>
  <c r="I594" i="8" a="1"/>
  <c r="I594" i="8" s="1"/>
  <c r="D595" i="8" a="1"/>
  <c r="D595" i="8" s="1"/>
  <c r="I595" i="8" a="1"/>
  <c r="I595" i="8" s="1"/>
  <c r="I596" i="8" a="1"/>
  <c r="I596" i="8" s="1"/>
  <c r="D596" i="8" a="1"/>
  <c r="D596" i="8" s="1"/>
  <c r="I590" i="8" a="1"/>
  <c r="I590" i="8" s="1"/>
  <c r="D590" i="8" a="1"/>
  <c r="D590" i="8" s="1"/>
  <c r="I597" i="8" a="1"/>
  <c r="I597" i="8" s="1"/>
  <c r="D597" i="8" a="1"/>
  <c r="D597" i="8" s="1"/>
  <c r="D583" i="8" a="1"/>
  <c r="D583" i="8" s="1"/>
  <c r="I583" i="8" a="1"/>
  <c r="I583" i="8" s="1"/>
  <c r="F176" i="4"/>
  <c r="C163" i="4"/>
  <c r="G163" i="4"/>
  <c r="E163" i="4"/>
  <c r="F163" i="4"/>
  <c r="H163" i="4"/>
  <c r="G500" i="4"/>
  <c r="C74" i="3" a="1"/>
  <c r="C74" i="3" s="1"/>
  <c r="C128" i="8" s="1"/>
  <c r="B74" i="3" a="1"/>
  <c r="B74" i="3" s="1"/>
  <c r="B90" i="3"/>
  <c r="F72" i="3"/>
  <c r="C72" i="3"/>
  <c r="G72" i="3"/>
  <c r="H72" i="3"/>
  <c r="F518" i="4"/>
  <c r="F519" i="4"/>
  <c r="B324" i="3"/>
  <c r="H580" i="4" a="1"/>
  <c r="H580" i="4" s="1"/>
  <c r="D580" i="4" a="1"/>
  <c r="D580" i="4" s="1"/>
  <c r="C593" i="4" a="1"/>
  <c r="C593" i="4" s="1"/>
  <c r="B593" i="4" a="1"/>
  <c r="B593" i="4" s="1"/>
  <c r="F161" i="4" l="1"/>
  <c r="G161" i="4" s="1"/>
  <c r="D602" i="4" a="1"/>
  <c r="D602" i="4" s="1"/>
  <c r="H602" i="4" a="1"/>
  <c r="H602" i="4" s="1"/>
  <c r="H596" i="4" a="1"/>
  <c r="H596" i="4" s="1"/>
  <c r="D596" i="4" a="1"/>
  <c r="D596" i="4" s="1"/>
  <c r="D601" i="4" a="1"/>
  <c r="D601" i="4" s="1"/>
  <c r="H601" i="4" a="1"/>
  <c r="H601" i="4" s="1"/>
  <c r="D599" i="4" a="1"/>
  <c r="D599" i="4" s="1"/>
  <c r="H599" i="4" a="1"/>
  <c r="H599" i="4" s="1"/>
  <c r="D595" i="4" a="1"/>
  <c r="D595" i="4" s="1"/>
  <c r="H595" i="4" a="1"/>
  <c r="H595" i="4" s="1"/>
  <c r="D598" i="4" a="1"/>
  <c r="D598" i="4" s="1"/>
  <c r="H598" i="4" a="1"/>
  <c r="H598" i="4" s="1"/>
  <c r="D600" i="4" a="1"/>
  <c r="D600" i="4" s="1"/>
  <c r="H600" i="4" a="1"/>
  <c r="H600" i="4" s="1"/>
  <c r="D597" i="4" a="1"/>
  <c r="D597" i="4" s="1"/>
  <c r="H597" i="4" a="1"/>
  <c r="H597" i="4" s="1"/>
  <c r="H594" i="4" a="1"/>
  <c r="H594" i="4" s="1"/>
  <c r="D594" i="4" a="1"/>
  <c r="D594" i="4" s="1"/>
  <c r="D15" i="1"/>
  <c r="M17" i="1"/>
  <c r="F26" i="6"/>
  <c r="F79" i="6"/>
  <c r="F21" i="6"/>
  <c r="F83" i="6"/>
  <c r="F77" i="6"/>
  <c r="F34" i="6"/>
  <c r="F133" i="6"/>
  <c r="F177" i="6"/>
  <c r="F170" i="6"/>
  <c r="F82" i="6"/>
  <c r="F76" i="6"/>
  <c r="F24" i="6"/>
  <c r="F81" i="6"/>
  <c r="F127" i="6"/>
  <c r="F86" i="6"/>
  <c r="F48" i="6"/>
  <c r="F131" i="6"/>
  <c r="F32" i="6"/>
  <c r="F65" i="6"/>
  <c r="F9" i="6"/>
  <c r="F179" i="6"/>
  <c r="F178" i="6"/>
  <c r="F64" i="6"/>
  <c r="F30" i="6"/>
  <c r="F114" i="6"/>
  <c r="F22" i="6"/>
  <c r="F33" i="6"/>
  <c r="F66" i="6"/>
  <c r="F176" i="6"/>
  <c r="F74" i="6"/>
  <c r="F129" i="6"/>
  <c r="F8" i="6"/>
  <c r="F85" i="6"/>
  <c r="F80" i="6"/>
  <c r="F128" i="6"/>
  <c r="F75" i="6"/>
  <c r="F25" i="6"/>
  <c r="F31" i="6"/>
  <c r="F67" i="6"/>
  <c r="F78" i="6"/>
  <c r="F7" i="6"/>
  <c r="F23" i="6"/>
  <c r="F130" i="6"/>
  <c r="F84" i="6"/>
  <c r="F132" i="6"/>
  <c r="F173" i="6"/>
  <c r="D80" i="3" a="1"/>
  <c r="D80" i="3" s="1"/>
  <c r="D78" i="3" a="1"/>
  <c r="D78" i="3" s="1"/>
  <c r="I78" i="3" a="1"/>
  <c r="I78" i="3" s="1"/>
  <c r="I80" i="3" a="1"/>
  <c r="I80" i="3" s="1"/>
  <c r="D87" i="3" a="1"/>
  <c r="D87" i="3" s="1"/>
  <c r="E87" i="3" a="1"/>
  <c r="E87" i="3" s="1"/>
  <c r="I87" i="3" a="1"/>
  <c r="I87" i="3" s="1"/>
  <c r="I86" i="3" a="1"/>
  <c r="I86" i="3" s="1"/>
  <c r="D86" i="3" a="1"/>
  <c r="D86" i="3" s="1"/>
  <c r="D79" i="3" a="1"/>
  <c r="D79" i="3" s="1"/>
  <c r="I79" i="3" a="1"/>
  <c r="I79" i="3" s="1"/>
  <c r="I88" i="3" a="1"/>
  <c r="I88" i="3" s="1"/>
  <c r="D88" i="3" a="1"/>
  <c r="D88" i="3" s="1"/>
  <c r="E88" i="3" a="1"/>
  <c r="E88" i="3" s="1"/>
  <c r="B135" i="8"/>
  <c r="I135" i="8" s="1" a="1"/>
  <c r="I135" i="8" s="1"/>
  <c r="D84" i="3" a="1"/>
  <c r="D84" i="3" s="1"/>
  <c r="I84" i="3" a="1"/>
  <c r="I84" i="3" s="1"/>
  <c r="I81" i="3" a="1"/>
  <c r="I81" i="3" s="1"/>
  <c r="D81" i="3" a="1"/>
  <c r="D81" i="3" s="1"/>
  <c r="I85" i="3" a="1"/>
  <c r="I85" i="3" s="1"/>
  <c r="D85" i="3" a="1"/>
  <c r="D85" i="3" s="1"/>
  <c r="D82" i="3" a="1"/>
  <c r="D82" i="3" s="1"/>
  <c r="I82" i="3" a="1"/>
  <c r="I82" i="3" s="1"/>
  <c r="D76" i="3" a="1"/>
  <c r="D76" i="3" s="1"/>
  <c r="I76" i="3" a="1"/>
  <c r="I76" i="3" s="1"/>
  <c r="D83" i="3" a="1"/>
  <c r="D83" i="3" s="1"/>
  <c r="I83" i="3" a="1"/>
  <c r="I83" i="3" s="1"/>
  <c r="I77" i="3" a="1"/>
  <c r="I77" i="3" s="1"/>
  <c r="D77" i="3" a="1"/>
  <c r="D77" i="3" s="1"/>
  <c r="C93" i="3" a="1"/>
  <c r="C93" i="3" s="1"/>
  <c r="C142" i="8" s="1"/>
  <c r="B96" i="3" a="1"/>
  <c r="B96" i="3" s="1"/>
  <c r="C101" i="3" a="1"/>
  <c r="C101" i="3" s="1"/>
  <c r="C96" i="3" a="1"/>
  <c r="C96" i="3" s="1"/>
  <c r="B99" i="3" a="1"/>
  <c r="B99" i="3" s="1"/>
  <c r="B144" i="8" s="1"/>
  <c r="B94" i="3" a="1"/>
  <c r="B94" i="3" s="1"/>
  <c r="C99" i="3" a="1"/>
  <c r="C99" i="3" s="1"/>
  <c r="C144" i="8" s="1"/>
  <c r="C98" i="3" a="1"/>
  <c r="C98" i="3" s="1"/>
  <c r="C143" i="8" s="1"/>
  <c r="C94" i="3" a="1"/>
  <c r="C94" i="3" s="1"/>
  <c r="B97" i="3" a="1"/>
  <c r="B97" i="3" s="1"/>
  <c r="B101" i="3" a="1"/>
  <c r="B101" i="3" s="1"/>
  <c r="C97" i="3" a="1"/>
  <c r="C97" i="3" s="1"/>
  <c r="B100" i="3" a="1"/>
  <c r="B100" i="3" s="1"/>
  <c r="B145" i="8" s="1"/>
  <c r="B95" i="3" a="1"/>
  <c r="B95" i="3" s="1"/>
  <c r="C100" i="3" a="1"/>
  <c r="C100" i="3" s="1"/>
  <c r="C145" i="8" s="1"/>
  <c r="B93" i="3" a="1"/>
  <c r="B93" i="3" s="1"/>
  <c r="B142" i="8" s="1"/>
  <c r="C95" i="3" a="1"/>
  <c r="C95" i="3" s="1"/>
  <c r="B98" i="3" a="1"/>
  <c r="B98" i="3" s="1"/>
  <c r="B143" i="8" s="1"/>
  <c r="B327" i="3" a="1"/>
  <c r="B327" i="3" s="1"/>
  <c r="C329" i="3" a="1"/>
  <c r="C329" i="3" s="1"/>
  <c r="C330" i="3" a="1"/>
  <c r="C330" i="3" s="1"/>
  <c r="C327" i="3" a="1"/>
  <c r="C327" i="3" s="1"/>
  <c r="B328" i="3" a="1"/>
  <c r="B328" i="3" s="1"/>
  <c r="B330" i="3" a="1"/>
  <c r="B330" i="3" s="1"/>
  <c r="C328" i="3" a="1"/>
  <c r="C328" i="3" s="1"/>
  <c r="B329" i="3" a="1"/>
  <c r="B329" i="3" s="1"/>
  <c r="B139" i="8"/>
  <c r="B128" i="8"/>
  <c r="D128" i="8" s="1" a="1"/>
  <c r="D128" i="8" s="1"/>
  <c r="I132" i="8" a="1"/>
  <c r="I132" i="8" s="1"/>
  <c r="I131" i="8" a="1"/>
  <c r="I131" i="8" s="1"/>
  <c r="D131" i="8" a="1"/>
  <c r="D131" i="8" s="1"/>
  <c r="D132" i="8" a="1"/>
  <c r="D132" i="8" s="1"/>
  <c r="D136" i="8" a="1"/>
  <c r="D136" i="8" s="1"/>
  <c r="I136" i="8" a="1"/>
  <c r="I136" i="8" s="1"/>
  <c r="D133" i="8" a="1"/>
  <c r="D133" i="8" s="1"/>
  <c r="I133" i="8" a="1"/>
  <c r="I133" i="8" s="1"/>
  <c r="D134" i="8" a="1"/>
  <c r="D134" i="8" s="1"/>
  <c r="I134" i="8" a="1"/>
  <c r="I134" i="8" s="1"/>
  <c r="D137" i="8" a="1"/>
  <c r="D137" i="8" s="1"/>
  <c r="I137" i="8" a="1"/>
  <c r="I137" i="8" s="1"/>
  <c r="D129" i="8" a="1"/>
  <c r="D129" i="8" s="1"/>
  <c r="I129" i="8" a="1"/>
  <c r="I129" i="8" s="1"/>
  <c r="D130" i="8" a="1"/>
  <c r="D130" i="8" s="1"/>
  <c r="I130" i="8" a="1"/>
  <c r="I130" i="8" s="1"/>
  <c r="I156" i="8" a="1"/>
  <c r="I156" i="8" s="1"/>
  <c r="D156" i="8" a="1"/>
  <c r="D156" i="8" s="1"/>
  <c r="E162" i="8" a="1"/>
  <c r="E162" i="8" s="1"/>
  <c r="I162" i="8" a="1"/>
  <c r="I162" i="8" s="1"/>
  <c r="D162" i="8" a="1"/>
  <c r="D162" i="8" s="1"/>
  <c r="I159" i="8" a="1"/>
  <c r="I159" i="8" s="1"/>
  <c r="D159" i="8" a="1"/>
  <c r="D159" i="8" s="1"/>
  <c r="I157" i="8" a="1"/>
  <c r="I157" i="8" s="1"/>
  <c r="D157" i="8" a="1"/>
  <c r="D157" i="8" s="1"/>
  <c r="E163" i="8" a="1"/>
  <c r="E163" i="8" s="1"/>
  <c r="D163" i="8" a="1"/>
  <c r="D163" i="8" s="1"/>
  <c r="I163" i="8" a="1"/>
  <c r="I163" i="8" s="1"/>
  <c r="B181" i="8" a="1"/>
  <c r="B181" i="8" s="1"/>
  <c r="C169" i="8" a="1"/>
  <c r="C169" i="8" s="1"/>
  <c r="B179" i="8" a="1"/>
  <c r="B179" i="8" s="1"/>
  <c r="C164" i="8"/>
  <c r="B171" i="8" a="1"/>
  <c r="B171" i="8" s="1"/>
  <c r="C168" i="8" a="1"/>
  <c r="C168" i="8" s="1"/>
  <c r="C175" i="8" a="1"/>
  <c r="C175" i="8" s="1"/>
  <c r="B166" i="8" a="1"/>
  <c r="B166" i="8" s="1"/>
  <c r="C173" i="8" a="1"/>
  <c r="C173" i="8" s="1"/>
  <c r="B174" i="8" a="1"/>
  <c r="B174" i="8" s="1"/>
  <c r="B173" i="8" a="1"/>
  <c r="B173" i="8" s="1"/>
  <c r="C179" i="8" a="1"/>
  <c r="C179" i="8" s="1"/>
  <c r="E164" i="8"/>
  <c r="B172" i="8" a="1"/>
  <c r="B172" i="8" s="1"/>
  <c r="B178" i="8" a="1"/>
  <c r="B178" i="8" s="1"/>
  <c r="C178" i="8" a="1"/>
  <c r="C178" i="8" s="1"/>
  <c r="C180" i="8" a="1"/>
  <c r="C180" i="8" s="1"/>
  <c r="B177" i="8" a="1"/>
  <c r="B177" i="8" s="1"/>
  <c r="C181" i="8" a="1"/>
  <c r="C181" i="8" s="1"/>
  <c r="B167" i="8" a="1"/>
  <c r="B167" i="8" s="1"/>
  <c r="B176" i="8" a="1"/>
  <c r="B176" i="8" s="1"/>
  <c r="C166" i="8" a="1"/>
  <c r="C166" i="8" s="1"/>
  <c r="B180" i="8" a="1"/>
  <c r="B180" i="8" s="1"/>
  <c r="H164" i="8"/>
  <c r="C167" i="8" a="1"/>
  <c r="C167" i="8" s="1"/>
  <c r="C171" i="8" a="1"/>
  <c r="C171" i="8" s="1"/>
  <c r="C170" i="8" a="1"/>
  <c r="C170" i="8" s="1"/>
  <c r="C172" i="8" a="1"/>
  <c r="C172" i="8" s="1"/>
  <c r="B169" i="8" a="1"/>
  <c r="B169" i="8" s="1"/>
  <c r="C177" i="8" a="1"/>
  <c r="C177" i="8" s="1"/>
  <c r="C176" i="8" a="1"/>
  <c r="C176" i="8" s="1"/>
  <c r="B175" i="8" a="1"/>
  <c r="B175" i="8" s="1"/>
  <c r="G164" i="8"/>
  <c r="B170" i="8" a="1"/>
  <c r="B170" i="8" s="1"/>
  <c r="B168" i="8" a="1"/>
  <c r="B168" i="8" s="1"/>
  <c r="F164" i="8"/>
  <c r="C174" i="8" a="1"/>
  <c r="C174" i="8" s="1"/>
  <c r="D155" i="8" a="1"/>
  <c r="D155" i="8" s="1"/>
  <c r="I155" i="8" a="1"/>
  <c r="I155" i="8" s="1"/>
  <c r="E161" i="8" a="1"/>
  <c r="E161" i="8" s="1"/>
  <c r="D161" i="8" a="1"/>
  <c r="D161" i="8" s="1"/>
  <c r="I161" i="8" a="1"/>
  <c r="I161" i="8" s="1"/>
  <c r="I160" i="8" a="1"/>
  <c r="I160" i="8" s="1"/>
  <c r="E160" i="8" a="1"/>
  <c r="E160" i="8" s="1"/>
  <c r="D160" i="8" a="1"/>
  <c r="D160" i="8" s="1"/>
  <c r="D158" i="8" a="1"/>
  <c r="D158" i="8" s="1"/>
  <c r="I158" i="8" a="1"/>
  <c r="I158" i="8" s="1"/>
  <c r="C176" i="4"/>
  <c r="E176" i="4"/>
  <c r="G176" i="4"/>
  <c r="H176" i="4"/>
  <c r="B332" i="3"/>
  <c r="C326" i="3" a="1"/>
  <c r="C326" i="3" s="1"/>
  <c r="B326" i="3" a="1"/>
  <c r="B326" i="3" s="1"/>
  <c r="C92" i="3" a="1"/>
  <c r="C92" i="3" s="1"/>
  <c r="C141" i="8" s="1"/>
  <c r="B92" i="3" a="1"/>
  <c r="B92" i="3" s="1"/>
  <c r="B103" i="3"/>
  <c r="F90" i="3"/>
  <c r="C90" i="3"/>
  <c r="C139" i="8" s="1"/>
  <c r="H90" i="3"/>
  <c r="G90" i="3"/>
  <c r="G518" i="4"/>
  <c r="G519" i="4"/>
  <c r="E390" i="4" a="1"/>
  <c r="E390" i="4" s="1"/>
  <c r="E387" i="4" a="1"/>
  <c r="E387" i="4" s="1"/>
  <c r="E388" i="4" a="1"/>
  <c r="E388" i="4" s="1"/>
  <c r="E391" i="4" a="1"/>
  <c r="E391" i="4" s="1"/>
  <c r="E389" i="4" a="1"/>
  <c r="E389" i="4" s="1"/>
  <c r="B618" i="4"/>
  <c r="H593" i="4" a="1"/>
  <c r="H593" i="4" s="1"/>
  <c r="D593" i="4" a="1"/>
  <c r="D593" i="4" s="1"/>
  <c r="B606" i="4" a="1"/>
  <c r="B606" i="4" s="1"/>
  <c r="C606" i="4" a="1"/>
  <c r="C606" i="4" s="1"/>
  <c r="C622" i="4" l="1" a="1"/>
  <c r="C622" i="4" s="1"/>
  <c r="C374" i="3" s="1"/>
  <c r="C628" i="4" a="1"/>
  <c r="C628" i="4" s="1"/>
  <c r="C380" i="3" s="1"/>
  <c r="B623" i="4" a="1"/>
  <c r="B623" i="4" s="1"/>
  <c r="B629" i="4" a="1"/>
  <c r="B629" i="4" s="1"/>
  <c r="C623" i="4" a="1"/>
  <c r="C623" i="4" s="1"/>
  <c r="C375" i="3" s="1"/>
  <c r="C629" i="4" a="1"/>
  <c r="C629" i="4" s="1"/>
  <c r="B624" i="4" a="1"/>
  <c r="B624" i="4" s="1"/>
  <c r="C624" i="4" a="1"/>
  <c r="C624" i="4" s="1"/>
  <c r="C376" i="3" s="1"/>
  <c r="B625" i="4" a="1"/>
  <c r="B625" i="4" s="1"/>
  <c r="C625" i="4" a="1"/>
  <c r="C625" i="4" s="1"/>
  <c r="C377" i="3" s="1"/>
  <c r="B626" i="4" a="1"/>
  <c r="B626" i="4" s="1"/>
  <c r="C626" i="4" a="1"/>
  <c r="C626" i="4" s="1"/>
  <c r="C378" i="3" s="1"/>
  <c r="B621" i="4" a="1"/>
  <c r="B621" i="4" s="1"/>
  <c r="B627" i="4" a="1"/>
  <c r="B627" i="4" s="1"/>
  <c r="C621" i="4" a="1"/>
  <c r="C621" i="4" s="1"/>
  <c r="C373" i="3" s="1"/>
  <c r="C627" i="4" a="1"/>
  <c r="C627" i="4" s="1"/>
  <c r="C379" i="3" s="1"/>
  <c r="B622" i="4" a="1"/>
  <c r="B622" i="4" s="1"/>
  <c r="B628" i="4" a="1"/>
  <c r="B628" i="4" s="1"/>
  <c r="D17" i="1"/>
  <c r="N17" i="1"/>
  <c r="M18" i="1" s="1"/>
  <c r="N18" i="1" s="1"/>
  <c r="M19" i="1" s="1"/>
  <c r="N19" i="1" s="1"/>
  <c r="D135" i="8" a="1"/>
  <c r="D135" i="8" s="1"/>
  <c r="I93" i="3" a="1"/>
  <c r="I93" i="3" s="1"/>
  <c r="D93" i="3" a="1"/>
  <c r="D93" i="3" s="1"/>
  <c r="D95" i="3" a="1"/>
  <c r="D95" i="3" s="1"/>
  <c r="I95" i="3" a="1"/>
  <c r="I95" i="3" s="1"/>
  <c r="D94" i="3" a="1"/>
  <c r="D94" i="3" s="1"/>
  <c r="I94" i="3" a="1"/>
  <c r="I94" i="3" s="1"/>
  <c r="I100" i="3" a="1"/>
  <c r="I100" i="3" s="1"/>
  <c r="D100" i="3" a="1"/>
  <c r="D100" i="3" s="1"/>
  <c r="I99" i="3" a="1"/>
  <c r="I99" i="3" s="1"/>
  <c r="D99" i="3" a="1"/>
  <c r="D99" i="3" s="1"/>
  <c r="B337" i="3" a="1"/>
  <c r="B337" i="3" s="1"/>
  <c r="C337" i="3" a="1"/>
  <c r="C337" i="3" s="1"/>
  <c r="B335" i="3" a="1"/>
  <c r="B335" i="3" s="1"/>
  <c r="C335" i="3" a="1"/>
  <c r="C335" i="3" s="1"/>
  <c r="B338" i="3" a="1"/>
  <c r="B338" i="3" s="1"/>
  <c r="C338" i="3" a="1"/>
  <c r="C338" i="3" s="1"/>
  <c r="C336" i="3" a="1"/>
  <c r="C336" i="3" s="1"/>
  <c r="B336" i="3" a="1"/>
  <c r="B336" i="3" s="1"/>
  <c r="I101" i="3" a="1"/>
  <c r="I101" i="3" s="1"/>
  <c r="D101" i="3" a="1"/>
  <c r="D101" i="3" s="1"/>
  <c r="I98" i="3" a="1"/>
  <c r="I98" i="3" s="1"/>
  <c r="D98" i="3" a="1"/>
  <c r="D98" i="3" s="1"/>
  <c r="D97" i="3" a="1"/>
  <c r="D97" i="3" s="1"/>
  <c r="I97" i="3" a="1"/>
  <c r="I97" i="3" s="1"/>
  <c r="I96" i="3" a="1"/>
  <c r="I96" i="3" s="1"/>
  <c r="D96" i="3" a="1"/>
  <c r="D96" i="3" s="1"/>
  <c r="F549" i="4"/>
  <c r="G549" i="4" s="1"/>
  <c r="F555" i="4"/>
  <c r="G555" i="4" s="1"/>
  <c r="F554" i="4"/>
  <c r="G554" i="4" s="1"/>
  <c r="F552" i="4"/>
  <c r="G552" i="4" s="1"/>
  <c r="F557" i="4"/>
  <c r="G557" i="4" s="1"/>
  <c r="F556" i="4"/>
  <c r="G556" i="4" s="1"/>
  <c r="F547" i="4"/>
  <c r="G547" i="4" s="1"/>
  <c r="F546" i="4"/>
  <c r="G546" i="4" s="1"/>
  <c r="F550" i="4"/>
  <c r="G550" i="4" s="1"/>
  <c r="F548" i="4"/>
  <c r="G548" i="4" s="1"/>
  <c r="F551" i="4"/>
  <c r="G551" i="4" s="1"/>
  <c r="F553" i="4"/>
  <c r="G553" i="4" s="1"/>
  <c r="F174" i="4"/>
  <c r="G174" i="4" s="1"/>
  <c r="F173" i="4"/>
  <c r="G173" i="4" s="1"/>
  <c r="F171" i="4"/>
  <c r="G171" i="4" s="1"/>
  <c r="F170" i="4"/>
  <c r="G170" i="4" s="1"/>
  <c r="F172" i="4"/>
  <c r="G172" i="4" s="1"/>
  <c r="D329" i="3" a="1"/>
  <c r="D329" i="3" s="1"/>
  <c r="I329" i="3" a="1"/>
  <c r="I329" i="3" s="1"/>
  <c r="I330" i="3" a="1"/>
  <c r="I330" i="3" s="1"/>
  <c r="D330" i="3" a="1"/>
  <c r="D330" i="3" s="1"/>
  <c r="I328" i="3" a="1"/>
  <c r="I328" i="3" s="1"/>
  <c r="D328" i="3" a="1"/>
  <c r="D328" i="3" s="1"/>
  <c r="I327" i="3" a="1"/>
  <c r="I327" i="3" s="1"/>
  <c r="D327" i="3" a="1"/>
  <c r="D327" i="3" s="1"/>
  <c r="B107" i="3" a="1"/>
  <c r="B107" i="3" s="1"/>
  <c r="C109" i="3" a="1"/>
  <c r="C109" i="3" s="1"/>
  <c r="C107" i="3" a="1"/>
  <c r="C107" i="3" s="1"/>
  <c r="C113" i="3" a="1"/>
  <c r="C113" i="3" s="1"/>
  <c r="B111" i="3" a="1"/>
  <c r="B111" i="3" s="1"/>
  <c r="B108" i="3" a="1"/>
  <c r="B108" i="3" s="1"/>
  <c r="B110" i="3" a="1"/>
  <c r="B110" i="3" s="1"/>
  <c r="C108" i="3" a="1"/>
  <c r="C108" i="3" s="1"/>
  <c r="C111" i="3" a="1"/>
  <c r="C111" i="3" s="1"/>
  <c r="B112" i="3" a="1"/>
  <c r="B112" i="3" s="1"/>
  <c r="C110" i="3" a="1"/>
  <c r="C110" i="3" s="1"/>
  <c r="C112" i="3" a="1"/>
  <c r="C112" i="3" s="1"/>
  <c r="B114" i="3" a="1"/>
  <c r="B114" i="3" s="1"/>
  <c r="B109" i="3" a="1"/>
  <c r="B109" i="3" s="1"/>
  <c r="B113" i="3" a="1"/>
  <c r="B113" i="3" s="1"/>
  <c r="C114" i="3" a="1"/>
  <c r="C114" i="3" s="1"/>
  <c r="I128" i="8" a="1"/>
  <c r="I128" i="8" s="1"/>
  <c r="B141" i="8"/>
  <c r="D141" i="8" s="1" a="1"/>
  <c r="D141" i="8" s="1"/>
  <c r="D143" i="8" a="1"/>
  <c r="D143" i="8" s="1"/>
  <c r="I144" i="8" a="1"/>
  <c r="I144" i="8" s="1"/>
  <c r="D144" i="8" a="1"/>
  <c r="D144" i="8" s="1"/>
  <c r="D142" i="8" a="1"/>
  <c r="D142" i="8" s="1"/>
  <c r="I142" i="8" a="1"/>
  <c r="I142" i="8" s="1"/>
  <c r="I143" i="8" a="1"/>
  <c r="I143" i="8" s="1"/>
  <c r="D139" i="8" a="1"/>
  <c r="D139" i="8" s="1"/>
  <c r="E139" i="8" a="1"/>
  <c r="E139" i="8" s="1"/>
  <c r="I139" i="8" a="1"/>
  <c r="I139" i="8" s="1"/>
  <c r="D145" i="8" a="1"/>
  <c r="D145" i="8" s="1"/>
  <c r="I145" i="8" a="1"/>
  <c r="I145" i="8" s="1"/>
  <c r="B636" i="4" a="1"/>
  <c r="B636" i="4" s="1"/>
  <c r="B640" i="4" a="1"/>
  <c r="B640" i="4" s="1"/>
  <c r="B644" i="4" a="1"/>
  <c r="B644" i="4" s="1"/>
  <c r="B648" i="4" a="1"/>
  <c r="B648" i="4" s="1"/>
  <c r="B652" i="4" a="1"/>
  <c r="B652" i="4" s="1"/>
  <c r="C634" i="4" a="1"/>
  <c r="C634" i="4" s="1"/>
  <c r="C642" i="4" a="1"/>
  <c r="C642" i="4" s="1"/>
  <c r="C650" i="4" a="1"/>
  <c r="C650" i="4" s="1"/>
  <c r="C636" i="4" a="1"/>
  <c r="C636" i="4" s="1"/>
  <c r="C640" i="4" a="1"/>
  <c r="C640" i="4" s="1"/>
  <c r="C644" i="4" a="1"/>
  <c r="C644" i="4" s="1"/>
  <c r="C648" i="4" a="1"/>
  <c r="C648" i="4" s="1"/>
  <c r="C652" i="4" a="1"/>
  <c r="C652" i="4" s="1"/>
  <c r="B641" i="4" a="1"/>
  <c r="B641" i="4" s="1"/>
  <c r="B645" i="4" a="1"/>
  <c r="B645" i="4" s="1"/>
  <c r="B649" i="4" a="1"/>
  <c r="B649" i="4" s="1"/>
  <c r="C646" i="4" a="1"/>
  <c r="C646" i="4" s="1"/>
  <c r="C641" i="4" a="1"/>
  <c r="C641" i="4" s="1"/>
  <c r="C645" i="4" a="1"/>
  <c r="C645" i="4" s="1"/>
  <c r="C649" i="4" a="1"/>
  <c r="C649" i="4" s="1"/>
  <c r="B635" i="4" a="1"/>
  <c r="B635" i="4" s="1"/>
  <c r="B643" i="4" a="1"/>
  <c r="B643" i="4" s="1"/>
  <c r="B647" i="4" a="1"/>
  <c r="B647" i="4" s="1"/>
  <c r="B634" i="4" a="1"/>
  <c r="B634" i="4" s="1"/>
  <c r="B642" i="4" a="1"/>
  <c r="B642" i="4" s="1"/>
  <c r="B646" i="4" a="1"/>
  <c r="B646" i="4" s="1"/>
  <c r="B650" i="4" a="1"/>
  <c r="B650" i="4" s="1"/>
  <c r="C635" i="4" a="1"/>
  <c r="C635" i="4" s="1"/>
  <c r="C639" i="4" a="1"/>
  <c r="C639" i="4" s="1"/>
  <c r="C643" i="4" a="1"/>
  <c r="C643" i="4" s="1"/>
  <c r="C647" i="4" a="1"/>
  <c r="C647" i="4" s="1"/>
  <c r="C651" i="4" a="1"/>
  <c r="C651" i="4" s="1"/>
  <c r="B639" i="4" a="1"/>
  <c r="B639" i="4" s="1"/>
  <c r="B651" i="4" a="1"/>
  <c r="B651" i="4" s="1"/>
  <c r="I176" i="8" a="1"/>
  <c r="I176" i="8" s="1"/>
  <c r="D176" i="8" a="1"/>
  <c r="D176" i="8" s="1"/>
  <c r="D171" i="8" a="1"/>
  <c r="D171" i="8" s="1"/>
  <c r="I171" i="8" a="1"/>
  <c r="I171" i="8" s="1"/>
  <c r="I173" i="8" a="1"/>
  <c r="I173" i="8" s="1"/>
  <c r="D173" i="8" a="1"/>
  <c r="D173" i="8" s="1"/>
  <c r="E179" i="8" a="1"/>
  <c r="E179" i="8" s="1"/>
  <c r="I179" i="8" a="1"/>
  <c r="I179" i="8" s="1"/>
  <c r="D179" i="8" a="1"/>
  <c r="D179" i="8" s="1"/>
  <c r="D177" i="8" a="1"/>
  <c r="D177" i="8" s="1"/>
  <c r="I177" i="8" a="1"/>
  <c r="I177" i="8" s="1"/>
  <c r="D174" i="8" a="1"/>
  <c r="D174" i="8" s="1"/>
  <c r="I174" i="8" a="1"/>
  <c r="I174" i="8" s="1"/>
  <c r="D175" i="8" a="1"/>
  <c r="D175" i="8" s="1"/>
  <c r="I175" i="8" a="1"/>
  <c r="I175" i="8" s="1"/>
  <c r="D181" i="8" a="1"/>
  <c r="D181" i="8" s="1"/>
  <c r="I181" i="8" a="1"/>
  <c r="I181" i="8" s="1"/>
  <c r="E181" i="8" a="1"/>
  <c r="E181" i="8" s="1"/>
  <c r="D180" i="8" a="1"/>
  <c r="D180" i="8" s="1"/>
  <c r="E180" i="8" a="1"/>
  <c r="E180" i="8" s="1"/>
  <c r="I180" i="8" a="1"/>
  <c r="I180" i="8" s="1"/>
  <c r="I178" i="8" a="1"/>
  <c r="I178" i="8" s="1"/>
  <c r="D178" i="8" a="1"/>
  <c r="D178" i="8" s="1"/>
  <c r="E178" i="8" a="1"/>
  <c r="E178" i="8" s="1"/>
  <c r="B193" i="8" a="1"/>
  <c r="B193" i="8" s="1"/>
  <c r="C188" i="8" a="1"/>
  <c r="C188" i="8" s="1"/>
  <c r="C199" i="8" a="1"/>
  <c r="C199" i="8" s="1"/>
  <c r="C189" i="8" a="1"/>
  <c r="C189" i="8" s="1"/>
  <c r="C191" i="8" a="1"/>
  <c r="C191" i="8" s="1"/>
  <c r="C198" i="8" a="1"/>
  <c r="C198" i="8" s="1"/>
  <c r="B191" i="8" a="1"/>
  <c r="B191" i="8" s="1"/>
  <c r="C186" i="8" a="1"/>
  <c r="C186" i="8" s="1"/>
  <c r="B192" i="8" a="1"/>
  <c r="B192" i="8" s="1"/>
  <c r="B185" i="8" a="1"/>
  <c r="B185" i="8" s="1"/>
  <c r="C193" i="8" a="1"/>
  <c r="C193" i="8" s="1"/>
  <c r="C187" i="8" a="1"/>
  <c r="C187" i="8" s="1"/>
  <c r="C196" i="8" a="1"/>
  <c r="C196" i="8" s="1"/>
  <c r="B189" i="8" a="1"/>
  <c r="B189" i="8" s="1"/>
  <c r="C197" i="8" a="1"/>
  <c r="C197" i="8" s="1"/>
  <c r="E183" i="8"/>
  <c r="C185" i="8" a="1"/>
  <c r="C185" i="8" s="1"/>
  <c r="B195" i="8" a="1"/>
  <c r="B195" i="8" s="1"/>
  <c r="B198" i="8" a="1"/>
  <c r="B198" i="8" s="1"/>
  <c r="B199" i="8" a="1"/>
  <c r="B199" i="8" s="1"/>
  <c r="C194" i="8" a="1"/>
  <c r="C194" i="8" s="1"/>
  <c r="B200" i="8" a="1"/>
  <c r="B200" i="8" s="1"/>
  <c r="B201" i="8"/>
  <c r="B196" i="8" a="1"/>
  <c r="B196" i="8" s="1"/>
  <c r="B188" i="8" a="1"/>
  <c r="B188" i="8" s="1"/>
  <c r="C192" i="8" a="1"/>
  <c r="C192" i="8" s="1"/>
  <c r="B197" i="8" a="1"/>
  <c r="B197" i="8" s="1"/>
  <c r="B190" i="8" a="1"/>
  <c r="B190" i="8" s="1"/>
  <c r="C183" i="8"/>
  <c r="B187" i="8" a="1"/>
  <c r="B187" i="8" s="1"/>
  <c r="C190" i="8" a="1"/>
  <c r="C190" i="8" s="1"/>
  <c r="C200" i="8" a="1"/>
  <c r="C200" i="8" s="1"/>
  <c r="B194" i="8" a="1"/>
  <c r="B194" i="8" s="1"/>
  <c r="C195" i="8" a="1"/>
  <c r="C195" i="8" s="1"/>
  <c r="H183" i="8"/>
  <c r="G183" i="8"/>
  <c r="B186" i="8" a="1"/>
  <c r="B186" i="8" s="1"/>
  <c r="D172" i="8" a="1"/>
  <c r="D172" i="8" s="1"/>
  <c r="I172" i="8" a="1"/>
  <c r="I172" i="8" s="1"/>
  <c r="B106" i="3" a="1"/>
  <c r="B106" i="3" s="1"/>
  <c r="C106" i="3" a="1"/>
  <c r="C106" i="3" s="1"/>
  <c r="H189" i="4"/>
  <c r="F189" i="4"/>
  <c r="F202" i="4"/>
  <c r="E202" i="4"/>
  <c r="G189" i="4"/>
  <c r="C189" i="4"/>
  <c r="E189" i="4"/>
  <c r="B340" i="3"/>
  <c r="C334" i="3" a="1"/>
  <c r="C334" i="3" s="1"/>
  <c r="B334" i="3" a="1"/>
  <c r="B334" i="3" s="1"/>
  <c r="C105" i="3" a="1"/>
  <c r="C105" i="3" s="1"/>
  <c r="B105" i="3" a="1"/>
  <c r="B105" i="3" s="1"/>
  <c r="G103" i="3"/>
  <c r="C103" i="3"/>
  <c r="H103" i="3"/>
  <c r="F103" i="3"/>
  <c r="C633" i="4" a="1"/>
  <c r="C633" i="4" s="1"/>
  <c r="B654" i="4"/>
  <c r="B633" i="4" a="1"/>
  <c r="B633" i="4" s="1"/>
  <c r="B620" i="4" a="1"/>
  <c r="B620" i="4" s="1"/>
  <c r="B372" i="3" s="1"/>
  <c r="C620" i="4" a="1"/>
  <c r="C620" i="4" s="1"/>
  <c r="C372" i="3" s="1"/>
  <c r="H606" i="4" a="1"/>
  <c r="H606" i="4" s="1"/>
  <c r="D606" i="4" a="1"/>
  <c r="D606" i="4" s="1"/>
  <c r="B378" i="3" l="1"/>
  <c r="H626" i="4" a="1"/>
  <c r="H626" i="4" s="1"/>
  <c r="D626" i="4" a="1"/>
  <c r="D626" i="4" s="1"/>
  <c r="B377" i="3"/>
  <c r="D625" i="4" a="1"/>
  <c r="D625" i="4" s="1"/>
  <c r="H625" i="4" a="1"/>
  <c r="H625" i="4" s="1"/>
  <c r="B376" i="3"/>
  <c r="D624" i="4" a="1"/>
  <c r="D624" i="4" s="1"/>
  <c r="H624" i="4" a="1"/>
  <c r="H624" i="4" s="1"/>
  <c r="B380" i="3"/>
  <c r="D628" i="4" a="1"/>
  <c r="D628" i="4" s="1"/>
  <c r="H628" i="4" a="1"/>
  <c r="H628" i="4" s="1"/>
  <c r="B374" i="3"/>
  <c r="D622" i="4" a="1"/>
  <c r="D622" i="4" s="1"/>
  <c r="H622" i="4" a="1"/>
  <c r="H622" i="4" s="1"/>
  <c r="D629" i="4" a="1"/>
  <c r="D629" i="4" s="1"/>
  <c r="H629" i="4" a="1"/>
  <c r="H629" i="4" s="1"/>
  <c r="B375" i="3"/>
  <c r="H623" i="4" a="1"/>
  <c r="H623" i="4" s="1"/>
  <c r="D623" i="4" a="1"/>
  <c r="D623" i="4" s="1"/>
  <c r="B379" i="3"/>
  <c r="H627" i="4" a="1"/>
  <c r="H627" i="4" s="1"/>
  <c r="D627" i="4" a="1"/>
  <c r="D627" i="4" s="1"/>
  <c r="B373" i="3"/>
  <c r="D621" i="4" a="1"/>
  <c r="D621" i="4" s="1"/>
  <c r="H621" i="4" a="1"/>
  <c r="H621" i="4" s="1"/>
  <c r="I338" i="3" a="1"/>
  <c r="I338" i="3" s="1"/>
  <c r="D338" i="3" a="1"/>
  <c r="D338" i="3" s="1"/>
  <c r="I337" i="3" a="1"/>
  <c r="I337" i="3" s="1"/>
  <c r="D337" i="3" a="1"/>
  <c r="D337" i="3" s="1"/>
  <c r="D336" i="3" a="1"/>
  <c r="D336" i="3" s="1"/>
  <c r="I336" i="3" a="1"/>
  <c r="I336" i="3" s="1"/>
  <c r="I335" i="3" a="1"/>
  <c r="I335" i="3" s="1"/>
  <c r="D335" i="3" a="1"/>
  <c r="D335" i="3" s="1"/>
  <c r="I372" i="3" a="1"/>
  <c r="I372" i="3" s="1"/>
  <c r="D372" i="3" a="1"/>
  <c r="D372" i="3" s="1"/>
  <c r="F570" i="4"/>
  <c r="G570" i="4" s="1"/>
  <c r="F573" i="4"/>
  <c r="G573" i="4" s="1"/>
  <c r="F568" i="4"/>
  <c r="G568" i="4" s="1"/>
  <c r="F572" i="4"/>
  <c r="G572" i="4" s="1"/>
  <c r="F569" i="4"/>
  <c r="G569" i="4" s="1"/>
  <c r="F565" i="4"/>
  <c r="G565" i="4" s="1"/>
  <c r="F576" i="4"/>
  <c r="G576" i="4" s="1"/>
  <c r="F571" i="4"/>
  <c r="G571" i="4" s="1"/>
  <c r="F575" i="4"/>
  <c r="G575" i="4" s="1"/>
  <c r="F567" i="4"/>
  <c r="G567" i="4" s="1"/>
  <c r="F574" i="4"/>
  <c r="G574" i="4" s="1"/>
  <c r="F564" i="4"/>
  <c r="G564" i="4" s="1"/>
  <c r="F566" i="4"/>
  <c r="G566" i="4" s="1"/>
  <c r="F185" i="4"/>
  <c r="G185" i="4" s="1"/>
  <c r="F183" i="4"/>
  <c r="G183" i="4" s="1"/>
  <c r="F187" i="4"/>
  <c r="G187" i="4" s="1"/>
  <c r="F186" i="4"/>
  <c r="G186" i="4" s="1"/>
  <c r="F184" i="4"/>
  <c r="G184" i="4" s="1"/>
  <c r="C345" i="3" a="1"/>
  <c r="C345" i="3" s="1"/>
  <c r="B348" i="3" a="1"/>
  <c r="B348" i="3" s="1"/>
  <c r="B347" i="3" a="1"/>
  <c r="B347" i="3" s="1"/>
  <c r="C348" i="3" a="1"/>
  <c r="C348" i="3" s="1"/>
  <c r="B351" i="3" a="1"/>
  <c r="B351" i="3" s="1"/>
  <c r="B346" i="3" a="1"/>
  <c r="B346" i="3" s="1"/>
  <c r="C351" i="3" a="1"/>
  <c r="C351" i="3" s="1"/>
  <c r="C346" i="3" a="1"/>
  <c r="C346" i="3" s="1"/>
  <c r="B349" i="3" a="1"/>
  <c r="B349" i="3" s="1"/>
  <c r="B344" i="3" a="1"/>
  <c r="B344" i="3" s="1"/>
  <c r="C349" i="3" a="1"/>
  <c r="C349" i="3" s="1"/>
  <c r="C347" i="3" a="1"/>
  <c r="C347" i="3" s="1"/>
  <c r="B350" i="3" a="1"/>
  <c r="B350" i="3" s="1"/>
  <c r="B345" i="3" a="1"/>
  <c r="B345" i="3" s="1"/>
  <c r="C350" i="3" a="1"/>
  <c r="C350" i="3" s="1"/>
  <c r="C344" i="3" a="1"/>
  <c r="C344" i="3" s="1"/>
  <c r="D113" i="3" a="1"/>
  <c r="D113" i="3" s="1"/>
  <c r="I113" i="3" a="1"/>
  <c r="I113" i="3" s="1"/>
  <c r="D110" i="3" a="1"/>
  <c r="D110" i="3" s="1"/>
  <c r="I110" i="3" a="1"/>
  <c r="I110" i="3" s="1"/>
  <c r="D109" i="3" a="1"/>
  <c r="D109" i="3" s="1"/>
  <c r="I109" i="3" a="1"/>
  <c r="I109" i="3" s="1"/>
  <c r="D114" i="3" a="1"/>
  <c r="D114" i="3" s="1"/>
  <c r="I114" i="3" a="1"/>
  <c r="I114" i="3" s="1"/>
  <c r="I111" i="3" a="1"/>
  <c r="I111" i="3" s="1"/>
  <c r="D111" i="3" a="1"/>
  <c r="D111" i="3" s="1"/>
  <c r="I108" i="3" a="1"/>
  <c r="I108" i="3" s="1"/>
  <c r="D108" i="3" a="1"/>
  <c r="D108" i="3" s="1"/>
  <c r="I112" i="3" a="1"/>
  <c r="I112" i="3" s="1"/>
  <c r="D112" i="3" a="1"/>
  <c r="D112" i="3" s="1"/>
  <c r="I141" i="8" a="1"/>
  <c r="I141" i="8" s="1"/>
  <c r="I107" i="3" a="1"/>
  <c r="I107" i="3" s="1"/>
  <c r="D107" i="3" a="1"/>
  <c r="D107" i="3" s="1"/>
  <c r="B343" i="3" a="1"/>
  <c r="B343" i="3" s="1"/>
  <c r="C343" i="3" a="1"/>
  <c r="C343" i="3" s="1"/>
  <c r="D647" i="4" a="1"/>
  <c r="D647" i="4" s="1"/>
  <c r="E647" i="4" a="1"/>
  <c r="E647" i="4" s="1"/>
  <c r="H647" i="4" a="1"/>
  <c r="H647" i="4" s="1"/>
  <c r="H650" i="4" a="1"/>
  <c r="H650" i="4" s="1"/>
  <c r="D650" i="4" a="1"/>
  <c r="D650" i="4" s="1"/>
  <c r="E650" i="4" a="1"/>
  <c r="E650" i="4" s="1"/>
  <c r="H643" i="4" a="1"/>
  <c r="H643" i="4" s="1"/>
  <c r="D643" i="4" a="1"/>
  <c r="D643" i="4" s="1"/>
  <c r="E643" i="4" a="1"/>
  <c r="E643" i="4" s="1"/>
  <c r="D649" i="4" a="1"/>
  <c r="D649" i="4" s="1"/>
  <c r="E649" i="4" a="1"/>
  <c r="E649" i="4" s="1"/>
  <c r="H649" i="4" a="1"/>
  <c r="H649" i="4" s="1"/>
  <c r="H646" i="4" a="1"/>
  <c r="H646" i="4" s="1"/>
  <c r="D646" i="4" a="1"/>
  <c r="D646" i="4" s="1"/>
  <c r="E646" i="4" a="1"/>
  <c r="E646" i="4" s="1"/>
  <c r="H635" i="4" a="1"/>
  <c r="H635" i="4" s="1"/>
  <c r="D635" i="4" a="1"/>
  <c r="D635" i="4" s="1"/>
  <c r="D645" i="4" a="1"/>
  <c r="D645" i="4" s="1"/>
  <c r="E645" i="4" a="1"/>
  <c r="E645" i="4" s="1"/>
  <c r="H645" i="4" a="1"/>
  <c r="H645" i="4" s="1"/>
  <c r="H652" i="4" a="1"/>
  <c r="H652" i="4" s="1"/>
  <c r="D652" i="4" a="1"/>
  <c r="D652" i="4" s="1"/>
  <c r="E652" i="4" a="1"/>
  <c r="E652" i="4" s="1"/>
  <c r="H642" i="4" a="1"/>
  <c r="H642" i="4" s="1"/>
  <c r="D642" i="4" a="1"/>
  <c r="D642" i="4" s="1"/>
  <c r="D641" i="4" a="1"/>
  <c r="D641" i="4" s="1"/>
  <c r="H641" i="4" a="1"/>
  <c r="H641" i="4" s="1"/>
  <c r="E648" i="4" a="1"/>
  <c r="E648" i="4" s="1"/>
  <c r="D648" i="4" a="1"/>
  <c r="D648" i="4" s="1"/>
  <c r="H648" i="4" a="1"/>
  <c r="H648" i="4" s="1"/>
  <c r="D651" i="4" a="1"/>
  <c r="D651" i="4" s="1"/>
  <c r="E651" i="4" a="1"/>
  <c r="E651" i="4" s="1"/>
  <c r="H651" i="4" a="1"/>
  <c r="H651" i="4" s="1"/>
  <c r="D638" i="4" a="1"/>
  <c r="D638" i="4" s="1"/>
  <c r="H638" i="4" a="1"/>
  <c r="H638" i="4" s="1"/>
  <c r="D637" i="4" a="1"/>
  <c r="D637" i="4" s="1"/>
  <c r="H637" i="4" a="1"/>
  <c r="H637" i="4" s="1"/>
  <c r="E644" i="4" a="1"/>
  <c r="E644" i="4" s="1"/>
  <c r="H644" i="4" a="1"/>
  <c r="H644" i="4" s="1"/>
  <c r="D644" i="4" a="1"/>
  <c r="D644" i="4" s="1"/>
  <c r="D639" i="4" a="1"/>
  <c r="D639" i="4" s="1"/>
  <c r="H639" i="4" a="1"/>
  <c r="H639" i="4" s="1"/>
  <c r="H634" i="4" a="1"/>
  <c r="H634" i="4" s="1"/>
  <c r="D634" i="4" a="1"/>
  <c r="D634" i="4" s="1"/>
  <c r="D640" i="4" a="1"/>
  <c r="D640" i="4" s="1"/>
  <c r="H640" i="4" a="1"/>
  <c r="H640" i="4" s="1"/>
  <c r="H636" i="4" a="1"/>
  <c r="H636" i="4" s="1"/>
  <c r="D636" i="4" a="1"/>
  <c r="D636" i="4" s="1"/>
  <c r="D190" i="8" a="1"/>
  <c r="D190" i="8" s="1"/>
  <c r="I190" i="8" a="1"/>
  <c r="I190" i="8" s="1"/>
  <c r="D199" i="8" a="1"/>
  <c r="D199" i="8" s="1"/>
  <c r="E199" i="8" a="1"/>
  <c r="E199" i="8" s="1"/>
  <c r="I199" i="8" a="1"/>
  <c r="I199" i="8" s="1"/>
  <c r="D197" i="8" a="1"/>
  <c r="D197" i="8" s="1"/>
  <c r="E197" i="8" a="1"/>
  <c r="E197" i="8" s="1"/>
  <c r="I197" i="8" a="1"/>
  <c r="I197" i="8" s="1"/>
  <c r="I198" i="8" a="1"/>
  <c r="I198" i="8" s="1"/>
  <c r="D198" i="8" a="1"/>
  <c r="D198" i="8" s="1"/>
  <c r="E198" i="8" a="1"/>
  <c r="E198" i="8" s="1"/>
  <c r="E195" i="8" a="1"/>
  <c r="E195" i="8" s="1"/>
  <c r="D195" i="8" a="1"/>
  <c r="D195" i="8" s="1"/>
  <c r="I195" i="8" a="1"/>
  <c r="I195" i="8" s="1"/>
  <c r="I185" i="8" a="1"/>
  <c r="I185" i="8" s="1"/>
  <c r="D185" i="8" a="1"/>
  <c r="D185" i="8" s="1"/>
  <c r="I194" i="8" a="1"/>
  <c r="I194" i="8" s="1"/>
  <c r="D194" i="8" a="1"/>
  <c r="D194" i="8" s="1"/>
  <c r="D188" i="8" a="1"/>
  <c r="D188" i="8" s="1"/>
  <c r="I188" i="8" a="1"/>
  <c r="I188" i="8" s="1"/>
  <c r="D192" i="8" a="1"/>
  <c r="D192" i="8" s="1"/>
  <c r="I192" i="8" a="1"/>
  <c r="I192" i="8" s="1"/>
  <c r="I193" i="8" a="1"/>
  <c r="I193" i="8" s="1"/>
  <c r="D193" i="8" a="1"/>
  <c r="D193" i="8" s="1"/>
  <c r="I196" i="8" a="1"/>
  <c r="I196" i="8" s="1"/>
  <c r="D196" i="8" a="1"/>
  <c r="D196" i="8" s="1"/>
  <c r="E196" i="8" a="1"/>
  <c r="E196" i="8" s="1"/>
  <c r="C213" i="8" a="1"/>
  <c r="C213" i="8" s="1"/>
  <c r="H201" i="8"/>
  <c r="B210" i="8" a="1"/>
  <c r="B210" i="8" s="1"/>
  <c r="C214" i="8" a="1"/>
  <c r="C214" i="8" s="1"/>
  <c r="C201" i="8"/>
  <c r="C208" i="8" a="1"/>
  <c r="C208" i="8" s="1"/>
  <c r="B211" i="8" a="1"/>
  <c r="B211" i="8" s="1"/>
  <c r="C215" i="8" a="1"/>
  <c r="C215" i="8" s="1"/>
  <c r="C204" i="8" a="1"/>
  <c r="C204" i="8" s="1"/>
  <c r="B206" i="8" a="1"/>
  <c r="B206" i="8" s="1"/>
  <c r="B212" i="8" a="1"/>
  <c r="B212" i="8" s="1"/>
  <c r="C205" i="8" a="1"/>
  <c r="C205" i="8" s="1"/>
  <c r="B213" i="8" a="1"/>
  <c r="B213" i="8" s="1"/>
  <c r="F201" i="8"/>
  <c r="B209" i="8" a="1"/>
  <c r="B209" i="8" s="1"/>
  <c r="C206" i="8" a="1"/>
  <c r="C206" i="8" s="1"/>
  <c r="B207" i="8" a="1"/>
  <c r="B207" i="8" s="1"/>
  <c r="B203" i="8" a="1"/>
  <c r="B203" i="8" s="1"/>
  <c r="C207" i="8" a="1"/>
  <c r="C207" i="8" s="1"/>
  <c r="C217" i="8" a="1"/>
  <c r="C217" i="8" s="1"/>
  <c r="B204" i="8" a="1"/>
  <c r="B204" i="8" s="1"/>
  <c r="C211" i="8" a="1"/>
  <c r="C211" i="8" s="1"/>
  <c r="C218" i="8" a="1"/>
  <c r="C218" i="8" s="1"/>
  <c r="B205" i="8" a="1"/>
  <c r="B205" i="8" s="1"/>
  <c r="B215" i="8" a="1"/>
  <c r="B215" i="8" s="1"/>
  <c r="E201" i="8"/>
  <c r="C203" i="8" a="1"/>
  <c r="C203" i="8" s="1"/>
  <c r="B218" i="8" a="1"/>
  <c r="B218" i="8" s="1"/>
  <c r="B216" i="8" a="1"/>
  <c r="B216" i="8" s="1"/>
  <c r="G201" i="8"/>
  <c r="C209" i="8" a="1"/>
  <c r="C209" i="8" s="1"/>
  <c r="B214" i="8" a="1"/>
  <c r="B214" i="8" s="1"/>
  <c r="C210" i="8" a="1"/>
  <c r="C210" i="8" s="1"/>
  <c r="B220" i="8"/>
  <c r="B208" i="8" a="1"/>
  <c r="B208" i="8" s="1"/>
  <c r="C212" i="8" a="1"/>
  <c r="C212" i="8" s="1"/>
  <c r="C216" i="8" a="1"/>
  <c r="C216" i="8" s="1"/>
  <c r="B217" i="8" a="1"/>
  <c r="B217" i="8" s="1"/>
  <c r="D191" i="8" a="1"/>
  <c r="D191" i="8" s="1"/>
  <c r="I191" i="8" a="1"/>
  <c r="I191" i="8" s="1"/>
  <c r="D187" i="8" a="1"/>
  <c r="D187" i="8" s="1"/>
  <c r="I187" i="8" a="1"/>
  <c r="I187" i="8" s="1"/>
  <c r="I200" i="8" a="1"/>
  <c r="I200" i="8" s="1"/>
  <c r="D200" i="8" a="1"/>
  <c r="D200" i="8" s="1"/>
  <c r="E200" i="8" a="1"/>
  <c r="E200" i="8" s="1"/>
  <c r="I189" i="8" a="1"/>
  <c r="I189" i="8" s="1"/>
  <c r="D189" i="8" a="1"/>
  <c r="D189" i="8" s="1"/>
  <c r="D186" i="8" a="1"/>
  <c r="D186" i="8" s="1"/>
  <c r="I186" i="8" a="1"/>
  <c r="I186" i="8" s="1"/>
  <c r="M20" i="1"/>
  <c r="N20" i="1" s="1"/>
  <c r="G202" i="4"/>
  <c r="H202" i="4"/>
  <c r="C202" i="4"/>
  <c r="C220" i="4"/>
  <c r="B353" i="3"/>
  <c r="C342" i="3" a="1"/>
  <c r="C342" i="3" s="1"/>
  <c r="B342" i="3" a="1"/>
  <c r="B342" i="3" s="1"/>
  <c r="H633" i="4" a="1"/>
  <c r="H633" i="4" s="1"/>
  <c r="D633" i="4" a="1"/>
  <c r="D633" i="4" s="1"/>
  <c r="B718" i="4" a="1"/>
  <c r="B718" i="4" s="1"/>
  <c r="B714" i="4" a="1"/>
  <c r="B714" i="4" s="1"/>
  <c r="B710" i="4" a="1"/>
  <c r="B710" i="4" s="1"/>
  <c r="B706" i="4" a="1"/>
  <c r="B706" i="4" s="1"/>
  <c r="B702" i="4" a="1"/>
  <c r="B702" i="4" s="1"/>
  <c r="B698" i="4" a="1"/>
  <c r="B698" i="4" s="1"/>
  <c r="B694" i="4" a="1"/>
  <c r="B694" i="4" s="1"/>
  <c r="B690" i="4" a="1"/>
  <c r="B690" i="4" s="1"/>
  <c r="B686" i="4" a="1"/>
  <c r="B686" i="4" s="1"/>
  <c r="B682" i="4" a="1"/>
  <c r="B682" i="4" s="1"/>
  <c r="C719" i="4" a="1"/>
  <c r="C719" i="4" s="1"/>
  <c r="C715" i="4" a="1"/>
  <c r="C715" i="4" s="1"/>
  <c r="C711" i="4" a="1"/>
  <c r="C711" i="4" s="1"/>
  <c r="C707" i="4" a="1"/>
  <c r="C707" i="4" s="1"/>
  <c r="C703" i="4" a="1"/>
  <c r="C703" i="4" s="1"/>
  <c r="C699" i="4" a="1"/>
  <c r="C699" i="4" s="1"/>
  <c r="C695" i="4" a="1"/>
  <c r="C695" i="4" s="1"/>
  <c r="C691" i="4" a="1"/>
  <c r="C691" i="4" s="1"/>
  <c r="C687" i="4" a="1"/>
  <c r="C687" i="4" s="1"/>
  <c r="C683" i="4" a="1"/>
  <c r="C683" i="4" s="1"/>
  <c r="C679" i="4" a="1"/>
  <c r="C679" i="4" s="1"/>
  <c r="B675" i="4" a="1"/>
  <c r="B675" i="4" s="1"/>
  <c r="B671" i="4" a="1"/>
  <c r="B671" i="4" s="1"/>
  <c r="B667" i="4" a="1"/>
  <c r="B667" i="4" s="1"/>
  <c r="B663" i="4" a="1"/>
  <c r="B663" i="4" s="1"/>
  <c r="B659" i="4" a="1"/>
  <c r="B659" i="4" s="1"/>
  <c r="C678" i="4" a="1"/>
  <c r="C678" i="4" s="1"/>
  <c r="C674" i="4" a="1"/>
  <c r="C674" i="4" s="1"/>
  <c r="C670" i="4" a="1"/>
  <c r="C670" i="4" s="1"/>
  <c r="C666" i="4" a="1"/>
  <c r="C666" i="4" s="1"/>
  <c r="C662" i="4" a="1"/>
  <c r="C662" i="4" s="1"/>
  <c r="C658" i="4" a="1"/>
  <c r="C658" i="4" s="1"/>
  <c r="B719" i="4" a="1"/>
  <c r="B719" i="4" s="1"/>
  <c r="B715" i="4" a="1"/>
  <c r="B715" i="4" s="1"/>
  <c r="B711" i="4" a="1"/>
  <c r="B711" i="4" s="1"/>
  <c r="B707" i="4" a="1"/>
  <c r="B707" i="4" s="1"/>
  <c r="B703" i="4" a="1"/>
  <c r="B703" i="4" s="1"/>
  <c r="B699" i="4" a="1"/>
  <c r="B699" i="4" s="1"/>
  <c r="B695" i="4" a="1"/>
  <c r="B695" i="4" s="1"/>
  <c r="B691" i="4" a="1"/>
  <c r="B691" i="4" s="1"/>
  <c r="B687" i="4" a="1"/>
  <c r="B687" i="4" s="1"/>
  <c r="B683" i="4" a="1"/>
  <c r="B683" i="4" s="1"/>
  <c r="B679" i="4" a="1"/>
  <c r="B679" i="4" s="1"/>
  <c r="C716" i="4" a="1"/>
  <c r="C716" i="4" s="1"/>
  <c r="C712" i="4" a="1"/>
  <c r="C712" i="4" s="1"/>
  <c r="C708" i="4" a="1"/>
  <c r="C708" i="4" s="1"/>
  <c r="C704" i="4" a="1"/>
  <c r="C704" i="4" s="1"/>
  <c r="C700" i="4" a="1"/>
  <c r="C700" i="4" s="1"/>
  <c r="C696" i="4" a="1"/>
  <c r="C696" i="4" s="1"/>
  <c r="C692" i="4" a="1"/>
  <c r="C692" i="4" s="1"/>
  <c r="C688" i="4" a="1"/>
  <c r="C688" i="4" s="1"/>
  <c r="C684" i="4" a="1"/>
  <c r="C684" i="4" s="1"/>
  <c r="C680" i="4" a="1"/>
  <c r="C680" i="4" s="1"/>
  <c r="B676" i="4" a="1"/>
  <c r="B676" i="4" s="1"/>
  <c r="B672" i="4" a="1"/>
  <c r="B672" i="4" s="1"/>
  <c r="B668" i="4" a="1"/>
  <c r="B668" i="4" s="1"/>
  <c r="B664" i="4" a="1"/>
  <c r="B664" i="4" s="1"/>
  <c r="B660" i="4" a="1"/>
  <c r="B660" i="4" s="1"/>
  <c r="B656" i="4" a="1"/>
  <c r="B656" i="4" s="1"/>
  <c r="C675" i="4" a="1"/>
  <c r="C675" i="4" s="1"/>
  <c r="C671" i="4" a="1"/>
  <c r="C671" i="4" s="1"/>
  <c r="C667" i="4" a="1"/>
  <c r="C667" i="4" s="1"/>
  <c r="C663" i="4" a="1"/>
  <c r="C663" i="4" s="1"/>
  <c r="C659" i="4" a="1"/>
  <c r="C659" i="4" s="1"/>
  <c r="B716" i="4" a="1"/>
  <c r="B716" i="4" s="1"/>
  <c r="B712" i="4" a="1"/>
  <c r="B712" i="4" s="1"/>
  <c r="B708" i="4" a="1"/>
  <c r="B708" i="4" s="1"/>
  <c r="B704" i="4" a="1"/>
  <c r="B704" i="4" s="1"/>
  <c r="B700" i="4" a="1"/>
  <c r="B700" i="4" s="1"/>
  <c r="B696" i="4" a="1"/>
  <c r="B696" i="4" s="1"/>
  <c r="B692" i="4" a="1"/>
  <c r="B692" i="4" s="1"/>
  <c r="B688" i="4" a="1"/>
  <c r="B688" i="4" s="1"/>
  <c r="B684" i="4" a="1"/>
  <c r="B684" i="4" s="1"/>
  <c r="B680" i="4" a="1"/>
  <c r="B680" i="4" s="1"/>
  <c r="C717" i="4" a="1"/>
  <c r="C717" i="4" s="1"/>
  <c r="C713" i="4" a="1"/>
  <c r="C713" i="4" s="1"/>
  <c r="C709" i="4" a="1"/>
  <c r="C709" i="4" s="1"/>
  <c r="C705" i="4" a="1"/>
  <c r="C705" i="4" s="1"/>
  <c r="C701" i="4" a="1"/>
  <c r="C701" i="4" s="1"/>
  <c r="C697" i="4" a="1"/>
  <c r="C697" i="4" s="1"/>
  <c r="C693" i="4" a="1"/>
  <c r="C693" i="4" s="1"/>
  <c r="C689" i="4" a="1"/>
  <c r="C689" i="4" s="1"/>
  <c r="C685" i="4" a="1"/>
  <c r="C685" i="4" s="1"/>
  <c r="C681" i="4" a="1"/>
  <c r="C681" i="4" s="1"/>
  <c r="B677" i="4" a="1"/>
  <c r="B677" i="4" s="1"/>
  <c r="B673" i="4" a="1"/>
  <c r="B673" i="4" s="1"/>
  <c r="B669" i="4" a="1"/>
  <c r="B669" i="4" s="1"/>
  <c r="B665" i="4" a="1"/>
  <c r="B665" i="4" s="1"/>
  <c r="B661" i="4" a="1"/>
  <c r="B661" i="4" s="1"/>
  <c r="B657" i="4" a="1"/>
  <c r="B657" i="4" s="1"/>
  <c r="C676" i="4" a="1"/>
  <c r="C676" i="4" s="1"/>
  <c r="C672" i="4" a="1"/>
  <c r="C672" i="4" s="1"/>
  <c r="C668" i="4" a="1"/>
  <c r="C668" i="4" s="1"/>
  <c r="C664" i="4" a="1"/>
  <c r="C664" i="4" s="1"/>
  <c r="C660" i="4" a="1"/>
  <c r="C660" i="4" s="1"/>
  <c r="C656" i="4" a="1"/>
  <c r="C656" i="4" s="1"/>
  <c r="B717" i="4" a="1"/>
  <c r="B717" i="4" s="1"/>
  <c r="B713" i="4" a="1"/>
  <c r="B713" i="4" s="1"/>
  <c r="B709" i="4" a="1"/>
  <c r="B709" i="4" s="1"/>
  <c r="B705" i="4" a="1"/>
  <c r="B705" i="4" s="1"/>
  <c r="B701" i="4" a="1"/>
  <c r="B701" i="4" s="1"/>
  <c r="B697" i="4" a="1"/>
  <c r="B697" i="4" s="1"/>
  <c r="B693" i="4" a="1"/>
  <c r="B693" i="4" s="1"/>
  <c r="B689" i="4" a="1"/>
  <c r="B689" i="4" s="1"/>
  <c r="B685" i="4" a="1"/>
  <c r="B685" i="4" s="1"/>
  <c r="B681" i="4" a="1"/>
  <c r="B681" i="4" s="1"/>
  <c r="C718" i="4" a="1"/>
  <c r="C718" i="4" s="1"/>
  <c r="C714" i="4" a="1"/>
  <c r="C714" i="4" s="1"/>
  <c r="C710" i="4" a="1"/>
  <c r="C710" i="4" s="1"/>
  <c r="C706" i="4" a="1"/>
  <c r="C706" i="4" s="1"/>
  <c r="C702" i="4" a="1"/>
  <c r="C702" i="4" s="1"/>
  <c r="C698" i="4" a="1"/>
  <c r="C698" i="4" s="1"/>
  <c r="C694" i="4" a="1"/>
  <c r="C694" i="4" s="1"/>
  <c r="C690" i="4" a="1"/>
  <c r="C690" i="4" s="1"/>
  <c r="C686" i="4" a="1"/>
  <c r="C686" i="4" s="1"/>
  <c r="C682" i="4" a="1"/>
  <c r="C682" i="4" s="1"/>
  <c r="B678" i="4" a="1"/>
  <c r="B678" i="4" s="1"/>
  <c r="B674" i="4" a="1"/>
  <c r="B674" i="4" s="1"/>
  <c r="B670" i="4" a="1"/>
  <c r="B670" i="4" s="1"/>
  <c r="B666" i="4" a="1"/>
  <c r="B666" i="4" s="1"/>
  <c r="B662" i="4" a="1"/>
  <c r="B662" i="4" s="1"/>
  <c r="B658" i="4" a="1"/>
  <c r="B658" i="4" s="1"/>
  <c r="C677" i="4" a="1"/>
  <c r="C677" i="4" s="1"/>
  <c r="C673" i="4" a="1"/>
  <c r="C673" i="4" s="1"/>
  <c r="C669" i="4" a="1"/>
  <c r="C669" i="4" s="1"/>
  <c r="C665" i="4" a="1"/>
  <c r="C665" i="4" s="1"/>
  <c r="C661" i="4" a="1"/>
  <c r="C661" i="4" s="1"/>
  <c r="C657" i="4" a="1"/>
  <c r="C657" i="4" s="1"/>
  <c r="D620" i="4" a="1"/>
  <c r="D620" i="4" s="1"/>
  <c r="H620" i="4" a="1"/>
  <c r="H620" i="4" s="1"/>
  <c r="D373" i="3" l="1" a="1"/>
  <c r="D373" i="3" s="1"/>
  <c r="I373" i="3" a="1"/>
  <c r="I373" i="3" s="1"/>
  <c r="I380" i="3" a="1"/>
  <c r="I380" i="3" s="1"/>
  <c r="D380" i="3" a="1"/>
  <c r="D380" i="3" s="1"/>
  <c r="D379" i="3" a="1"/>
  <c r="D379" i="3" s="1"/>
  <c r="I379" i="3" a="1"/>
  <c r="I379" i="3" s="1"/>
  <c r="I376" i="3" a="1"/>
  <c r="I376" i="3" s="1"/>
  <c r="D376" i="3" a="1"/>
  <c r="D376" i="3" s="1"/>
  <c r="D375" i="3" a="1"/>
  <c r="D375" i="3" s="1"/>
  <c r="I375" i="3" a="1"/>
  <c r="I375" i="3" s="1"/>
  <c r="I377" i="3" a="1"/>
  <c r="I377" i="3" s="1"/>
  <c r="D377" i="3" a="1"/>
  <c r="D377" i="3" s="1"/>
  <c r="D374" i="3" a="1"/>
  <c r="D374" i="3" s="1"/>
  <c r="I374" i="3" a="1"/>
  <c r="I374" i="3" s="1"/>
  <c r="I378" i="3" a="1"/>
  <c r="I378" i="3" s="1"/>
  <c r="D378" i="3" a="1"/>
  <c r="D378" i="3" s="1"/>
  <c r="F589" i="4"/>
  <c r="G589" i="4" s="1"/>
  <c r="B357" i="3" a="1"/>
  <c r="B357" i="3" s="1"/>
  <c r="C362" i="3" a="1"/>
  <c r="C362" i="3" s="1"/>
  <c r="C357" i="3" a="1"/>
  <c r="C357" i="3" s="1"/>
  <c r="B360" i="3" a="1"/>
  <c r="B360" i="3" s="1"/>
  <c r="C360" i="3" a="1"/>
  <c r="C360" i="3" s="1"/>
  <c r="B363" i="3" a="1"/>
  <c r="B363" i="3" s="1"/>
  <c r="B358" i="3" a="1"/>
  <c r="B358" i="3" s="1"/>
  <c r="C363" i="3" a="1"/>
  <c r="C363" i="3" s="1"/>
  <c r="C359" i="3" a="1"/>
  <c r="C359" i="3" s="1"/>
  <c r="C358" i="3" a="1"/>
  <c r="C358" i="3" s="1"/>
  <c r="B361" i="3" a="1"/>
  <c r="B361" i="3" s="1"/>
  <c r="B356" i="3" a="1"/>
  <c r="B356" i="3" s="1"/>
  <c r="C361" i="3" a="1"/>
  <c r="C361" i="3" s="1"/>
  <c r="B364" i="3" a="1"/>
  <c r="B364" i="3" s="1"/>
  <c r="C356" i="3" a="1"/>
  <c r="C356" i="3" s="1"/>
  <c r="B359" i="3" a="1"/>
  <c r="B359" i="3" s="1"/>
  <c r="C364" i="3" a="1"/>
  <c r="C364" i="3" s="1"/>
  <c r="B362" i="3" a="1"/>
  <c r="B362" i="3" s="1"/>
  <c r="I345" i="3" a="1"/>
  <c r="I345" i="3" s="1"/>
  <c r="D345" i="3" a="1"/>
  <c r="D345" i="3" s="1"/>
  <c r="D350" i="3" a="1"/>
  <c r="D350" i="3" s="1"/>
  <c r="I350" i="3" a="1"/>
  <c r="I350" i="3" s="1"/>
  <c r="I351" i="3" a="1"/>
  <c r="I351" i="3" s="1"/>
  <c r="D351" i="3" a="1"/>
  <c r="D351" i="3" s="1"/>
  <c r="B355" i="3" a="1"/>
  <c r="B355" i="3" s="1"/>
  <c r="C355" i="3" a="1"/>
  <c r="C355" i="3" s="1"/>
  <c r="I347" i="3" a="1"/>
  <c r="I347" i="3" s="1"/>
  <c r="D347" i="3" a="1"/>
  <c r="D347" i="3" s="1"/>
  <c r="D346" i="3" a="1"/>
  <c r="D346" i="3" s="1"/>
  <c r="I346" i="3" a="1"/>
  <c r="I346" i="3" s="1"/>
  <c r="I344" i="3" a="1"/>
  <c r="I344" i="3" s="1"/>
  <c r="D344" i="3" a="1"/>
  <c r="D344" i="3" s="1"/>
  <c r="D348" i="3" a="1"/>
  <c r="D348" i="3" s="1"/>
  <c r="I348" i="3" a="1"/>
  <c r="I348" i="3" s="1"/>
  <c r="I349" i="3" a="1"/>
  <c r="I349" i="3" s="1"/>
  <c r="D349" i="3" a="1"/>
  <c r="D349" i="3" s="1"/>
  <c r="I343" i="3" a="1"/>
  <c r="I343" i="3" s="1"/>
  <c r="D343" i="3" a="1"/>
  <c r="D343" i="3" s="1"/>
  <c r="B132" i="3" a="1"/>
  <c r="B132" i="3" s="1"/>
  <c r="C132" i="3" a="1"/>
  <c r="C132" i="3" s="1"/>
  <c r="D209" i="8" a="1"/>
  <c r="D209" i="8" s="1"/>
  <c r="I209" i="8" a="1"/>
  <c r="I209" i="8" s="1"/>
  <c r="D211" i="8" a="1"/>
  <c r="D211" i="8" s="1"/>
  <c r="I211" i="8" a="1"/>
  <c r="I211" i="8" s="1"/>
  <c r="I216" i="8" a="1"/>
  <c r="I216" i="8" s="1"/>
  <c r="E216" i="8" a="1"/>
  <c r="E216" i="8" s="1"/>
  <c r="D216" i="8" a="1"/>
  <c r="D216" i="8" s="1"/>
  <c r="I213" i="8" a="1"/>
  <c r="I213" i="8" s="1"/>
  <c r="D213" i="8" a="1"/>
  <c r="D213" i="8" s="1"/>
  <c r="E213" i="8" a="1"/>
  <c r="E213" i="8" s="1"/>
  <c r="E218" i="8" a="1"/>
  <c r="E218" i="8" s="1"/>
  <c r="I218" i="8" a="1"/>
  <c r="I218" i="8" s="1"/>
  <c r="D218" i="8" a="1"/>
  <c r="D218" i="8" s="1"/>
  <c r="D212" i="8" a="1"/>
  <c r="D212" i="8" s="1"/>
  <c r="I212" i="8" a="1"/>
  <c r="I212" i="8" s="1"/>
  <c r="I210" i="8" a="1"/>
  <c r="I210" i="8" s="1"/>
  <c r="D210" i="8" a="1"/>
  <c r="D210" i="8" s="1"/>
  <c r="E217" i="8" a="1"/>
  <c r="E217" i="8" s="1"/>
  <c r="D217" i="8" a="1"/>
  <c r="D217" i="8" s="1"/>
  <c r="I217" i="8" a="1"/>
  <c r="I217" i="8" s="1"/>
  <c r="C225" i="8" a="1"/>
  <c r="C225" i="8" s="1"/>
  <c r="C228" i="8" a="1"/>
  <c r="C228" i="8" s="1"/>
  <c r="B226" i="8" a="1"/>
  <c r="B226" i="8" s="1"/>
  <c r="B229" i="8" a="1"/>
  <c r="B229" i="8" s="1"/>
  <c r="C241" i="8" a="1"/>
  <c r="C241" i="8" s="1"/>
  <c r="B238" i="8" a="1"/>
  <c r="B238" i="8" s="1"/>
  <c r="H220" i="8"/>
  <c r="G220" i="8"/>
  <c r="C238" i="8" a="1"/>
  <c r="C238" i="8" s="1"/>
  <c r="B228" i="8" a="1"/>
  <c r="B228" i="8" s="1"/>
  <c r="B231" i="8" a="1"/>
  <c r="B231" i="8" s="1"/>
  <c r="C231" i="8" a="1"/>
  <c r="C231" i="8" s="1"/>
  <c r="C234" i="8" a="1"/>
  <c r="C234" i="8" s="1"/>
  <c r="C235" i="8" a="1"/>
  <c r="C235" i="8" s="1"/>
  <c r="B242" i="8" a="1"/>
  <c r="B242" i="8" s="1"/>
  <c r="B233" i="8" a="1"/>
  <c r="B233" i="8" s="1"/>
  <c r="C233" i="8" a="1"/>
  <c r="C233" i="8" s="1"/>
  <c r="C236" i="8" a="1"/>
  <c r="C236" i="8" s="1"/>
  <c r="B234" i="8" a="1"/>
  <c r="B234" i="8" s="1"/>
  <c r="B237" i="8" a="1"/>
  <c r="B237" i="8" s="1"/>
  <c r="C230" i="8" a="1"/>
  <c r="C230" i="8" s="1"/>
  <c r="B225" i="8" a="1"/>
  <c r="B225" i="8" s="1"/>
  <c r="E220" i="8"/>
  <c r="C220" i="8"/>
  <c r="B232" i="8" a="1"/>
  <c r="B232" i="8" s="1"/>
  <c r="B236" i="8" a="1"/>
  <c r="B236" i="8" s="1"/>
  <c r="B240" i="8" a="1"/>
  <c r="B240" i="8" s="1"/>
  <c r="C240" i="8" a="1"/>
  <c r="C240" i="8" s="1"/>
  <c r="B241" i="8" a="1"/>
  <c r="B241" i="8" s="1"/>
  <c r="B243" i="8" a="1"/>
  <c r="B243" i="8" s="1"/>
  <c r="B239" i="8" a="1"/>
  <c r="B239" i="8" s="1"/>
  <c r="C242" i="8" a="1"/>
  <c r="C242" i="8" s="1"/>
  <c r="C239" i="8" a="1"/>
  <c r="C239" i="8" s="1"/>
  <c r="B244" i="8" a="1"/>
  <c r="B244" i="8" s="1"/>
  <c r="C244" i="8" a="1"/>
  <c r="C244" i="8" s="1"/>
  <c r="B224" i="8" a="1"/>
  <c r="B224" i="8" s="1"/>
  <c r="C224" i="8" a="1"/>
  <c r="C224" i="8" s="1"/>
  <c r="B245" i="8" a="1"/>
  <c r="B245" i="8" s="1"/>
  <c r="C222" i="8" a="1"/>
  <c r="C222" i="8" s="1"/>
  <c r="B246" i="8"/>
  <c r="C243" i="8" a="1"/>
  <c r="C243" i="8" s="1"/>
  <c r="B230" i="8" a="1"/>
  <c r="B230" i="8" s="1"/>
  <c r="C227" i="8" a="1"/>
  <c r="C227" i="8" s="1"/>
  <c r="C229" i="8" a="1"/>
  <c r="C229" i="8" s="1"/>
  <c r="B227" i="8" a="1"/>
  <c r="B227" i="8" s="1"/>
  <c r="C245" i="8" a="1"/>
  <c r="C245" i="8" s="1"/>
  <c r="C232" i="8" a="1"/>
  <c r="C232" i="8" s="1"/>
  <c r="B223" i="8" a="1"/>
  <c r="B223" i="8" s="1"/>
  <c r="C223" i="8" a="1"/>
  <c r="C223" i="8" s="1"/>
  <c r="C226" i="8" a="1"/>
  <c r="C226" i="8" s="1"/>
  <c r="C237" i="8" a="1"/>
  <c r="C237" i="8" s="1"/>
  <c r="B235" i="8" a="1"/>
  <c r="B235" i="8" s="1"/>
  <c r="B222" i="8" a="1"/>
  <c r="B222" i="8" s="1"/>
  <c r="I215" i="8" a="1"/>
  <c r="I215" i="8" s="1"/>
  <c r="D215" i="8" a="1"/>
  <c r="D215" i="8" s="1"/>
  <c r="E215" i="8" a="1"/>
  <c r="E215" i="8" s="1"/>
  <c r="I214" i="8" a="1"/>
  <c r="I214" i="8" s="1"/>
  <c r="D214" i="8" a="1"/>
  <c r="D214" i="8" s="1"/>
  <c r="E214" i="8" a="1"/>
  <c r="E214" i="8" s="1"/>
  <c r="M21" i="1"/>
  <c r="N21" i="1" s="1"/>
  <c r="G220" i="4"/>
  <c r="E220" i="4"/>
  <c r="G238" i="4"/>
  <c r="H220" i="4"/>
  <c r="F220" i="4"/>
  <c r="C131" i="3" a="1"/>
  <c r="C131" i="3" s="1"/>
  <c r="B131" i="3" a="1"/>
  <c r="B131" i="3" s="1"/>
  <c r="B142" i="3"/>
  <c r="H129" i="3"/>
  <c r="F129" i="3"/>
  <c r="G129" i="3"/>
  <c r="C129" i="3"/>
  <c r="B366" i="3"/>
  <c r="H658" i="4" a="1"/>
  <c r="H658" i="4" s="1"/>
  <c r="AI658" i="4" s="1"/>
  <c r="D658" i="4" a="1"/>
  <c r="D658" i="4" s="1"/>
  <c r="H674" i="4" a="1"/>
  <c r="H674" i="4" s="1"/>
  <c r="AI674" i="4" s="1"/>
  <c r="D674" i="4" a="1"/>
  <c r="D674" i="4" s="1"/>
  <c r="H681" i="4" a="1"/>
  <c r="H681" i="4" s="1"/>
  <c r="AI681" i="4" s="1"/>
  <c r="D681" i="4" a="1"/>
  <c r="D681" i="4" s="1"/>
  <c r="H697" i="4" a="1"/>
  <c r="H697" i="4" s="1"/>
  <c r="AI697" i="4" s="1"/>
  <c r="D697" i="4" a="1"/>
  <c r="D697" i="4" s="1"/>
  <c r="H713" i="4" a="1"/>
  <c r="H713" i="4" s="1"/>
  <c r="AI713" i="4" s="1"/>
  <c r="D713" i="4" a="1"/>
  <c r="D713" i="4" s="1"/>
  <c r="H669" i="4" a="1"/>
  <c r="H669" i="4" s="1"/>
  <c r="AI669" i="4" s="1"/>
  <c r="D669" i="4" a="1"/>
  <c r="D669" i="4" s="1"/>
  <c r="H692" i="4" a="1"/>
  <c r="H692" i="4" s="1"/>
  <c r="AI692" i="4" s="1"/>
  <c r="D692" i="4" a="1"/>
  <c r="D692" i="4" s="1"/>
  <c r="E692" i="4" a="1"/>
  <c r="E692" i="4" s="1"/>
  <c r="H708" i="4" a="1"/>
  <c r="H708" i="4" s="1"/>
  <c r="AI708" i="4" s="1"/>
  <c r="D708" i="4" a="1"/>
  <c r="D708" i="4" s="1"/>
  <c r="H668" i="4" a="1"/>
  <c r="H668" i="4" s="1"/>
  <c r="AI668" i="4" s="1"/>
  <c r="D668" i="4" a="1"/>
  <c r="D668" i="4" s="1"/>
  <c r="H691" i="4" a="1"/>
  <c r="H691" i="4" s="1"/>
  <c r="AI691" i="4" s="1"/>
  <c r="D691" i="4" a="1"/>
  <c r="D691" i="4" s="1"/>
  <c r="H707" i="4" a="1"/>
  <c r="H707" i="4" s="1"/>
  <c r="AI707" i="4" s="1"/>
  <c r="D707" i="4" a="1"/>
  <c r="D707" i="4" s="1"/>
  <c r="H659" i="4" a="1"/>
  <c r="H659" i="4" s="1"/>
  <c r="AI659" i="4" s="1"/>
  <c r="D659" i="4" a="1"/>
  <c r="D659" i="4" s="1"/>
  <c r="H675" i="4" a="1"/>
  <c r="H675" i="4" s="1"/>
  <c r="AI675" i="4" s="1"/>
  <c r="D675" i="4" a="1"/>
  <c r="D675" i="4" s="1"/>
  <c r="H682" i="4" a="1"/>
  <c r="H682" i="4" s="1"/>
  <c r="AI682" i="4" s="1"/>
  <c r="D682" i="4" a="1"/>
  <c r="D682" i="4" s="1"/>
  <c r="H698" i="4" a="1"/>
  <c r="H698" i="4" s="1"/>
  <c r="AI698" i="4" s="1"/>
  <c r="D698" i="4" a="1"/>
  <c r="D698" i="4" s="1"/>
  <c r="H714" i="4" a="1"/>
  <c r="H714" i="4" s="1"/>
  <c r="AI714" i="4" s="1"/>
  <c r="D714" i="4" a="1"/>
  <c r="D714" i="4" s="1"/>
  <c r="H670" i="4" a="1"/>
  <c r="H670" i="4" s="1"/>
  <c r="AI670" i="4" s="1"/>
  <c r="D670" i="4" a="1"/>
  <c r="D670" i="4" s="1"/>
  <c r="H693" i="4" a="1"/>
  <c r="H693" i="4" s="1"/>
  <c r="AI693" i="4" s="1"/>
  <c r="D693" i="4" a="1"/>
  <c r="D693" i="4" s="1"/>
  <c r="H709" i="4" a="1"/>
  <c r="H709" i="4" s="1"/>
  <c r="AI709" i="4" s="1"/>
  <c r="D709" i="4" a="1"/>
  <c r="D709" i="4" s="1"/>
  <c r="H665" i="4" a="1"/>
  <c r="H665" i="4" s="1"/>
  <c r="AI665" i="4" s="1"/>
  <c r="D665" i="4" a="1"/>
  <c r="D665" i="4" s="1"/>
  <c r="H688" i="4" a="1"/>
  <c r="H688" i="4" s="1"/>
  <c r="AI688" i="4" s="1"/>
  <c r="E688" i="4" a="1"/>
  <c r="E688" i="4" s="1"/>
  <c r="D688" i="4" a="1"/>
  <c r="D688" i="4" s="1"/>
  <c r="H704" i="4" a="1"/>
  <c r="H704" i="4" s="1"/>
  <c r="AI704" i="4" s="1"/>
  <c r="D704" i="4" a="1"/>
  <c r="D704" i="4" s="1"/>
  <c r="H664" i="4" a="1"/>
  <c r="H664" i="4" s="1"/>
  <c r="AI664" i="4" s="1"/>
  <c r="D664" i="4" a="1"/>
  <c r="D664" i="4" s="1"/>
  <c r="H687" i="4" a="1"/>
  <c r="H687" i="4" s="1"/>
  <c r="AI687" i="4" s="1"/>
  <c r="E687" i="4" a="1"/>
  <c r="E687" i="4" s="1"/>
  <c r="D687" i="4" a="1"/>
  <c r="D687" i="4" s="1"/>
  <c r="H703" i="4" a="1"/>
  <c r="H703" i="4" s="1"/>
  <c r="AI703" i="4" s="1"/>
  <c r="D703" i="4" a="1"/>
  <c r="D703" i="4" s="1"/>
  <c r="H719" i="4" a="1"/>
  <c r="H719" i="4" s="1"/>
  <c r="AI719" i="4" s="1"/>
  <c r="E719" i="4" a="1"/>
  <c r="E719" i="4" s="1"/>
  <c r="D719" i="4" a="1"/>
  <c r="D719" i="4" s="1"/>
  <c r="H671" i="4" a="1"/>
  <c r="H671" i="4" s="1"/>
  <c r="AI671" i="4" s="1"/>
  <c r="D671" i="4" a="1"/>
  <c r="D671" i="4" s="1"/>
  <c r="H694" i="4" a="1"/>
  <c r="H694" i="4" s="1"/>
  <c r="AI694" i="4" s="1"/>
  <c r="D694" i="4" a="1"/>
  <c r="D694" i="4" s="1"/>
  <c r="H710" i="4" a="1"/>
  <c r="H710" i="4" s="1"/>
  <c r="AI710" i="4" s="1"/>
  <c r="D710" i="4" a="1"/>
  <c r="D710" i="4" s="1"/>
  <c r="H666" i="4" a="1"/>
  <c r="H666" i="4" s="1"/>
  <c r="AI666" i="4" s="1"/>
  <c r="D666" i="4" a="1"/>
  <c r="D666" i="4" s="1"/>
  <c r="H689" i="4" a="1"/>
  <c r="H689" i="4" s="1"/>
  <c r="AI689" i="4" s="1"/>
  <c r="E689" i="4" a="1"/>
  <c r="E689" i="4" s="1"/>
  <c r="D689" i="4" a="1"/>
  <c r="D689" i="4" s="1"/>
  <c r="H705" i="4" a="1"/>
  <c r="H705" i="4" s="1"/>
  <c r="AI705" i="4" s="1"/>
  <c r="D705" i="4" a="1"/>
  <c r="D705" i="4" s="1"/>
  <c r="H661" i="4" a="1"/>
  <c r="H661" i="4" s="1"/>
  <c r="AI661" i="4" s="1"/>
  <c r="D661" i="4" a="1"/>
  <c r="D661" i="4" s="1"/>
  <c r="H677" i="4" a="1"/>
  <c r="H677" i="4" s="1"/>
  <c r="AI677" i="4" s="1"/>
  <c r="D677" i="4" a="1"/>
  <c r="D677" i="4" s="1"/>
  <c r="H684" i="4" a="1"/>
  <c r="H684" i="4" s="1"/>
  <c r="AI684" i="4" s="1"/>
  <c r="D684" i="4" a="1"/>
  <c r="D684" i="4" s="1"/>
  <c r="E684" i="4" a="1"/>
  <c r="E684" i="4" s="1"/>
  <c r="H700" i="4" a="1"/>
  <c r="H700" i="4" s="1"/>
  <c r="AI700" i="4" s="1"/>
  <c r="D700" i="4" a="1"/>
  <c r="D700" i="4" s="1"/>
  <c r="H716" i="4" a="1"/>
  <c r="H716" i="4" s="1"/>
  <c r="AI716" i="4" s="1"/>
  <c r="D716" i="4" a="1"/>
  <c r="D716" i="4" s="1"/>
  <c r="H660" i="4" a="1"/>
  <c r="H660" i="4" s="1"/>
  <c r="AI660" i="4" s="1"/>
  <c r="D660" i="4" a="1"/>
  <c r="D660" i="4" s="1"/>
  <c r="H676" i="4" a="1"/>
  <c r="H676" i="4" s="1"/>
  <c r="AI676" i="4" s="1"/>
  <c r="D676" i="4" a="1"/>
  <c r="D676" i="4" s="1"/>
  <c r="H683" i="4" a="1"/>
  <c r="H683" i="4" s="1"/>
  <c r="AI683" i="4" s="1"/>
  <c r="D683" i="4" a="1"/>
  <c r="D683" i="4" s="1"/>
  <c r="E683" i="4" a="1"/>
  <c r="E683" i="4" s="1"/>
  <c r="H699" i="4" a="1"/>
  <c r="H699" i="4" s="1"/>
  <c r="AI699" i="4" s="1"/>
  <c r="D699" i="4" a="1"/>
  <c r="D699" i="4" s="1"/>
  <c r="H715" i="4" a="1"/>
  <c r="H715" i="4" s="1"/>
  <c r="AI715" i="4" s="1"/>
  <c r="D715" i="4" a="1"/>
  <c r="D715" i="4" s="1"/>
  <c r="H667" i="4" a="1"/>
  <c r="H667" i="4" s="1"/>
  <c r="AI667" i="4" s="1"/>
  <c r="D667" i="4" a="1"/>
  <c r="D667" i="4" s="1"/>
  <c r="H690" i="4" a="1"/>
  <c r="H690" i="4" s="1"/>
  <c r="AI690" i="4" s="1"/>
  <c r="E690" i="4" a="1"/>
  <c r="E690" i="4" s="1"/>
  <c r="D690" i="4" a="1"/>
  <c r="D690" i="4" s="1"/>
  <c r="H706" i="4" a="1"/>
  <c r="H706" i="4" s="1"/>
  <c r="AI706" i="4" s="1"/>
  <c r="D706" i="4" a="1"/>
  <c r="D706" i="4" s="1"/>
  <c r="H662" i="4" a="1"/>
  <c r="H662" i="4" s="1"/>
  <c r="AI662" i="4" s="1"/>
  <c r="D662" i="4" a="1"/>
  <c r="D662" i="4" s="1"/>
  <c r="H678" i="4" a="1"/>
  <c r="H678" i="4" s="1"/>
  <c r="AI678" i="4" s="1"/>
  <c r="D678" i="4" a="1"/>
  <c r="D678" i="4" s="1"/>
  <c r="H685" i="4" a="1"/>
  <c r="H685" i="4" s="1"/>
  <c r="AI685" i="4" s="1"/>
  <c r="D685" i="4" a="1"/>
  <c r="D685" i="4" s="1"/>
  <c r="H701" i="4" a="1"/>
  <c r="H701" i="4" s="1"/>
  <c r="AI701" i="4" s="1"/>
  <c r="D701" i="4" a="1"/>
  <c r="D701" i="4" s="1"/>
  <c r="H717" i="4" a="1"/>
  <c r="H717" i="4" s="1"/>
  <c r="AI717" i="4" s="1"/>
  <c r="E717" i="4" a="1"/>
  <c r="E717" i="4" s="1"/>
  <c r="D717" i="4" a="1"/>
  <c r="D717" i="4" s="1"/>
  <c r="H657" i="4" a="1"/>
  <c r="H657" i="4" s="1"/>
  <c r="AI657" i="4" s="1"/>
  <c r="D657" i="4" a="1"/>
  <c r="D657" i="4" s="1"/>
  <c r="H673" i="4" a="1"/>
  <c r="H673" i="4" s="1"/>
  <c r="AI673" i="4" s="1"/>
  <c r="D673" i="4" a="1"/>
  <c r="D673" i="4" s="1"/>
  <c r="H680" i="4" a="1"/>
  <c r="H680" i="4" s="1"/>
  <c r="AI680" i="4" s="1"/>
  <c r="D680" i="4" a="1"/>
  <c r="D680" i="4" s="1"/>
  <c r="H696" i="4" a="1"/>
  <c r="H696" i="4" s="1"/>
  <c r="AI696" i="4" s="1"/>
  <c r="D696" i="4" a="1"/>
  <c r="D696" i="4" s="1"/>
  <c r="H712" i="4" a="1"/>
  <c r="H712" i="4" s="1"/>
  <c r="AI712" i="4" s="1"/>
  <c r="D712" i="4" a="1"/>
  <c r="D712" i="4" s="1"/>
  <c r="D656" i="4" a="1"/>
  <c r="D656" i="4" s="1"/>
  <c r="H656" i="4" a="1"/>
  <c r="H656" i="4" s="1"/>
  <c r="AI656" i="4" s="1"/>
  <c r="D672" i="4" a="1"/>
  <c r="D672" i="4" s="1"/>
  <c r="H672" i="4" a="1"/>
  <c r="H672" i="4" s="1"/>
  <c r="AI672" i="4" s="1"/>
  <c r="H679" i="4" a="1"/>
  <c r="H679" i="4" s="1"/>
  <c r="AI679" i="4" s="1"/>
  <c r="D679" i="4" a="1"/>
  <c r="D679" i="4" s="1"/>
  <c r="H695" i="4" a="1"/>
  <c r="H695" i="4" s="1"/>
  <c r="AI695" i="4" s="1"/>
  <c r="D695" i="4" a="1"/>
  <c r="D695" i="4" s="1"/>
  <c r="H711" i="4" a="1"/>
  <c r="H711" i="4" s="1"/>
  <c r="AI711" i="4" s="1"/>
  <c r="D711" i="4" a="1"/>
  <c r="D711" i="4" s="1"/>
  <c r="H663" i="4" a="1"/>
  <c r="H663" i="4" s="1"/>
  <c r="AI663" i="4" s="1"/>
  <c r="D663" i="4" a="1"/>
  <c r="D663" i="4" s="1"/>
  <c r="H686" i="4" a="1"/>
  <c r="H686" i="4" s="1"/>
  <c r="AI686" i="4" s="1"/>
  <c r="E686" i="4" a="1"/>
  <c r="E686" i="4" s="1"/>
  <c r="D686" i="4" a="1"/>
  <c r="D686" i="4" s="1"/>
  <c r="H702" i="4" a="1"/>
  <c r="H702" i="4" s="1"/>
  <c r="AI702" i="4" s="1"/>
  <c r="D702" i="4" a="1"/>
  <c r="D702" i="4" s="1"/>
  <c r="H718" i="4" a="1"/>
  <c r="H718" i="4" s="1"/>
  <c r="AI718" i="4" s="1"/>
  <c r="E718" i="4" a="1"/>
  <c r="E718" i="4" s="1"/>
  <c r="D718" i="4" a="1"/>
  <c r="D718" i="4" s="1"/>
  <c r="F214" i="4" l="1"/>
  <c r="G214" i="4" s="1"/>
  <c r="F218" i="4"/>
  <c r="G218" i="4" s="1"/>
  <c r="F215" i="4"/>
  <c r="G215" i="4" s="1"/>
  <c r="F216" i="4"/>
  <c r="G216" i="4" s="1"/>
  <c r="F217" i="4"/>
  <c r="G217" i="4" s="1"/>
  <c r="B156" i="3" a="1"/>
  <c r="B156" i="3" s="1"/>
  <c r="C158" i="3" a="1"/>
  <c r="C158" i="3" s="1"/>
  <c r="C163" i="3" a="1"/>
  <c r="C163" i="3" s="1"/>
  <c r="C156" i="3" a="1"/>
  <c r="C156" i="3" s="1"/>
  <c r="B161" i="3" a="1"/>
  <c r="B161" i="3" s="1"/>
  <c r="B159" i="3" a="1"/>
  <c r="B159" i="3" s="1"/>
  <c r="C161" i="3" a="1"/>
  <c r="C161" i="3" s="1"/>
  <c r="B157" i="3" a="1"/>
  <c r="B157" i="3" s="1"/>
  <c r="C159" i="3" a="1"/>
  <c r="C159" i="3" s="1"/>
  <c r="C157" i="3" a="1"/>
  <c r="C157" i="3" s="1"/>
  <c r="B162" i="3" a="1"/>
  <c r="B162" i="3" s="1"/>
  <c r="B160" i="3" a="1"/>
  <c r="B160" i="3" s="1"/>
  <c r="C162" i="3" a="1"/>
  <c r="C162" i="3" s="1"/>
  <c r="B163" i="3" a="1"/>
  <c r="B163" i="3" s="1"/>
  <c r="B158" i="3" a="1"/>
  <c r="B158" i="3" s="1"/>
  <c r="C160" i="3" a="1"/>
  <c r="C160" i="3" s="1"/>
  <c r="F600" i="4"/>
  <c r="G600" i="4" s="1"/>
  <c r="F597" i="4"/>
  <c r="G597" i="4" s="1"/>
  <c r="F599" i="4"/>
  <c r="G599" i="4" s="1"/>
  <c r="F595" i="4"/>
  <c r="G595" i="4" s="1"/>
  <c r="F598" i="4"/>
  <c r="G598" i="4" s="1"/>
  <c r="F594" i="4"/>
  <c r="G594" i="4" s="1"/>
  <c r="F596" i="4"/>
  <c r="G596" i="4" s="1"/>
  <c r="F602" i="4"/>
  <c r="G602" i="4" s="1"/>
  <c r="F601" i="4"/>
  <c r="G601" i="4" s="1"/>
  <c r="D359" i="3" a="1"/>
  <c r="D359" i="3" s="1"/>
  <c r="I359" i="3" a="1"/>
  <c r="I359" i="3" s="1"/>
  <c r="D358" i="3" a="1"/>
  <c r="D358" i="3" s="1"/>
  <c r="I358" i="3" a="1"/>
  <c r="I358" i="3" s="1"/>
  <c r="I364" i="3" a="1"/>
  <c r="I364" i="3" s="1"/>
  <c r="D364" i="3" a="1"/>
  <c r="D364" i="3" s="1"/>
  <c r="D363" i="3" a="1"/>
  <c r="D363" i="3" s="1"/>
  <c r="I363" i="3" a="1"/>
  <c r="I363" i="3" s="1"/>
  <c r="I356" i="3" a="1"/>
  <c r="I356" i="3" s="1"/>
  <c r="D356" i="3" a="1"/>
  <c r="D356" i="3" s="1"/>
  <c r="I360" i="3" a="1"/>
  <c r="I360" i="3" s="1"/>
  <c r="D360" i="3" a="1"/>
  <c r="D360" i="3" s="1"/>
  <c r="I361" i="3" a="1"/>
  <c r="I361" i="3" s="1"/>
  <c r="D361" i="3" a="1"/>
  <c r="D361" i="3" s="1"/>
  <c r="I362" i="3" a="1"/>
  <c r="I362" i="3" s="1"/>
  <c r="D362" i="3" a="1"/>
  <c r="D362" i="3" s="1"/>
  <c r="I357" i="3" a="1"/>
  <c r="I357" i="3" s="1"/>
  <c r="D357" i="3" a="1"/>
  <c r="D357" i="3" s="1"/>
  <c r="I355" i="3" a="1"/>
  <c r="I355" i="3" s="1"/>
  <c r="D355" i="3" a="1"/>
  <c r="D355" i="3" s="1"/>
  <c r="B155" i="3" a="1"/>
  <c r="B155" i="3" s="1"/>
  <c r="B149" i="3" a="1"/>
  <c r="B149" i="3" s="1"/>
  <c r="B147" i="3" a="1"/>
  <c r="B147" i="3" s="1"/>
  <c r="C149" i="3" a="1"/>
  <c r="C149" i="3" s="1"/>
  <c r="C155" i="3" a="1"/>
  <c r="C155" i="3" s="1"/>
  <c r="B145" i="3" a="1"/>
  <c r="B145" i="3" s="1"/>
  <c r="C147" i="3" a="1"/>
  <c r="C147" i="3" s="1"/>
  <c r="C148" i="3" a="1"/>
  <c r="C148" i="3" s="1"/>
  <c r="C145" i="3" a="1"/>
  <c r="C145" i="3" s="1"/>
  <c r="B154" i="3" a="1"/>
  <c r="B154" i="3" s="1"/>
  <c r="B148" i="3" a="1"/>
  <c r="B148" i="3" s="1"/>
  <c r="C146" i="3" a="1"/>
  <c r="C146" i="3" s="1"/>
  <c r="B146" i="3" a="1"/>
  <c r="B146" i="3" s="1"/>
  <c r="C154" i="3" a="1"/>
  <c r="C154" i="3" s="1"/>
  <c r="B368" i="3" a="1"/>
  <c r="B368" i="3" s="1"/>
  <c r="I132" i="3" a="1"/>
  <c r="I132" i="3" s="1"/>
  <c r="D132" i="3" a="1"/>
  <c r="D132" i="3" s="1"/>
  <c r="C253" i="8" a="1"/>
  <c r="C253" i="8" s="1"/>
  <c r="B261" i="8" a="1"/>
  <c r="B261" i="8" s="1"/>
  <c r="G246" i="8"/>
  <c r="C257" i="8" a="1"/>
  <c r="C257" i="8" s="1"/>
  <c r="C254" i="8" a="1"/>
  <c r="C254" i="8" s="1"/>
  <c r="B262" i="8" a="1"/>
  <c r="B262" i="8" s="1"/>
  <c r="B251" i="8" a="1"/>
  <c r="B251" i="8" s="1"/>
  <c r="C255" i="8" a="1"/>
  <c r="C255" i="8" s="1"/>
  <c r="B263" i="8" a="1"/>
  <c r="B263" i="8" s="1"/>
  <c r="B249" i="8" a="1"/>
  <c r="B249" i="8" s="1"/>
  <c r="C256" i="8" a="1"/>
  <c r="C256" i="8" s="1"/>
  <c r="B253" i="8" a="1"/>
  <c r="B253" i="8" s="1"/>
  <c r="F246" i="8"/>
  <c r="C262" i="8" a="1"/>
  <c r="C262" i="8" s="1"/>
  <c r="B254" i="8" a="1"/>
  <c r="B254" i="8" s="1"/>
  <c r="C258" i="8" a="1"/>
  <c r="C258" i="8" s="1"/>
  <c r="H246" i="8"/>
  <c r="C251" i="8" a="1"/>
  <c r="C251" i="8" s="1"/>
  <c r="B252" i="8" a="1"/>
  <c r="B252" i="8" s="1"/>
  <c r="C252" i="8" a="1"/>
  <c r="C252" i="8" s="1"/>
  <c r="C248" i="8" a="1"/>
  <c r="C248" i="8" s="1"/>
  <c r="B256" i="8" a="1"/>
  <c r="B256" i="8" s="1"/>
  <c r="C260" i="8" a="1"/>
  <c r="C260" i="8" s="1"/>
  <c r="C249" i="8" a="1"/>
  <c r="C249" i="8" s="1"/>
  <c r="B257" i="8" a="1"/>
  <c r="B257" i="8" s="1"/>
  <c r="C261" i="8" a="1"/>
  <c r="C261" i="8" s="1"/>
  <c r="B260" i="8" a="1"/>
  <c r="B260" i="8" s="1"/>
  <c r="C246" i="8"/>
  <c r="C250" i="8" a="1"/>
  <c r="C250" i="8" s="1"/>
  <c r="B258" i="8" a="1"/>
  <c r="B258" i="8" s="1"/>
  <c r="E246" i="8"/>
  <c r="B255" i="8" a="1"/>
  <c r="B255" i="8" s="1"/>
  <c r="B248" i="8" a="1"/>
  <c r="B248" i="8" s="1"/>
  <c r="C259" i="8" a="1"/>
  <c r="C259" i="8" s="1"/>
  <c r="B259" i="8" a="1"/>
  <c r="B259" i="8" s="1"/>
  <c r="C263" i="8" a="1"/>
  <c r="C263" i="8" s="1"/>
  <c r="B250" i="8" a="1"/>
  <c r="B250" i="8" s="1"/>
  <c r="I233" i="8" a="1"/>
  <c r="I233" i="8" s="1"/>
  <c r="D233" i="8" a="1"/>
  <c r="D233" i="8" s="1"/>
  <c r="D239" i="8" a="1"/>
  <c r="D239" i="8" s="1"/>
  <c r="I239" i="8" a="1"/>
  <c r="I239" i="8" s="1"/>
  <c r="D242" i="8" a="1"/>
  <c r="D242" i="8" s="1"/>
  <c r="I242" i="8" a="1"/>
  <c r="I242" i="8" s="1"/>
  <c r="D245" i="8" a="1"/>
  <c r="D245" i="8" s="1"/>
  <c r="E245" i="8" a="1"/>
  <c r="E245" i="8" s="1"/>
  <c r="I245" i="8" a="1"/>
  <c r="I245" i="8" s="1"/>
  <c r="D243" i="8" a="1"/>
  <c r="D243" i="8" s="1"/>
  <c r="I243" i="8" a="1"/>
  <c r="I243" i="8" s="1"/>
  <c r="I238" i="8" a="1"/>
  <c r="I238" i="8" s="1"/>
  <c r="D238" i="8" a="1"/>
  <c r="D238" i="8" s="1"/>
  <c r="I241" i="8" a="1"/>
  <c r="I241" i="8" s="1"/>
  <c r="D241" i="8" a="1"/>
  <c r="D241" i="8" s="1"/>
  <c r="I235" i="8" a="1"/>
  <c r="I235" i="8" s="1"/>
  <c r="D235" i="8" a="1"/>
  <c r="D235" i="8" s="1"/>
  <c r="D237" i="8" a="1"/>
  <c r="D237" i="8" s="1"/>
  <c r="I237" i="8" a="1"/>
  <c r="I237" i="8" s="1"/>
  <c r="D240" i="8" a="1"/>
  <c r="D240" i="8" s="1"/>
  <c r="I240" i="8" a="1"/>
  <c r="I240" i="8" s="1"/>
  <c r="I234" i="8" a="1"/>
  <c r="I234" i="8" s="1"/>
  <c r="D234" i="8" a="1"/>
  <c r="D234" i="8" s="1"/>
  <c r="E244" i="8" a="1"/>
  <c r="E244" i="8" s="1"/>
  <c r="D244" i="8" a="1"/>
  <c r="D244" i="8" s="1"/>
  <c r="D236" i="8" a="1"/>
  <c r="D236" i="8" s="1"/>
  <c r="I236" i="8" a="1"/>
  <c r="I236" i="8" s="1"/>
  <c r="M22" i="1"/>
  <c r="N22" i="1" s="1"/>
  <c r="M23" i="1" s="1"/>
  <c r="AG663" i="4"/>
  <c r="AH663" i="4"/>
  <c r="AG696" i="4"/>
  <c r="AH696" i="4"/>
  <c r="AG667" i="4"/>
  <c r="AH667" i="4"/>
  <c r="AG683" i="4"/>
  <c r="AH683" i="4"/>
  <c r="AG661" i="4"/>
  <c r="AH661" i="4"/>
  <c r="AG664" i="4"/>
  <c r="AH664" i="4"/>
  <c r="AG672" i="4"/>
  <c r="AH672" i="4"/>
  <c r="AG718" i="4"/>
  <c r="AH718" i="4"/>
  <c r="AG717" i="4"/>
  <c r="AH717" i="4"/>
  <c r="AG662" i="4"/>
  <c r="AH662" i="4"/>
  <c r="AG700" i="4"/>
  <c r="AH700" i="4"/>
  <c r="AG719" i="4"/>
  <c r="AH719" i="4"/>
  <c r="AG714" i="4"/>
  <c r="AH714" i="4"/>
  <c r="AG659" i="4"/>
  <c r="AH659" i="4"/>
  <c r="AG708" i="4"/>
  <c r="AH708" i="4"/>
  <c r="AG713" i="4"/>
  <c r="AH713" i="4"/>
  <c r="AG658" i="4"/>
  <c r="AH658" i="4"/>
  <c r="AG680" i="4"/>
  <c r="AH680" i="4"/>
  <c r="AG676" i="4"/>
  <c r="AH676" i="4"/>
  <c r="AG705" i="4"/>
  <c r="AH705" i="4"/>
  <c r="AG710" i="4"/>
  <c r="AH710" i="4"/>
  <c r="AG704" i="4"/>
  <c r="AH704" i="4"/>
  <c r="AG709" i="4"/>
  <c r="AH709" i="4"/>
  <c r="AG686" i="4"/>
  <c r="AH686" i="4"/>
  <c r="AG702" i="4"/>
  <c r="AH702" i="4"/>
  <c r="AG711" i="4"/>
  <c r="AH711" i="4"/>
  <c r="AG701" i="4"/>
  <c r="AH701" i="4"/>
  <c r="AG706" i="4"/>
  <c r="AH706" i="4"/>
  <c r="AG715" i="4"/>
  <c r="AH715" i="4"/>
  <c r="AG703" i="4"/>
  <c r="AH703" i="4"/>
  <c r="AG698" i="4"/>
  <c r="AH698" i="4"/>
  <c r="AG707" i="4"/>
  <c r="AH707" i="4"/>
  <c r="AG697" i="4"/>
  <c r="AH697" i="4"/>
  <c r="AG656" i="4"/>
  <c r="AH656" i="4"/>
  <c r="AG673" i="4"/>
  <c r="AH673" i="4"/>
  <c r="AG660" i="4"/>
  <c r="AH660" i="4"/>
  <c r="AG684" i="4"/>
  <c r="AH684" i="4"/>
  <c r="AG694" i="4"/>
  <c r="AH694" i="4"/>
  <c r="AG693" i="4"/>
  <c r="AH693" i="4"/>
  <c r="AG692" i="4"/>
  <c r="AH692" i="4"/>
  <c r="AG695" i="4"/>
  <c r="AH695" i="4"/>
  <c r="AG685" i="4"/>
  <c r="AH685" i="4"/>
  <c r="AG699" i="4"/>
  <c r="AH699" i="4"/>
  <c r="AG689" i="4"/>
  <c r="AH689" i="4"/>
  <c r="AG688" i="4"/>
  <c r="AH688" i="4"/>
  <c r="AG682" i="4"/>
  <c r="AH682" i="4"/>
  <c r="AG691" i="4"/>
  <c r="AH691" i="4"/>
  <c r="AG681" i="4"/>
  <c r="AH681" i="4"/>
  <c r="AG712" i="4"/>
  <c r="AH712" i="4"/>
  <c r="AG657" i="4"/>
  <c r="AH657" i="4"/>
  <c r="AG690" i="4"/>
  <c r="AH690" i="4"/>
  <c r="AG677" i="4"/>
  <c r="AH677" i="4"/>
  <c r="AG671" i="4"/>
  <c r="AH671" i="4"/>
  <c r="AG687" i="4"/>
  <c r="AH687" i="4"/>
  <c r="AG670" i="4"/>
  <c r="AH670" i="4"/>
  <c r="AG669" i="4"/>
  <c r="AH669" i="4"/>
  <c r="AG679" i="4"/>
  <c r="AH679" i="4"/>
  <c r="AG678" i="4"/>
  <c r="AH678" i="4"/>
  <c r="AG716" i="4"/>
  <c r="AH716" i="4"/>
  <c r="AG666" i="4"/>
  <c r="AH666" i="4"/>
  <c r="AG665" i="4"/>
  <c r="AH665" i="4"/>
  <c r="AG675" i="4"/>
  <c r="AH675" i="4"/>
  <c r="AG668" i="4"/>
  <c r="AH668" i="4"/>
  <c r="AG674" i="4"/>
  <c r="AH674" i="4"/>
  <c r="E238" i="4"/>
  <c r="H238" i="4"/>
  <c r="C238" i="4"/>
  <c r="C144" i="3" a="1"/>
  <c r="C144" i="3" s="1"/>
  <c r="B144" i="3" a="1"/>
  <c r="B144" i="3" s="1"/>
  <c r="B165" i="3"/>
  <c r="F142" i="3"/>
  <c r="C142" i="3"/>
  <c r="G142" i="3"/>
  <c r="H142" i="3"/>
  <c r="F593" i="4"/>
  <c r="C368" i="3" a="1"/>
  <c r="C368" i="3" s="1"/>
  <c r="N718" i="4"/>
  <c r="R718" i="4"/>
  <c r="V718" i="4"/>
  <c r="Z718" i="4"/>
  <c r="AD718" i="4"/>
  <c r="M718" i="4"/>
  <c r="Q718" i="4"/>
  <c r="U718" i="4"/>
  <c r="Y718" i="4"/>
  <c r="AC718" i="4"/>
  <c r="J718" i="4"/>
  <c r="L718" i="4"/>
  <c r="P718" i="4"/>
  <c r="T718" i="4"/>
  <c r="X718" i="4"/>
  <c r="AB718" i="4"/>
  <c r="K718" i="4"/>
  <c r="O718" i="4"/>
  <c r="S718" i="4"/>
  <c r="W718" i="4"/>
  <c r="AA718" i="4"/>
  <c r="L711" i="4"/>
  <c r="P711" i="4"/>
  <c r="T711" i="4"/>
  <c r="X711" i="4"/>
  <c r="AB711" i="4"/>
  <c r="J711" i="4"/>
  <c r="K711" i="4"/>
  <c r="O711" i="4"/>
  <c r="S711" i="4"/>
  <c r="W711" i="4"/>
  <c r="AA711" i="4"/>
  <c r="N711" i="4"/>
  <c r="R711" i="4"/>
  <c r="V711" i="4"/>
  <c r="Z711" i="4"/>
  <c r="AD711" i="4"/>
  <c r="M711" i="4"/>
  <c r="Q711" i="4"/>
  <c r="U711" i="4"/>
  <c r="Y711" i="4"/>
  <c r="AC711" i="4"/>
  <c r="N712" i="4"/>
  <c r="R712" i="4"/>
  <c r="V712" i="4"/>
  <c r="Z712" i="4"/>
  <c r="AD712" i="4"/>
  <c r="M712" i="4"/>
  <c r="Q712" i="4"/>
  <c r="U712" i="4"/>
  <c r="Y712" i="4"/>
  <c r="AC712" i="4"/>
  <c r="L712" i="4"/>
  <c r="P712" i="4"/>
  <c r="T712" i="4"/>
  <c r="X712" i="4"/>
  <c r="AB712" i="4"/>
  <c r="K712" i="4"/>
  <c r="O712" i="4"/>
  <c r="S712" i="4"/>
  <c r="W712" i="4"/>
  <c r="AA712" i="4"/>
  <c r="J712" i="4"/>
  <c r="L717" i="4"/>
  <c r="P717" i="4"/>
  <c r="T717" i="4"/>
  <c r="X717" i="4"/>
  <c r="AB717" i="4"/>
  <c r="K717" i="4"/>
  <c r="O717" i="4"/>
  <c r="S717" i="4"/>
  <c r="W717" i="4"/>
  <c r="AA717" i="4"/>
  <c r="N717" i="4"/>
  <c r="R717" i="4"/>
  <c r="V717" i="4"/>
  <c r="Z717" i="4"/>
  <c r="AD717" i="4"/>
  <c r="J717" i="4"/>
  <c r="M717" i="4"/>
  <c r="Q717" i="4"/>
  <c r="U717" i="4"/>
  <c r="Y717" i="4"/>
  <c r="AC717" i="4"/>
  <c r="N710" i="4"/>
  <c r="R710" i="4"/>
  <c r="V710" i="4"/>
  <c r="Z710" i="4"/>
  <c r="AD710" i="4"/>
  <c r="M710" i="4"/>
  <c r="Q710" i="4"/>
  <c r="U710" i="4"/>
  <c r="Y710" i="4"/>
  <c r="AC710" i="4"/>
  <c r="J710" i="4"/>
  <c r="L710" i="4"/>
  <c r="P710" i="4"/>
  <c r="T710" i="4"/>
  <c r="X710" i="4"/>
  <c r="AB710" i="4"/>
  <c r="K710" i="4"/>
  <c r="O710" i="4"/>
  <c r="S710" i="4"/>
  <c r="W710" i="4"/>
  <c r="AA710" i="4"/>
  <c r="L719" i="4"/>
  <c r="P719" i="4"/>
  <c r="T719" i="4"/>
  <c r="X719" i="4"/>
  <c r="AB719" i="4"/>
  <c r="J719" i="4"/>
  <c r="K719" i="4"/>
  <c r="O719" i="4"/>
  <c r="S719" i="4"/>
  <c r="W719" i="4"/>
  <c r="AA719" i="4"/>
  <c r="N719" i="4"/>
  <c r="R719" i="4"/>
  <c r="V719" i="4"/>
  <c r="Z719" i="4"/>
  <c r="AD719" i="4"/>
  <c r="M719" i="4"/>
  <c r="Q719" i="4"/>
  <c r="U719" i="4"/>
  <c r="Y719" i="4"/>
  <c r="AC719" i="4"/>
  <c r="L709" i="4"/>
  <c r="P709" i="4"/>
  <c r="T709" i="4"/>
  <c r="X709" i="4"/>
  <c r="AB709" i="4"/>
  <c r="K709" i="4"/>
  <c r="O709" i="4"/>
  <c r="S709" i="4"/>
  <c r="W709" i="4"/>
  <c r="AA709" i="4"/>
  <c r="N709" i="4"/>
  <c r="R709" i="4"/>
  <c r="V709" i="4"/>
  <c r="Z709" i="4"/>
  <c r="AD709" i="4"/>
  <c r="J709" i="4"/>
  <c r="M709" i="4"/>
  <c r="Q709" i="4"/>
  <c r="U709" i="4"/>
  <c r="Y709" i="4"/>
  <c r="AC709" i="4"/>
  <c r="N714" i="4"/>
  <c r="R714" i="4"/>
  <c r="V714" i="4"/>
  <c r="Z714" i="4"/>
  <c r="AD714" i="4"/>
  <c r="M714" i="4"/>
  <c r="Q714" i="4"/>
  <c r="U714" i="4"/>
  <c r="Y714" i="4"/>
  <c r="AC714" i="4"/>
  <c r="J714" i="4"/>
  <c r="L714" i="4"/>
  <c r="P714" i="4"/>
  <c r="T714" i="4"/>
  <c r="X714" i="4"/>
  <c r="AB714" i="4"/>
  <c r="K714" i="4"/>
  <c r="O714" i="4"/>
  <c r="S714" i="4"/>
  <c r="W714" i="4"/>
  <c r="AA714" i="4"/>
  <c r="L707" i="4"/>
  <c r="P707" i="4"/>
  <c r="T707" i="4"/>
  <c r="X707" i="4"/>
  <c r="AB707" i="4"/>
  <c r="K707" i="4"/>
  <c r="O707" i="4"/>
  <c r="S707" i="4"/>
  <c r="W707" i="4"/>
  <c r="AA707" i="4"/>
  <c r="N707" i="4"/>
  <c r="R707" i="4"/>
  <c r="V707" i="4"/>
  <c r="Z707" i="4"/>
  <c r="AD707" i="4"/>
  <c r="M707" i="4"/>
  <c r="Q707" i="4"/>
  <c r="U707" i="4"/>
  <c r="Y707" i="4"/>
  <c r="AC707" i="4"/>
  <c r="N708" i="4"/>
  <c r="R708" i="4"/>
  <c r="V708" i="4"/>
  <c r="Z708" i="4"/>
  <c r="AD708" i="4"/>
  <c r="M708" i="4"/>
  <c r="Q708" i="4"/>
  <c r="U708" i="4"/>
  <c r="Y708" i="4"/>
  <c r="AC708" i="4"/>
  <c r="L708" i="4"/>
  <c r="P708" i="4"/>
  <c r="T708" i="4"/>
  <c r="X708" i="4"/>
  <c r="AB708" i="4"/>
  <c r="K708" i="4"/>
  <c r="O708" i="4"/>
  <c r="S708" i="4"/>
  <c r="W708" i="4"/>
  <c r="AA708" i="4"/>
  <c r="J708" i="4"/>
  <c r="L713" i="4"/>
  <c r="P713" i="4"/>
  <c r="T713" i="4"/>
  <c r="X713" i="4"/>
  <c r="AB713" i="4"/>
  <c r="K713" i="4"/>
  <c r="O713" i="4"/>
  <c r="S713" i="4"/>
  <c r="W713" i="4"/>
  <c r="AA713" i="4"/>
  <c r="N713" i="4"/>
  <c r="R713" i="4"/>
  <c r="V713" i="4"/>
  <c r="Z713" i="4"/>
  <c r="AD713" i="4"/>
  <c r="J713" i="4"/>
  <c r="M713" i="4"/>
  <c r="Q713" i="4"/>
  <c r="U713" i="4"/>
  <c r="Y713" i="4"/>
  <c r="AC713" i="4"/>
  <c r="L715" i="4"/>
  <c r="P715" i="4"/>
  <c r="T715" i="4"/>
  <c r="X715" i="4"/>
  <c r="AB715" i="4"/>
  <c r="J715" i="4"/>
  <c r="K715" i="4"/>
  <c r="O715" i="4"/>
  <c r="S715" i="4"/>
  <c r="W715" i="4"/>
  <c r="AA715" i="4"/>
  <c r="N715" i="4"/>
  <c r="R715" i="4"/>
  <c r="V715" i="4"/>
  <c r="Z715" i="4"/>
  <c r="AD715" i="4"/>
  <c r="M715" i="4"/>
  <c r="Q715" i="4"/>
  <c r="U715" i="4"/>
  <c r="Y715" i="4"/>
  <c r="AC715" i="4"/>
  <c r="N716" i="4"/>
  <c r="R716" i="4"/>
  <c r="V716" i="4"/>
  <c r="Z716" i="4"/>
  <c r="AD716" i="4"/>
  <c r="M716" i="4"/>
  <c r="Q716" i="4"/>
  <c r="U716" i="4"/>
  <c r="Y716" i="4"/>
  <c r="AC716" i="4"/>
  <c r="L716" i="4"/>
  <c r="P716" i="4"/>
  <c r="T716" i="4"/>
  <c r="X716" i="4"/>
  <c r="AB716" i="4"/>
  <c r="K716" i="4"/>
  <c r="O716" i="4"/>
  <c r="S716" i="4"/>
  <c r="W716" i="4"/>
  <c r="AA716" i="4"/>
  <c r="J716" i="4"/>
  <c r="Q698" i="4"/>
  <c r="L698" i="4"/>
  <c r="AB698" i="4"/>
  <c r="S698" i="4"/>
  <c r="J698" i="4"/>
  <c r="AD698" i="4"/>
  <c r="M698" i="4"/>
  <c r="AC698" i="4"/>
  <c r="X698" i="4"/>
  <c r="O698" i="4"/>
  <c r="N698" i="4"/>
  <c r="Y698" i="4"/>
  <c r="T698" i="4"/>
  <c r="K698" i="4"/>
  <c r="AA698" i="4"/>
  <c r="R698" i="4"/>
  <c r="U698" i="4"/>
  <c r="P698" i="4"/>
  <c r="W698" i="4"/>
  <c r="V698" i="4"/>
  <c r="Z698" i="4"/>
  <c r="P682" i="4"/>
  <c r="W682" i="4"/>
  <c r="R682" i="4"/>
  <c r="J682" i="4"/>
  <c r="Y682" i="4"/>
  <c r="L682" i="4"/>
  <c r="AB682" i="4"/>
  <c r="S682" i="4"/>
  <c r="N682" i="4"/>
  <c r="AD682" i="4"/>
  <c r="U682" i="4"/>
  <c r="X682" i="4"/>
  <c r="O682" i="4"/>
  <c r="Z682" i="4"/>
  <c r="Q682" i="4"/>
  <c r="T682" i="4"/>
  <c r="K682" i="4"/>
  <c r="AA682" i="4"/>
  <c r="V682" i="4"/>
  <c r="M682" i="4"/>
  <c r="AC682" i="4"/>
  <c r="N675" i="4"/>
  <c r="AD675" i="4"/>
  <c r="Y675" i="4"/>
  <c r="P675" i="4"/>
  <c r="W675" i="4"/>
  <c r="Z675" i="4"/>
  <c r="U675" i="4"/>
  <c r="L675" i="4"/>
  <c r="AB675" i="4"/>
  <c r="S675" i="4"/>
  <c r="V675" i="4"/>
  <c r="Q675" i="4"/>
  <c r="J675" i="4"/>
  <c r="X675" i="4"/>
  <c r="O675" i="4"/>
  <c r="R675" i="4"/>
  <c r="M675" i="4"/>
  <c r="AC675" i="4"/>
  <c r="T675" i="4"/>
  <c r="K675" i="4"/>
  <c r="AA675" i="4"/>
  <c r="M659" i="4"/>
  <c r="AC659" i="4"/>
  <c r="W659" i="4"/>
  <c r="T659" i="4"/>
  <c r="P659" i="4"/>
  <c r="V659" i="4"/>
  <c r="Y659" i="4"/>
  <c r="S659" i="4"/>
  <c r="L659" i="4"/>
  <c r="Z659" i="4"/>
  <c r="N659" i="4"/>
  <c r="U659" i="4"/>
  <c r="O659" i="4"/>
  <c r="R659" i="4"/>
  <c r="J659" i="4"/>
  <c r="Q659" i="4"/>
  <c r="K659" i="4"/>
  <c r="AA659" i="4"/>
  <c r="AB659" i="4"/>
  <c r="X659" i="4"/>
  <c r="AD659" i="4"/>
  <c r="J707" i="4"/>
  <c r="S691" i="4"/>
  <c r="N691" i="4"/>
  <c r="AD691" i="4"/>
  <c r="U691" i="4"/>
  <c r="T691" i="4"/>
  <c r="O691" i="4"/>
  <c r="Z691" i="4"/>
  <c r="Q691" i="4"/>
  <c r="P691" i="4"/>
  <c r="X691" i="4"/>
  <c r="K691" i="4"/>
  <c r="AA691" i="4"/>
  <c r="V691" i="4"/>
  <c r="M691" i="4"/>
  <c r="AC691" i="4"/>
  <c r="AB691" i="4"/>
  <c r="W691" i="4"/>
  <c r="R691" i="4"/>
  <c r="J691" i="4"/>
  <c r="Y691" i="4"/>
  <c r="L691" i="4"/>
  <c r="AB668" i="4"/>
  <c r="U668" i="4"/>
  <c r="Z668" i="4"/>
  <c r="AA668" i="4"/>
  <c r="P668" i="4"/>
  <c r="J668" i="4"/>
  <c r="L668" i="4"/>
  <c r="AD668" i="4"/>
  <c r="K668" i="4"/>
  <c r="AC668" i="4"/>
  <c r="R668" i="4"/>
  <c r="N668" i="4"/>
  <c r="O668" i="4"/>
  <c r="T668" i="4"/>
  <c r="M668" i="4"/>
  <c r="W668" i="4"/>
  <c r="S668" i="4"/>
  <c r="X668" i="4"/>
  <c r="Q668" i="4"/>
  <c r="V668" i="4"/>
  <c r="Y668" i="4"/>
  <c r="M692" i="4"/>
  <c r="X692" i="4"/>
  <c r="J692" i="4"/>
  <c r="N692" i="4"/>
  <c r="Q692" i="4"/>
  <c r="O692" i="4"/>
  <c r="S692" i="4"/>
  <c r="V692" i="4"/>
  <c r="Y692" i="4"/>
  <c r="K692" i="4"/>
  <c r="Z692" i="4"/>
  <c r="U692" i="4"/>
  <c r="P692" i="4"/>
  <c r="AA692" i="4"/>
  <c r="AD692" i="4"/>
  <c r="L692" i="4"/>
  <c r="R692" i="4"/>
  <c r="AC692" i="4"/>
  <c r="AB692" i="4"/>
  <c r="W692" i="4"/>
  <c r="T692" i="4"/>
  <c r="T669" i="4"/>
  <c r="K669" i="4"/>
  <c r="AA669" i="4"/>
  <c r="V669" i="4"/>
  <c r="M669" i="4"/>
  <c r="AC669" i="4"/>
  <c r="P669" i="4"/>
  <c r="W669" i="4"/>
  <c r="R669" i="4"/>
  <c r="J669" i="4"/>
  <c r="Y669" i="4"/>
  <c r="L669" i="4"/>
  <c r="AB669" i="4"/>
  <c r="S669" i="4"/>
  <c r="N669" i="4"/>
  <c r="AD669" i="4"/>
  <c r="U669" i="4"/>
  <c r="X669" i="4"/>
  <c r="O669" i="4"/>
  <c r="Z669" i="4"/>
  <c r="Q669" i="4"/>
  <c r="S697" i="4"/>
  <c r="N697" i="4"/>
  <c r="AD697" i="4"/>
  <c r="Y697" i="4"/>
  <c r="X697" i="4"/>
  <c r="O697" i="4"/>
  <c r="Z697" i="4"/>
  <c r="U697" i="4"/>
  <c r="AB697" i="4"/>
  <c r="P697" i="4"/>
  <c r="K697" i="4"/>
  <c r="AA697" i="4"/>
  <c r="V697" i="4"/>
  <c r="Q697" i="4"/>
  <c r="L697" i="4"/>
  <c r="J697" i="4"/>
  <c r="W697" i="4"/>
  <c r="R697" i="4"/>
  <c r="M697" i="4"/>
  <c r="AC697" i="4"/>
  <c r="T697" i="4"/>
  <c r="V681" i="4"/>
  <c r="Q681" i="4"/>
  <c r="L681" i="4"/>
  <c r="AB681" i="4"/>
  <c r="S681" i="4"/>
  <c r="J681" i="4"/>
  <c r="R681" i="4"/>
  <c r="M681" i="4"/>
  <c r="AC681" i="4"/>
  <c r="X681" i="4"/>
  <c r="O681" i="4"/>
  <c r="N681" i="4"/>
  <c r="AD681" i="4"/>
  <c r="Y681" i="4"/>
  <c r="T681" i="4"/>
  <c r="K681" i="4"/>
  <c r="AA681" i="4"/>
  <c r="Z681" i="4"/>
  <c r="U681" i="4"/>
  <c r="P681" i="4"/>
  <c r="W681" i="4"/>
  <c r="L674" i="4"/>
  <c r="AB674" i="4"/>
  <c r="S674" i="4"/>
  <c r="N674" i="4"/>
  <c r="AD674" i="4"/>
  <c r="U674" i="4"/>
  <c r="X674" i="4"/>
  <c r="O674" i="4"/>
  <c r="Z674" i="4"/>
  <c r="Q674" i="4"/>
  <c r="T674" i="4"/>
  <c r="K674" i="4"/>
  <c r="AA674" i="4"/>
  <c r="V674" i="4"/>
  <c r="M674" i="4"/>
  <c r="AC674" i="4"/>
  <c r="P674" i="4"/>
  <c r="W674" i="4"/>
  <c r="R674" i="4"/>
  <c r="J674" i="4"/>
  <c r="Y674" i="4"/>
  <c r="K658" i="4"/>
  <c r="AA658" i="4"/>
  <c r="U658" i="4"/>
  <c r="Z658" i="4"/>
  <c r="N658" i="4"/>
  <c r="T658" i="4"/>
  <c r="W658" i="4"/>
  <c r="Q658" i="4"/>
  <c r="R658" i="4"/>
  <c r="L658" i="4"/>
  <c r="S658" i="4"/>
  <c r="M658" i="4"/>
  <c r="AC658" i="4"/>
  <c r="X658" i="4"/>
  <c r="AD658" i="4"/>
  <c r="J658" i="4"/>
  <c r="O658" i="4"/>
  <c r="Y658" i="4"/>
  <c r="P658" i="4"/>
  <c r="V658" i="4"/>
  <c r="AB658" i="4"/>
  <c r="L672" i="4"/>
  <c r="AB672" i="4"/>
  <c r="S672" i="4"/>
  <c r="N672" i="4"/>
  <c r="AD672" i="4"/>
  <c r="Y672" i="4"/>
  <c r="X672" i="4"/>
  <c r="O672" i="4"/>
  <c r="Z672" i="4"/>
  <c r="U672" i="4"/>
  <c r="T672" i="4"/>
  <c r="K672" i="4"/>
  <c r="AA672" i="4"/>
  <c r="V672" i="4"/>
  <c r="Q672" i="4"/>
  <c r="J672" i="4"/>
  <c r="P672" i="4"/>
  <c r="W672" i="4"/>
  <c r="R672" i="4"/>
  <c r="M672" i="4"/>
  <c r="AC672" i="4"/>
  <c r="W706" i="4"/>
  <c r="R706" i="4"/>
  <c r="M706" i="4"/>
  <c r="AC706" i="4"/>
  <c r="J706" i="4"/>
  <c r="S706" i="4"/>
  <c r="N706" i="4"/>
  <c r="AD706" i="4"/>
  <c r="Y706" i="4"/>
  <c r="X706" i="4"/>
  <c r="O706" i="4"/>
  <c r="Z706" i="4"/>
  <c r="U706" i="4"/>
  <c r="AB706" i="4"/>
  <c r="P706" i="4"/>
  <c r="K706" i="4"/>
  <c r="AA706" i="4"/>
  <c r="V706" i="4"/>
  <c r="Q706" i="4"/>
  <c r="L706" i="4"/>
  <c r="T706" i="4"/>
  <c r="Y690" i="4"/>
  <c r="T690" i="4"/>
  <c r="K690" i="4"/>
  <c r="AA690" i="4"/>
  <c r="R690" i="4"/>
  <c r="U690" i="4"/>
  <c r="P690" i="4"/>
  <c r="W690" i="4"/>
  <c r="V690" i="4"/>
  <c r="Z690" i="4"/>
  <c r="Q690" i="4"/>
  <c r="L690" i="4"/>
  <c r="AB690" i="4"/>
  <c r="S690" i="4"/>
  <c r="J690" i="4"/>
  <c r="AD690" i="4"/>
  <c r="M690" i="4"/>
  <c r="AC690" i="4"/>
  <c r="X690" i="4"/>
  <c r="O690" i="4"/>
  <c r="N690" i="4"/>
  <c r="U667" i="4"/>
  <c r="S667" i="4"/>
  <c r="AD667" i="4"/>
  <c r="P667" i="4"/>
  <c r="N667" i="4"/>
  <c r="J667" i="4"/>
  <c r="Q667" i="4"/>
  <c r="O667" i="4"/>
  <c r="Z667" i="4"/>
  <c r="AC667" i="4"/>
  <c r="M667" i="4"/>
  <c r="K667" i="4"/>
  <c r="T667" i="4"/>
  <c r="X667" i="4"/>
  <c r="AB667" i="4"/>
  <c r="AA667" i="4"/>
  <c r="Y667" i="4"/>
  <c r="L667" i="4"/>
  <c r="R667" i="4"/>
  <c r="W667" i="4"/>
  <c r="V667" i="4"/>
  <c r="K699" i="4"/>
  <c r="AA699" i="4"/>
  <c r="V699" i="4"/>
  <c r="M699" i="4"/>
  <c r="AC699" i="4"/>
  <c r="AB699" i="4"/>
  <c r="W699" i="4"/>
  <c r="R699" i="4"/>
  <c r="J699" i="4"/>
  <c r="Y699" i="4"/>
  <c r="L699" i="4"/>
  <c r="S699" i="4"/>
  <c r="N699" i="4"/>
  <c r="AD699" i="4"/>
  <c r="U699" i="4"/>
  <c r="T699" i="4"/>
  <c r="O699" i="4"/>
  <c r="Z699" i="4"/>
  <c r="Q699" i="4"/>
  <c r="P699" i="4"/>
  <c r="X699" i="4"/>
  <c r="N683" i="4"/>
  <c r="AD683" i="4"/>
  <c r="Y683" i="4"/>
  <c r="P683" i="4"/>
  <c r="W683" i="4"/>
  <c r="Z683" i="4"/>
  <c r="U683" i="4"/>
  <c r="L683" i="4"/>
  <c r="AB683" i="4"/>
  <c r="S683" i="4"/>
  <c r="V683" i="4"/>
  <c r="Q683" i="4"/>
  <c r="J683" i="4"/>
  <c r="X683" i="4"/>
  <c r="O683" i="4"/>
  <c r="R683" i="4"/>
  <c r="M683" i="4"/>
  <c r="AC683" i="4"/>
  <c r="T683" i="4"/>
  <c r="K683" i="4"/>
  <c r="AA683" i="4"/>
  <c r="T676" i="4"/>
  <c r="K676" i="4"/>
  <c r="AA676" i="4"/>
  <c r="V676" i="4"/>
  <c r="Q676" i="4"/>
  <c r="J676" i="4"/>
  <c r="P676" i="4"/>
  <c r="W676" i="4"/>
  <c r="R676" i="4"/>
  <c r="M676" i="4"/>
  <c r="AC676" i="4"/>
  <c r="L676" i="4"/>
  <c r="AB676" i="4"/>
  <c r="S676" i="4"/>
  <c r="N676" i="4"/>
  <c r="AD676" i="4"/>
  <c r="Y676" i="4"/>
  <c r="X676" i="4"/>
  <c r="O676" i="4"/>
  <c r="Z676" i="4"/>
  <c r="U676" i="4"/>
  <c r="O660" i="4"/>
  <c r="Y660" i="4"/>
  <c r="AD660" i="4"/>
  <c r="R660" i="4"/>
  <c r="X660" i="4"/>
  <c r="K660" i="4"/>
  <c r="AA660" i="4"/>
  <c r="U660" i="4"/>
  <c r="V660" i="4"/>
  <c r="AB660" i="4"/>
  <c r="P660" i="4"/>
  <c r="W660" i="4"/>
  <c r="Q660" i="4"/>
  <c r="N660" i="4"/>
  <c r="T660" i="4"/>
  <c r="J660" i="4"/>
  <c r="S660" i="4"/>
  <c r="M660" i="4"/>
  <c r="AC660" i="4"/>
  <c r="L660" i="4"/>
  <c r="Z660" i="4"/>
  <c r="Y700" i="4"/>
  <c r="P700" i="4"/>
  <c r="W700" i="4"/>
  <c r="V700" i="4"/>
  <c r="U700" i="4"/>
  <c r="L700" i="4"/>
  <c r="AB700" i="4"/>
  <c r="S700" i="4"/>
  <c r="Z700" i="4"/>
  <c r="AD700" i="4"/>
  <c r="Q700" i="4"/>
  <c r="J700" i="4"/>
  <c r="X700" i="4"/>
  <c r="O700" i="4"/>
  <c r="N700" i="4"/>
  <c r="M700" i="4"/>
  <c r="AC700" i="4"/>
  <c r="T700" i="4"/>
  <c r="K700" i="4"/>
  <c r="AA700" i="4"/>
  <c r="R700" i="4"/>
  <c r="T684" i="4"/>
  <c r="K684" i="4"/>
  <c r="AA684" i="4"/>
  <c r="V684" i="4"/>
  <c r="Q684" i="4"/>
  <c r="J684" i="4"/>
  <c r="P684" i="4"/>
  <c r="W684" i="4"/>
  <c r="R684" i="4"/>
  <c r="M684" i="4"/>
  <c r="AC684" i="4"/>
  <c r="L684" i="4"/>
  <c r="AB684" i="4"/>
  <c r="S684" i="4"/>
  <c r="N684" i="4"/>
  <c r="AD684" i="4"/>
  <c r="Y684" i="4"/>
  <c r="X684" i="4"/>
  <c r="O684" i="4"/>
  <c r="Z684" i="4"/>
  <c r="U684" i="4"/>
  <c r="N677" i="4"/>
  <c r="AD677" i="4"/>
  <c r="Y677" i="4"/>
  <c r="T677" i="4"/>
  <c r="K677" i="4"/>
  <c r="AA677" i="4"/>
  <c r="Z677" i="4"/>
  <c r="U677" i="4"/>
  <c r="P677" i="4"/>
  <c r="W677" i="4"/>
  <c r="V677" i="4"/>
  <c r="Q677" i="4"/>
  <c r="L677" i="4"/>
  <c r="AB677" i="4"/>
  <c r="S677" i="4"/>
  <c r="J677" i="4"/>
  <c r="R677" i="4"/>
  <c r="M677" i="4"/>
  <c r="AC677" i="4"/>
  <c r="X677" i="4"/>
  <c r="O677" i="4"/>
  <c r="M661" i="4"/>
  <c r="AC661" i="4"/>
  <c r="W661" i="4"/>
  <c r="X661" i="4"/>
  <c r="AD661" i="4"/>
  <c r="AB661" i="4"/>
  <c r="Y661" i="4"/>
  <c r="S661" i="4"/>
  <c r="P661" i="4"/>
  <c r="V661" i="4"/>
  <c r="T661" i="4"/>
  <c r="U661" i="4"/>
  <c r="O661" i="4"/>
  <c r="N661" i="4"/>
  <c r="L661" i="4"/>
  <c r="Z661" i="4"/>
  <c r="Q661" i="4"/>
  <c r="K661" i="4"/>
  <c r="AA661" i="4"/>
  <c r="J661" i="4"/>
  <c r="R661" i="4"/>
  <c r="M705" i="4"/>
  <c r="AC705" i="4"/>
  <c r="T705" i="4"/>
  <c r="K705" i="4"/>
  <c r="AA705" i="4"/>
  <c r="AD705" i="4"/>
  <c r="Y705" i="4"/>
  <c r="P705" i="4"/>
  <c r="W705" i="4"/>
  <c r="N705" i="4"/>
  <c r="U705" i="4"/>
  <c r="L705" i="4"/>
  <c r="AB705" i="4"/>
  <c r="S705" i="4"/>
  <c r="R705" i="4"/>
  <c r="V705" i="4"/>
  <c r="Q705" i="4"/>
  <c r="J705" i="4"/>
  <c r="X705" i="4"/>
  <c r="O705" i="4"/>
  <c r="Z705" i="4"/>
  <c r="L689" i="4"/>
  <c r="O689" i="4"/>
  <c r="Z689" i="4"/>
  <c r="U689" i="4"/>
  <c r="J689" i="4"/>
  <c r="K689" i="4"/>
  <c r="AA689" i="4"/>
  <c r="V689" i="4"/>
  <c r="Q689" i="4"/>
  <c r="AB689" i="4"/>
  <c r="T689" i="4"/>
  <c r="W689" i="4"/>
  <c r="R689" i="4"/>
  <c r="M689" i="4"/>
  <c r="AC689" i="4"/>
  <c r="P689" i="4"/>
  <c r="S689" i="4"/>
  <c r="N689" i="4"/>
  <c r="AD689" i="4"/>
  <c r="Y689" i="4"/>
  <c r="X689" i="4"/>
  <c r="S666" i="4"/>
  <c r="M666" i="4"/>
  <c r="AC666" i="4"/>
  <c r="X666" i="4"/>
  <c r="AD666" i="4"/>
  <c r="J666" i="4"/>
  <c r="O666" i="4"/>
  <c r="Y666" i="4"/>
  <c r="P666" i="4"/>
  <c r="V666" i="4"/>
  <c r="AB666" i="4"/>
  <c r="K666" i="4"/>
  <c r="AA666" i="4"/>
  <c r="U666" i="4"/>
  <c r="Z666" i="4"/>
  <c r="N666" i="4"/>
  <c r="T666" i="4"/>
  <c r="W666" i="4"/>
  <c r="Q666" i="4"/>
  <c r="R666" i="4"/>
  <c r="L666" i="4"/>
  <c r="R656" i="4"/>
  <c r="AB656" i="4"/>
  <c r="U656" i="4"/>
  <c r="Z656" i="4"/>
  <c r="AA656" i="4"/>
  <c r="W656" i="4"/>
  <c r="L656" i="4"/>
  <c r="AD656" i="4"/>
  <c r="K656" i="4"/>
  <c r="AC656" i="4"/>
  <c r="Y656" i="4"/>
  <c r="N656" i="4"/>
  <c r="O656" i="4"/>
  <c r="T656" i="4"/>
  <c r="M656" i="4"/>
  <c r="P656" i="4"/>
  <c r="J656" i="4"/>
  <c r="S656" i="4"/>
  <c r="X656" i="4"/>
  <c r="Q656" i="4"/>
  <c r="V656" i="4"/>
  <c r="U702" i="4"/>
  <c r="P702" i="4"/>
  <c r="W702" i="4"/>
  <c r="N702" i="4"/>
  <c r="R702" i="4"/>
  <c r="Q702" i="4"/>
  <c r="L702" i="4"/>
  <c r="AB702" i="4"/>
  <c r="S702" i="4"/>
  <c r="J702" i="4"/>
  <c r="V702" i="4"/>
  <c r="M702" i="4"/>
  <c r="AC702" i="4"/>
  <c r="X702" i="4"/>
  <c r="O702" i="4"/>
  <c r="Z702" i="4"/>
  <c r="Y702" i="4"/>
  <c r="T702" i="4"/>
  <c r="K702" i="4"/>
  <c r="AA702" i="4"/>
  <c r="AD702" i="4"/>
  <c r="T686" i="4"/>
  <c r="K686" i="4"/>
  <c r="AA686" i="4"/>
  <c r="V686" i="4"/>
  <c r="M686" i="4"/>
  <c r="AC686" i="4"/>
  <c r="P686" i="4"/>
  <c r="W686" i="4"/>
  <c r="R686" i="4"/>
  <c r="J686" i="4"/>
  <c r="Y686" i="4"/>
  <c r="L686" i="4"/>
  <c r="AB686" i="4"/>
  <c r="S686" i="4"/>
  <c r="N686" i="4"/>
  <c r="AD686" i="4"/>
  <c r="U686" i="4"/>
  <c r="X686" i="4"/>
  <c r="O686" i="4"/>
  <c r="Z686" i="4"/>
  <c r="Q686" i="4"/>
  <c r="Q663" i="4"/>
  <c r="K663" i="4"/>
  <c r="AA663" i="4"/>
  <c r="AB663" i="4"/>
  <c r="X663" i="4"/>
  <c r="AD663" i="4"/>
  <c r="M663" i="4"/>
  <c r="AC663" i="4"/>
  <c r="W663" i="4"/>
  <c r="T663" i="4"/>
  <c r="P663" i="4"/>
  <c r="V663" i="4"/>
  <c r="Y663" i="4"/>
  <c r="S663" i="4"/>
  <c r="L663" i="4"/>
  <c r="Z663" i="4"/>
  <c r="N663" i="4"/>
  <c r="U663" i="4"/>
  <c r="O663" i="4"/>
  <c r="R663" i="4"/>
  <c r="J663" i="4"/>
  <c r="W695" i="4"/>
  <c r="R695" i="4"/>
  <c r="J695" i="4"/>
  <c r="Y695" i="4"/>
  <c r="P695" i="4"/>
  <c r="S695" i="4"/>
  <c r="N695" i="4"/>
  <c r="AD695" i="4"/>
  <c r="U695" i="4"/>
  <c r="T695" i="4"/>
  <c r="AB695" i="4"/>
  <c r="O695" i="4"/>
  <c r="Z695" i="4"/>
  <c r="Q695" i="4"/>
  <c r="X695" i="4"/>
  <c r="L695" i="4"/>
  <c r="K695" i="4"/>
  <c r="AA695" i="4"/>
  <c r="V695" i="4"/>
  <c r="M695" i="4"/>
  <c r="AC695" i="4"/>
  <c r="Z679" i="4"/>
  <c r="U679" i="4"/>
  <c r="L679" i="4"/>
  <c r="AB679" i="4"/>
  <c r="S679" i="4"/>
  <c r="V679" i="4"/>
  <c r="Q679" i="4"/>
  <c r="J679" i="4"/>
  <c r="X679" i="4"/>
  <c r="O679" i="4"/>
  <c r="R679" i="4"/>
  <c r="M679" i="4"/>
  <c r="AC679" i="4"/>
  <c r="T679" i="4"/>
  <c r="K679" i="4"/>
  <c r="AA679" i="4"/>
  <c r="N679" i="4"/>
  <c r="AD679" i="4"/>
  <c r="Y679" i="4"/>
  <c r="P679" i="4"/>
  <c r="W679" i="4"/>
  <c r="M696" i="4"/>
  <c r="AC696" i="4"/>
  <c r="T696" i="4"/>
  <c r="K696" i="4"/>
  <c r="Y696" i="4"/>
  <c r="P696" i="4"/>
  <c r="U696" i="4"/>
  <c r="L696" i="4"/>
  <c r="AB696" i="4"/>
  <c r="S696" i="4"/>
  <c r="Q696" i="4"/>
  <c r="J696" i="4"/>
  <c r="X696" i="4"/>
  <c r="O696" i="4"/>
  <c r="R696" i="4"/>
  <c r="V696" i="4"/>
  <c r="Z696" i="4"/>
  <c r="AA696" i="4"/>
  <c r="AD696" i="4"/>
  <c r="W696" i="4"/>
  <c r="N696" i="4"/>
  <c r="P680" i="4"/>
  <c r="W680" i="4"/>
  <c r="R680" i="4"/>
  <c r="M680" i="4"/>
  <c r="AC680" i="4"/>
  <c r="L680" i="4"/>
  <c r="AB680" i="4"/>
  <c r="S680" i="4"/>
  <c r="N680" i="4"/>
  <c r="AD680" i="4"/>
  <c r="Y680" i="4"/>
  <c r="X680" i="4"/>
  <c r="O680" i="4"/>
  <c r="Z680" i="4"/>
  <c r="U680" i="4"/>
  <c r="T680" i="4"/>
  <c r="K680" i="4"/>
  <c r="AA680" i="4"/>
  <c r="V680" i="4"/>
  <c r="Q680" i="4"/>
  <c r="J680" i="4"/>
  <c r="Z673" i="4"/>
  <c r="U673" i="4"/>
  <c r="P673" i="4"/>
  <c r="W673" i="4"/>
  <c r="V673" i="4"/>
  <c r="Q673" i="4"/>
  <c r="L673" i="4"/>
  <c r="AB673" i="4"/>
  <c r="S673" i="4"/>
  <c r="J673" i="4"/>
  <c r="R673" i="4"/>
  <c r="M673" i="4"/>
  <c r="AC673" i="4"/>
  <c r="X673" i="4"/>
  <c r="O673" i="4"/>
  <c r="N673" i="4"/>
  <c r="AD673" i="4"/>
  <c r="Y673" i="4"/>
  <c r="T673" i="4"/>
  <c r="K673" i="4"/>
  <c r="AA673" i="4"/>
  <c r="T657" i="4"/>
  <c r="AD657" i="4"/>
  <c r="W657" i="4"/>
  <c r="Z657" i="4"/>
  <c r="S657" i="4"/>
  <c r="K657" i="4"/>
  <c r="R657" i="4"/>
  <c r="N657" i="4"/>
  <c r="X657" i="4"/>
  <c r="AB657" i="4"/>
  <c r="M657" i="4"/>
  <c r="O657" i="4"/>
  <c r="AA657" i="4"/>
  <c r="P657" i="4"/>
  <c r="J657" i="4"/>
  <c r="L657" i="4"/>
  <c r="AC657" i="4"/>
  <c r="Y657" i="4"/>
  <c r="V657" i="4"/>
  <c r="U657" i="4"/>
  <c r="Q657" i="4"/>
  <c r="W701" i="4"/>
  <c r="R701" i="4"/>
  <c r="M701" i="4"/>
  <c r="AC701" i="4"/>
  <c r="J701" i="4"/>
  <c r="S701" i="4"/>
  <c r="N701" i="4"/>
  <c r="AD701" i="4"/>
  <c r="Y701" i="4"/>
  <c r="X701" i="4"/>
  <c r="O701" i="4"/>
  <c r="Z701" i="4"/>
  <c r="U701" i="4"/>
  <c r="P701" i="4"/>
  <c r="AB701" i="4"/>
  <c r="K701" i="4"/>
  <c r="AA701" i="4"/>
  <c r="V701" i="4"/>
  <c r="Q701" i="4"/>
  <c r="T701" i="4"/>
  <c r="L701" i="4"/>
  <c r="Z685" i="4"/>
  <c r="U685" i="4"/>
  <c r="P685" i="4"/>
  <c r="W685" i="4"/>
  <c r="V685" i="4"/>
  <c r="Q685" i="4"/>
  <c r="L685" i="4"/>
  <c r="AB685" i="4"/>
  <c r="S685" i="4"/>
  <c r="J685" i="4"/>
  <c r="R685" i="4"/>
  <c r="M685" i="4"/>
  <c r="AC685" i="4"/>
  <c r="X685" i="4"/>
  <c r="O685" i="4"/>
  <c r="N685" i="4"/>
  <c r="AD685" i="4"/>
  <c r="Y685" i="4"/>
  <c r="T685" i="4"/>
  <c r="K685" i="4"/>
  <c r="AA685" i="4"/>
  <c r="P678" i="4"/>
  <c r="W678" i="4"/>
  <c r="R678" i="4"/>
  <c r="J678" i="4"/>
  <c r="Y678" i="4"/>
  <c r="L678" i="4"/>
  <c r="AB678" i="4"/>
  <c r="S678" i="4"/>
  <c r="N678" i="4"/>
  <c r="AD678" i="4"/>
  <c r="U678" i="4"/>
  <c r="X678" i="4"/>
  <c r="O678" i="4"/>
  <c r="Z678" i="4"/>
  <c r="Q678" i="4"/>
  <c r="T678" i="4"/>
  <c r="K678" i="4"/>
  <c r="AA678" i="4"/>
  <c r="V678" i="4"/>
  <c r="M678" i="4"/>
  <c r="AC678" i="4"/>
  <c r="O662" i="4"/>
  <c r="Y662" i="4"/>
  <c r="P662" i="4"/>
  <c r="V662" i="4"/>
  <c r="AB662" i="4"/>
  <c r="K662" i="4"/>
  <c r="AA662" i="4"/>
  <c r="U662" i="4"/>
  <c r="Z662" i="4"/>
  <c r="N662" i="4"/>
  <c r="T662" i="4"/>
  <c r="W662" i="4"/>
  <c r="Q662" i="4"/>
  <c r="R662" i="4"/>
  <c r="L662" i="4"/>
  <c r="S662" i="4"/>
  <c r="M662" i="4"/>
  <c r="AC662" i="4"/>
  <c r="X662" i="4"/>
  <c r="AD662" i="4"/>
  <c r="J662" i="4"/>
  <c r="M694" i="4"/>
  <c r="AC694" i="4"/>
  <c r="X694" i="4"/>
  <c r="O694" i="4"/>
  <c r="Z694" i="4"/>
  <c r="Y694" i="4"/>
  <c r="T694" i="4"/>
  <c r="K694" i="4"/>
  <c r="AA694" i="4"/>
  <c r="AD694" i="4"/>
  <c r="U694" i="4"/>
  <c r="P694" i="4"/>
  <c r="W694" i="4"/>
  <c r="N694" i="4"/>
  <c r="R694" i="4"/>
  <c r="Q694" i="4"/>
  <c r="L694" i="4"/>
  <c r="AB694" i="4"/>
  <c r="S694" i="4"/>
  <c r="J694" i="4"/>
  <c r="V694" i="4"/>
  <c r="X671" i="4"/>
  <c r="O671" i="4"/>
  <c r="Z671" i="4"/>
  <c r="U671" i="4"/>
  <c r="T671" i="4"/>
  <c r="K671" i="4"/>
  <c r="AA671" i="4"/>
  <c r="V671" i="4"/>
  <c r="Q671" i="4"/>
  <c r="J671" i="4"/>
  <c r="P671" i="4"/>
  <c r="W671" i="4"/>
  <c r="R671" i="4"/>
  <c r="M671" i="4"/>
  <c r="AC671" i="4"/>
  <c r="L671" i="4"/>
  <c r="AB671" i="4"/>
  <c r="S671" i="4"/>
  <c r="N671" i="4"/>
  <c r="AD671" i="4"/>
  <c r="Y671" i="4"/>
  <c r="O703" i="4"/>
  <c r="Z703" i="4"/>
  <c r="Q703" i="4"/>
  <c r="X703" i="4"/>
  <c r="L703" i="4"/>
  <c r="K703" i="4"/>
  <c r="AA703" i="4"/>
  <c r="V703" i="4"/>
  <c r="M703" i="4"/>
  <c r="AC703" i="4"/>
  <c r="W703" i="4"/>
  <c r="R703" i="4"/>
  <c r="J703" i="4"/>
  <c r="Y703" i="4"/>
  <c r="P703" i="4"/>
  <c r="S703" i="4"/>
  <c r="N703" i="4"/>
  <c r="AD703" i="4"/>
  <c r="U703" i="4"/>
  <c r="T703" i="4"/>
  <c r="AB703" i="4"/>
  <c r="R687" i="4"/>
  <c r="M687" i="4"/>
  <c r="AC687" i="4"/>
  <c r="T687" i="4"/>
  <c r="K687" i="4"/>
  <c r="AA687" i="4"/>
  <c r="N687" i="4"/>
  <c r="AD687" i="4"/>
  <c r="Y687" i="4"/>
  <c r="P687" i="4"/>
  <c r="W687" i="4"/>
  <c r="Z687" i="4"/>
  <c r="U687" i="4"/>
  <c r="L687" i="4"/>
  <c r="AB687" i="4"/>
  <c r="S687" i="4"/>
  <c r="V687" i="4"/>
  <c r="Q687" i="4"/>
  <c r="J687" i="4"/>
  <c r="X687" i="4"/>
  <c r="O687" i="4"/>
  <c r="S664" i="4"/>
  <c r="M664" i="4"/>
  <c r="AC664" i="4"/>
  <c r="L664" i="4"/>
  <c r="Z664" i="4"/>
  <c r="O664" i="4"/>
  <c r="Y664" i="4"/>
  <c r="AD664" i="4"/>
  <c r="R664" i="4"/>
  <c r="X664" i="4"/>
  <c r="K664" i="4"/>
  <c r="AA664" i="4"/>
  <c r="U664" i="4"/>
  <c r="V664" i="4"/>
  <c r="AB664" i="4"/>
  <c r="P664" i="4"/>
  <c r="W664" i="4"/>
  <c r="Q664" i="4"/>
  <c r="N664" i="4"/>
  <c r="T664" i="4"/>
  <c r="J664" i="4"/>
  <c r="O704" i="4"/>
  <c r="Z704" i="4"/>
  <c r="Q704" i="4"/>
  <c r="X704" i="4"/>
  <c r="L704" i="4"/>
  <c r="K704" i="4"/>
  <c r="AA704" i="4"/>
  <c r="V704" i="4"/>
  <c r="M704" i="4"/>
  <c r="AC704" i="4"/>
  <c r="W704" i="4"/>
  <c r="R704" i="4"/>
  <c r="J704" i="4"/>
  <c r="Y704" i="4"/>
  <c r="P704" i="4"/>
  <c r="S704" i="4"/>
  <c r="N704" i="4"/>
  <c r="AD704" i="4"/>
  <c r="U704" i="4"/>
  <c r="T704" i="4"/>
  <c r="AB704" i="4"/>
  <c r="V688" i="4"/>
  <c r="Q688" i="4"/>
  <c r="J688" i="4"/>
  <c r="X688" i="4"/>
  <c r="O688" i="4"/>
  <c r="R688" i="4"/>
  <c r="M688" i="4"/>
  <c r="AC688" i="4"/>
  <c r="T688" i="4"/>
  <c r="K688" i="4"/>
  <c r="AA688" i="4"/>
  <c r="N688" i="4"/>
  <c r="AD688" i="4"/>
  <c r="Y688" i="4"/>
  <c r="P688" i="4"/>
  <c r="W688" i="4"/>
  <c r="Z688" i="4"/>
  <c r="U688" i="4"/>
  <c r="L688" i="4"/>
  <c r="AB688" i="4"/>
  <c r="S688" i="4"/>
  <c r="Q665" i="4"/>
  <c r="K665" i="4"/>
  <c r="AA665" i="4"/>
  <c r="J665" i="4"/>
  <c r="R665" i="4"/>
  <c r="M665" i="4"/>
  <c r="AC665" i="4"/>
  <c r="W665" i="4"/>
  <c r="X665" i="4"/>
  <c r="AD665" i="4"/>
  <c r="AB665" i="4"/>
  <c r="Y665" i="4"/>
  <c r="S665" i="4"/>
  <c r="P665" i="4"/>
  <c r="V665" i="4"/>
  <c r="T665" i="4"/>
  <c r="U665" i="4"/>
  <c r="O665" i="4"/>
  <c r="N665" i="4"/>
  <c r="L665" i="4"/>
  <c r="Z665" i="4"/>
  <c r="O693" i="4"/>
  <c r="Z693" i="4"/>
  <c r="U693" i="4"/>
  <c r="P693" i="4"/>
  <c r="X693" i="4"/>
  <c r="K693" i="4"/>
  <c r="AA693" i="4"/>
  <c r="V693" i="4"/>
  <c r="Q693" i="4"/>
  <c r="T693" i="4"/>
  <c r="AB693" i="4"/>
  <c r="W693" i="4"/>
  <c r="R693" i="4"/>
  <c r="M693" i="4"/>
  <c r="AC693" i="4"/>
  <c r="L693" i="4"/>
  <c r="S693" i="4"/>
  <c r="N693" i="4"/>
  <c r="AD693" i="4"/>
  <c r="Y693" i="4"/>
  <c r="J693" i="4"/>
  <c r="Z670" i="4"/>
  <c r="U670" i="4"/>
  <c r="L670" i="4"/>
  <c r="AB670" i="4"/>
  <c r="S670" i="4"/>
  <c r="V670" i="4"/>
  <c r="Q670" i="4"/>
  <c r="J670" i="4"/>
  <c r="X670" i="4"/>
  <c r="O670" i="4"/>
  <c r="R670" i="4"/>
  <c r="M670" i="4"/>
  <c r="AC670" i="4"/>
  <c r="T670" i="4"/>
  <c r="K670" i="4"/>
  <c r="AA670" i="4"/>
  <c r="N670" i="4"/>
  <c r="AD670" i="4"/>
  <c r="Y670" i="4"/>
  <c r="P670" i="4"/>
  <c r="W670" i="4"/>
  <c r="I157" i="3" l="1" a="1"/>
  <c r="I157" i="3" s="1"/>
  <c r="D157" i="3" a="1"/>
  <c r="D157" i="3" s="1"/>
  <c r="D158" i="3" a="1"/>
  <c r="D158" i="3" s="1"/>
  <c r="I158" i="3" a="1"/>
  <c r="I158" i="3" s="1"/>
  <c r="D163" i="3" a="1"/>
  <c r="D163" i="3" s="1"/>
  <c r="E163" i="3" a="1"/>
  <c r="E163" i="3" s="1"/>
  <c r="I163" i="3" a="1"/>
  <c r="I163" i="3" s="1"/>
  <c r="D159" i="3" a="1"/>
  <c r="D159" i="3" s="1"/>
  <c r="I159" i="3" a="1"/>
  <c r="I159" i="3" s="1"/>
  <c r="D161" i="3" a="1"/>
  <c r="D161" i="3" s="1"/>
  <c r="I161" i="3" a="1"/>
  <c r="I161" i="3" s="1"/>
  <c r="E161" i="3" a="1"/>
  <c r="E161" i="3" s="1"/>
  <c r="D160" i="3" a="1"/>
  <c r="D160" i="3" s="1"/>
  <c r="E160" i="3" a="1"/>
  <c r="E160" i="3" s="1"/>
  <c r="I160" i="3" a="1"/>
  <c r="I160" i="3" s="1"/>
  <c r="E162" i="3" a="1"/>
  <c r="E162" i="3" s="1"/>
  <c r="D162" i="3" a="1"/>
  <c r="D162" i="3" s="1"/>
  <c r="I162" i="3" a="1"/>
  <c r="I162" i="3" s="1"/>
  <c r="I156" i="3" a="1"/>
  <c r="I156" i="3" s="1"/>
  <c r="D156" i="3" a="1"/>
  <c r="D156" i="3" s="1"/>
  <c r="B181" i="3" a="1"/>
  <c r="B181" i="3" s="1"/>
  <c r="C183" i="3" a="1"/>
  <c r="C183" i="3" s="1"/>
  <c r="C181" i="3" a="1"/>
  <c r="C181" i="3" s="1"/>
  <c r="B182" i="3" a="1"/>
  <c r="B182" i="3" s="1"/>
  <c r="B185" i="3" a="1"/>
  <c r="B185" i="3" s="1"/>
  <c r="C182" i="3" a="1"/>
  <c r="C182" i="3" s="1"/>
  <c r="B186" i="3" a="1"/>
  <c r="B186" i="3" s="1"/>
  <c r="B184" i="3" a="1"/>
  <c r="B184" i="3" s="1"/>
  <c r="C185" i="3" a="1"/>
  <c r="C185" i="3" s="1"/>
  <c r="C186" i="3" a="1"/>
  <c r="C186" i="3" s="1"/>
  <c r="B183" i="3" a="1"/>
  <c r="B183" i="3" s="1"/>
  <c r="C184" i="3" a="1"/>
  <c r="C184" i="3" s="1"/>
  <c r="B178" i="3" a="1"/>
  <c r="B178" i="3" s="1"/>
  <c r="C178" i="3" a="1"/>
  <c r="C178" i="3" s="1"/>
  <c r="B179" i="3" a="1"/>
  <c r="B179" i="3" s="1"/>
  <c r="C179" i="3" a="1"/>
  <c r="C179" i="3" s="1"/>
  <c r="B180" i="3" a="1"/>
  <c r="B180" i="3" s="1"/>
  <c r="C180" i="3" a="1"/>
  <c r="C180" i="3" s="1"/>
  <c r="B168" i="3" a="1"/>
  <c r="B168" i="3" s="1"/>
  <c r="C170" i="3" a="1"/>
  <c r="C170" i="3" s="1"/>
  <c r="C168" i="3" a="1"/>
  <c r="C168" i="3" s="1"/>
  <c r="C177" i="3" a="1"/>
  <c r="C177" i="3" s="1"/>
  <c r="B172" i="3" a="1"/>
  <c r="B172" i="3" s="1"/>
  <c r="B169" i="3" a="1"/>
  <c r="B169" i="3" s="1"/>
  <c r="B171" i="3" a="1"/>
  <c r="B171" i="3" s="1"/>
  <c r="C169" i="3" a="1"/>
  <c r="C169" i="3" s="1"/>
  <c r="C172" i="3" a="1"/>
  <c r="C172" i="3" s="1"/>
  <c r="B177" i="3" a="1"/>
  <c r="B177" i="3" s="1"/>
  <c r="C171" i="3" a="1"/>
  <c r="C171" i="3" s="1"/>
  <c r="B170" i="3" a="1"/>
  <c r="B170" i="3" s="1"/>
  <c r="I148" i="3" a="1"/>
  <c r="I148" i="3" s="1"/>
  <c r="D148" i="3" a="1"/>
  <c r="D148" i="3" s="1"/>
  <c r="I154" i="3" a="1"/>
  <c r="I154" i="3" s="1"/>
  <c r="D154" i="3" a="1"/>
  <c r="D154" i="3" s="1"/>
  <c r="D147" i="3" a="1"/>
  <c r="D147" i="3" s="1"/>
  <c r="I147" i="3" a="1"/>
  <c r="I147" i="3" s="1"/>
  <c r="I149" i="3" a="1"/>
  <c r="I149" i="3" s="1"/>
  <c r="D149" i="3" a="1"/>
  <c r="D149" i="3" s="1"/>
  <c r="I146" i="3" a="1"/>
  <c r="I146" i="3" s="1"/>
  <c r="D146" i="3" a="1"/>
  <c r="D146" i="3" s="1"/>
  <c r="I155" i="3" a="1"/>
  <c r="I155" i="3" s="1"/>
  <c r="D155" i="3" a="1"/>
  <c r="D155" i="3" s="1"/>
  <c r="I145" i="3" a="1"/>
  <c r="I145" i="3" s="1"/>
  <c r="D145" i="3" a="1"/>
  <c r="D145" i="3" s="1"/>
  <c r="I368" i="3" a="1"/>
  <c r="I368" i="3" s="1"/>
  <c r="I257" i="8" a="1"/>
  <c r="I257" i="8" s="1"/>
  <c r="D257" i="8" a="1"/>
  <c r="D257" i="8" s="1"/>
  <c r="I261" i="8" a="1"/>
  <c r="I261" i="8" s="1"/>
  <c r="E261" i="8" a="1"/>
  <c r="E261" i="8" s="1"/>
  <c r="D261" i="8" a="1"/>
  <c r="D261" i="8" s="1"/>
  <c r="D255" i="8" a="1"/>
  <c r="D255" i="8" s="1"/>
  <c r="I255" i="8" a="1"/>
  <c r="I255" i="8" s="1"/>
  <c r="D263" i="8" a="1"/>
  <c r="D263" i="8" s="1"/>
  <c r="I263" i="8" a="1"/>
  <c r="I263" i="8" s="1"/>
  <c r="E263" i="8" a="1"/>
  <c r="E263" i="8" s="1"/>
  <c r="D258" i="8" a="1"/>
  <c r="D258" i="8" s="1"/>
  <c r="I258" i="8" a="1"/>
  <c r="I258" i="8" s="1"/>
  <c r="D256" i="8" a="1"/>
  <c r="D256" i="8" s="1"/>
  <c r="I256" i="8" a="1"/>
  <c r="I256" i="8" s="1"/>
  <c r="D262" i="8" a="1"/>
  <c r="D262" i="8" s="1"/>
  <c r="I262" i="8" a="1"/>
  <c r="I262" i="8" s="1"/>
  <c r="E262" i="8" a="1"/>
  <c r="E262" i="8" s="1"/>
  <c r="I259" i="8" a="1"/>
  <c r="I259" i="8" s="1"/>
  <c r="D259" i="8" a="1"/>
  <c r="D259" i="8" s="1"/>
  <c r="E260" i="8" a="1"/>
  <c r="E260" i="8" s="1"/>
  <c r="D260" i="8" a="1"/>
  <c r="D260" i="8" s="1"/>
  <c r="I260" i="8" a="1"/>
  <c r="I260" i="8" s="1"/>
  <c r="C268" i="8" a="1"/>
  <c r="C268" i="8" s="1"/>
  <c r="B271" i="8" a="1"/>
  <c r="B271" i="8" s="1"/>
  <c r="C272" i="8" a="1"/>
  <c r="C272" i="8" s="1"/>
  <c r="B267" i="8" a="1"/>
  <c r="B267" i="8" s="1"/>
  <c r="C267" i="8" a="1"/>
  <c r="C267" i="8" s="1"/>
  <c r="B266" i="8" a="1"/>
  <c r="B266" i="8" s="1"/>
  <c r="B269" i="8" a="1"/>
  <c r="B269" i="8" s="1"/>
  <c r="B270" i="8" a="1"/>
  <c r="B270" i="8" s="1"/>
  <c r="C271" i="8" a="1"/>
  <c r="C271" i="8" s="1"/>
  <c r="C269" i="8" a="1"/>
  <c r="C269" i="8" s="1"/>
  <c r="B272" i="8" a="1"/>
  <c r="B272" i="8" s="1"/>
  <c r="C270" i="8" a="1"/>
  <c r="C270" i="8" s="1"/>
  <c r="B268" i="8" a="1"/>
  <c r="B268" i="8" s="1"/>
  <c r="C266" i="8" a="1"/>
  <c r="C266" i="8" s="1"/>
  <c r="B274" i="8"/>
  <c r="E256" i="4"/>
  <c r="G256" i="4"/>
  <c r="H256" i="4"/>
  <c r="E269" i="4"/>
  <c r="G593" i="4"/>
  <c r="C167" i="3" a="1"/>
  <c r="C167" i="3" s="1"/>
  <c r="B167" i="3" a="1"/>
  <c r="B167" i="3" s="1"/>
  <c r="B188" i="3"/>
  <c r="G165" i="3"/>
  <c r="H165" i="3"/>
  <c r="F165" i="3"/>
  <c r="C165" i="3"/>
  <c r="F254" i="4" l="1"/>
  <c r="G254" i="4" s="1"/>
  <c r="F253" i="4"/>
  <c r="G253" i="4" s="1"/>
  <c r="E184" i="3" a="1"/>
  <c r="E184" i="3" s="1"/>
  <c r="I184" i="3" a="1"/>
  <c r="I184" i="3" s="1"/>
  <c r="D184" i="3" a="1"/>
  <c r="D184" i="3" s="1"/>
  <c r="I186" i="3" a="1"/>
  <c r="I186" i="3" s="1"/>
  <c r="D186" i="3" a="1"/>
  <c r="D186" i="3" s="1"/>
  <c r="E186" i="3" a="1"/>
  <c r="E186" i="3" s="1"/>
  <c r="I185" i="3" a="1"/>
  <c r="I185" i="3" s="1"/>
  <c r="D185" i="3" a="1"/>
  <c r="D185" i="3" s="1"/>
  <c r="E185" i="3" a="1"/>
  <c r="E185" i="3" s="1"/>
  <c r="D182" i="3" a="1"/>
  <c r="D182" i="3" s="1"/>
  <c r="I182" i="3" a="1"/>
  <c r="I182" i="3" s="1"/>
  <c r="D183" i="3" a="1"/>
  <c r="D183" i="3" s="1"/>
  <c r="I183" i="3" a="1"/>
  <c r="I183" i="3" s="1"/>
  <c r="I181" i="3" a="1"/>
  <c r="I181" i="3" s="1"/>
  <c r="D181" i="3" a="1"/>
  <c r="D181" i="3" s="1"/>
  <c r="D179" i="3" a="1"/>
  <c r="D179" i="3" s="1"/>
  <c r="I179" i="3" a="1"/>
  <c r="I179" i="3" s="1"/>
  <c r="D180" i="3" a="1"/>
  <c r="D180" i="3" s="1"/>
  <c r="I180" i="3" a="1"/>
  <c r="I180" i="3" s="1"/>
  <c r="I178" i="3" a="1"/>
  <c r="I178" i="3" s="1"/>
  <c r="D178" i="3" a="1"/>
  <c r="D178" i="3" s="1"/>
  <c r="D170" i="3" a="1"/>
  <c r="D170" i="3" s="1"/>
  <c r="I170" i="3" a="1"/>
  <c r="I170" i="3" s="1"/>
  <c r="I177" i="3" a="1"/>
  <c r="I177" i="3" s="1"/>
  <c r="D177" i="3" a="1"/>
  <c r="D177" i="3" s="1"/>
  <c r="D171" i="3" a="1"/>
  <c r="D171" i="3" s="1"/>
  <c r="I171" i="3" a="1"/>
  <c r="I171" i="3" s="1"/>
  <c r="D169" i="3" a="1"/>
  <c r="D169" i="3" s="1"/>
  <c r="I169" i="3" a="1"/>
  <c r="I169" i="3" s="1"/>
  <c r="I172" i="3" a="1"/>
  <c r="I172" i="3" s="1"/>
  <c r="D172" i="3" a="1"/>
  <c r="D172" i="3" s="1"/>
  <c r="I168" i="3" a="1"/>
  <c r="I168" i="3" s="1"/>
  <c r="D168" i="3" a="1"/>
  <c r="D168" i="3" s="1"/>
  <c r="B199" i="3" a="1"/>
  <c r="B199" i="3" s="1"/>
  <c r="C195" i="3" a="1"/>
  <c r="C195" i="3" s="1"/>
  <c r="B198" i="3" a="1"/>
  <c r="B198" i="3" s="1"/>
  <c r="C199" i="3" a="1"/>
  <c r="C199" i="3" s="1"/>
  <c r="B193" i="3" a="1"/>
  <c r="B193" i="3" s="1"/>
  <c r="C198" i="3" a="1"/>
  <c r="C198" i="3" s="1"/>
  <c r="C192" i="3" a="1"/>
  <c r="C192" i="3" s="1"/>
  <c r="C193" i="3" a="1"/>
  <c r="C193" i="3" s="1"/>
  <c r="B196" i="3" a="1"/>
  <c r="B196" i="3" s="1"/>
  <c r="B191" i="3" a="1"/>
  <c r="B191" i="3" s="1"/>
  <c r="C196" i="3" a="1"/>
  <c r="C196" i="3" s="1"/>
  <c r="C191" i="3" a="1"/>
  <c r="C191" i="3" s="1"/>
  <c r="B194" i="3" a="1"/>
  <c r="B194" i="3" s="1"/>
  <c r="B195" i="3" a="1"/>
  <c r="B195" i="3" s="1"/>
  <c r="C194" i="3" a="1"/>
  <c r="C194" i="3" s="1"/>
  <c r="B197" i="3" a="1"/>
  <c r="B197" i="3" s="1"/>
  <c r="B192" i="3" a="1"/>
  <c r="B192" i="3" s="1"/>
  <c r="C197" i="3" a="1"/>
  <c r="C197" i="3" s="1"/>
  <c r="D272" i="8" a="1"/>
  <c r="D272" i="8" s="1"/>
  <c r="I272" i="8" a="1"/>
  <c r="I272" i="8" s="1"/>
  <c r="E272" i="8" a="1"/>
  <c r="E272" i="8" s="1"/>
  <c r="I270" i="8" a="1"/>
  <c r="I270" i="8" s="1"/>
  <c r="D270" i="8" a="1"/>
  <c r="D270" i="8" s="1"/>
  <c r="E270" i="8" a="1"/>
  <c r="E270" i="8" s="1"/>
  <c r="C281" i="8" a="1"/>
  <c r="C281" i="8" s="1"/>
  <c r="B290" i="8" a="1"/>
  <c r="B290" i="8" s="1"/>
  <c r="B289" i="8" a="1"/>
  <c r="B289" i="8" s="1"/>
  <c r="C285" i="8" a="1"/>
  <c r="C285" i="8" s="1"/>
  <c r="B278" i="8" a="1"/>
  <c r="B278" i="8" s="1"/>
  <c r="B279" i="8" a="1"/>
  <c r="B279" i="8" s="1"/>
  <c r="C279" i="8" a="1"/>
  <c r="C279" i="8" s="1"/>
  <c r="B282" i="8" a="1"/>
  <c r="B282" i="8" s="1"/>
  <c r="C276" i="8" a="1"/>
  <c r="C276" i="8" s="1"/>
  <c r="B292" i="8"/>
  <c r="B277" i="8" a="1"/>
  <c r="B277" i="8" s="1"/>
  <c r="B285" i="8" a="1"/>
  <c r="B285" i="8" s="1"/>
  <c r="C291" i="8" a="1"/>
  <c r="C291" i="8" s="1"/>
  <c r="B288" i="8" a="1"/>
  <c r="B288" i="8" s="1"/>
  <c r="C284" i="8" a="1"/>
  <c r="C284" i="8" s="1"/>
  <c r="C278" i="8" a="1"/>
  <c r="C278" i="8" s="1"/>
  <c r="C288" i="8" a="1"/>
  <c r="C288" i="8" s="1"/>
  <c r="C289" i="8" a="1"/>
  <c r="C289" i="8" s="1"/>
  <c r="B291" i="8" a="1"/>
  <c r="B291" i="8" s="1"/>
  <c r="C287" i="8" a="1"/>
  <c r="C287" i="8" s="1"/>
  <c r="C282" i="8" a="1"/>
  <c r="C282" i="8" s="1"/>
  <c r="B283" i="8" a="1"/>
  <c r="B283" i="8" s="1"/>
  <c r="C277" i="8" a="1"/>
  <c r="C277" i="8" s="1"/>
  <c r="B280" i="8" a="1"/>
  <c r="B280" i="8" s="1"/>
  <c r="B276" i="8" a="1"/>
  <c r="B276" i="8" s="1"/>
  <c r="C283" i="8" a="1"/>
  <c r="C283" i="8" s="1"/>
  <c r="B284" i="8" a="1"/>
  <c r="B284" i="8" s="1"/>
  <c r="B287" i="8" a="1"/>
  <c r="B287" i="8" s="1"/>
  <c r="C290" i="8" a="1"/>
  <c r="C290" i="8" s="1"/>
  <c r="C286" i="8" a="1"/>
  <c r="C286" i="8" s="1"/>
  <c r="C280" i="8" a="1"/>
  <c r="C280" i="8" s="1"/>
  <c r="B281" i="8" a="1"/>
  <c r="B281" i="8" s="1"/>
  <c r="B286" i="8" a="1"/>
  <c r="B286" i="8" s="1"/>
  <c r="D269" i="8" a="1"/>
  <c r="D269" i="8" s="1"/>
  <c r="I269" i="8" a="1"/>
  <c r="I269" i="8" s="1"/>
  <c r="D271" i="8" a="1"/>
  <c r="D271" i="8" s="1"/>
  <c r="I271" i="8" a="1"/>
  <c r="I271" i="8" s="1"/>
  <c r="E271" i="8" a="1"/>
  <c r="E271" i="8" s="1"/>
  <c r="C190" i="3" a="1"/>
  <c r="C190" i="3" s="1"/>
  <c r="B190" i="3" a="1"/>
  <c r="B190" i="3" s="1"/>
  <c r="B201" i="3"/>
  <c r="H188" i="3"/>
  <c r="F188" i="3"/>
  <c r="G188" i="3"/>
  <c r="C188" i="3"/>
  <c r="C387" i="3" a="1"/>
  <c r="C387" i="3" s="1"/>
  <c r="I392" i="3" a="1"/>
  <c r="I392" i="3" s="1"/>
  <c r="C388" i="3" a="1"/>
  <c r="C388" i="3" s="1"/>
  <c r="I393" i="3" a="1"/>
  <c r="I393" i="3" s="1"/>
  <c r="C385" i="3" a="1"/>
  <c r="C385" i="3" s="1"/>
  <c r="C389" i="3" a="1"/>
  <c r="C389" i="3" s="1"/>
  <c r="C384" i="3" a="1"/>
  <c r="C384" i="3" s="1"/>
  <c r="B384" i="3" a="1"/>
  <c r="B384" i="3" s="1"/>
  <c r="C386" i="3" a="1"/>
  <c r="C386" i="3" s="1"/>
  <c r="G606" i="4"/>
  <c r="C216" i="3" l="1" a="1"/>
  <c r="C216" i="3" s="1"/>
  <c r="B208" i="3" a="1"/>
  <c r="B208" i="3" s="1"/>
  <c r="B214" i="3" a="1"/>
  <c r="B214" i="3" s="1"/>
  <c r="C208" i="3" a="1"/>
  <c r="C208" i="3" s="1"/>
  <c r="C214" i="3" a="1"/>
  <c r="C214" i="3" s="1"/>
  <c r="B217" i="3" a="1"/>
  <c r="B217" i="3" s="1"/>
  <c r="B219" i="3" a="1"/>
  <c r="B219" i="3" s="1"/>
  <c r="B221" i="3" a="1"/>
  <c r="B221" i="3" s="1"/>
  <c r="C217" i="3" a="1"/>
  <c r="C217" i="3" s="1"/>
  <c r="C219" i="3" a="1"/>
  <c r="C219" i="3" s="1"/>
  <c r="B213" i="3" a="1"/>
  <c r="B213" i="3" s="1"/>
  <c r="C221" i="3" a="1"/>
  <c r="C221" i="3" s="1"/>
  <c r="B215" i="3" a="1"/>
  <c r="B215" i="3" s="1"/>
  <c r="C213" i="3" a="1"/>
  <c r="C213" i="3" s="1"/>
  <c r="C215" i="3" a="1"/>
  <c r="C215" i="3" s="1"/>
  <c r="B218" i="3" a="1"/>
  <c r="B218" i="3" s="1"/>
  <c r="B220" i="3" a="1"/>
  <c r="B220" i="3" s="1"/>
  <c r="B222" i="3" a="1"/>
  <c r="B222" i="3" s="1"/>
  <c r="C220" i="3" a="1"/>
  <c r="C220" i="3" s="1"/>
  <c r="C222" i="3" a="1"/>
  <c r="C222" i="3" s="1"/>
  <c r="B216" i="3" a="1"/>
  <c r="B216" i="3" s="1"/>
  <c r="C218" i="3" a="1"/>
  <c r="C218" i="3" s="1"/>
  <c r="F267" i="4"/>
  <c r="G267" i="4" s="1"/>
  <c r="F266" i="4"/>
  <c r="G266" i="4" s="1"/>
  <c r="D197" i="3" a="1"/>
  <c r="D197" i="3" s="1"/>
  <c r="I197" i="3" a="1"/>
  <c r="I197" i="3" s="1"/>
  <c r="D195" i="3" a="1"/>
  <c r="D195" i="3" s="1"/>
  <c r="I195" i="3" a="1"/>
  <c r="I195" i="3" s="1"/>
  <c r="D194" i="3" a="1"/>
  <c r="D194" i="3" s="1"/>
  <c r="I194" i="3" a="1"/>
  <c r="I194" i="3" s="1"/>
  <c r="D193" i="3" a="1"/>
  <c r="D193" i="3" s="1"/>
  <c r="I193" i="3" a="1"/>
  <c r="I193" i="3" s="1"/>
  <c r="B205" i="3" a="1"/>
  <c r="B205" i="3" s="1"/>
  <c r="C207" i="3" a="1"/>
  <c r="C207" i="3" s="1"/>
  <c r="C205" i="3" a="1"/>
  <c r="C205" i="3" s="1"/>
  <c r="B206" i="3" a="1"/>
  <c r="B206" i="3" s="1"/>
  <c r="C206" i="3" a="1"/>
  <c r="C206" i="3" s="1"/>
  <c r="B204" i="3" a="1"/>
  <c r="B204" i="3" s="1"/>
  <c r="C204" i="3" a="1"/>
  <c r="C204" i="3" s="1"/>
  <c r="B207" i="3" a="1"/>
  <c r="B207" i="3" s="1"/>
  <c r="D198" i="3" a="1"/>
  <c r="D198" i="3" s="1"/>
  <c r="I198" i="3" a="1"/>
  <c r="I198" i="3" s="1"/>
  <c r="D191" i="3" a="1"/>
  <c r="D191" i="3" s="1"/>
  <c r="I191" i="3" a="1"/>
  <c r="I191" i="3" s="1"/>
  <c r="I192" i="3" a="1"/>
  <c r="I192" i="3" s="1"/>
  <c r="D192" i="3" a="1"/>
  <c r="D192" i="3" s="1"/>
  <c r="D196" i="3" a="1"/>
  <c r="D196" i="3" s="1"/>
  <c r="I196" i="3" a="1"/>
  <c r="I196" i="3" s="1"/>
  <c r="I199" i="3" a="1"/>
  <c r="I199" i="3" s="1"/>
  <c r="D199" i="3" a="1"/>
  <c r="D199" i="3" s="1"/>
  <c r="I288" i="8" a="1"/>
  <c r="I288" i="8" s="1"/>
  <c r="E288" i="8" a="1"/>
  <c r="E288" i="8" s="1"/>
  <c r="D288" i="8" a="1"/>
  <c r="D288" i="8" s="1"/>
  <c r="D287" i="8" a="1"/>
  <c r="D287" i="8" s="1"/>
  <c r="E287" i="8" a="1"/>
  <c r="E287" i="8" s="1"/>
  <c r="I287" i="8" a="1"/>
  <c r="I287" i="8" s="1"/>
  <c r="I284" i="8" a="1"/>
  <c r="I284" i="8" s="1"/>
  <c r="D284" i="8" a="1"/>
  <c r="D284" i="8" s="1"/>
  <c r="D291" i="8" a="1"/>
  <c r="D291" i="8" s="1"/>
  <c r="E291" i="8" a="1"/>
  <c r="E291" i="8" s="1"/>
  <c r="I291" i="8" a="1"/>
  <c r="I291" i="8" s="1"/>
  <c r="D286" i="8" a="1"/>
  <c r="D286" i="8" s="1"/>
  <c r="E286" i="8" a="1"/>
  <c r="E286" i="8" s="1"/>
  <c r="I286" i="8" a="1"/>
  <c r="I286" i="8" s="1"/>
  <c r="D285" i="8" a="1"/>
  <c r="D285" i="8" s="1"/>
  <c r="I285" i="8" a="1"/>
  <c r="I285" i="8" s="1"/>
  <c r="E285" i="8" a="1"/>
  <c r="E285" i="8" s="1"/>
  <c r="B296" i="8" a="1"/>
  <c r="B296" i="8" s="1"/>
  <c r="B298" i="8" a="1"/>
  <c r="B298" i="8" s="1"/>
  <c r="C307" i="8" a="1"/>
  <c r="C307" i="8" s="1"/>
  <c r="C301" i="8" a="1"/>
  <c r="C301" i="8" s="1"/>
  <c r="B294" i="8" a="1"/>
  <c r="B294" i="8" s="1"/>
  <c r="B304" i="8" a="1"/>
  <c r="B304" i="8" s="1"/>
  <c r="B306" i="8" a="1"/>
  <c r="B306" i="8" s="1"/>
  <c r="B300" i="8" a="1"/>
  <c r="B300" i="8" s="1"/>
  <c r="C309" i="8" a="1"/>
  <c r="C309" i="8" s="1"/>
  <c r="C296" i="8" a="1"/>
  <c r="C296" i="8" s="1"/>
  <c r="C298" i="8" a="1"/>
  <c r="C298" i="8" s="1"/>
  <c r="B308" i="8" a="1"/>
  <c r="B308" i="8" s="1"/>
  <c r="B302" i="8" a="1"/>
  <c r="B302" i="8" s="1"/>
  <c r="C304" i="8" a="1"/>
  <c r="C304" i="8" s="1"/>
  <c r="C306" i="8" a="1"/>
  <c r="C306" i="8" s="1"/>
  <c r="C300" i="8" a="1"/>
  <c r="C300" i="8" s="1"/>
  <c r="C302" i="8" a="1"/>
  <c r="C302" i="8" s="1"/>
  <c r="B297" i="8" a="1"/>
  <c r="B297" i="8" s="1"/>
  <c r="B299" i="8" a="1"/>
  <c r="B299" i="8" s="1"/>
  <c r="C308" i="8" a="1"/>
  <c r="C308" i="8" s="1"/>
  <c r="C294" i="8" a="1"/>
  <c r="C294" i="8" s="1"/>
  <c r="B305" i="8" a="1"/>
  <c r="B305" i="8" s="1"/>
  <c r="B307" i="8" a="1"/>
  <c r="B307" i="8" s="1"/>
  <c r="B301" i="8" a="1"/>
  <c r="B301" i="8" s="1"/>
  <c r="B310" i="8"/>
  <c r="C295" i="8" a="1"/>
  <c r="C295" i="8" s="1"/>
  <c r="C297" i="8" a="1"/>
  <c r="C297" i="8" s="1"/>
  <c r="B295" i="8" a="1"/>
  <c r="B295" i="8" s="1"/>
  <c r="B309" i="8" a="1"/>
  <c r="B309" i="8" s="1"/>
  <c r="C303" i="8" a="1"/>
  <c r="C303" i="8" s="1"/>
  <c r="C305" i="8" a="1"/>
  <c r="C305" i="8" s="1"/>
  <c r="C299" i="8" a="1"/>
  <c r="C299" i="8" s="1"/>
  <c r="B303" i="8" a="1"/>
  <c r="B303" i="8" s="1"/>
  <c r="E289" i="8" a="1"/>
  <c r="E289" i="8" s="1"/>
  <c r="I289" i="8" a="1"/>
  <c r="I289" i="8" s="1"/>
  <c r="D289" i="8" a="1"/>
  <c r="D289" i="8" s="1"/>
  <c r="D283" i="8" a="1"/>
  <c r="D283" i="8" s="1"/>
  <c r="I283" i="8" a="1"/>
  <c r="I283" i="8" s="1"/>
  <c r="E290" i="8" a="1"/>
  <c r="E290" i="8" s="1"/>
  <c r="D290" i="8" a="1"/>
  <c r="D290" i="8" s="1"/>
  <c r="I290" i="8" a="1"/>
  <c r="I290" i="8" s="1"/>
  <c r="F645" i="4"/>
  <c r="G645" i="4" s="1"/>
  <c r="F643" i="4"/>
  <c r="G643" i="4" s="1"/>
  <c r="F641" i="4"/>
  <c r="G641" i="4" s="1"/>
  <c r="F639" i="4"/>
  <c r="G639" i="4" s="1"/>
  <c r="F649" i="4"/>
  <c r="G649" i="4" s="1"/>
  <c r="F647" i="4"/>
  <c r="G647" i="4" s="1"/>
  <c r="F651" i="4"/>
  <c r="G651" i="4" s="1"/>
  <c r="I390" i="3" a="1"/>
  <c r="I390" i="3" s="1"/>
  <c r="D390" i="3" a="1"/>
  <c r="D390" i="3" s="1"/>
  <c r="B203" i="3" a="1"/>
  <c r="B203" i="3" s="1"/>
  <c r="C203" i="3" a="1"/>
  <c r="C203" i="3" s="1"/>
  <c r="B224" i="3"/>
  <c r="G201" i="3"/>
  <c r="F201" i="3"/>
  <c r="H201" i="3"/>
  <c r="C201" i="3"/>
  <c r="D392" i="3" a="1"/>
  <c r="D392" i="3" s="1"/>
  <c r="B246" i="3" l="1" a="1"/>
  <c r="B246" i="3" s="1"/>
  <c r="C246" i="3" a="1"/>
  <c r="C246" i="3" s="1"/>
  <c r="B247" i="3" a="1"/>
  <c r="B247" i="3" s="1"/>
  <c r="C247" i="3" a="1"/>
  <c r="C247" i="3" s="1"/>
  <c r="B248" i="3" a="1"/>
  <c r="B248" i="3" s="1"/>
  <c r="C248" i="3" a="1"/>
  <c r="C248" i="3" s="1"/>
  <c r="D218" i="3" a="1"/>
  <c r="D218" i="3" s="1"/>
  <c r="I218" i="3" a="1"/>
  <c r="I218" i="3" s="1"/>
  <c r="E218" i="3" a="1"/>
  <c r="E218" i="3" s="1"/>
  <c r="I221" i="3" a="1"/>
  <c r="I221" i="3" s="1"/>
  <c r="D221" i="3" a="1"/>
  <c r="D221" i="3" s="1"/>
  <c r="E221" i="3" a="1"/>
  <c r="E221" i="3" s="1"/>
  <c r="D219" i="3" a="1"/>
  <c r="D219" i="3" s="1"/>
  <c r="I219" i="3" a="1"/>
  <c r="I219" i="3" s="1"/>
  <c r="E219" i="3" a="1"/>
  <c r="E219" i="3" s="1"/>
  <c r="I217" i="3" a="1"/>
  <c r="I217" i="3" s="1"/>
  <c r="D217" i="3" a="1"/>
  <c r="D217" i="3" s="1"/>
  <c r="I216" i="3" a="1"/>
  <c r="I216" i="3" s="1"/>
  <c r="D216" i="3" a="1"/>
  <c r="D216" i="3" s="1"/>
  <c r="D215" i="3" a="1"/>
  <c r="D215" i="3" s="1"/>
  <c r="I215" i="3" a="1"/>
  <c r="I215" i="3" s="1"/>
  <c r="B245" i="3" a="1"/>
  <c r="B245" i="3" s="1"/>
  <c r="C245" i="3" a="1"/>
  <c r="C245" i="3" s="1"/>
  <c r="I213" i="3" a="1"/>
  <c r="I213" i="3" s="1"/>
  <c r="D213" i="3" a="1"/>
  <c r="D213" i="3" s="1"/>
  <c r="I214" i="3" a="1"/>
  <c r="I214" i="3" s="1"/>
  <c r="D214" i="3" a="1"/>
  <c r="D214" i="3" s="1"/>
  <c r="D222" i="3" a="1"/>
  <c r="D222" i="3" s="1"/>
  <c r="E222" i="3" a="1"/>
  <c r="E222" i="3" s="1"/>
  <c r="I222" i="3" a="1"/>
  <c r="I222" i="3" s="1"/>
  <c r="I208" i="3" a="1"/>
  <c r="I208" i="3" s="1"/>
  <c r="D208" i="3" a="1"/>
  <c r="D208" i="3" s="1"/>
  <c r="I220" i="3" a="1"/>
  <c r="I220" i="3" s="1"/>
  <c r="D220" i="3" a="1"/>
  <c r="D220" i="3" s="1"/>
  <c r="E220" i="3" a="1"/>
  <c r="E220" i="3" s="1"/>
  <c r="F286" i="4"/>
  <c r="G286" i="4" s="1"/>
  <c r="F284" i="4"/>
  <c r="G284" i="4" s="1"/>
  <c r="F285" i="4"/>
  <c r="G285" i="4" s="1"/>
  <c r="F282" i="4"/>
  <c r="G282" i="4" s="1"/>
  <c r="F283" i="4"/>
  <c r="G283" i="4" s="1"/>
  <c r="I207" i="3" a="1"/>
  <c r="I207" i="3" s="1"/>
  <c r="D207" i="3" a="1"/>
  <c r="D207" i="3" s="1"/>
  <c r="I205" i="3" a="1"/>
  <c r="I205" i="3" s="1"/>
  <c r="D205" i="3" a="1"/>
  <c r="D205" i="3" s="1"/>
  <c r="D206" i="3" a="1"/>
  <c r="D206" i="3" s="1"/>
  <c r="I206" i="3" a="1"/>
  <c r="I206" i="3" s="1"/>
  <c r="B227" i="3" a="1"/>
  <c r="B227" i="3" s="1"/>
  <c r="C229" i="3" a="1"/>
  <c r="C229" i="3" s="1"/>
  <c r="C231" i="3" a="1"/>
  <c r="C231" i="3" s="1"/>
  <c r="C233" i="3" a="1"/>
  <c r="C233" i="3" s="1"/>
  <c r="B235" i="3" a="1"/>
  <c r="B235" i="3" s="1"/>
  <c r="C237" i="3" a="1"/>
  <c r="C237" i="3" s="1"/>
  <c r="C243" i="3" a="1"/>
  <c r="C243" i="3" s="1"/>
  <c r="C227" i="3" a="1"/>
  <c r="C227" i="3" s="1"/>
  <c r="C235" i="3" a="1"/>
  <c r="C235" i="3" s="1"/>
  <c r="B240" i="3" a="1"/>
  <c r="B240" i="3" s="1"/>
  <c r="B242" i="3" a="1"/>
  <c r="B242" i="3" s="1"/>
  <c r="B243" i="3" a="1"/>
  <c r="B243" i="3" s="1"/>
  <c r="B230" i="3" a="1"/>
  <c r="B230" i="3" s="1"/>
  <c r="B232" i="3" a="1"/>
  <c r="B232" i="3" s="1"/>
  <c r="B234" i="3" a="1"/>
  <c r="B234" i="3" s="1"/>
  <c r="B238" i="3" a="1"/>
  <c r="B238" i="3" s="1"/>
  <c r="B244" i="3" a="1"/>
  <c r="B244" i="3" s="1"/>
  <c r="B228" i="3" a="1"/>
  <c r="B228" i="3" s="1"/>
  <c r="B236" i="3" a="1"/>
  <c r="B236" i="3" s="1"/>
  <c r="C238" i="3" a="1"/>
  <c r="C238" i="3" s="1"/>
  <c r="C240" i="3" a="1"/>
  <c r="C240" i="3" s="1"/>
  <c r="C242" i="3" a="1"/>
  <c r="C242" i="3" s="1"/>
  <c r="C244" i="3" a="1"/>
  <c r="C244" i="3" s="1"/>
  <c r="B229" i="3" a="1"/>
  <c r="B229" i="3" s="1"/>
  <c r="C239" i="3" a="1"/>
  <c r="C239" i="3" s="1"/>
  <c r="C228" i="3" a="1"/>
  <c r="C228" i="3" s="1"/>
  <c r="C230" i="3" a="1"/>
  <c r="C230" i="3" s="1"/>
  <c r="C232" i="3" a="1"/>
  <c r="C232" i="3" s="1"/>
  <c r="C234" i="3" a="1"/>
  <c r="C234" i="3" s="1"/>
  <c r="C236" i="3" a="1"/>
  <c r="C236" i="3" s="1"/>
  <c r="B237" i="3" a="1"/>
  <c r="B237" i="3" s="1"/>
  <c r="C241" i="3" a="1"/>
  <c r="C241" i="3" s="1"/>
  <c r="B239" i="3" a="1"/>
  <c r="B239" i="3" s="1"/>
  <c r="B241" i="3" a="1"/>
  <c r="B241" i="3" s="1"/>
  <c r="B231" i="3" a="1"/>
  <c r="B231" i="3" s="1"/>
  <c r="B233" i="3" a="1"/>
  <c r="B233" i="3" s="1"/>
  <c r="D204" i="3" a="1"/>
  <c r="D204" i="3" s="1"/>
  <c r="I204" i="3" a="1"/>
  <c r="I204" i="3" s="1"/>
  <c r="C327" i="8" a="1"/>
  <c r="C327" i="8" s="1"/>
  <c r="B321" i="8" a="1"/>
  <c r="B321" i="8" s="1"/>
  <c r="B312" i="8" a="1"/>
  <c r="B312" i="8" s="1"/>
  <c r="C312" i="8" a="1"/>
  <c r="C312" i="8" s="1"/>
  <c r="B325" i="8" a="1"/>
  <c r="B325" i="8" s="1"/>
  <c r="C315" i="8" a="1"/>
  <c r="C315" i="8" s="1"/>
  <c r="B322" i="8" a="1"/>
  <c r="B322" i="8" s="1"/>
  <c r="B328" i="8"/>
  <c r="B316" i="8" a="1"/>
  <c r="B316" i="8" s="1"/>
  <c r="B313" i="8" a="1"/>
  <c r="B313" i="8" s="1"/>
  <c r="C321" i="8" a="1"/>
  <c r="C321" i="8" s="1"/>
  <c r="C326" i="8" a="1"/>
  <c r="C326" i="8" s="1"/>
  <c r="C313" i="8" a="1"/>
  <c r="C313" i="8" s="1"/>
  <c r="C325" i="8" a="1"/>
  <c r="C325" i="8" s="1"/>
  <c r="C320" i="8" a="1"/>
  <c r="C320" i="8" s="1"/>
  <c r="C324" i="8" a="1"/>
  <c r="C324" i="8" s="1"/>
  <c r="C314" i="8" a="1"/>
  <c r="C314" i="8" s="1"/>
  <c r="B323" i="8" a="1"/>
  <c r="B323" i="8" s="1"/>
  <c r="C319" i="8" a="1"/>
  <c r="C319" i="8" s="1"/>
  <c r="B314" i="8" a="1"/>
  <c r="B314" i="8" s="1"/>
  <c r="B326" i="8" a="1"/>
  <c r="B326" i="8" s="1"/>
  <c r="C317" i="8" a="1"/>
  <c r="C317" i="8" s="1"/>
  <c r="B320" i="8" a="1"/>
  <c r="B320" i="8" s="1"/>
  <c r="B327" i="8" a="1"/>
  <c r="B327" i="8" s="1"/>
  <c r="B319" i="8" a="1"/>
  <c r="B319" i="8" s="1"/>
  <c r="B315" i="8" a="1"/>
  <c r="B315" i="8" s="1"/>
  <c r="C318" i="8" a="1"/>
  <c r="C318" i="8" s="1"/>
  <c r="C322" i="8" a="1"/>
  <c r="C322" i="8" s="1"/>
  <c r="B317" i="8" a="1"/>
  <c r="B317" i="8" s="1"/>
  <c r="C323" i="8" a="1"/>
  <c r="C323" i="8" s="1"/>
  <c r="B324" i="8" a="1"/>
  <c r="B324" i="8" s="1"/>
  <c r="C316" i="8" a="1"/>
  <c r="C316" i="8" s="1"/>
  <c r="B318" i="8" a="1"/>
  <c r="B318" i="8" s="1"/>
  <c r="G648" i="4"/>
  <c r="G642" i="4"/>
  <c r="G650" i="4"/>
  <c r="G646" i="4"/>
  <c r="G652" i="4"/>
  <c r="G640" i="4"/>
  <c r="G644" i="4"/>
  <c r="G258" i="4"/>
  <c r="B226" i="3" a="1"/>
  <c r="B226" i="3" s="1"/>
  <c r="C226" i="3" a="1"/>
  <c r="C226" i="3" s="1"/>
  <c r="B250" i="3"/>
  <c r="F670" i="4"/>
  <c r="F656" i="4"/>
  <c r="F666" i="4"/>
  <c r="F706" i="4"/>
  <c r="F697" i="4"/>
  <c r="F672" i="4"/>
  <c r="F664" i="4"/>
  <c r="F690" i="4"/>
  <c r="F713" i="4"/>
  <c r="F687" i="4"/>
  <c r="F679" i="4"/>
  <c r="F689" i="4"/>
  <c r="F719" i="4"/>
  <c r="F669" i="4"/>
  <c r="F695" i="4"/>
  <c r="F701" i="4"/>
  <c r="F693" i="4"/>
  <c r="F708" i="4"/>
  <c r="F658" i="4"/>
  <c r="F662" i="4"/>
  <c r="F711" i="4"/>
  <c r="F661" i="4"/>
  <c r="F710" i="4"/>
  <c r="F692" i="4"/>
  <c r="F663" i="4"/>
  <c r="F705" i="4"/>
  <c r="F678" i="4"/>
  <c r="F707" i="4"/>
  <c r="F685" i="4"/>
  <c r="F702" i="4"/>
  <c r="F684" i="4"/>
  <c r="F668" i="4"/>
  <c r="F686" i="4"/>
  <c r="F677" i="4"/>
  <c r="F709" i="4"/>
  <c r="F675" i="4"/>
  <c r="F717" i="4"/>
  <c r="F716" i="4"/>
  <c r="F691" i="4"/>
  <c r="F718" i="4"/>
  <c r="F700" i="4"/>
  <c r="F704" i="4"/>
  <c r="F698" i="4"/>
  <c r="F657" i="4"/>
  <c r="F660" i="4"/>
  <c r="F659" i="4"/>
  <c r="F676" i="4"/>
  <c r="F703" i="4"/>
  <c r="F680" i="4"/>
  <c r="F683" i="4"/>
  <c r="F665" i="4"/>
  <c r="F682" i="4"/>
  <c r="F673" i="4"/>
  <c r="F699" i="4"/>
  <c r="F671" i="4"/>
  <c r="F712" i="4"/>
  <c r="F688" i="4"/>
  <c r="F715" i="4"/>
  <c r="F674" i="4"/>
  <c r="F714" i="4"/>
  <c r="F696" i="4"/>
  <c r="F667" i="4"/>
  <c r="F694" i="4"/>
  <c r="F681" i="4"/>
  <c r="F312" i="4" l="1"/>
  <c r="G312" i="4" s="1"/>
  <c r="D248" i="3" a="1"/>
  <c r="D248" i="3" s="1"/>
  <c r="I248" i="3" a="1"/>
  <c r="I248" i="3" s="1"/>
  <c r="E248" i="3" a="1"/>
  <c r="E248" i="3" s="1"/>
  <c r="I247" i="3" a="1"/>
  <c r="I247" i="3" s="1"/>
  <c r="D247" i="3" a="1"/>
  <c r="D247" i="3" s="1"/>
  <c r="I246" i="3" a="1"/>
  <c r="I246" i="3" s="1"/>
  <c r="D246" i="3" a="1"/>
  <c r="D246" i="3" s="1"/>
  <c r="D245" i="3" a="1"/>
  <c r="D245" i="3" s="1"/>
  <c r="I245" i="3" a="1"/>
  <c r="I245" i="3" s="1"/>
  <c r="B253" i="3" a="1"/>
  <c r="B253" i="3" s="1"/>
  <c r="C258" i="3" a="1"/>
  <c r="C258" i="3" s="1"/>
  <c r="C253" i="3" a="1"/>
  <c r="C253" i="3" s="1"/>
  <c r="B256" i="3" a="1"/>
  <c r="B256" i="3" s="1"/>
  <c r="C255" i="3" a="1"/>
  <c r="C255" i="3" s="1"/>
  <c r="C256" i="3" a="1"/>
  <c r="C256" i="3" s="1"/>
  <c r="B254" i="3" a="1"/>
  <c r="B254" i="3" s="1"/>
  <c r="C254" i="3" a="1"/>
  <c r="C254" i="3" s="1"/>
  <c r="B257" i="3" a="1"/>
  <c r="B257" i="3" s="1"/>
  <c r="C257" i="3" a="1"/>
  <c r="C257" i="3" s="1"/>
  <c r="B255" i="3" a="1"/>
  <c r="B255" i="3" s="1"/>
  <c r="B258" i="3" a="1"/>
  <c r="B258" i="3" s="1"/>
  <c r="F313" i="4"/>
  <c r="G313" i="4" s="1"/>
  <c r="I232" i="3" a="1"/>
  <c r="I232" i="3" s="1"/>
  <c r="I230" i="3" a="1"/>
  <c r="I230" i="3" s="1"/>
  <c r="I240" i="3" a="1"/>
  <c r="I240" i="3" s="1"/>
  <c r="D231" i="3" a="1"/>
  <c r="D231" i="3" s="1"/>
  <c r="I231" i="3" a="1"/>
  <c r="I231" i="3" s="1"/>
  <c r="D238" i="3" a="1"/>
  <c r="D238" i="3" s="1"/>
  <c r="I238" i="3" a="1"/>
  <c r="I238" i="3" s="1"/>
  <c r="D240" i="3" a="1"/>
  <c r="D240" i="3" s="1"/>
  <c r="D241" i="3" a="1"/>
  <c r="D241" i="3" s="1"/>
  <c r="I241" i="3" a="1"/>
  <c r="I241" i="3" s="1"/>
  <c r="D234" i="3" a="1"/>
  <c r="D234" i="3" s="1"/>
  <c r="I234" i="3" a="1"/>
  <c r="I234" i="3" s="1"/>
  <c r="D239" i="3" a="1"/>
  <c r="D239" i="3" s="1"/>
  <c r="I239" i="3" a="1"/>
  <c r="I239" i="3" s="1"/>
  <c r="D232" i="3" a="1"/>
  <c r="D232" i="3" s="1"/>
  <c r="D227" i="3" a="1"/>
  <c r="D227" i="3" s="1"/>
  <c r="I227" i="3" a="1"/>
  <c r="I227" i="3" s="1"/>
  <c r="I236" i="3" a="1"/>
  <c r="I236" i="3" s="1"/>
  <c r="D236" i="3" a="1"/>
  <c r="D236" i="3" s="1"/>
  <c r="D230" i="3" a="1"/>
  <c r="D230" i="3" s="1"/>
  <c r="I228" i="3" a="1"/>
  <c r="I228" i="3" s="1"/>
  <c r="D228" i="3" a="1"/>
  <c r="D228" i="3" s="1"/>
  <c r="I243" i="3" a="1"/>
  <c r="I243" i="3" s="1"/>
  <c r="D243" i="3" a="1"/>
  <c r="D243" i="3" s="1"/>
  <c r="D237" i="3" a="1"/>
  <c r="D237" i="3" s="1"/>
  <c r="I237" i="3" a="1"/>
  <c r="I237" i="3" s="1"/>
  <c r="I229" i="3" a="1"/>
  <c r="I229" i="3" s="1"/>
  <c r="D229" i="3" a="1"/>
  <c r="D229" i="3" s="1"/>
  <c r="I235" i="3" a="1"/>
  <c r="I235" i="3" s="1"/>
  <c r="D235" i="3" a="1"/>
  <c r="D235" i="3" s="1"/>
  <c r="D233" i="3" a="1"/>
  <c r="D233" i="3" s="1"/>
  <c r="I233" i="3" a="1"/>
  <c r="I233" i="3" s="1"/>
  <c r="I244" i="3" a="1"/>
  <c r="I244" i="3" s="1"/>
  <c r="D244" i="3" a="1"/>
  <c r="D244" i="3" s="1"/>
  <c r="D242" i="3" a="1"/>
  <c r="D242" i="3" s="1"/>
  <c r="I242" i="3" a="1"/>
  <c r="I242" i="3" s="1"/>
  <c r="I326" i="8" a="1"/>
  <c r="I326" i="8" s="1"/>
  <c r="E326" i="8" a="1"/>
  <c r="E326" i="8" s="1"/>
  <c r="D326" i="8" a="1"/>
  <c r="D326" i="8" s="1"/>
  <c r="D325" i="8" a="1"/>
  <c r="D325" i="8" s="1"/>
  <c r="I325" i="8" a="1"/>
  <c r="I325" i="8" s="1"/>
  <c r="E325" i="8" a="1"/>
  <c r="E325" i="8" s="1"/>
  <c r="I323" i="8" a="1"/>
  <c r="I323" i="8" s="1"/>
  <c r="D323" i="8" a="1"/>
  <c r="D323" i="8" s="1"/>
  <c r="D321" i="8" a="1"/>
  <c r="D321" i="8" s="1"/>
  <c r="E327" i="8" a="1"/>
  <c r="E327" i="8" s="1"/>
  <c r="D327" i="8" a="1"/>
  <c r="D327" i="8" s="1"/>
  <c r="I327" i="8" a="1"/>
  <c r="I327" i="8" s="1"/>
  <c r="C338" i="8" a="1"/>
  <c r="C338" i="8" s="1"/>
  <c r="B332" i="8" a="1"/>
  <c r="B332" i="8" s="1"/>
  <c r="B338" i="8" a="1"/>
  <c r="B338" i="8" s="1"/>
  <c r="C342" i="8" a="1"/>
  <c r="C342" i="8" s="1"/>
  <c r="B336" i="8" a="1"/>
  <c r="B336" i="8" s="1"/>
  <c r="B331" i="8" a="1"/>
  <c r="B331" i="8" s="1"/>
  <c r="B335" i="8" a="1"/>
  <c r="B335" i="8" s="1"/>
  <c r="C334" i="8" a="1"/>
  <c r="C334" i="8" s="1"/>
  <c r="C330" i="8" a="1"/>
  <c r="C330" i="8" s="1"/>
  <c r="B330" i="8" a="1"/>
  <c r="B330" i="8" s="1"/>
  <c r="C341" i="8" a="1"/>
  <c r="C341" i="8" s="1"/>
  <c r="C340" i="8" a="1"/>
  <c r="C340" i="8" s="1"/>
  <c r="C344" i="8" a="1"/>
  <c r="C344" i="8" s="1"/>
  <c r="C345" i="8" a="1"/>
  <c r="C345" i="8" s="1"/>
  <c r="B345" i="8" a="1"/>
  <c r="B345" i="8" s="1"/>
  <c r="C333" i="8" a="1"/>
  <c r="C333" i="8" s="1"/>
  <c r="C332" i="8" a="1"/>
  <c r="C332" i="8" s="1"/>
  <c r="B342" i="8" a="1"/>
  <c r="B342" i="8" s="1"/>
  <c r="B333" i="8" a="1"/>
  <c r="B333" i="8" s="1"/>
  <c r="B337" i="8" a="1"/>
  <c r="B337" i="8" s="1"/>
  <c r="B341" i="8" a="1"/>
  <c r="B341" i="8" s="1"/>
  <c r="C336" i="8" a="1"/>
  <c r="C336" i="8" s="1"/>
  <c r="C331" i="8" a="1"/>
  <c r="C331" i="8" s="1"/>
  <c r="C335" i="8" a="1"/>
  <c r="C335" i="8" s="1"/>
  <c r="C339" i="8" a="1"/>
  <c r="C339" i="8" s="1"/>
  <c r="B334" i="8" a="1"/>
  <c r="B334" i="8" s="1"/>
  <c r="B347" i="8"/>
  <c r="B343" i="8" a="1"/>
  <c r="B343" i="8" s="1"/>
  <c r="B339" i="8" a="1"/>
  <c r="B339" i="8" s="1"/>
  <c r="B344" i="8" a="1"/>
  <c r="B344" i="8" s="1"/>
  <c r="C343" i="8" a="1"/>
  <c r="C343" i="8" s="1"/>
  <c r="B340" i="8" a="1"/>
  <c r="B340" i="8" s="1"/>
  <c r="C337" i="8" a="1"/>
  <c r="C337" i="8" s="1"/>
  <c r="I324" i="8" a="1"/>
  <c r="I324" i="8" s="1"/>
  <c r="E324" i="8" a="1"/>
  <c r="E324" i="8" s="1"/>
  <c r="D324" i="8" a="1"/>
  <c r="D324" i="8" s="1"/>
  <c r="I322" i="8" a="1"/>
  <c r="I322" i="8" s="1"/>
  <c r="D322" i="8" a="1"/>
  <c r="D322" i="8" s="1"/>
  <c r="G690" i="4"/>
  <c r="G667" i="4"/>
  <c r="G699" i="4"/>
  <c r="G716" i="4"/>
  <c r="G702" i="4"/>
  <c r="G696" i="4"/>
  <c r="G711" i="4"/>
  <c r="G719" i="4"/>
  <c r="G697" i="4"/>
  <c r="G692" i="4"/>
  <c r="G717" i="4"/>
  <c r="G714" i="4"/>
  <c r="G707" i="4"/>
  <c r="G689" i="4"/>
  <c r="G706" i="4"/>
  <c r="G701" i="4"/>
  <c r="G685" i="4"/>
  <c r="G698" i="4"/>
  <c r="G709" i="4"/>
  <c r="G703" i="4"/>
  <c r="G715" i="4"/>
  <c r="G704" i="4"/>
  <c r="G705" i="4"/>
  <c r="G708" i="4"/>
  <c r="G687" i="4"/>
  <c r="G712" i="4"/>
  <c r="G688" i="4"/>
  <c r="G700" i="4"/>
  <c r="G686" i="4"/>
  <c r="G693" i="4"/>
  <c r="G713" i="4"/>
  <c r="G718" i="4"/>
  <c r="G694" i="4"/>
  <c r="G691" i="4"/>
  <c r="G710" i="4"/>
  <c r="G695" i="4"/>
  <c r="G673" i="4"/>
  <c r="G660" i="4"/>
  <c r="G674" i="4"/>
  <c r="G665" i="4"/>
  <c r="G678" i="4"/>
  <c r="G658" i="4"/>
  <c r="G679" i="4"/>
  <c r="G666" i="4"/>
  <c r="G661" i="4"/>
  <c r="G669" i="4"/>
  <c r="G682" i="4"/>
  <c r="G657" i="4"/>
  <c r="G675" i="4"/>
  <c r="G662" i="4"/>
  <c r="G683" i="4"/>
  <c r="G677" i="4"/>
  <c r="G663" i="4"/>
  <c r="G670" i="4"/>
  <c r="G659" i="4"/>
  <c r="G681" i="4"/>
  <c r="G668" i="4"/>
  <c r="G671" i="4"/>
  <c r="G676" i="4"/>
  <c r="G684" i="4"/>
  <c r="G680" i="4"/>
  <c r="G656" i="4"/>
  <c r="G664" i="4"/>
  <c r="G672" i="4"/>
  <c r="B252" i="3" a="1"/>
  <c r="B252" i="3" s="1"/>
  <c r="C252" i="3" a="1"/>
  <c r="C252" i="3" s="1"/>
  <c r="B260" i="3"/>
  <c r="B263" i="3" l="1" a="1"/>
  <c r="B263" i="3" s="1"/>
  <c r="C263" i="3" a="1"/>
  <c r="C263" i="3" s="1"/>
  <c r="B264" i="3" a="1"/>
  <c r="B264" i="3" s="1"/>
  <c r="C264" i="3" a="1"/>
  <c r="C264" i="3" s="1"/>
  <c r="F327" i="4"/>
  <c r="G327" i="4" s="1"/>
  <c r="F326" i="4"/>
  <c r="G326" i="4" s="1"/>
  <c r="F328" i="4"/>
  <c r="G328" i="4" s="1"/>
  <c r="F330" i="4"/>
  <c r="G330" i="4" s="1"/>
  <c r="F324" i="4"/>
  <c r="G324" i="4" s="1"/>
  <c r="F331" i="4"/>
  <c r="G331" i="4" s="1"/>
  <c r="F323" i="4"/>
  <c r="G323" i="4" s="1"/>
  <c r="F322" i="4"/>
  <c r="G322" i="4" s="1"/>
  <c r="F325" i="4"/>
  <c r="G325" i="4" s="1"/>
  <c r="F329" i="4"/>
  <c r="G329" i="4" s="1"/>
  <c r="D255" i="3" a="1"/>
  <c r="D255" i="3" s="1"/>
  <c r="I255" i="3" a="1"/>
  <c r="I255" i="3" s="1"/>
  <c r="I256" i="3" a="1"/>
  <c r="I256" i="3" s="1"/>
  <c r="D256" i="3" a="1"/>
  <c r="D256" i="3" s="1"/>
  <c r="I258" i="3" a="1"/>
  <c r="I258" i="3" s="1"/>
  <c r="D258" i="3" a="1"/>
  <c r="D258" i="3" s="1"/>
  <c r="I254" i="3" a="1"/>
  <c r="I254" i="3" s="1"/>
  <c r="D254" i="3" a="1"/>
  <c r="D254" i="3" s="1"/>
  <c r="D257" i="3" a="1"/>
  <c r="D257" i="3" s="1"/>
  <c r="I257" i="3" a="1"/>
  <c r="I257" i="3" s="1"/>
  <c r="I253" i="3" a="1"/>
  <c r="I253" i="3" s="1"/>
  <c r="D253" i="3" a="1"/>
  <c r="D253" i="3" s="1"/>
  <c r="C361" i="8" a="1"/>
  <c r="C361" i="8" s="1"/>
  <c r="B360" i="8" a="1"/>
  <c r="B360" i="8" s="1"/>
  <c r="B366" i="8"/>
  <c r="C355" i="8" a="1"/>
  <c r="C355" i="8" s="1"/>
  <c r="B357" i="8" a="1"/>
  <c r="B357" i="8" s="1"/>
  <c r="C359" i="8" a="1"/>
  <c r="C359" i="8" s="1"/>
  <c r="C364" i="8" a="1"/>
  <c r="C364" i="8" s="1"/>
  <c r="B349" i="8" a="1"/>
  <c r="B349" i="8" s="1"/>
  <c r="C354" i="8" a="1"/>
  <c r="C354" i="8" s="1"/>
  <c r="B359" i="8" a="1"/>
  <c r="B359" i="8" s="1"/>
  <c r="C363" i="8" a="1"/>
  <c r="C363" i="8" s="1"/>
  <c r="B363" i="8" a="1"/>
  <c r="B363" i="8" s="1"/>
  <c r="B350" i="8" a="1"/>
  <c r="B350" i="8" s="1"/>
  <c r="C362" i="8" a="1"/>
  <c r="C362" i="8" s="1"/>
  <c r="C351" i="8" a="1"/>
  <c r="C351" i="8" s="1"/>
  <c r="B358" i="8" a="1"/>
  <c r="B358" i="8" s="1"/>
  <c r="B355" i="8" a="1"/>
  <c r="B355" i="8" s="1"/>
  <c r="B353" i="8" a="1"/>
  <c r="B353" i="8" s="1"/>
  <c r="B361" i="8" a="1"/>
  <c r="B361" i="8" s="1"/>
  <c r="B351" i="8" a="1"/>
  <c r="B351" i="8" s="1"/>
  <c r="B362" i="8" a="1"/>
  <c r="B362" i="8" s="1"/>
  <c r="B352" i="8" a="1"/>
  <c r="B352" i="8" s="1"/>
  <c r="C358" i="8" a="1"/>
  <c r="C358" i="8" s="1"/>
  <c r="C350" i="8" a="1"/>
  <c r="C350" i="8" s="1"/>
  <c r="C360" i="8" a="1"/>
  <c r="C360" i="8" s="1"/>
  <c r="B356" i="8" a="1"/>
  <c r="B356" i="8" s="1"/>
  <c r="B354" i="8" a="1"/>
  <c r="B354" i="8" s="1"/>
  <c r="C357" i="8" a="1"/>
  <c r="C357" i="8" s="1"/>
  <c r="C352" i="8" a="1"/>
  <c r="C352" i="8" s="1"/>
  <c r="C353" i="8" a="1"/>
  <c r="C353" i="8" s="1"/>
  <c r="B364" i="8" a="1"/>
  <c r="B364" i="8" s="1"/>
  <c r="C349" i="8" a="1"/>
  <c r="C349" i="8" s="1"/>
  <c r="C356" i="8" a="1"/>
  <c r="C356" i="8" s="1"/>
  <c r="I333" i="8" a="1"/>
  <c r="I333" i="8" s="1"/>
  <c r="D333" i="8" a="1"/>
  <c r="D333" i="8" s="1"/>
  <c r="D338" i="8" a="1"/>
  <c r="D338" i="8" s="1"/>
  <c r="I338" i="8" a="1"/>
  <c r="I338" i="8" s="1"/>
  <c r="D334" i="8" a="1"/>
  <c r="D334" i="8" s="1"/>
  <c r="I334" i="8" a="1"/>
  <c r="I334" i="8" s="1"/>
  <c r="E342" i="8" a="1"/>
  <c r="E342" i="8" s="1"/>
  <c r="D342" i="8" a="1"/>
  <c r="D342" i="8" s="1"/>
  <c r="I342" i="8" a="1"/>
  <c r="I342" i="8" s="1"/>
  <c r="D332" i="8" a="1"/>
  <c r="D332" i="8" s="1"/>
  <c r="I332" i="8" a="1"/>
  <c r="I332" i="8" s="1"/>
  <c r="I340" i="8" a="1"/>
  <c r="I340" i="8" s="1"/>
  <c r="E340" i="8" a="1"/>
  <c r="E340" i="8" s="1"/>
  <c r="D340" i="8" a="1"/>
  <c r="D340" i="8" s="1"/>
  <c r="D345" i="8" a="1"/>
  <c r="D345" i="8" s="1"/>
  <c r="I345" i="8" a="1"/>
  <c r="I345" i="8" s="1"/>
  <c r="E345" i="8" a="1"/>
  <c r="E345" i="8" s="1"/>
  <c r="I335" i="8" a="1"/>
  <c r="I335" i="8" s="1"/>
  <c r="D335" i="8" a="1"/>
  <c r="D335" i="8" s="1"/>
  <c r="D344" i="8" a="1"/>
  <c r="D344" i="8" s="1"/>
  <c r="E344" i="8" a="1"/>
  <c r="E344" i="8" s="1"/>
  <c r="I344" i="8" a="1"/>
  <c r="I344" i="8" s="1"/>
  <c r="I339" i="8" a="1"/>
  <c r="I339" i="8" s="1"/>
  <c r="E339" i="8" a="1"/>
  <c r="E339" i="8" s="1"/>
  <c r="D339" i="8" a="1"/>
  <c r="D339" i="8" s="1"/>
  <c r="I341" i="8" a="1"/>
  <c r="I341" i="8" s="1"/>
  <c r="E341" i="8" a="1"/>
  <c r="E341" i="8" s="1"/>
  <c r="D341" i="8" a="1"/>
  <c r="D341" i="8" s="1"/>
  <c r="D336" i="8" a="1"/>
  <c r="D336" i="8" s="1"/>
  <c r="I336" i="8" a="1"/>
  <c r="I336" i="8" s="1"/>
  <c r="D343" i="8" a="1"/>
  <c r="D343" i="8" s="1"/>
  <c r="E343" i="8" a="1"/>
  <c r="E343" i="8" s="1"/>
  <c r="I343" i="8" a="1"/>
  <c r="I343" i="8" s="1"/>
  <c r="D337" i="8" a="1"/>
  <c r="D337" i="8" s="1"/>
  <c r="I337" i="8" a="1"/>
  <c r="I337" i="8" s="1"/>
  <c r="B24" i="1"/>
  <c r="E24" i="4"/>
  <c r="F238" i="4"/>
  <c r="E5" i="4"/>
  <c r="C5" i="4"/>
  <c r="H5" i="4"/>
  <c r="G269" i="4"/>
  <c r="H24" i="4"/>
  <c r="F5" i="4"/>
  <c r="G5" i="4"/>
  <c r="C269" i="4"/>
  <c r="F256" i="4"/>
  <c r="H269" i="4"/>
  <c r="F24" i="4"/>
  <c r="C256" i="4"/>
  <c r="C24" i="4"/>
  <c r="G24" i="4"/>
  <c r="F269" i="4"/>
  <c r="B262" i="3" a="1"/>
  <c r="B262" i="3" s="1"/>
  <c r="C262" i="3" a="1"/>
  <c r="C262" i="3" s="1"/>
  <c r="B266" i="3"/>
  <c r="F332" i="4"/>
  <c r="G332" i="4" s="1"/>
  <c r="E264" i="3" l="1" a="1"/>
  <c r="E264" i="3" s="1"/>
  <c r="I264" i="3" a="1"/>
  <c r="I264" i="3" s="1"/>
  <c r="D264" i="3" a="1"/>
  <c r="D264" i="3" s="1"/>
  <c r="I263" i="3" a="1"/>
  <c r="I263" i="3" s="1"/>
  <c r="D263" i="3" a="1"/>
  <c r="D263" i="3" s="1"/>
  <c r="E263" i="3" a="1"/>
  <c r="E263" i="3" s="1"/>
  <c r="F349" i="4"/>
  <c r="G349" i="4" s="1"/>
  <c r="F342" i="4"/>
  <c r="G342" i="4" s="1"/>
  <c r="F344" i="4"/>
  <c r="G344" i="4" s="1"/>
  <c r="F340" i="4"/>
  <c r="G340" i="4" s="1"/>
  <c r="F345" i="4"/>
  <c r="G345" i="4" s="1"/>
  <c r="F339" i="4"/>
  <c r="G339" i="4" s="1"/>
  <c r="F346" i="4"/>
  <c r="G346" i="4" s="1"/>
  <c r="F343" i="4"/>
  <c r="G343" i="4" s="1"/>
  <c r="F348" i="4"/>
  <c r="G348" i="4" s="1"/>
  <c r="F341" i="4"/>
  <c r="G341" i="4" s="1"/>
  <c r="F347" i="4"/>
  <c r="G347" i="4" s="1"/>
  <c r="B269" i="3" a="1"/>
  <c r="B269" i="3" s="1"/>
  <c r="C271" i="3" a="1"/>
  <c r="C271" i="3" s="1"/>
  <c r="C269" i="3" a="1"/>
  <c r="C269" i="3" s="1"/>
  <c r="B274" i="3" a="1"/>
  <c r="B274" i="3" s="1"/>
  <c r="C274" i="3" a="1"/>
  <c r="C274" i="3" s="1"/>
  <c r="B270" i="3" a="1"/>
  <c r="B270" i="3" s="1"/>
  <c r="B272" i="3" a="1"/>
  <c r="B272" i="3" s="1"/>
  <c r="B273" i="3" a="1"/>
  <c r="B273" i="3" s="1"/>
  <c r="C270" i="3" a="1"/>
  <c r="C270" i="3" s="1"/>
  <c r="C272" i="3" a="1"/>
  <c r="C272" i="3" s="1"/>
  <c r="C273" i="3" a="1"/>
  <c r="C273" i="3" s="1"/>
  <c r="B271" i="3" a="1"/>
  <c r="B271" i="3" s="1"/>
  <c r="D358" i="8" a="1"/>
  <c r="D358" i="8" s="1"/>
  <c r="I358" i="8" a="1"/>
  <c r="I358" i="8" s="1"/>
  <c r="E358" i="8" a="1"/>
  <c r="E358" i="8" s="1"/>
  <c r="I364" i="8" a="1"/>
  <c r="I364" i="8" s="1"/>
  <c r="E364" i="8" a="1"/>
  <c r="E364" i="8" s="1"/>
  <c r="D364" i="8" a="1"/>
  <c r="D364" i="8" s="1"/>
  <c r="I352" i="8" a="1"/>
  <c r="I352" i="8" s="1"/>
  <c r="D352" i="8" a="1"/>
  <c r="D352" i="8" s="1"/>
  <c r="D362" i="8" a="1"/>
  <c r="D362" i="8" s="1"/>
  <c r="I362" i="8" a="1"/>
  <c r="I362" i="8" s="1"/>
  <c r="E362" i="8" a="1"/>
  <c r="E362" i="8" s="1"/>
  <c r="D357" i="8" a="1"/>
  <c r="D357" i="8" s="1"/>
  <c r="I357" i="8" a="1"/>
  <c r="I357" i="8" s="1"/>
  <c r="I351" i="8" a="1"/>
  <c r="I351" i="8" s="1"/>
  <c r="D351" i="8" a="1"/>
  <c r="D351" i="8" s="1"/>
  <c r="I363" i="8" a="1"/>
  <c r="I363" i="8" s="1"/>
  <c r="E363" i="8" a="1"/>
  <c r="E363" i="8" s="1"/>
  <c r="D363" i="8" a="1"/>
  <c r="D363" i="8" s="1"/>
  <c r="I354" i="8" a="1"/>
  <c r="I354" i="8" s="1"/>
  <c r="D354" i="8" a="1"/>
  <c r="D354" i="8" s="1"/>
  <c r="I361" i="8" a="1"/>
  <c r="I361" i="8" s="1"/>
  <c r="E361" i="8" a="1"/>
  <c r="E361" i="8" s="1"/>
  <c r="D361" i="8" a="1"/>
  <c r="D361" i="8" s="1"/>
  <c r="B380" i="8" a="1"/>
  <c r="B380" i="8" s="1"/>
  <c r="C374" i="8" a="1"/>
  <c r="C374" i="8" s="1"/>
  <c r="C380" i="8" a="1"/>
  <c r="C380" i="8" s="1"/>
  <c r="C372" i="8" a="1"/>
  <c r="C372" i="8" s="1"/>
  <c r="B377" i="8" a="1"/>
  <c r="B377" i="8" s="1"/>
  <c r="C371" i="8" a="1"/>
  <c r="C371" i="8" s="1"/>
  <c r="B373" i="8" a="1"/>
  <c r="B373" i="8" s="1"/>
  <c r="B370" i="8" a="1"/>
  <c r="B370" i="8" s="1"/>
  <c r="C376" i="8" a="1"/>
  <c r="C376" i="8" s="1"/>
  <c r="B372" i="8" a="1"/>
  <c r="B372" i="8" s="1"/>
  <c r="B382" i="8" a="1"/>
  <c r="B382" i="8" s="1"/>
  <c r="B374" i="8" a="1"/>
  <c r="B374" i="8" s="1"/>
  <c r="C375" i="8" a="1"/>
  <c r="C375" i="8" s="1"/>
  <c r="B369" i="8" a="1"/>
  <c r="B369" i="8" s="1"/>
  <c r="C377" i="8" a="1"/>
  <c r="C377" i="8" s="1"/>
  <c r="C369" i="8" a="1"/>
  <c r="C369" i="8" s="1"/>
  <c r="B378" i="8" a="1"/>
  <c r="B378" i="8" s="1"/>
  <c r="C368" i="8" a="1"/>
  <c r="C368" i="8" s="1"/>
  <c r="C381" i="8" a="1"/>
  <c r="C381" i="8" s="1"/>
  <c r="B371" i="8" a="1"/>
  <c r="B371" i="8" s="1"/>
  <c r="C373" i="8" a="1"/>
  <c r="C373" i="8" s="1"/>
  <c r="C382" i="8" a="1"/>
  <c r="C382" i="8" s="1"/>
  <c r="B379" i="8" a="1"/>
  <c r="B379" i="8" s="1"/>
  <c r="C378" i="8" a="1"/>
  <c r="C378" i="8" s="1"/>
  <c r="C383" i="8" a="1"/>
  <c r="C383" i="8" s="1"/>
  <c r="B376" i="8" a="1"/>
  <c r="B376" i="8" s="1"/>
  <c r="C379" i="8" a="1"/>
  <c r="C379" i="8" s="1"/>
  <c r="B383" i="8" a="1"/>
  <c r="B383" i="8" s="1"/>
  <c r="B375" i="8" a="1"/>
  <c r="B375" i="8" s="1"/>
  <c r="B368" i="8" a="1"/>
  <c r="B368" i="8" s="1"/>
  <c r="B381" i="8" a="1"/>
  <c r="B381" i="8" s="1"/>
  <c r="C370" i="8" a="1"/>
  <c r="C370" i="8" s="1"/>
  <c r="I356" i="8" a="1"/>
  <c r="I356" i="8" s="1"/>
  <c r="D356" i="8" a="1"/>
  <c r="D356" i="8" s="1"/>
  <c r="D353" i="8" a="1"/>
  <c r="D353" i="8" s="1"/>
  <c r="I353" i="8" a="1"/>
  <c r="I353" i="8" s="1"/>
  <c r="I359" i="8" a="1"/>
  <c r="I359" i="8" s="1"/>
  <c r="D359" i="8" a="1"/>
  <c r="D359" i="8" s="1"/>
  <c r="E359" i="8" a="1"/>
  <c r="E359" i="8" s="1"/>
  <c r="I360" i="8" a="1"/>
  <c r="I360" i="8" s="1"/>
  <c r="E360" i="8" a="1"/>
  <c r="E360" i="8" s="1"/>
  <c r="D360" i="8" a="1"/>
  <c r="D360" i="8" s="1"/>
  <c r="D355" i="8" a="1"/>
  <c r="D355" i="8" s="1"/>
  <c r="I355" i="8" a="1"/>
  <c r="I355" i="8" s="1"/>
  <c r="B25" i="1"/>
  <c r="F350" i="4"/>
  <c r="G350" i="4" s="1"/>
  <c r="AG24" i="4"/>
  <c r="AH24" i="4"/>
  <c r="AI24" i="4"/>
  <c r="V24" i="4"/>
  <c r="AB24" i="4"/>
  <c r="Z24" i="4"/>
  <c r="T24" i="4"/>
  <c r="R24" i="4"/>
  <c r="P24" i="4"/>
  <c r="X24" i="4"/>
  <c r="K24" i="4"/>
  <c r="O24" i="4"/>
  <c r="AD24" i="4"/>
  <c r="AA24" i="4"/>
  <c r="N24" i="4"/>
  <c r="Y24" i="4"/>
  <c r="S24" i="4"/>
  <c r="L24" i="4"/>
  <c r="W24" i="4"/>
  <c r="M24" i="4"/>
  <c r="U24" i="4"/>
  <c r="AC24" i="4"/>
  <c r="J24" i="4"/>
  <c r="Q24" i="4"/>
  <c r="F351" i="4"/>
  <c r="B268" i="3" a="1"/>
  <c r="B268" i="3" s="1"/>
  <c r="C268" i="3" a="1"/>
  <c r="C268" i="3" s="1"/>
  <c r="F384" i="4" l="1"/>
  <c r="G384" i="4" s="1"/>
  <c r="F378" i="4"/>
  <c r="G378" i="4" s="1"/>
  <c r="F381" i="4"/>
  <c r="G381" i="4" s="1"/>
  <c r="F383" i="4"/>
  <c r="G383" i="4" s="1"/>
  <c r="F377" i="4"/>
  <c r="G377" i="4" s="1"/>
  <c r="F382" i="4"/>
  <c r="G382" i="4" s="1"/>
  <c r="F379" i="4"/>
  <c r="G379" i="4" s="1"/>
  <c r="F375" i="4"/>
  <c r="G375" i="4" s="1"/>
  <c r="F380" i="4"/>
  <c r="G380" i="4" s="1"/>
  <c r="F376" i="4"/>
  <c r="G376" i="4" s="1"/>
  <c r="F362" i="4"/>
  <c r="G362" i="4" s="1"/>
  <c r="F365" i="4"/>
  <c r="G365" i="4" s="1"/>
  <c r="F360" i="4"/>
  <c r="G360" i="4" s="1"/>
  <c r="F363" i="4"/>
  <c r="G363" i="4" s="1"/>
  <c r="F364" i="4"/>
  <c r="G364" i="4" s="1"/>
  <c r="F366" i="4"/>
  <c r="G366" i="4" s="1"/>
  <c r="F361" i="4"/>
  <c r="G361" i="4" s="1"/>
  <c r="I274" i="3" a="1"/>
  <c r="I274" i="3" s="1"/>
  <c r="D274" i="3" a="1"/>
  <c r="D274" i="3" s="1"/>
  <c r="D273" i="3" a="1"/>
  <c r="D273" i="3" s="1"/>
  <c r="I273" i="3" a="1"/>
  <c r="I273" i="3" s="1"/>
  <c r="I272" i="3" a="1"/>
  <c r="I272" i="3" s="1"/>
  <c r="D272" i="3" a="1"/>
  <c r="D272" i="3" s="1"/>
  <c r="D269" i="3" a="1"/>
  <c r="D269" i="3" s="1"/>
  <c r="I269" i="3" a="1"/>
  <c r="I269" i="3" s="1"/>
  <c r="I270" i="3" a="1"/>
  <c r="I270" i="3" s="1"/>
  <c r="D270" i="3" a="1"/>
  <c r="D270" i="3" s="1"/>
  <c r="D271" i="3" a="1"/>
  <c r="D271" i="3" s="1"/>
  <c r="I271" i="3" a="1"/>
  <c r="I271" i="3" s="1"/>
  <c r="D383" i="8" a="1"/>
  <c r="D383" i="8" s="1"/>
  <c r="I383" i="8" a="1"/>
  <c r="I383" i="8" s="1"/>
  <c r="E383" i="8" a="1"/>
  <c r="E383" i="8" s="1"/>
  <c r="I371" i="8" a="1"/>
  <c r="I371" i="8" s="1"/>
  <c r="D371" i="8" a="1"/>
  <c r="D371" i="8" s="1"/>
  <c r="D374" i="8" a="1"/>
  <c r="D374" i="8" s="1"/>
  <c r="I374" i="8" a="1"/>
  <c r="I374" i="8" s="1"/>
  <c r="D382" i="8" a="1"/>
  <c r="D382" i="8" s="1"/>
  <c r="E382" i="8" a="1"/>
  <c r="E382" i="8" s="1"/>
  <c r="I382" i="8" a="1"/>
  <c r="I382" i="8" s="1"/>
  <c r="I376" i="8" a="1"/>
  <c r="I376" i="8" s="1"/>
  <c r="D376" i="8" a="1"/>
  <c r="D376" i="8" s="1"/>
  <c r="I372" i="8" a="1"/>
  <c r="I372" i="8" s="1"/>
  <c r="D372" i="8" a="1"/>
  <c r="D372" i="8" s="1"/>
  <c r="I378" i="8" a="1"/>
  <c r="I378" i="8" s="1"/>
  <c r="D378" i="8" a="1"/>
  <c r="D378" i="8" s="1"/>
  <c r="I380" i="8" a="1"/>
  <c r="I380" i="8" s="1"/>
  <c r="D380" i="8" a="1"/>
  <c r="D380" i="8" s="1"/>
  <c r="I370" i="8" a="1"/>
  <c r="I370" i="8" s="1"/>
  <c r="D370" i="8" a="1"/>
  <c r="D370" i="8" s="1"/>
  <c r="I381" i="8" a="1"/>
  <c r="I381" i="8" s="1"/>
  <c r="D381" i="8" a="1"/>
  <c r="D381" i="8" s="1"/>
  <c r="E381" i="8" a="1"/>
  <c r="E381" i="8" s="1"/>
  <c r="I379" i="8" a="1"/>
  <c r="I379" i="8" s="1"/>
  <c r="D379" i="8" a="1"/>
  <c r="D379" i="8" s="1"/>
  <c r="I373" i="8" a="1"/>
  <c r="I373" i="8" s="1"/>
  <c r="D373" i="8" a="1"/>
  <c r="D373" i="8" s="1"/>
  <c r="I368" i="8" a="1"/>
  <c r="I368" i="8" s="1"/>
  <c r="D368" i="8" a="1"/>
  <c r="D368" i="8" s="1"/>
  <c r="D369" i="8" a="1"/>
  <c r="D369" i="8" s="1"/>
  <c r="I369" i="8" a="1"/>
  <c r="I369" i="8" s="1"/>
  <c r="I375" i="8" a="1"/>
  <c r="I375" i="8" s="1"/>
  <c r="D375" i="8" a="1"/>
  <c r="D375" i="8" s="1"/>
  <c r="I377" i="8" a="1"/>
  <c r="I377" i="8" s="1"/>
  <c r="D377" i="8" a="1"/>
  <c r="D377" i="8" s="1"/>
  <c r="B26" i="1"/>
  <c r="F367" i="4"/>
  <c r="G367" i="4" s="1"/>
  <c r="F369" i="4"/>
  <c r="G369" i="4" s="1"/>
  <c r="F368" i="4"/>
  <c r="G368" i="4" s="1"/>
  <c r="G351" i="4"/>
  <c r="F370" i="4"/>
  <c r="B27" i="1" l="1"/>
  <c r="B28" i="1" s="1"/>
  <c r="B29" i="1" s="1"/>
  <c r="B30" i="1" s="1"/>
  <c r="B31" i="1" s="1"/>
  <c r="B32" i="1" s="1"/>
  <c r="B33" i="1" s="1"/>
  <c r="B34" i="1" s="1"/>
  <c r="B35" i="1" s="1"/>
  <c r="G370" i="4"/>
  <c r="F389" i="4"/>
  <c r="F399" i="4"/>
  <c r="F404" i="4"/>
  <c r="F398" i="4"/>
  <c r="F400" i="4"/>
  <c r="F401" i="4"/>
  <c r="F387" i="4"/>
  <c r="F390" i="4"/>
  <c r="F402" i="4"/>
  <c r="F393" i="4"/>
  <c r="F388" i="4"/>
  <c r="F395" i="4"/>
  <c r="F394" i="4"/>
  <c r="F385" i="4"/>
  <c r="F396" i="4"/>
  <c r="F403" i="4"/>
  <c r="F397" i="4"/>
  <c r="F391" i="4"/>
  <c r="F392" i="4"/>
  <c r="F405" i="4"/>
  <c r="F386" i="4"/>
  <c r="G402" i="4" l="1"/>
  <c r="G398" i="4"/>
  <c r="G403" i="4"/>
  <c r="G396" i="4"/>
  <c r="G393" i="4"/>
  <c r="G400" i="4"/>
  <c r="G404" i="4"/>
  <c r="G405" i="4"/>
  <c r="G392" i="4"/>
  <c r="G394" i="4"/>
  <c r="G401" i="4"/>
  <c r="G399" i="4"/>
  <c r="G395" i="4"/>
  <c r="G397" i="4"/>
  <c r="G385" i="4"/>
  <c r="G387" i="4"/>
  <c r="G391" i="4"/>
  <c r="G388" i="4"/>
  <c r="G389" i="4"/>
  <c r="G386" i="4"/>
  <c r="G374" i="4"/>
  <c r="G390" i="4"/>
  <c r="D5" i="4" l="1"/>
  <c r="D40" i="8"/>
  <c r="D24" i="4" l="1"/>
  <c r="D60" i="8"/>
  <c r="L60" i="8" l="1"/>
  <c r="J60" i="8"/>
  <c r="D8" i="1" l="1"/>
  <c r="D9" i="1" l="1"/>
  <c r="D10" i="1" l="1"/>
  <c r="D11" i="1" l="1"/>
  <c r="D116" i="3" s="1"/>
  <c r="D109" i="8" l="1"/>
  <c r="D126" i="4"/>
  <c r="D12" i="1"/>
  <c r="L109" i="8" l="1"/>
  <c r="J109" i="8"/>
  <c r="D145" i="4"/>
  <c r="D13" i="1"/>
  <c r="D90" i="3" l="1"/>
  <c r="D146" i="8"/>
  <c r="D163" i="4"/>
  <c r="D14" i="1"/>
  <c r="L146" i="8" l="1"/>
  <c r="J146" i="8"/>
  <c r="D164" i="8"/>
  <c r="D103" i="3"/>
  <c r="D176" i="4"/>
  <c r="D183" i="8" l="1"/>
  <c r="D189" i="4"/>
  <c r="D18" i="1"/>
  <c r="D201" i="8" l="1"/>
  <c r="D129" i="3"/>
  <c r="D202" i="4"/>
  <c r="J183" i="8"/>
  <c r="L183" i="8"/>
  <c r="D19" i="1"/>
  <c r="D220" i="8" l="1"/>
  <c r="D220" i="4"/>
  <c r="D20" i="1"/>
  <c r="D250" i="3" s="1"/>
  <c r="D246" i="8" l="1"/>
  <c r="D238" i="4"/>
  <c r="L220" i="8"/>
  <c r="J220" i="8"/>
  <c r="D21" i="1"/>
  <c r="D260" i="3" s="1"/>
  <c r="D188" i="3" l="1"/>
  <c r="D256" i="4"/>
  <c r="D22" i="1"/>
  <c r="D266" i="3" s="1"/>
  <c r="D269" i="4" l="1"/>
  <c r="C308" i="3" l="1"/>
  <c r="F316" i="3"/>
  <c r="G316" i="3"/>
  <c r="F308" i="3"/>
  <c r="H316" i="3"/>
  <c r="G308" i="3"/>
  <c r="H308" i="3"/>
  <c r="C316" i="3"/>
  <c r="G49" i="2"/>
  <c r="E4" i="2"/>
  <c r="G46" i="2"/>
  <c r="E3" i="2"/>
  <c r="I4" i="2"/>
  <c r="G44" i="2"/>
  <c r="G55" i="2"/>
  <c r="G3" i="2"/>
  <c r="E55" i="2"/>
  <c r="E19" i="2"/>
  <c r="I44" i="2"/>
  <c r="E8" i="2"/>
  <c r="I19" i="2"/>
  <c r="I3" i="2"/>
  <c r="F55" i="2"/>
  <c r="E406" i="8" s="1" a="1"/>
  <c r="E406" i="8" s="1"/>
  <c r="G19" i="2"/>
  <c r="E39" i="2"/>
  <c r="G8" i="2"/>
  <c r="I39" i="2"/>
  <c r="I8" i="2"/>
  <c r="I55" i="2"/>
  <c r="G4" i="2"/>
  <c r="E46" i="2"/>
  <c r="E49" i="2"/>
  <c r="I46" i="2"/>
  <c r="I49" i="2"/>
  <c r="G39" i="2"/>
  <c r="E44" i="2"/>
  <c r="F550" i="6"/>
  <c r="F518" i="6"/>
  <c r="F488" i="6"/>
  <c r="F456" i="6"/>
  <c r="F424" i="6"/>
  <c r="F528" i="6"/>
  <c r="F494" i="6"/>
  <c r="F462" i="6"/>
  <c r="F432" i="6"/>
  <c r="F519" i="6"/>
  <c r="F469" i="6"/>
  <c r="F425" i="6"/>
  <c r="F377" i="6"/>
  <c r="F329" i="6"/>
  <c r="F283" i="6"/>
  <c r="F241" i="6"/>
  <c r="F197" i="6"/>
  <c r="F44" i="6"/>
  <c r="F509" i="6"/>
  <c r="F465" i="6"/>
  <c r="F419" i="6"/>
  <c r="F373" i="6"/>
  <c r="F325" i="6"/>
  <c r="F281" i="6"/>
  <c r="F233" i="6"/>
  <c r="F60" i="6"/>
  <c r="F517" i="6"/>
  <c r="F467" i="6"/>
  <c r="F415" i="6"/>
  <c r="F363" i="6"/>
  <c r="F313" i="6"/>
  <c r="F259" i="6"/>
  <c r="F205" i="6"/>
  <c r="F163" i="6"/>
  <c r="F392" i="6"/>
  <c r="F362" i="6"/>
  <c r="F330" i="6"/>
  <c r="F298" i="6"/>
  <c r="F266" i="6"/>
  <c r="F232" i="6"/>
  <c r="F206" i="6"/>
  <c r="F124" i="6"/>
  <c r="F6" i="6"/>
  <c r="F112" i="6"/>
  <c r="F412" i="6"/>
  <c r="F378" i="6"/>
  <c r="F344" i="6"/>
  <c r="F312" i="6"/>
  <c r="F280" i="6"/>
  <c r="F250" i="6"/>
  <c r="F218" i="6"/>
  <c r="F546" i="6"/>
  <c r="F514" i="6"/>
  <c r="F484" i="6"/>
  <c r="F452" i="6"/>
  <c r="F422" i="6"/>
  <c r="F524" i="6"/>
  <c r="F490" i="6"/>
  <c r="F458" i="6"/>
  <c r="F426" i="6"/>
  <c r="F513" i="6"/>
  <c r="F463" i="6"/>
  <c r="F417" i="6"/>
  <c r="F371" i="6"/>
  <c r="F323" i="6"/>
  <c r="F277" i="6"/>
  <c r="F235" i="6"/>
  <c r="F61" i="6"/>
  <c r="F549" i="6"/>
  <c r="F505" i="6"/>
  <c r="F459" i="6"/>
  <c r="F413" i="6"/>
  <c r="F365" i="6"/>
  <c r="F321" i="6"/>
  <c r="F275" i="6"/>
  <c r="F227" i="6"/>
  <c r="F175" i="6"/>
  <c r="F511" i="6"/>
  <c r="F461" i="6"/>
  <c r="F409" i="6"/>
  <c r="F357" i="6"/>
  <c r="F305" i="6"/>
  <c r="F253" i="6"/>
  <c r="F199" i="6"/>
  <c r="F2" i="6"/>
  <c r="F388" i="6"/>
  <c r="F358" i="6"/>
  <c r="F326" i="6"/>
  <c r="F294" i="6"/>
  <c r="F260" i="6"/>
  <c r="F228" i="6"/>
  <c r="F204" i="6"/>
  <c r="F123" i="6"/>
  <c r="F118" i="6"/>
  <c r="F166" i="6"/>
  <c r="F408" i="6"/>
  <c r="F374" i="6"/>
  <c r="F340" i="6"/>
  <c r="F308" i="6"/>
  <c r="F276" i="6"/>
  <c r="F246" i="6"/>
  <c r="F214" i="6"/>
  <c r="F542" i="6"/>
  <c r="F510" i="6"/>
  <c r="F480" i="6"/>
  <c r="F448" i="6"/>
  <c r="F418" i="6"/>
  <c r="F520" i="6"/>
  <c r="F486" i="6"/>
  <c r="F454" i="6"/>
  <c r="F420" i="6"/>
  <c r="F507" i="6"/>
  <c r="F457" i="6"/>
  <c r="F411" i="6"/>
  <c r="F367" i="6"/>
  <c r="F317" i="6"/>
  <c r="F273" i="6"/>
  <c r="F229" i="6"/>
  <c r="F122" i="6"/>
  <c r="F543" i="6"/>
  <c r="F499" i="6"/>
  <c r="F455" i="6"/>
  <c r="F407" i="6"/>
  <c r="F359" i="6"/>
  <c r="F315" i="6"/>
  <c r="F269" i="6"/>
  <c r="F221" i="6"/>
  <c r="F71" i="6"/>
  <c r="F503" i="6"/>
  <c r="F453" i="6"/>
  <c r="F403" i="6"/>
  <c r="F351" i="6"/>
  <c r="F299" i="6"/>
  <c r="F247" i="6"/>
  <c r="F62" i="6"/>
  <c r="F414" i="6"/>
  <c r="F384" i="6"/>
  <c r="F354" i="6"/>
  <c r="F322" i="6"/>
  <c r="F290" i="6"/>
  <c r="F256" i="6"/>
  <c r="F224" i="6"/>
  <c r="F202" i="6"/>
  <c r="F47" i="6"/>
  <c r="F46" i="6"/>
  <c r="F68" i="6"/>
  <c r="F404" i="6"/>
  <c r="F368" i="6"/>
  <c r="F336" i="6"/>
  <c r="F304" i="6"/>
  <c r="F272" i="6"/>
  <c r="F242" i="6"/>
  <c r="F171" i="6"/>
  <c r="F538" i="6"/>
  <c r="F506" i="6"/>
  <c r="F476" i="6"/>
  <c r="F444" i="6"/>
  <c r="F548" i="6"/>
  <c r="F516" i="6"/>
  <c r="F482" i="6"/>
  <c r="F450" i="6"/>
  <c r="F547" i="6"/>
  <c r="F501" i="6"/>
  <c r="F451" i="6"/>
  <c r="F405" i="6"/>
  <c r="F361" i="6"/>
  <c r="F311" i="6"/>
  <c r="F267" i="6"/>
  <c r="F223" i="6"/>
  <c r="F20" i="6"/>
  <c r="F539" i="6"/>
  <c r="F495" i="6"/>
  <c r="F449" i="6"/>
  <c r="F401" i="6"/>
  <c r="F355" i="6"/>
  <c r="F309" i="6"/>
  <c r="F263" i="6"/>
  <c r="F215" i="6"/>
  <c r="F103" i="6"/>
  <c r="F497" i="6"/>
  <c r="F445" i="6"/>
  <c r="F397" i="6"/>
  <c r="F347" i="6"/>
  <c r="F293" i="6"/>
  <c r="F237" i="6"/>
  <c r="F73" i="6"/>
  <c r="F410" i="6"/>
  <c r="F380" i="6"/>
  <c r="F350" i="6"/>
  <c r="F318" i="6"/>
  <c r="F286" i="6"/>
  <c r="F252" i="6"/>
  <c r="F220" i="6"/>
  <c r="F200" i="6"/>
  <c r="F72" i="6"/>
  <c r="F116" i="6"/>
  <c r="F3" i="6"/>
  <c r="F400" i="6"/>
  <c r="F364" i="6"/>
  <c r="F332" i="6"/>
  <c r="F300" i="6"/>
  <c r="F268" i="6"/>
  <c r="F238" i="6"/>
  <c r="F534" i="6"/>
  <c r="F502" i="6"/>
  <c r="F472" i="6"/>
  <c r="F438" i="6"/>
  <c r="F544" i="6"/>
  <c r="F512" i="6"/>
  <c r="F478" i="6"/>
  <c r="F446" i="6"/>
  <c r="F541" i="6"/>
  <c r="F493" i="6"/>
  <c r="F447" i="6"/>
  <c r="F399" i="6"/>
  <c r="F353" i="6"/>
  <c r="F307" i="6"/>
  <c r="F261" i="6"/>
  <c r="F217" i="6"/>
  <c r="F119" i="6"/>
  <c r="F533" i="6"/>
  <c r="F489" i="6"/>
  <c r="F443" i="6"/>
  <c r="F395" i="6"/>
  <c r="F349" i="6"/>
  <c r="F303" i="6"/>
  <c r="F257" i="6"/>
  <c r="F172" i="6"/>
  <c r="F545" i="6"/>
  <c r="F491" i="6"/>
  <c r="F439" i="6"/>
  <c r="F389" i="6"/>
  <c r="F341" i="6"/>
  <c r="F285" i="6"/>
  <c r="F231" i="6"/>
  <c r="F120" i="6"/>
  <c r="F406" i="6"/>
  <c r="F376" i="6"/>
  <c r="F346" i="6"/>
  <c r="F314" i="6"/>
  <c r="F282" i="6"/>
  <c r="F248" i="6"/>
  <c r="F216" i="6"/>
  <c r="F198" i="6"/>
  <c r="F121" i="6"/>
  <c r="F45" i="6"/>
  <c r="F160" i="6"/>
  <c r="F396" i="6"/>
  <c r="F360" i="6"/>
  <c r="F328" i="6"/>
  <c r="F296" i="6"/>
  <c r="F264" i="6"/>
  <c r="F234" i="6"/>
  <c r="F530" i="6"/>
  <c r="F498" i="6"/>
  <c r="F468" i="6"/>
  <c r="F434" i="6"/>
  <c r="F540" i="6"/>
  <c r="F508" i="6"/>
  <c r="F474" i="6"/>
  <c r="F442" i="6"/>
  <c r="F535" i="6"/>
  <c r="F487" i="6"/>
  <c r="F441" i="6"/>
  <c r="F393" i="6"/>
  <c r="F345" i="6"/>
  <c r="F301" i="6"/>
  <c r="F255" i="6"/>
  <c r="F213" i="6"/>
  <c r="F174" i="6"/>
  <c r="F527" i="6"/>
  <c r="F483" i="6"/>
  <c r="F437" i="6"/>
  <c r="F391" i="6"/>
  <c r="F343" i="6"/>
  <c r="F297" i="6"/>
  <c r="F251" i="6"/>
  <c r="F207" i="6"/>
  <c r="F537" i="6"/>
  <c r="F485" i="6"/>
  <c r="F433" i="6"/>
  <c r="F381" i="6"/>
  <c r="F335" i="6"/>
  <c r="F279" i="6"/>
  <c r="F225" i="6"/>
  <c r="F28" i="6"/>
  <c r="F402" i="6"/>
  <c r="F372" i="6"/>
  <c r="F342" i="6"/>
  <c r="F310" i="6"/>
  <c r="F278" i="6"/>
  <c r="F244" i="6"/>
  <c r="F212" i="6"/>
  <c r="F196" i="6"/>
  <c r="F59" i="6"/>
  <c r="F5" i="6"/>
  <c r="F193" i="6"/>
  <c r="F390" i="6"/>
  <c r="F356" i="6"/>
  <c r="F324" i="6"/>
  <c r="F292" i="6"/>
  <c r="F262" i="6"/>
  <c r="F230" i="6"/>
  <c r="F522" i="6"/>
  <c r="F492" i="6"/>
  <c r="F460" i="6"/>
  <c r="F428" i="6"/>
  <c r="F532" i="6"/>
  <c r="F500" i="6"/>
  <c r="F466" i="6"/>
  <c r="F436" i="6"/>
  <c r="F523" i="6"/>
  <c r="F475" i="6"/>
  <c r="F431" i="6"/>
  <c r="F383" i="6"/>
  <c r="F333" i="6"/>
  <c r="F289" i="6"/>
  <c r="F245" i="6"/>
  <c r="F203" i="6"/>
  <c r="F192" i="6"/>
  <c r="F515" i="6"/>
  <c r="F471" i="6"/>
  <c r="F423" i="6"/>
  <c r="F379" i="6"/>
  <c r="F331" i="6"/>
  <c r="F287" i="6"/>
  <c r="F239" i="6"/>
  <c r="F125" i="6"/>
  <c r="F525" i="6"/>
  <c r="F473" i="6"/>
  <c r="F421" i="6"/>
  <c r="F369" i="6"/>
  <c r="F319" i="6"/>
  <c r="F265" i="6"/>
  <c r="F211" i="6"/>
  <c r="F105" i="6"/>
  <c r="F394" i="6"/>
  <c r="F366" i="6"/>
  <c r="F526" i="6"/>
  <c r="F496" i="6"/>
  <c r="F464" i="6"/>
  <c r="F430" i="6"/>
  <c r="F536" i="6"/>
  <c r="F504" i="6"/>
  <c r="F470" i="6"/>
  <c r="F440" i="6"/>
  <c r="F529" i="6"/>
  <c r="F481" i="6"/>
  <c r="F435" i="6"/>
  <c r="F387" i="6"/>
  <c r="F339" i="6"/>
  <c r="F295" i="6"/>
  <c r="F249" i="6"/>
  <c r="F209" i="6"/>
  <c r="F70" i="6"/>
  <c r="F521" i="6"/>
  <c r="F477" i="6"/>
  <c r="F429" i="6"/>
  <c r="F385" i="6"/>
  <c r="F337" i="6"/>
  <c r="F291" i="6"/>
  <c r="F243" i="6"/>
  <c r="F201" i="6"/>
  <c r="F531" i="6"/>
  <c r="F479" i="6"/>
  <c r="F427" i="6"/>
  <c r="F375" i="6"/>
  <c r="F327" i="6"/>
  <c r="F271" i="6"/>
  <c r="F219" i="6"/>
  <c r="F117" i="6"/>
  <c r="F398" i="6"/>
  <c r="F370" i="6"/>
  <c r="F338" i="6"/>
  <c r="F306" i="6"/>
  <c r="F274" i="6"/>
  <c r="F240" i="6"/>
  <c r="F210" i="6"/>
  <c r="F63" i="6"/>
  <c r="F58" i="6"/>
  <c r="F115" i="6"/>
  <c r="F99" i="6"/>
  <c r="F386" i="6"/>
  <c r="F352" i="6"/>
  <c r="F320" i="6"/>
  <c r="F288" i="6"/>
  <c r="F258" i="6"/>
  <c r="F226" i="6"/>
  <c r="F334" i="6"/>
  <c r="F416" i="6"/>
  <c r="F302" i="6"/>
  <c r="F382" i="6"/>
  <c r="F270" i="6"/>
  <c r="F348" i="6"/>
  <c r="F236" i="6"/>
  <c r="F316" i="6"/>
  <c r="F208" i="6"/>
  <c r="F284" i="6"/>
  <c r="F126" i="6"/>
  <c r="F254" i="6"/>
  <c r="F29" i="6"/>
  <c r="F222" i="6"/>
  <c r="F190" i="6"/>
  <c r="F99" i="2"/>
  <c r="F72" i="2"/>
  <c r="F65" i="2"/>
  <c r="F113" i="2"/>
  <c r="E216" i="3" s="1" a="1"/>
  <c r="E216" i="3" s="1"/>
  <c r="F79" i="2"/>
  <c r="F127" i="2"/>
  <c r="E205" i="4" s="1" a="1"/>
  <c r="E205" i="4" s="1"/>
  <c r="F160" i="2"/>
  <c r="F166" i="2"/>
  <c r="E150" i="4" s="1" a="1"/>
  <c r="E150" i="4" s="1"/>
  <c r="F163" i="2"/>
  <c r="E128" i="4" s="1" a="1"/>
  <c r="E128" i="4" s="1"/>
  <c r="F190" i="2"/>
  <c r="F139" i="2"/>
  <c r="F126" i="2"/>
  <c r="F157" i="2"/>
  <c r="F141" i="2"/>
  <c r="E244" i="4" s="1" a="1"/>
  <c r="E244" i="4" s="1"/>
  <c r="F107" i="2"/>
  <c r="F101" i="2"/>
  <c r="E296" i="4" s="1" a="1"/>
  <c r="E296" i="4" s="1"/>
  <c r="F93" i="2"/>
  <c r="E213" i="3" s="1" a="1"/>
  <c r="E213" i="3" s="1"/>
  <c r="F82" i="2"/>
  <c r="F111" i="2"/>
  <c r="E303" i="4" s="1" a="1"/>
  <c r="E303" i="4" s="1"/>
  <c r="F121" i="2"/>
  <c r="E308" i="4" s="1" a="1"/>
  <c r="E308" i="4" s="1"/>
  <c r="F69" i="2"/>
  <c r="F171" i="2"/>
  <c r="E152" i="4" s="1" a="1"/>
  <c r="E152" i="4" s="1"/>
  <c r="F135" i="2"/>
  <c r="F132" i="2"/>
  <c r="E206" i="4" s="1" a="1"/>
  <c r="E206" i="4" s="1"/>
  <c r="F152" i="2"/>
  <c r="F105" i="2"/>
  <c r="F176" i="2"/>
  <c r="F178" i="2"/>
  <c r="F168" i="2"/>
  <c r="F177" i="2"/>
  <c r="F130" i="2"/>
  <c r="F147" i="2"/>
  <c r="F128" i="2"/>
  <c r="E223" i="4" s="1" a="1"/>
  <c r="E223" i="4" s="1"/>
  <c r="F159" i="2"/>
  <c r="F70" i="2"/>
  <c r="E26" i="3" a="1"/>
  <c r="E26" i="3" s="1"/>
  <c r="E100" i="4" s="1"/>
  <c r="F194" i="2"/>
  <c r="F161" i="2"/>
  <c r="E128" i="8" s="1" a="1"/>
  <c r="E128" i="8" s="1"/>
  <c r="F193" i="2"/>
  <c r="F134" i="2"/>
  <c r="E208" i="4" s="1" a="1"/>
  <c r="E208" i="4" s="1"/>
  <c r="F88" i="2"/>
  <c r="F80" i="2"/>
  <c r="F114" i="2"/>
  <c r="E217" i="3" s="1" a="1"/>
  <c r="E217" i="3" s="1"/>
  <c r="F95" i="2"/>
  <c r="E294" i="4" s="1" a="1"/>
  <c r="E294" i="4" s="1"/>
  <c r="F68" i="2"/>
  <c r="F77" i="2"/>
  <c r="F76" i="2"/>
  <c r="F58" i="2"/>
  <c r="F52" i="2"/>
  <c r="F84" i="2"/>
  <c r="E204" i="3" s="1" a="1"/>
  <c r="E204" i="3" s="1"/>
  <c r="F116" i="2"/>
  <c r="E305" i="4" s="1" a="1"/>
  <c r="E305" i="4" s="1"/>
  <c r="F106" i="2"/>
  <c r="E301" i="4" s="1" a="1"/>
  <c r="E301" i="4" s="1"/>
  <c r="F62" i="2"/>
  <c r="F60" i="2"/>
  <c r="F47" i="2"/>
  <c r="F170" i="2"/>
  <c r="F145" i="2"/>
  <c r="F146" i="2"/>
  <c r="F81" i="2"/>
  <c r="F120" i="2"/>
  <c r="F174" i="2"/>
  <c r="F191" i="2"/>
  <c r="F124" i="2"/>
  <c r="F153" i="2"/>
  <c r="E246" i="4" s="1" a="1"/>
  <c r="E246" i="4" s="1"/>
  <c r="F98" i="2"/>
  <c r="E215" i="3" s="1" a="1"/>
  <c r="E215" i="3" s="1"/>
  <c r="F102" i="2"/>
  <c r="F61" i="2"/>
  <c r="F173" i="2"/>
  <c r="E153" i="4" s="1" a="1"/>
  <c r="E153" i="4" s="1"/>
  <c r="F154" i="2"/>
  <c r="E229" i="4" s="1" a="1"/>
  <c r="E229" i="4" s="1"/>
  <c r="G24" i="2"/>
  <c r="G99" i="2"/>
  <c r="G72" i="2"/>
  <c r="G65" i="2"/>
  <c r="G113" i="2"/>
  <c r="G79" i="2"/>
  <c r="G127" i="2"/>
  <c r="G160" i="2"/>
  <c r="G166" i="2"/>
  <c r="G163" i="2"/>
  <c r="G37" i="2"/>
  <c r="G190" i="2"/>
  <c r="G139" i="2"/>
  <c r="G126" i="2"/>
  <c r="G157" i="2"/>
  <c r="G141" i="2"/>
  <c r="G107" i="2"/>
  <c r="G101" i="2"/>
  <c r="G93" i="2"/>
  <c r="G82" i="2"/>
  <c r="G111" i="2"/>
  <c r="G121" i="2"/>
  <c r="G69" i="2"/>
  <c r="G48" i="2"/>
  <c r="G15" i="2"/>
  <c r="G12" i="2"/>
  <c r="G171" i="2"/>
  <c r="G135" i="2"/>
  <c r="G132" i="2"/>
  <c r="G152" i="2"/>
  <c r="G105" i="2"/>
  <c r="G176" i="2"/>
  <c r="G178" i="2"/>
  <c r="G168" i="2"/>
  <c r="G177" i="2"/>
  <c r="G130" i="2"/>
  <c r="G147" i="2"/>
  <c r="G128" i="2"/>
  <c r="G159" i="2"/>
  <c r="G70" i="2"/>
  <c r="G25" i="2"/>
  <c r="G10" i="2"/>
  <c r="G34" i="2"/>
  <c r="G194" i="2"/>
  <c r="G161" i="2"/>
  <c r="G193" i="2"/>
  <c r="G134" i="2"/>
  <c r="G88" i="2"/>
  <c r="G80" i="2"/>
  <c r="G114" i="2"/>
  <c r="G95" i="2"/>
  <c r="G68" i="2"/>
  <c r="G77" i="2"/>
  <c r="G76" i="2"/>
  <c r="G58" i="2"/>
  <c r="G35" i="2"/>
  <c r="G52" i="2"/>
  <c r="G84" i="2"/>
  <c r="G116" i="2"/>
  <c r="G106" i="2"/>
  <c r="G62" i="2"/>
  <c r="G60" i="2"/>
  <c r="G47" i="2"/>
  <c r="G170" i="2"/>
  <c r="G145" i="2"/>
  <c r="G146" i="2"/>
  <c r="G81" i="2"/>
  <c r="G120" i="2"/>
  <c r="G174" i="2"/>
  <c r="G191" i="2"/>
  <c r="G124" i="2"/>
  <c r="G153" i="2"/>
  <c r="G98" i="2"/>
  <c r="G102" i="2"/>
  <c r="G61" i="2"/>
  <c r="G173" i="2"/>
  <c r="G40" i="2"/>
  <c r="G29" i="2"/>
  <c r="G32" i="2"/>
  <c r="G21" i="2"/>
  <c r="G154" i="2"/>
  <c r="G83" i="2"/>
  <c r="I24" i="2"/>
  <c r="I99" i="2"/>
  <c r="I72" i="2"/>
  <c r="I65" i="2"/>
  <c r="I113" i="2"/>
  <c r="I79" i="2"/>
  <c r="I127" i="2"/>
  <c r="I160" i="2"/>
  <c r="I166" i="2"/>
  <c r="I163" i="2"/>
  <c r="I37" i="2"/>
  <c r="I190" i="2"/>
  <c r="I139" i="2"/>
  <c r="I126" i="2"/>
  <c r="I157" i="2"/>
  <c r="I141" i="2"/>
  <c r="I107" i="2"/>
  <c r="I101" i="2"/>
  <c r="I93" i="2"/>
  <c r="I82" i="2"/>
  <c r="I111" i="2"/>
  <c r="I121" i="2"/>
  <c r="I69" i="2"/>
  <c r="I48" i="2"/>
  <c r="I15" i="2"/>
  <c r="I12" i="2"/>
  <c r="I171" i="2"/>
  <c r="I135" i="2"/>
  <c r="I132" i="2"/>
  <c r="I152" i="2"/>
  <c r="I105" i="2"/>
  <c r="I176" i="2"/>
  <c r="I178" i="2"/>
  <c r="I168" i="2"/>
  <c r="I177" i="2"/>
  <c r="I130" i="2"/>
  <c r="I147" i="2"/>
  <c r="I128" i="2"/>
  <c r="I159" i="2"/>
  <c r="I70" i="2"/>
  <c r="I25" i="2"/>
  <c r="I10" i="2"/>
  <c r="I34" i="2"/>
  <c r="I194" i="2"/>
  <c r="I161" i="2"/>
  <c r="I193" i="2"/>
  <c r="I134" i="2"/>
  <c r="I88" i="2"/>
  <c r="I80" i="2"/>
  <c r="I114" i="2"/>
  <c r="I95" i="2"/>
  <c r="I68" i="2"/>
  <c r="I77" i="2"/>
  <c r="I76" i="2"/>
  <c r="I58" i="2"/>
  <c r="I35" i="2"/>
  <c r="I52" i="2"/>
  <c r="I84" i="2"/>
  <c r="I116" i="2"/>
  <c r="I106" i="2"/>
  <c r="I62" i="2"/>
  <c r="I60" i="2"/>
  <c r="I47" i="2"/>
  <c r="I170" i="2"/>
  <c r="I145" i="2"/>
  <c r="I146" i="2"/>
  <c r="I81" i="2"/>
  <c r="I120" i="2"/>
  <c r="I174" i="2"/>
  <c r="I191" i="2"/>
  <c r="I124" i="2"/>
  <c r="I153" i="2"/>
  <c r="I98" i="2"/>
  <c r="I102" i="2"/>
  <c r="I61" i="2"/>
  <c r="I173" i="2"/>
  <c r="I40" i="2"/>
  <c r="I29" i="2"/>
  <c r="I32" i="2"/>
  <c r="I21" i="2"/>
  <c r="I154" i="2"/>
  <c r="I83" i="2"/>
  <c r="E36" i="2"/>
  <c r="E78" i="2"/>
  <c r="E74" i="2"/>
  <c r="E87" i="2"/>
  <c r="E94" i="2"/>
  <c r="E63" i="2"/>
  <c r="E150" i="2"/>
  <c r="E183" i="2"/>
  <c r="E182" i="2"/>
  <c r="E140" i="2"/>
  <c r="E192" i="2"/>
  <c r="E162" i="2"/>
  <c r="E144" i="2"/>
  <c r="E155" i="2"/>
  <c r="E143" i="2"/>
  <c r="E149" i="2"/>
  <c r="E104" i="2"/>
  <c r="E97" i="2"/>
  <c r="E90" i="2"/>
  <c r="E100" i="2"/>
  <c r="E117" i="2"/>
  <c r="E109" i="2"/>
  <c r="E27" i="2"/>
  <c r="E13" i="2"/>
  <c r="E14" i="2"/>
  <c r="E164" i="2"/>
  <c r="E131" i="2"/>
  <c r="E142" i="2"/>
  <c r="E133" i="2"/>
  <c r="E156" i="2"/>
  <c r="E188" i="2"/>
  <c r="E180" i="2"/>
  <c r="E165" i="2"/>
  <c r="E186" i="2"/>
  <c r="E185" i="2"/>
  <c r="E151" i="2"/>
  <c r="E148" i="2"/>
  <c r="E129" i="2"/>
  <c r="E91" i="2"/>
  <c r="E22" i="2"/>
  <c r="E38" i="2"/>
  <c r="E11" i="2"/>
  <c r="E28" i="2"/>
  <c r="E181" i="2"/>
  <c r="E184" i="2"/>
  <c r="E187" i="2"/>
  <c r="E158" i="2"/>
  <c r="E89" i="2"/>
  <c r="E86" i="2"/>
  <c r="E85" i="2"/>
  <c r="E42" i="2"/>
  <c r="E67" i="2"/>
  <c r="E75" i="2"/>
  <c r="E73" i="2"/>
  <c r="E51" i="2"/>
  <c r="E43" i="2"/>
  <c r="E57" i="2"/>
  <c r="E138" i="2"/>
  <c r="E110" i="2"/>
  <c r="E122" i="2"/>
  <c r="E108" i="2"/>
  <c r="E41" i="2"/>
  <c r="E59" i="2"/>
  <c r="E175" i="2"/>
  <c r="E169" i="2"/>
  <c r="E136" i="2"/>
  <c r="E125" i="2"/>
  <c r="E137" i="2"/>
  <c r="E112" i="2"/>
  <c r="E189" i="2"/>
  <c r="E167" i="2"/>
  <c r="E179" i="2"/>
  <c r="E123" i="2"/>
  <c r="E96" i="2"/>
  <c r="E115" i="2"/>
  <c r="E118" i="2"/>
  <c r="E56" i="2"/>
  <c r="E64" i="2"/>
  <c r="E18" i="2"/>
  <c r="E33" i="2"/>
  <c r="E30" i="2"/>
  <c r="E9" i="2"/>
  <c r="E119" i="2"/>
  <c r="F78" i="2"/>
  <c r="F74" i="2"/>
  <c r="F87" i="2"/>
  <c r="F94" i="2"/>
  <c r="E214" i="3" s="1" a="1"/>
  <c r="E214" i="3" s="1"/>
  <c r="F63" i="2"/>
  <c r="F150" i="2"/>
  <c r="F183" i="2"/>
  <c r="E157" i="4" s="1" a="1"/>
  <c r="E157" i="4" s="1"/>
  <c r="F182" i="2"/>
  <c r="E156" i="4" s="1" a="1"/>
  <c r="E156" i="4" s="1"/>
  <c r="F140" i="2"/>
  <c r="E146" i="3" s="1" a="1"/>
  <c r="E146" i="3" s="1"/>
  <c r="F192" i="2"/>
  <c r="F162" i="2"/>
  <c r="F144" i="2"/>
  <c r="E210" i="4" s="1" a="1"/>
  <c r="E210" i="4" s="1"/>
  <c r="F155" i="2"/>
  <c r="E156" i="3" s="1" a="1"/>
  <c r="E156" i="3" s="1"/>
  <c r="F143" i="2"/>
  <c r="E225" i="4" s="1" a="1"/>
  <c r="E225" i="4" s="1"/>
  <c r="F149" i="2"/>
  <c r="E245" i="4" s="1" a="1"/>
  <c r="E245" i="4" s="1"/>
  <c r="F104" i="2"/>
  <c r="E299" i="4" s="1" a="1"/>
  <c r="E299" i="4" s="1"/>
  <c r="F97" i="2"/>
  <c r="F90" i="2"/>
  <c r="E292" i="4" s="1" a="1"/>
  <c r="E292" i="4" s="1"/>
  <c r="F100" i="2"/>
  <c r="E295" i="4" s="1" a="1"/>
  <c r="E295" i="4" s="1"/>
  <c r="F117" i="2"/>
  <c r="E306" i="4" s="1" a="1"/>
  <c r="E306" i="4" s="1"/>
  <c r="F109" i="2"/>
  <c r="F164" i="2"/>
  <c r="E148" i="4" s="1" a="1"/>
  <c r="E148" i="4" s="1"/>
  <c r="F131" i="2"/>
  <c r="F142" i="2"/>
  <c r="E209" i="4" s="1" a="1"/>
  <c r="E209" i="4" s="1"/>
  <c r="F133" i="2"/>
  <c r="E207" i="4" s="1" a="1"/>
  <c r="E207" i="4" s="1"/>
  <c r="F156" i="2"/>
  <c r="F188" i="2"/>
  <c r="F180" i="2"/>
  <c r="F165" i="2"/>
  <c r="E149" i="4" s="1" a="1"/>
  <c r="E149" i="4" s="1"/>
  <c r="F186" i="2"/>
  <c r="F185" i="2"/>
  <c r="F151" i="2"/>
  <c r="E139" i="3" s="1" a="1"/>
  <c r="E139" i="3" s="1"/>
  <c r="F148" i="2"/>
  <c r="F129" i="2"/>
  <c r="E241" i="4" s="1" a="1"/>
  <c r="E241" i="4" s="1"/>
  <c r="F91" i="2"/>
  <c r="E293" i="4" s="1" a="1"/>
  <c r="E293" i="4" s="1"/>
  <c r="E10" i="3" a="1"/>
  <c r="E10" i="3" s="1"/>
  <c r="F181" i="2"/>
  <c r="F184" i="2"/>
  <c r="E158" i="4" s="1" a="1"/>
  <c r="E158" i="4" s="1"/>
  <c r="F187" i="2"/>
  <c r="F158" i="2"/>
  <c r="E637" i="4" s="1" a="1"/>
  <c r="E637" i="4" s="1"/>
  <c r="F89" i="2"/>
  <c r="F86" i="2"/>
  <c r="F85" i="2"/>
  <c r="E291" i="4" s="1" a="1"/>
  <c r="E291" i="4" s="1"/>
  <c r="F67" i="2"/>
  <c r="F75" i="2"/>
  <c r="F73" i="2"/>
  <c r="F51" i="2"/>
  <c r="F57" i="2"/>
  <c r="E634" i="4" s="1" a="1"/>
  <c r="E634" i="4" s="1"/>
  <c r="F138" i="2"/>
  <c r="E243" i="4" s="1" a="1"/>
  <c r="E243" i="4" s="1"/>
  <c r="F110" i="2"/>
  <c r="F122" i="2"/>
  <c r="F108" i="2"/>
  <c r="F59" i="2"/>
  <c r="F175" i="2"/>
  <c r="E154" i="4" s="1" a="1"/>
  <c r="E154" i="4" s="1"/>
  <c r="F169" i="2"/>
  <c r="F136" i="2"/>
  <c r="F125" i="2"/>
  <c r="F137" i="2"/>
  <c r="E242" i="4" s="1" a="1"/>
  <c r="E242" i="4" s="1"/>
  <c r="F112" i="2"/>
  <c r="F189" i="2"/>
  <c r="F167" i="2"/>
  <c r="E151" i="4" s="1" a="1"/>
  <c r="E151" i="4" s="1"/>
  <c r="F179" i="2"/>
  <c r="F123" i="2"/>
  <c r="F96" i="2"/>
  <c r="F115" i="2"/>
  <c r="E304" i="4" s="1" a="1"/>
  <c r="E304" i="4" s="1"/>
  <c r="F118" i="2"/>
  <c r="E307" i="4" s="1" a="1"/>
  <c r="E307" i="4" s="1"/>
  <c r="F56" i="2"/>
  <c r="F64" i="2"/>
  <c r="F119" i="2"/>
  <c r="F92" i="2"/>
  <c r="E208" i="3" s="1" a="1"/>
  <c r="E208" i="3" s="1"/>
  <c r="G36" i="2"/>
  <c r="G78" i="2"/>
  <c r="G74" i="2"/>
  <c r="G87" i="2"/>
  <c r="G94" i="2"/>
  <c r="G63" i="2"/>
  <c r="G150" i="2"/>
  <c r="G183" i="2"/>
  <c r="G182" i="2"/>
  <c r="G140" i="2"/>
  <c r="G192" i="2"/>
  <c r="G162" i="2"/>
  <c r="G144" i="2"/>
  <c r="G155" i="2"/>
  <c r="G143" i="2"/>
  <c r="G149" i="2"/>
  <c r="G104" i="2"/>
  <c r="G97" i="2"/>
  <c r="G90" i="2"/>
  <c r="G100" i="2"/>
  <c r="G117" i="2"/>
  <c r="G109" i="2"/>
  <c r="G27" i="2"/>
  <c r="G13" i="2"/>
  <c r="G14" i="2"/>
  <c r="G164" i="2"/>
  <c r="G131" i="2"/>
  <c r="G142" i="2"/>
  <c r="G133" i="2"/>
  <c r="G156" i="2"/>
  <c r="G188" i="2"/>
  <c r="G180" i="2"/>
  <c r="G165" i="2"/>
  <c r="G186" i="2"/>
  <c r="G185" i="2"/>
  <c r="G151" i="2"/>
  <c r="G148" i="2"/>
  <c r="G129" i="2"/>
  <c r="G91" i="2"/>
  <c r="G22" i="2"/>
  <c r="G38" i="2"/>
  <c r="G11" i="2"/>
  <c r="G28" i="2"/>
  <c r="G181" i="2"/>
  <c r="G184" i="2"/>
  <c r="G187" i="2"/>
  <c r="G158" i="2"/>
  <c r="G89" i="2"/>
  <c r="G86" i="2"/>
  <c r="G85" i="2"/>
  <c r="G42" i="2"/>
  <c r="G67" i="2"/>
  <c r="G75" i="2"/>
  <c r="G73" i="2"/>
  <c r="G51" i="2"/>
  <c r="G43" i="2"/>
  <c r="G57" i="2"/>
  <c r="G138" i="2"/>
  <c r="G110" i="2"/>
  <c r="G122" i="2"/>
  <c r="G108" i="2"/>
  <c r="G41" i="2"/>
  <c r="G59" i="2"/>
  <c r="G175" i="2"/>
  <c r="G169" i="2"/>
  <c r="G136" i="2"/>
  <c r="G125" i="2"/>
  <c r="G137" i="2"/>
  <c r="G112" i="2"/>
  <c r="G189" i="2"/>
  <c r="G167" i="2"/>
  <c r="G179" i="2"/>
  <c r="G123" i="2"/>
  <c r="G96" i="2"/>
  <c r="G115" i="2"/>
  <c r="G118" i="2"/>
  <c r="G56" i="2"/>
  <c r="G64" i="2"/>
  <c r="G18" i="2"/>
  <c r="G33" i="2"/>
  <c r="G30" i="2"/>
  <c r="G9" i="2"/>
  <c r="G119" i="2"/>
  <c r="G92" i="2"/>
  <c r="I78" i="2"/>
  <c r="I63" i="2"/>
  <c r="I140" i="2"/>
  <c r="I155" i="2"/>
  <c r="I97" i="2"/>
  <c r="I109" i="2"/>
  <c r="I164" i="2"/>
  <c r="I156" i="2"/>
  <c r="I186" i="2"/>
  <c r="I129" i="2"/>
  <c r="I11" i="2"/>
  <c r="I187" i="2"/>
  <c r="I85" i="2"/>
  <c r="I73" i="2"/>
  <c r="I138" i="2"/>
  <c r="I41" i="2"/>
  <c r="I136" i="2"/>
  <c r="I189" i="2"/>
  <c r="I96" i="2"/>
  <c r="I64" i="2"/>
  <c r="I9" i="2"/>
  <c r="F103" i="2"/>
  <c r="E298" i="4" s="1" a="1"/>
  <c r="E298" i="4" s="1"/>
  <c r="E72" i="2"/>
  <c r="E127" i="2"/>
  <c r="E37" i="2"/>
  <c r="E157" i="2"/>
  <c r="E93" i="2"/>
  <c r="E69" i="2"/>
  <c r="E171" i="2"/>
  <c r="E105" i="2"/>
  <c r="E177" i="2"/>
  <c r="E159" i="2"/>
  <c r="E34" i="2"/>
  <c r="E134" i="2"/>
  <c r="E95" i="2"/>
  <c r="E58" i="2"/>
  <c r="E84" i="2"/>
  <c r="E60" i="2"/>
  <c r="E174" i="2"/>
  <c r="E98" i="2"/>
  <c r="E40" i="2"/>
  <c r="E154" i="2"/>
  <c r="G103" i="2"/>
  <c r="G50" i="2"/>
  <c r="G54" i="2"/>
  <c r="G17" i="2"/>
  <c r="G71" i="2"/>
  <c r="G196" i="2"/>
  <c r="G198" i="2"/>
  <c r="G200" i="2"/>
  <c r="G202" i="2"/>
  <c r="G204" i="2"/>
  <c r="G206" i="2"/>
  <c r="G208" i="2"/>
  <c r="G210" i="2"/>
  <c r="G212" i="2"/>
  <c r="G214" i="2"/>
  <c r="G216" i="2"/>
  <c r="G218" i="2"/>
  <c r="G220" i="2"/>
  <c r="E222" i="2"/>
  <c r="I223" i="2"/>
  <c r="F225" i="2"/>
  <c r="G228" i="2"/>
  <c r="E230" i="2"/>
  <c r="I231" i="2"/>
  <c r="F233" i="2"/>
  <c r="G236" i="2"/>
  <c r="E238" i="2"/>
  <c r="I239" i="2"/>
  <c r="F241" i="2"/>
  <c r="G244" i="2"/>
  <c r="E246" i="2"/>
  <c r="I247" i="2"/>
  <c r="F249" i="2"/>
  <c r="G252" i="2"/>
  <c r="E254" i="2"/>
  <c r="I255" i="2"/>
  <c r="F257" i="2"/>
  <c r="G260" i="2"/>
  <c r="E262" i="2"/>
  <c r="I263" i="2"/>
  <c r="F265" i="2"/>
  <c r="G268" i="2"/>
  <c r="E270" i="2"/>
  <c r="I271" i="2"/>
  <c r="F273" i="2"/>
  <c r="G276" i="2"/>
  <c r="E278" i="2"/>
  <c r="I279" i="2"/>
  <c r="F281" i="2"/>
  <c r="H282" i="6"/>
  <c r="G282" i="6" s="1"/>
  <c r="G284" i="2"/>
  <c r="E286" i="2"/>
  <c r="I287" i="2"/>
  <c r="F289" i="2"/>
  <c r="G292" i="2"/>
  <c r="E294" i="2"/>
  <c r="I74" i="2"/>
  <c r="I150" i="2"/>
  <c r="I192" i="2"/>
  <c r="I143" i="2"/>
  <c r="I90" i="2"/>
  <c r="I27" i="2"/>
  <c r="I131" i="2"/>
  <c r="I188" i="2"/>
  <c r="I185" i="2"/>
  <c r="I91" i="2"/>
  <c r="I28" i="2"/>
  <c r="I158" i="2"/>
  <c r="I42" i="2"/>
  <c r="I51" i="2"/>
  <c r="I110" i="2"/>
  <c r="I59" i="2"/>
  <c r="I125" i="2"/>
  <c r="I167" i="2"/>
  <c r="I115" i="2"/>
  <c r="I18" i="2"/>
  <c r="I119" i="2"/>
  <c r="I103" i="2"/>
  <c r="I50" i="2"/>
  <c r="I54" i="2"/>
  <c r="I17" i="2"/>
  <c r="I71" i="2"/>
  <c r="I196" i="2"/>
  <c r="I198" i="2"/>
  <c r="I200" i="2"/>
  <c r="I202" i="2"/>
  <c r="I204" i="2"/>
  <c r="I206" i="2"/>
  <c r="I208" i="2"/>
  <c r="I210" i="2"/>
  <c r="I212" i="2"/>
  <c r="I214" i="2"/>
  <c r="I216" i="2"/>
  <c r="I218" i="2"/>
  <c r="E219" i="2"/>
  <c r="I220" i="2"/>
  <c r="F222" i="2"/>
  <c r="G225" i="2"/>
  <c r="E227" i="2"/>
  <c r="I228" i="2"/>
  <c r="F230" i="2"/>
  <c r="G233" i="2"/>
  <c r="E235" i="2"/>
  <c r="I236" i="2"/>
  <c r="F238" i="2"/>
  <c r="G241" i="2"/>
  <c r="E243" i="2"/>
  <c r="I244" i="2"/>
  <c r="F246" i="2"/>
  <c r="G249" i="2"/>
  <c r="E251" i="2"/>
  <c r="I252" i="2"/>
  <c r="F254" i="2"/>
  <c r="G257" i="2"/>
  <c r="E259" i="2"/>
  <c r="I260" i="2"/>
  <c r="F262" i="2"/>
  <c r="G265" i="2"/>
  <c r="E267" i="2"/>
  <c r="I268" i="2"/>
  <c r="F270" i="2"/>
  <c r="H271" i="6"/>
  <c r="G271" i="6" s="1"/>
  <c r="G273" i="2"/>
  <c r="E275" i="2"/>
  <c r="I276" i="2"/>
  <c r="F278" i="2"/>
  <c r="H279" i="6"/>
  <c r="G279" i="6" s="1"/>
  <c r="G281" i="2"/>
  <c r="E283" i="2"/>
  <c r="I284" i="2"/>
  <c r="F286" i="2"/>
  <c r="H287" i="6"/>
  <c r="G287" i="6" s="1"/>
  <c r="G289" i="2"/>
  <c r="E291" i="2"/>
  <c r="I292" i="2"/>
  <c r="E65" i="2"/>
  <c r="E160" i="2"/>
  <c r="E190" i="2"/>
  <c r="E141" i="2"/>
  <c r="E82" i="2"/>
  <c r="E48" i="2"/>
  <c r="E135" i="2"/>
  <c r="E176" i="2"/>
  <c r="E130" i="2"/>
  <c r="E70" i="2"/>
  <c r="E194" i="2"/>
  <c r="E88" i="2"/>
  <c r="E68" i="2"/>
  <c r="E35" i="2"/>
  <c r="E116" i="2"/>
  <c r="E47" i="2"/>
  <c r="E146" i="2"/>
  <c r="E191" i="2"/>
  <c r="E102" i="2"/>
  <c r="E29" i="2"/>
  <c r="E83" i="2"/>
  <c r="E53" i="2"/>
  <c r="E66" i="2"/>
  <c r="E31" i="2"/>
  <c r="E26" i="2"/>
  <c r="E195" i="2"/>
  <c r="E197" i="2"/>
  <c r="E199" i="2"/>
  <c r="E201" i="2"/>
  <c r="E203" i="2"/>
  <c r="E205" i="2"/>
  <c r="E207" i="2"/>
  <c r="E209" i="2"/>
  <c r="E211" i="2"/>
  <c r="E213" i="2"/>
  <c r="E215" i="2"/>
  <c r="E217" i="2"/>
  <c r="F219" i="2"/>
  <c r="G222" i="2"/>
  <c r="E224" i="2"/>
  <c r="I225" i="2"/>
  <c r="F227" i="2"/>
  <c r="G230" i="2"/>
  <c r="E232" i="2"/>
  <c r="I233" i="2"/>
  <c r="F235" i="2"/>
  <c r="G238" i="2"/>
  <c r="E240" i="2"/>
  <c r="I241" i="2"/>
  <c r="F243" i="2"/>
  <c r="G246" i="2"/>
  <c r="E248" i="2"/>
  <c r="I249" i="2"/>
  <c r="F251" i="2"/>
  <c r="G254" i="2"/>
  <c r="E256" i="2"/>
  <c r="I257" i="2"/>
  <c r="F259" i="2"/>
  <c r="G262" i="2"/>
  <c r="E264" i="2"/>
  <c r="I265" i="2"/>
  <c r="F267" i="2"/>
  <c r="G270" i="2"/>
  <c r="E272" i="2"/>
  <c r="I273" i="2"/>
  <c r="F275" i="2"/>
  <c r="H276" i="6"/>
  <c r="G276" i="6" s="1"/>
  <c r="G278" i="2"/>
  <c r="E280" i="2"/>
  <c r="I281" i="2"/>
  <c r="F283" i="2"/>
  <c r="G286" i="2"/>
  <c r="E288" i="2"/>
  <c r="I289" i="2"/>
  <c r="I87" i="2"/>
  <c r="I183" i="2"/>
  <c r="I162" i="2"/>
  <c r="I149" i="2"/>
  <c r="I100" i="2"/>
  <c r="I13" i="2"/>
  <c r="I142" i="2"/>
  <c r="I180" i="2"/>
  <c r="I151" i="2"/>
  <c r="I22" i="2"/>
  <c r="I181" i="2"/>
  <c r="I89" i="2"/>
  <c r="I67" i="2"/>
  <c r="I43" i="2"/>
  <c r="I122" i="2"/>
  <c r="I175" i="2"/>
  <c r="I137" i="2"/>
  <c r="I179" i="2"/>
  <c r="I118" i="2"/>
  <c r="I33" i="2"/>
  <c r="F83" i="2"/>
  <c r="E185" i="8" s="1" a="1"/>
  <c r="E185" i="8" s="1"/>
  <c r="F66" i="2"/>
  <c r="E12" i="3" a="1"/>
  <c r="E12" i="3" s="1"/>
  <c r="E46" i="3" a="1"/>
  <c r="E46" i="3" s="1"/>
  <c r="E120" i="4" s="1"/>
  <c r="F199" i="2"/>
  <c r="F201" i="2"/>
  <c r="F203" i="2"/>
  <c r="E252" i="4" s="1" a="1"/>
  <c r="E252" i="4" s="1"/>
  <c r="F205" i="2"/>
  <c r="F207" i="2"/>
  <c r="F209" i="2"/>
  <c r="F211" i="2"/>
  <c r="F213" i="2"/>
  <c r="F215" i="2"/>
  <c r="F217" i="2"/>
  <c r="G219" i="2"/>
  <c r="E221" i="2"/>
  <c r="I222" i="2"/>
  <c r="F224" i="2"/>
  <c r="G227" i="2"/>
  <c r="E229" i="2"/>
  <c r="I230" i="2"/>
  <c r="F232" i="2"/>
  <c r="G235" i="2"/>
  <c r="E237" i="2"/>
  <c r="I238" i="2"/>
  <c r="F240" i="2"/>
  <c r="G243" i="2"/>
  <c r="E245" i="2"/>
  <c r="I246" i="2"/>
  <c r="F248" i="2"/>
  <c r="G251" i="2"/>
  <c r="E253" i="2"/>
  <c r="I254" i="2"/>
  <c r="F256" i="2"/>
  <c r="G259" i="2"/>
  <c r="E261" i="2"/>
  <c r="I262" i="2"/>
  <c r="F264" i="2"/>
  <c r="H265" i="6"/>
  <c r="G265" i="6" s="1"/>
  <c r="G267" i="2"/>
  <c r="E269" i="2"/>
  <c r="I270" i="2"/>
  <c r="F272" i="2"/>
  <c r="H273" i="6"/>
  <c r="G273" i="6" s="1"/>
  <c r="G275" i="2"/>
  <c r="E277" i="2"/>
  <c r="I278" i="2"/>
  <c r="F280" i="2"/>
  <c r="E113" i="2"/>
  <c r="E126" i="2"/>
  <c r="I14" i="2"/>
  <c r="E147" i="2"/>
  <c r="E193" i="2"/>
  <c r="I57" i="2"/>
  <c r="E81" i="2"/>
  <c r="E173" i="2"/>
  <c r="I53" i="2"/>
  <c r="I31" i="2"/>
  <c r="I195" i="2"/>
  <c r="I199" i="2"/>
  <c r="I203" i="2"/>
  <c r="I207" i="2"/>
  <c r="I211" i="2"/>
  <c r="I215" i="2"/>
  <c r="F220" i="2"/>
  <c r="G223" i="2"/>
  <c r="I226" i="2"/>
  <c r="E233" i="2"/>
  <c r="F236" i="2"/>
  <c r="G239" i="2"/>
  <c r="I242" i="2"/>
  <c r="E249" i="2"/>
  <c r="F252" i="2"/>
  <c r="G255" i="2"/>
  <c r="I258" i="2"/>
  <c r="E265" i="2"/>
  <c r="F268" i="2"/>
  <c r="G271" i="2"/>
  <c r="I274" i="2"/>
  <c r="E281" i="2"/>
  <c r="E284" i="2"/>
  <c r="E289" i="2"/>
  <c r="I291" i="2"/>
  <c r="I293" i="2"/>
  <c r="G295" i="2"/>
  <c r="E297" i="2"/>
  <c r="I298" i="2"/>
  <c r="F300" i="2"/>
  <c r="G303" i="2"/>
  <c r="E305" i="2"/>
  <c r="I306" i="2"/>
  <c r="F308" i="2"/>
  <c r="G311" i="2"/>
  <c r="E313" i="2"/>
  <c r="I314" i="2"/>
  <c r="F316" i="2"/>
  <c r="G319" i="2"/>
  <c r="E321" i="2"/>
  <c r="I322" i="2"/>
  <c r="F324" i="2"/>
  <c r="G327" i="2"/>
  <c r="E329" i="2"/>
  <c r="I330" i="2"/>
  <c r="F332" i="2"/>
  <c r="G335" i="2"/>
  <c r="E337" i="2"/>
  <c r="I338" i="2"/>
  <c r="F340" i="2"/>
  <c r="G343" i="2"/>
  <c r="E345" i="2"/>
  <c r="I346" i="2"/>
  <c r="F348" i="2"/>
  <c r="G351" i="2"/>
  <c r="E353" i="2"/>
  <c r="I354" i="2"/>
  <c r="F356" i="2"/>
  <c r="B358" i="2"/>
  <c r="G359" i="2"/>
  <c r="E361" i="2"/>
  <c r="I362" i="2"/>
  <c r="F364" i="2"/>
  <c r="I94" i="2"/>
  <c r="E107" i="2"/>
  <c r="E12" i="2"/>
  <c r="I148" i="2"/>
  <c r="E80" i="2"/>
  <c r="I112" i="2"/>
  <c r="E32" i="2"/>
  <c r="E50" i="2"/>
  <c r="E17" i="2"/>
  <c r="E196" i="2"/>
  <c r="E200" i="2"/>
  <c r="E204" i="2"/>
  <c r="E208" i="2"/>
  <c r="E212" i="2"/>
  <c r="E216" i="2"/>
  <c r="F221" i="2"/>
  <c r="G224" i="2"/>
  <c r="I227" i="2"/>
  <c r="E234" i="2"/>
  <c r="F237" i="2"/>
  <c r="G240" i="2"/>
  <c r="I243" i="2"/>
  <c r="E250" i="2"/>
  <c r="F253" i="2"/>
  <c r="G256" i="2"/>
  <c r="I259" i="2"/>
  <c r="E266" i="2"/>
  <c r="F269" i="2"/>
  <c r="G272" i="2"/>
  <c r="I275" i="2"/>
  <c r="E282" i="2"/>
  <c r="F284" i="2"/>
  <c r="E287" i="2"/>
  <c r="I295" i="2"/>
  <c r="F297" i="2"/>
  <c r="G300" i="2"/>
  <c r="E302" i="2"/>
  <c r="I303" i="2"/>
  <c r="F305" i="2"/>
  <c r="G308" i="2"/>
  <c r="E310" i="2"/>
  <c r="I311" i="2"/>
  <c r="F313" i="2"/>
  <c r="H314" i="6"/>
  <c r="G314" i="6" s="1"/>
  <c r="G316" i="2"/>
  <c r="E318" i="2"/>
  <c r="I319" i="2"/>
  <c r="F321" i="2"/>
  <c r="G324" i="2"/>
  <c r="E326" i="2"/>
  <c r="I327" i="2"/>
  <c r="F329" i="2"/>
  <c r="G332" i="2"/>
  <c r="E334" i="2"/>
  <c r="I335" i="2"/>
  <c r="F337" i="2"/>
  <c r="G340" i="2"/>
  <c r="E342" i="2"/>
  <c r="I343" i="2"/>
  <c r="F345" i="2"/>
  <c r="G348" i="2"/>
  <c r="E350" i="2"/>
  <c r="I351" i="2"/>
  <c r="F353" i="2"/>
  <c r="B355" i="2"/>
  <c r="G356" i="2"/>
  <c r="E358" i="2"/>
  <c r="I359" i="2"/>
  <c r="F361" i="2"/>
  <c r="B363" i="2"/>
  <c r="G364" i="2"/>
  <c r="E366" i="2"/>
  <c r="I367" i="2"/>
  <c r="F369" i="2"/>
  <c r="E79" i="2"/>
  <c r="I104" i="2"/>
  <c r="E132" i="2"/>
  <c r="E128" i="2"/>
  <c r="I86" i="2"/>
  <c r="E106" i="2"/>
  <c r="E120" i="2"/>
  <c r="I30" i="2"/>
  <c r="F200" i="2"/>
  <c r="E158" i="3" s="1" a="1"/>
  <c r="E158" i="3" s="1"/>
  <c r="F204" i="2"/>
  <c r="E310" i="4" s="1" a="1"/>
  <c r="E310" i="4" s="1"/>
  <c r="F208" i="2"/>
  <c r="F212" i="2"/>
  <c r="F216" i="2"/>
  <c r="G221" i="2"/>
  <c r="I224" i="2"/>
  <c r="E231" i="2"/>
  <c r="F234" i="2"/>
  <c r="G237" i="2"/>
  <c r="I240" i="2"/>
  <c r="E247" i="2"/>
  <c r="F250" i="2"/>
  <c r="G253" i="2"/>
  <c r="I256" i="2"/>
  <c r="E263" i="2"/>
  <c r="F266" i="2"/>
  <c r="G269" i="2"/>
  <c r="I272" i="2"/>
  <c r="E279" i="2"/>
  <c r="F282" i="2"/>
  <c r="E285" i="2"/>
  <c r="F287" i="2"/>
  <c r="E290" i="2"/>
  <c r="E292" i="2"/>
  <c r="F294" i="2"/>
  <c r="G297" i="2"/>
  <c r="E299" i="2"/>
  <c r="I300" i="2"/>
  <c r="F302" i="2"/>
  <c r="G305" i="2"/>
  <c r="E307" i="2"/>
  <c r="I308" i="2"/>
  <c r="F310" i="2"/>
  <c r="G313" i="2"/>
  <c r="E315" i="2"/>
  <c r="I316" i="2"/>
  <c r="F318" i="2"/>
  <c r="G321" i="2"/>
  <c r="E323" i="2"/>
  <c r="I324" i="2"/>
  <c r="F326" i="2"/>
  <c r="G329" i="2"/>
  <c r="E331" i="2"/>
  <c r="I332" i="2"/>
  <c r="F334" i="2"/>
  <c r="G337" i="2"/>
  <c r="E339" i="2"/>
  <c r="I340" i="2"/>
  <c r="F342" i="2"/>
  <c r="G345" i="2"/>
  <c r="E347" i="2"/>
  <c r="I348" i="2"/>
  <c r="F350" i="2"/>
  <c r="B352" i="2"/>
  <c r="G353" i="2"/>
  <c r="E355" i="2"/>
  <c r="I356" i="2"/>
  <c r="F358" i="2"/>
  <c r="B360" i="2"/>
  <c r="G361" i="2"/>
  <c r="E363" i="2"/>
  <c r="I364" i="2"/>
  <c r="F366" i="2"/>
  <c r="B368" i="2"/>
  <c r="E166" i="2"/>
  <c r="E101" i="2"/>
  <c r="I133" i="2"/>
  <c r="E25" i="2"/>
  <c r="E114" i="2"/>
  <c r="I108" i="2"/>
  <c r="E124" i="2"/>
  <c r="E21" i="2"/>
  <c r="G66" i="2"/>
  <c r="G26" i="2"/>
  <c r="G197" i="2"/>
  <c r="G201" i="2"/>
  <c r="G205" i="2"/>
  <c r="G209" i="2"/>
  <c r="G213" i="2"/>
  <c r="G217" i="2"/>
  <c r="I221" i="2"/>
  <c r="E228" i="2"/>
  <c r="F231" i="2"/>
  <c r="G234" i="2"/>
  <c r="I237" i="2"/>
  <c r="E244" i="2"/>
  <c r="F247" i="2"/>
  <c r="G250" i="2"/>
  <c r="I253" i="2"/>
  <c r="E260" i="2"/>
  <c r="F263" i="2"/>
  <c r="G266" i="2"/>
  <c r="I269" i="2"/>
  <c r="H272" i="6"/>
  <c r="G272" i="6" s="1"/>
  <c r="E276" i="2"/>
  <c r="F279" i="2"/>
  <c r="G282" i="2"/>
  <c r="F285" i="2"/>
  <c r="G287" i="2"/>
  <c r="F290" i="2"/>
  <c r="F292" i="2"/>
  <c r="G294" i="2"/>
  <c r="E296" i="2"/>
  <c r="I297" i="2"/>
  <c r="F299" i="2"/>
  <c r="G302" i="2"/>
  <c r="E304" i="2"/>
  <c r="I305" i="2"/>
  <c r="F307" i="2"/>
  <c r="G310" i="2"/>
  <c r="E312" i="2"/>
  <c r="I313" i="2"/>
  <c r="F315" i="2"/>
  <c r="G318" i="2"/>
  <c r="E320" i="2"/>
  <c r="I321" i="2"/>
  <c r="F323" i="2"/>
  <c r="G326" i="2"/>
  <c r="E328" i="2"/>
  <c r="I329" i="2"/>
  <c r="F331" i="2"/>
  <c r="G334" i="2"/>
  <c r="E336" i="2"/>
  <c r="I337" i="2"/>
  <c r="F339" i="2"/>
  <c r="G342" i="2"/>
  <c r="E344" i="2"/>
  <c r="I345" i="2"/>
  <c r="F347" i="2"/>
  <c r="G350" i="2"/>
  <c r="E352" i="2"/>
  <c r="I353" i="2"/>
  <c r="F355" i="2"/>
  <c r="B357" i="2"/>
  <c r="G358" i="2"/>
  <c r="E360" i="2"/>
  <c r="I361" i="2"/>
  <c r="F363" i="2"/>
  <c r="B365" i="2"/>
  <c r="I182" i="2"/>
  <c r="E111" i="2"/>
  <c r="E152" i="2"/>
  <c r="I38" i="2"/>
  <c r="E77" i="2"/>
  <c r="E62" i="2"/>
  <c r="I123" i="2"/>
  <c r="E92" i="2"/>
  <c r="I66" i="2"/>
  <c r="I26" i="2"/>
  <c r="I197" i="2"/>
  <c r="I201" i="2"/>
  <c r="I205" i="2"/>
  <c r="I209" i="2"/>
  <c r="I213" i="2"/>
  <c r="I217" i="2"/>
  <c r="E225" i="2"/>
  <c r="F228" i="2"/>
  <c r="G231" i="2"/>
  <c r="I234" i="2"/>
  <c r="E241" i="2"/>
  <c r="F244" i="2"/>
  <c r="G247" i="2"/>
  <c r="I250" i="2"/>
  <c r="E257" i="2"/>
  <c r="F260" i="2"/>
  <c r="G263" i="2"/>
  <c r="I266" i="2"/>
  <c r="H269" i="6"/>
  <c r="G269" i="6" s="1"/>
  <c r="E273" i="2"/>
  <c r="F276" i="2"/>
  <c r="G279" i="2"/>
  <c r="I282" i="2"/>
  <c r="G285" i="2"/>
  <c r="F288" i="2"/>
  <c r="G290" i="2"/>
  <c r="I294" i="2"/>
  <c r="F296" i="2"/>
  <c r="G299" i="2"/>
  <c r="E301" i="2"/>
  <c r="I302" i="2"/>
  <c r="F304" i="2"/>
  <c r="H305" i="6"/>
  <c r="G305" i="6" s="1"/>
  <c r="G307" i="2"/>
  <c r="E309" i="2"/>
  <c r="I310" i="2"/>
  <c r="F312" i="2"/>
  <c r="G315" i="2"/>
  <c r="E317" i="2"/>
  <c r="I318" i="2"/>
  <c r="F320" i="2"/>
  <c r="G323" i="2"/>
  <c r="E325" i="2"/>
  <c r="I326" i="2"/>
  <c r="F328" i="2"/>
  <c r="G331" i="2"/>
  <c r="E333" i="2"/>
  <c r="E24" i="2"/>
  <c r="E163" i="2"/>
  <c r="I117" i="2"/>
  <c r="E178" i="2"/>
  <c r="E10" i="2"/>
  <c r="I75" i="2"/>
  <c r="E170" i="2"/>
  <c r="E153" i="2"/>
  <c r="I92" i="2"/>
  <c r="E54" i="2"/>
  <c r="E71" i="2"/>
  <c r="E198" i="2"/>
  <c r="E202" i="2"/>
  <c r="E206" i="2"/>
  <c r="E210" i="2"/>
  <c r="E214" i="2"/>
  <c r="E218" i="2"/>
  <c r="I219" i="2"/>
  <c r="E226" i="2"/>
  <c r="F229" i="2"/>
  <c r="G232" i="2"/>
  <c r="I235" i="2"/>
  <c r="E242" i="2"/>
  <c r="F245" i="2"/>
  <c r="G248" i="2"/>
  <c r="I251" i="2"/>
  <c r="E258" i="2"/>
  <c r="F261" i="2"/>
  <c r="G264" i="2"/>
  <c r="I267" i="2"/>
  <c r="H270" i="6"/>
  <c r="G270" i="6" s="1"/>
  <c r="E274" i="2"/>
  <c r="F277" i="2"/>
  <c r="G280" i="2"/>
  <c r="G283" i="2"/>
  <c r="I285" i="2"/>
  <c r="G288" i="2"/>
  <c r="I290" i="2"/>
  <c r="E293" i="2"/>
  <c r="G296" i="2"/>
  <c r="E298" i="2"/>
  <c r="I299" i="2"/>
  <c r="F301" i="2"/>
  <c r="G304" i="2"/>
  <c r="E306" i="2"/>
  <c r="I307" i="2"/>
  <c r="F309" i="2"/>
  <c r="I144" i="2"/>
  <c r="E52" i="2"/>
  <c r="G31" i="2"/>
  <c r="G207" i="2"/>
  <c r="F226" i="2"/>
  <c r="E239" i="2"/>
  <c r="H251" i="6"/>
  <c r="G251" i="6" s="1"/>
  <c r="I264" i="2"/>
  <c r="G277" i="2"/>
  <c r="I288" i="2"/>
  <c r="I296" i="2"/>
  <c r="E303" i="2"/>
  <c r="G309" i="2"/>
  <c r="F314" i="2"/>
  <c r="G322" i="2"/>
  <c r="E327" i="2"/>
  <c r="I331" i="2"/>
  <c r="E335" i="2"/>
  <c r="F338" i="2"/>
  <c r="G341" i="2"/>
  <c r="I344" i="2"/>
  <c r="E351" i="2"/>
  <c r="F354" i="2"/>
  <c r="G357" i="2"/>
  <c r="I360" i="2"/>
  <c r="B364" i="2"/>
  <c r="I366" i="2"/>
  <c r="I368" i="2"/>
  <c r="G370" i="2"/>
  <c r="E372" i="2"/>
  <c r="I373" i="2"/>
  <c r="F375" i="2"/>
  <c r="B377" i="2"/>
  <c r="G378" i="2"/>
  <c r="E380" i="2"/>
  <c r="I381" i="2"/>
  <c r="F383" i="2"/>
  <c r="B385" i="2"/>
  <c r="G386" i="2"/>
  <c r="E388" i="2"/>
  <c r="I389" i="2"/>
  <c r="F391" i="2"/>
  <c r="B393" i="2"/>
  <c r="G394" i="2"/>
  <c r="E396" i="2"/>
  <c r="I397" i="2"/>
  <c r="F399" i="2"/>
  <c r="B401" i="2"/>
  <c r="G402" i="2"/>
  <c r="F218" i="2"/>
  <c r="G293" i="2"/>
  <c r="G325" i="2"/>
  <c r="F343" i="2"/>
  <c r="E356" i="2"/>
  <c r="B370" i="2"/>
  <c r="B378" i="2"/>
  <c r="H377" i="6" s="1"/>
  <c r="G377" i="6" s="1"/>
  <c r="E389" i="2"/>
  <c r="G395" i="2"/>
  <c r="B402" i="2"/>
  <c r="F206" i="2"/>
  <c r="G274" i="2"/>
  <c r="E308" i="2"/>
  <c r="I363" i="2"/>
  <c r="B372" i="2"/>
  <c r="B380" i="2"/>
  <c r="F386" i="2"/>
  <c r="G397" i="2"/>
  <c r="E121" i="2"/>
  <c r="I169" i="2"/>
  <c r="F71" i="2"/>
  <c r="F210" i="2"/>
  <c r="G226" i="2"/>
  <c r="F239" i="2"/>
  <c r="E252" i="2"/>
  <c r="I277" i="2"/>
  <c r="F303" i="2"/>
  <c r="I309" i="2"/>
  <c r="G314" i="2"/>
  <c r="E319" i="2"/>
  <c r="I323" i="2"/>
  <c r="F327" i="2"/>
  <c r="F335" i="2"/>
  <c r="G338" i="2"/>
  <c r="I341" i="2"/>
  <c r="E348" i="2"/>
  <c r="F351" i="2"/>
  <c r="G354" i="2"/>
  <c r="I357" i="2"/>
  <c r="B361" i="2"/>
  <c r="E364" i="2"/>
  <c r="B367" i="2"/>
  <c r="B369" i="2"/>
  <c r="I370" i="2"/>
  <c r="F372" i="2"/>
  <c r="B374" i="2"/>
  <c r="H373" i="6" s="1"/>
  <c r="G373" i="6" s="1"/>
  <c r="G375" i="2"/>
  <c r="E377" i="2"/>
  <c r="I378" i="2"/>
  <c r="F380" i="2"/>
  <c r="B382" i="2"/>
  <c r="G383" i="2"/>
  <c r="E385" i="2"/>
  <c r="I386" i="2"/>
  <c r="F388" i="2"/>
  <c r="B390" i="2"/>
  <c r="G391" i="2"/>
  <c r="E393" i="2"/>
  <c r="I394" i="2"/>
  <c r="F396" i="2"/>
  <c r="B398" i="2"/>
  <c r="G399" i="2"/>
  <c r="E401" i="2"/>
  <c r="I402" i="2"/>
  <c r="E103" i="2"/>
  <c r="I245" i="2"/>
  <c r="E300" i="2"/>
  <c r="E340" i="2"/>
  <c r="E368" i="2"/>
  <c r="F384" i="2"/>
  <c r="I261" i="2"/>
  <c r="E338" i="2"/>
  <c r="G373" i="2"/>
  <c r="E399" i="2"/>
  <c r="E15" i="2"/>
  <c r="E145" i="2"/>
  <c r="G195" i="2"/>
  <c r="G211" i="2"/>
  <c r="G229" i="2"/>
  <c r="F242" i="2"/>
  <c r="E255" i="2"/>
  <c r="H267" i="6"/>
  <c r="G267" i="6" s="1"/>
  <c r="I280" i="2"/>
  <c r="F291" i="2"/>
  <c r="F298" i="2"/>
  <c r="I304" i="2"/>
  <c r="E311" i="2"/>
  <c r="I315" i="2"/>
  <c r="F319" i="2"/>
  <c r="G328" i="2"/>
  <c r="E332" i="2"/>
  <c r="F336" i="2"/>
  <c r="G339" i="2"/>
  <c r="I342" i="2"/>
  <c r="E349" i="2"/>
  <c r="F352" i="2"/>
  <c r="G355" i="2"/>
  <c r="I358" i="2"/>
  <c r="B362" i="2"/>
  <c r="E365" i="2"/>
  <c r="E367" i="2"/>
  <c r="E369" i="2"/>
  <c r="B371" i="2"/>
  <c r="G372" i="2"/>
  <c r="E374" i="2"/>
  <c r="I375" i="2"/>
  <c r="F377" i="2"/>
  <c r="B379" i="2"/>
  <c r="G380" i="2"/>
  <c r="E382" i="2"/>
  <c r="I383" i="2"/>
  <c r="F385" i="2"/>
  <c r="B387" i="2"/>
  <c r="H386" i="6" s="1"/>
  <c r="G386" i="6" s="1"/>
  <c r="G388" i="2"/>
  <c r="E390" i="2"/>
  <c r="I391" i="2"/>
  <c r="F393" i="2"/>
  <c r="B395" i="2"/>
  <c r="G396" i="2"/>
  <c r="E398" i="2"/>
  <c r="I399" i="2"/>
  <c r="F401" i="2"/>
  <c r="F202" i="2"/>
  <c r="G258" i="2"/>
  <c r="G306" i="2"/>
  <c r="E330" i="2"/>
  <c r="G346" i="2"/>
  <c r="F359" i="2"/>
  <c r="G371" i="2"/>
  <c r="F376" i="2"/>
  <c r="I382" i="2"/>
  <c r="I390" i="2"/>
  <c r="E397" i="2"/>
  <c r="E139" i="2"/>
  <c r="I301" i="2"/>
  <c r="F322" i="2"/>
  <c r="F341" i="2"/>
  <c r="E354" i="2"/>
  <c r="G366" i="2"/>
  <c r="E375" i="2"/>
  <c r="G381" i="2"/>
  <c r="B388" i="2"/>
  <c r="H387" i="6" s="1"/>
  <c r="G387" i="6" s="1"/>
  <c r="F394" i="2"/>
  <c r="I165" i="2"/>
  <c r="E61" i="2"/>
  <c r="E47" i="3" a="1"/>
  <c r="E47" i="3" s="1"/>
  <c r="E121" i="4" s="1"/>
  <c r="F214" i="2"/>
  <c r="I229" i="2"/>
  <c r="G242" i="2"/>
  <c r="F255" i="2"/>
  <c r="E268" i="2"/>
  <c r="G291" i="2"/>
  <c r="G298" i="2"/>
  <c r="F311" i="2"/>
  <c r="G320" i="2"/>
  <c r="E324" i="2"/>
  <c r="I328" i="2"/>
  <c r="F333" i="2"/>
  <c r="G336" i="2"/>
  <c r="I339" i="2"/>
  <c r="E346" i="2"/>
  <c r="F349" i="2"/>
  <c r="G352" i="2"/>
  <c r="I355" i="2"/>
  <c r="B359" i="2"/>
  <c r="H358" i="6" s="1"/>
  <c r="G358" i="6" s="1"/>
  <c r="E362" i="2"/>
  <c r="F365" i="2"/>
  <c r="F367" i="2"/>
  <c r="G369" i="2"/>
  <c r="E371" i="2"/>
  <c r="I372" i="2"/>
  <c r="F374" i="2"/>
  <c r="B376" i="2"/>
  <c r="H375" i="6" s="1"/>
  <c r="G375" i="6" s="1"/>
  <c r="G377" i="2"/>
  <c r="E379" i="2"/>
  <c r="I380" i="2"/>
  <c r="F382" i="2"/>
  <c r="B384" i="2"/>
  <c r="G385" i="2"/>
  <c r="E387" i="2"/>
  <c r="I388" i="2"/>
  <c r="F390" i="2"/>
  <c r="B392" i="2"/>
  <c r="G393" i="2"/>
  <c r="E395" i="2"/>
  <c r="I396" i="2"/>
  <c r="F398" i="2"/>
  <c r="B400" i="2"/>
  <c r="G401" i="2"/>
  <c r="E161" i="2"/>
  <c r="F271" i="2"/>
  <c r="I312" i="2"/>
  <c r="I333" i="2"/>
  <c r="I349" i="2"/>
  <c r="I365" i="2"/>
  <c r="I374" i="2"/>
  <c r="E381" i="2"/>
  <c r="G387" i="2"/>
  <c r="B394" i="2"/>
  <c r="F400" i="2"/>
  <c r="E76" i="2"/>
  <c r="F223" i="2"/>
  <c r="I286" i="2"/>
  <c r="E314" i="2"/>
  <c r="G330" i="2"/>
  <c r="I347" i="2"/>
  <c r="F357" i="2"/>
  <c r="F370" i="2"/>
  <c r="F378" i="2"/>
  <c r="E383" i="2"/>
  <c r="G389" i="2"/>
  <c r="I392" i="2"/>
  <c r="F402" i="2"/>
  <c r="E168" i="2"/>
  <c r="I56" i="2"/>
  <c r="G199" i="2"/>
  <c r="G215" i="2"/>
  <c r="I232" i="2"/>
  <c r="G245" i="2"/>
  <c r="F258" i="2"/>
  <c r="E271" i="2"/>
  <c r="I283" i="2"/>
  <c r="F293" i="2"/>
  <c r="F306" i="2"/>
  <c r="G312" i="2"/>
  <c r="E316" i="2"/>
  <c r="I320" i="2"/>
  <c r="F325" i="2"/>
  <c r="G333" i="2"/>
  <c r="I336" i="2"/>
  <c r="E343" i="2"/>
  <c r="F346" i="2"/>
  <c r="G349" i="2"/>
  <c r="I352" i="2"/>
  <c r="B356" i="2"/>
  <c r="E359" i="2"/>
  <c r="F362" i="2"/>
  <c r="G365" i="2"/>
  <c r="G367" i="2"/>
  <c r="I369" i="2"/>
  <c r="F371" i="2"/>
  <c r="B373" i="2"/>
  <c r="G374" i="2"/>
  <c r="E376" i="2"/>
  <c r="I377" i="2"/>
  <c r="F379" i="2"/>
  <c r="B381" i="2"/>
  <c r="G382" i="2"/>
  <c r="E384" i="2"/>
  <c r="I385" i="2"/>
  <c r="F387" i="2"/>
  <c r="B389" i="2"/>
  <c r="G390" i="2"/>
  <c r="E392" i="2"/>
  <c r="I393" i="2"/>
  <c r="F395" i="2"/>
  <c r="B397" i="2"/>
  <c r="G398" i="2"/>
  <c r="E400" i="2"/>
  <c r="I401" i="2"/>
  <c r="I36" i="2"/>
  <c r="E220" i="2"/>
  <c r="H283" i="6"/>
  <c r="G283" i="6" s="1"/>
  <c r="F317" i="2"/>
  <c r="B353" i="2"/>
  <c r="G362" i="2"/>
  <c r="E373" i="2"/>
  <c r="G379" i="2"/>
  <c r="B386" i="2"/>
  <c r="H385" i="6" s="1"/>
  <c r="G385" i="6" s="1"/>
  <c r="F392" i="2"/>
  <c r="I398" i="2"/>
  <c r="E236" i="2"/>
  <c r="F295" i="2"/>
  <c r="I317" i="2"/>
  <c r="G344" i="2"/>
  <c r="G360" i="2"/>
  <c r="G368" i="2"/>
  <c r="I376" i="2"/>
  <c r="I384" i="2"/>
  <c r="E391" i="2"/>
  <c r="B396" i="2"/>
  <c r="I400" i="2"/>
  <c r="E99" i="2"/>
  <c r="I184" i="2"/>
  <c r="G53" i="2"/>
  <c r="G203" i="2"/>
  <c r="E223" i="2"/>
  <c r="I248" i="2"/>
  <c r="G261" i="2"/>
  <c r="F274" i="2"/>
  <c r="E295" i="2"/>
  <c r="G301" i="2"/>
  <c r="G317" i="2"/>
  <c r="E322" i="2"/>
  <c r="I325" i="2"/>
  <c r="F330" i="2"/>
  <c r="I334" i="2"/>
  <c r="E341" i="2"/>
  <c r="F344" i="2"/>
  <c r="G347" i="2"/>
  <c r="I350" i="2"/>
  <c r="B354" i="2"/>
  <c r="E357" i="2"/>
  <c r="F360" i="2"/>
  <c r="G363" i="2"/>
  <c r="B366" i="2"/>
  <c r="F368" i="2"/>
  <c r="E370" i="2"/>
  <c r="I371" i="2"/>
  <c r="F373" i="2"/>
  <c r="B375" i="2"/>
  <c r="G376" i="2"/>
  <c r="E378" i="2"/>
  <c r="I379" i="2"/>
  <c r="F381" i="2"/>
  <c r="B383" i="2"/>
  <c r="G384" i="2"/>
  <c r="E386" i="2"/>
  <c r="I387" i="2"/>
  <c r="F389" i="2"/>
  <c r="B391" i="2"/>
  <c r="G392" i="2"/>
  <c r="E394" i="2"/>
  <c r="I395" i="2"/>
  <c r="F397" i="2"/>
  <c r="B399" i="2"/>
  <c r="G400" i="2"/>
  <c r="E402" i="2"/>
  <c r="H364" i="6"/>
  <c r="G364" i="6" s="1"/>
  <c r="E264" i="8"/>
  <c r="H264" i="8"/>
  <c r="G264" i="8"/>
  <c r="C264" i="8"/>
  <c r="H274" i="8"/>
  <c r="E274" i="8"/>
  <c r="G274" i="8"/>
  <c r="C274" i="8"/>
  <c r="F274" i="8"/>
  <c r="H370" i="6"/>
  <c r="G370" i="6" s="1"/>
  <c r="H374" i="6"/>
  <c r="G374" i="6" s="1"/>
  <c r="H367" i="6"/>
  <c r="G367" i="6" s="1"/>
  <c r="H368" i="6"/>
  <c r="G368" i="6" s="1"/>
  <c r="H268" i="6"/>
  <c r="G268" i="6" s="1"/>
  <c r="H371" i="6"/>
  <c r="G371" i="6" s="1"/>
  <c r="C292" i="8"/>
  <c r="G292" i="8"/>
  <c r="E292" i="8"/>
  <c r="H292" i="8"/>
  <c r="H224" i="3"/>
  <c r="F224" i="3"/>
  <c r="G224" i="3"/>
  <c r="C224" i="3"/>
  <c r="F288" i="4"/>
  <c r="G315" i="4"/>
  <c r="H315" i="4"/>
  <c r="E315" i="4"/>
  <c r="H288" i="4"/>
  <c r="F315" i="4"/>
  <c r="C315" i="4"/>
  <c r="G288" i="4"/>
  <c r="C288" i="4"/>
  <c r="E288" i="4"/>
  <c r="G328" i="8"/>
  <c r="G310" i="8"/>
  <c r="C328" i="8"/>
  <c r="F310" i="8"/>
  <c r="H328" i="8"/>
  <c r="F250" i="3"/>
  <c r="C310" i="8"/>
  <c r="G250" i="3"/>
  <c r="E310" i="8"/>
  <c r="H310" i="8"/>
  <c r="H250" i="3"/>
  <c r="F328" i="8"/>
  <c r="E328" i="8"/>
  <c r="C250" i="3"/>
  <c r="E334" i="4"/>
  <c r="F353" i="4"/>
  <c r="G260" i="3"/>
  <c r="C260" i="3"/>
  <c r="H334" i="4"/>
  <c r="C334" i="4"/>
  <c r="G353" i="4"/>
  <c r="H353" i="4"/>
  <c r="C353" i="4"/>
  <c r="F334" i="4"/>
  <c r="G334" i="4"/>
  <c r="H260" i="3"/>
  <c r="E353" i="4"/>
  <c r="G347" i="8"/>
  <c r="C266" i="3"/>
  <c r="H266" i="3"/>
  <c r="E347" i="8"/>
  <c r="F347" i="8"/>
  <c r="G266" i="3"/>
  <c r="H347" i="8"/>
  <c r="C347" i="8"/>
  <c r="G385" i="8"/>
  <c r="F385" i="8"/>
  <c r="H385" i="8"/>
  <c r="E385" i="8"/>
  <c r="C385" i="8"/>
  <c r="C404" i="8"/>
  <c r="G404" i="8"/>
  <c r="E404" i="8"/>
  <c r="F404" i="8"/>
  <c r="H404" i="8"/>
  <c r="H366" i="8"/>
  <c r="C366" i="8"/>
  <c r="G366" i="8"/>
  <c r="E366" i="8"/>
  <c r="F366" i="8"/>
  <c r="G407" i="4"/>
  <c r="C372" i="4"/>
  <c r="H407" i="4"/>
  <c r="G372" i="4"/>
  <c r="E372" i="4"/>
  <c r="F407" i="4"/>
  <c r="E407" i="4"/>
  <c r="C407" i="4"/>
  <c r="H372" i="4"/>
  <c r="F372" i="4"/>
  <c r="H2" i="8"/>
  <c r="G2" i="8"/>
  <c r="F2" i="8"/>
  <c r="E2" i="8"/>
  <c r="H96" i="8"/>
  <c r="C2" i="8"/>
  <c r="G96" i="8"/>
  <c r="E96" i="8"/>
  <c r="C96" i="8"/>
  <c r="D4" i="3"/>
  <c r="E21" i="8"/>
  <c r="F21" i="8"/>
  <c r="C21" i="8"/>
  <c r="H21" i="8"/>
  <c r="D2" i="8"/>
  <c r="G21" i="8"/>
  <c r="H81" i="4"/>
  <c r="G81" i="4"/>
  <c r="H94" i="4"/>
  <c r="E81" i="4"/>
  <c r="G94" i="4"/>
  <c r="C81" i="4"/>
  <c r="F94" i="4"/>
  <c r="E94" i="4"/>
  <c r="C94" i="4"/>
  <c r="F81" i="4"/>
  <c r="E635" i="4" a="1"/>
  <c r="E635" i="4" s="1"/>
  <c r="F403" i="2"/>
  <c r="F405" i="2"/>
  <c r="F406" i="2"/>
  <c r="E155" i="3" a="1"/>
  <c r="E155" i="3" s="1"/>
  <c r="E147" i="3" a="1"/>
  <c r="E147" i="3" s="1"/>
  <c r="F404" i="2"/>
  <c r="E141" i="8" a="1"/>
  <c r="E141" i="8" s="1"/>
  <c r="F408" i="2"/>
  <c r="E154" i="3" a="1"/>
  <c r="E154" i="3" s="1"/>
  <c r="E638" i="4" a="1"/>
  <c r="E638" i="4" s="1"/>
  <c r="E580" i="4" a="1"/>
  <c r="E580" i="4" s="1"/>
  <c r="F407" i="2"/>
  <c r="E636" i="4" a="1"/>
  <c r="E636" i="4" s="1"/>
  <c r="B415" i="2"/>
  <c r="I427" i="2"/>
  <c r="B444" i="2"/>
  <c r="I416" i="2"/>
  <c r="G429" i="2"/>
  <c r="G445" i="2"/>
  <c r="F415" i="2"/>
  <c r="E428" i="2"/>
  <c r="B441" i="2"/>
  <c r="B404" i="2"/>
  <c r="E405" i="2"/>
  <c r="I418" i="2"/>
  <c r="G431" i="2"/>
  <c r="G405" i="2"/>
  <c r="B419" i="2"/>
  <c r="I431" i="2"/>
  <c r="G444" i="2"/>
  <c r="I436" i="2"/>
  <c r="G409" i="2"/>
  <c r="F422" i="2"/>
  <c r="F438" i="2"/>
  <c r="I409" i="2"/>
  <c r="G422" i="2"/>
  <c r="F435" i="2"/>
  <c r="E448" i="2"/>
  <c r="I414" i="2"/>
  <c r="G427" i="2"/>
  <c r="F440" i="2"/>
  <c r="E403" i="2"/>
  <c r="H297" i="6"/>
  <c r="G297" i="6" s="1"/>
  <c r="H356" i="6"/>
  <c r="G356" i="6" s="1"/>
  <c r="G416" i="2"/>
  <c r="F429" i="2"/>
  <c r="F418" i="2"/>
  <c r="E431" i="2"/>
  <c r="B417" i="2"/>
  <c r="I429" i="2"/>
  <c r="G442" i="2"/>
  <c r="I434" i="2"/>
  <c r="E407" i="2"/>
  <c r="F420" i="2"/>
  <c r="E433" i="2"/>
  <c r="G407" i="2"/>
  <c r="G420" i="2"/>
  <c r="F433" i="2"/>
  <c r="E446" i="2"/>
  <c r="B440" i="2"/>
  <c r="E411" i="2"/>
  <c r="B424" i="2"/>
  <c r="G441" i="2"/>
  <c r="F411" i="2"/>
  <c r="E424" i="2"/>
  <c r="B437" i="2"/>
  <c r="I449" i="2"/>
  <c r="F442" i="2"/>
  <c r="F416" i="2"/>
  <c r="E429" i="2"/>
  <c r="B442" i="2"/>
  <c r="E434" i="2"/>
  <c r="H289" i="6"/>
  <c r="G289" i="6" s="1"/>
  <c r="H318" i="6"/>
  <c r="G318" i="6" s="1"/>
  <c r="H355" i="6"/>
  <c r="G355" i="6" s="1"/>
  <c r="H343" i="6"/>
  <c r="G343" i="6" s="1"/>
  <c r="E418" i="2"/>
  <c r="B431" i="2"/>
  <c r="I406" i="2"/>
  <c r="B420" i="2"/>
  <c r="I432" i="2"/>
  <c r="B405" i="2"/>
  <c r="G418" i="2"/>
  <c r="F431" i="2"/>
  <c r="E444" i="2"/>
  <c r="G439" i="2"/>
  <c r="E409" i="2"/>
  <c r="B422" i="2"/>
  <c r="F436" i="2"/>
  <c r="F409" i="2"/>
  <c r="E422" i="2"/>
  <c r="B435" i="2"/>
  <c r="I447" i="2"/>
  <c r="E443" i="2"/>
  <c r="I412" i="2"/>
  <c r="G425" i="2"/>
  <c r="I444" i="2"/>
  <c r="B413" i="2"/>
  <c r="I425" i="2"/>
  <c r="G438" i="2"/>
  <c r="H93" i="6"/>
  <c r="G93" i="6" s="1"/>
  <c r="I448" i="2"/>
  <c r="B418" i="2"/>
  <c r="I430" i="2"/>
  <c r="G443" i="2"/>
  <c r="B439" i="2"/>
  <c r="H291" i="6"/>
  <c r="G291" i="6" s="1"/>
  <c r="H301" i="6"/>
  <c r="G301" i="6" s="1"/>
  <c r="H330" i="6"/>
  <c r="G330" i="6" s="1"/>
  <c r="G406" i="2"/>
  <c r="I419" i="2"/>
  <c r="G432" i="2"/>
  <c r="I408" i="2"/>
  <c r="G421" i="2"/>
  <c r="F434" i="2"/>
  <c r="B407" i="2"/>
  <c r="E420" i="2"/>
  <c r="B433" i="2"/>
  <c r="I445" i="2"/>
  <c r="I442" i="2"/>
  <c r="I410" i="2"/>
  <c r="G423" i="2"/>
  <c r="B438" i="2"/>
  <c r="B411" i="2"/>
  <c r="I423" i="2"/>
  <c r="G436" i="2"/>
  <c r="F449" i="2"/>
  <c r="F446" i="2"/>
  <c r="F414" i="2"/>
  <c r="E427" i="2"/>
  <c r="B448" i="2"/>
  <c r="G414" i="2"/>
  <c r="F427" i="2"/>
  <c r="E440" i="2"/>
  <c r="H94" i="6"/>
  <c r="G94" i="6" s="1"/>
  <c r="E406" i="2"/>
  <c r="G419" i="2"/>
  <c r="F432" i="2"/>
  <c r="E445" i="2"/>
  <c r="I443" i="2"/>
  <c r="H285" i="6"/>
  <c r="G285" i="6" s="1"/>
  <c r="H299" i="6"/>
  <c r="G299" i="6" s="1"/>
  <c r="H332" i="6"/>
  <c r="G332" i="6" s="1"/>
  <c r="H389" i="6"/>
  <c r="G389" i="6" s="1"/>
  <c r="G408" i="2"/>
  <c r="F421" i="2"/>
  <c r="F437" i="2"/>
  <c r="F410" i="2"/>
  <c r="E423" i="2"/>
  <c r="B436" i="2"/>
  <c r="B409" i="2"/>
  <c r="I421" i="2"/>
  <c r="G434" i="2"/>
  <c r="F447" i="2"/>
  <c r="B446" i="2"/>
  <c r="F412" i="2"/>
  <c r="E425" i="2"/>
  <c r="E441" i="2"/>
  <c r="G412" i="2"/>
  <c r="F425" i="2"/>
  <c r="E438" i="2"/>
  <c r="G449" i="2"/>
  <c r="B416" i="2"/>
  <c r="I428" i="2"/>
  <c r="E416" i="2"/>
  <c r="B429" i="2"/>
  <c r="I441" i="2"/>
  <c r="B403" i="2"/>
  <c r="E408" i="2"/>
  <c r="E421" i="2"/>
  <c r="B434" i="2"/>
  <c r="I446" i="2"/>
  <c r="G448" i="2"/>
  <c r="F98" i="6"/>
  <c r="H320" i="6"/>
  <c r="G320" i="6" s="1"/>
  <c r="H350" i="6"/>
  <c r="G350" i="6" s="1"/>
  <c r="H380" i="6"/>
  <c r="G380" i="6" s="1"/>
  <c r="E410" i="2"/>
  <c r="B423" i="2"/>
  <c r="G440" i="2"/>
  <c r="B412" i="2"/>
  <c r="I424" i="2"/>
  <c r="G437" i="2"/>
  <c r="G410" i="2"/>
  <c r="F423" i="2"/>
  <c r="E436" i="2"/>
  <c r="B449" i="2"/>
  <c r="G447" i="2"/>
  <c r="B414" i="2"/>
  <c r="I426" i="2"/>
  <c r="F444" i="2"/>
  <c r="E414" i="2"/>
  <c r="B427" i="2"/>
  <c r="I439" i="2"/>
  <c r="G417" i="2"/>
  <c r="F430" i="2"/>
  <c r="I404" i="2"/>
  <c r="I417" i="2"/>
  <c r="G430" i="2"/>
  <c r="F443" i="2"/>
  <c r="I435" i="2"/>
  <c r="B410" i="2"/>
  <c r="I422" i="2"/>
  <c r="G435" i="2"/>
  <c r="F448" i="2"/>
  <c r="G403" i="2"/>
  <c r="I411" i="2"/>
  <c r="G424" i="2"/>
  <c r="B447" i="2"/>
  <c r="G413" i="2"/>
  <c r="F426" i="2"/>
  <c r="E439" i="2"/>
  <c r="E412" i="2"/>
  <c r="B425" i="2"/>
  <c r="I437" i="2"/>
  <c r="H55" i="6"/>
  <c r="G55" i="6" s="1"/>
  <c r="G415" i="2"/>
  <c r="F428" i="2"/>
  <c r="E449" i="2"/>
  <c r="I415" i="2"/>
  <c r="G428" i="2"/>
  <c r="F441" i="2"/>
  <c r="G404" i="2"/>
  <c r="I405" i="2"/>
  <c r="E419" i="2"/>
  <c r="B432" i="2"/>
  <c r="B406" i="2"/>
  <c r="F419" i="2"/>
  <c r="E432" i="2"/>
  <c r="B445" i="2"/>
  <c r="E442" i="2"/>
  <c r="G411" i="2"/>
  <c r="F424" i="2"/>
  <c r="E437" i="2"/>
  <c r="E447" i="2"/>
  <c r="H383" i="6"/>
  <c r="G383" i="6" s="1"/>
  <c r="H298" i="6"/>
  <c r="G298" i="6" s="1"/>
  <c r="H326" i="6"/>
  <c r="G326" i="6" s="1"/>
  <c r="G426" i="2"/>
  <c r="E430" i="2"/>
  <c r="I433" i="2"/>
  <c r="H286" i="6"/>
  <c r="G286" i="6" s="1"/>
  <c r="H321" i="6"/>
  <c r="G321" i="6" s="1"/>
  <c r="H347" i="6"/>
  <c r="G347" i="6" s="1"/>
  <c r="F413" i="2"/>
  <c r="F439" i="2"/>
  <c r="B443" i="2"/>
  <c r="G446" i="2"/>
  <c r="D374" i="4" a="1"/>
  <c r="D374" i="4" s="1"/>
  <c r="H323" i="6"/>
  <c r="G323" i="6" s="1"/>
  <c r="H349" i="6"/>
  <c r="G349" i="6" s="1"/>
  <c r="H43" i="4"/>
  <c r="H319" i="6"/>
  <c r="G319" i="6" s="1"/>
  <c r="G4" i="3"/>
  <c r="C62" i="4"/>
  <c r="E426" i="2"/>
  <c r="H187" i="6"/>
  <c r="G187" i="6" s="1"/>
  <c r="G433" i="2"/>
  <c r="F445" i="2"/>
  <c r="H244" i="6"/>
  <c r="G244" i="6" s="1"/>
  <c r="H247" i="6"/>
  <c r="G247" i="6" s="1"/>
  <c r="H243" i="6"/>
  <c r="G243" i="6" s="1"/>
  <c r="H328" i="6"/>
  <c r="G328" i="6" s="1"/>
  <c r="B408" i="2"/>
  <c r="E404" i="2"/>
  <c r="I407" i="2"/>
  <c r="E413" i="2"/>
  <c r="H359" i="6"/>
  <c r="G359" i="6" s="1"/>
  <c r="H296" i="6"/>
  <c r="G296" i="6" s="1"/>
  <c r="H327" i="6"/>
  <c r="G327" i="6" s="1"/>
  <c r="C43" i="4"/>
  <c r="H354" i="6"/>
  <c r="G354" i="6" s="1"/>
  <c r="H4" i="3"/>
  <c r="E415" i="2"/>
  <c r="E417" i="2"/>
  <c r="I420" i="2"/>
  <c r="B426" i="2"/>
  <c r="H277" i="6"/>
  <c r="G277" i="6" s="1"/>
  <c r="H293" i="6"/>
  <c r="G293" i="6" s="1"/>
  <c r="H325" i="6"/>
  <c r="G325" i="6" s="1"/>
  <c r="H339" i="6"/>
  <c r="G339" i="6" s="1"/>
  <c r="G43" i="4"/>
  <c r="E43" i="4"/>
  <c r="F43" i="4"/>
  <c r="F62" i="4"/>
  <c r="B428" i="2"/>
  <c r="B430" i="2"/>
  <c r="E435" i="2"/>
  <c r="I438" i="2"/>
  <c r="H300" i="6"/>
  <c r="G300" i="6" s="1"/>
  <c r="H294" i="6"/>
  <c r="G294" i="6" s="1"/>
  <c r="H353" i="6"/>
  <c r="G353" i="6" s="1"/>
  <c r="C4" i="3"/>
  <c r="E62" i="4"/>
  <c r="I440" i="2"/>
  <c r="H62" i="4"/>
  <c r="I413" i="2"/>
  <c r="F417" i="2"/>
  <c r="B421" i="2"/>
  <c r="I403" i="2"/>
  <c r="H374" i="4" a="1"/>
  <c r="H374" i="4" s="1"/>
  <c r="H344" i="6"/>
  <c r="G344" i="6" s="1"/>
  <c r="G62" i="4"/>
  <c r="H342" i="6"/>
  <c r="G342" i="6" s="1"/>
  <c r="D21" i="8"/>
  <c r="D43" i="4"/>
  <c r="D81" i="4"/>
  <c r="D62" i="4"/>
  <c r="D94" i="4"/>
  <c r="D96" i="8"/>
  <c r="H46" i="6"/>
  <c r="G46" i="6" s="1"/>
  <c r="H95" i="6"/>
  <c r="G95" i="6" s="1"/>
  <c r="K95" i="6" s="1"/>
  <c r="H178" i="6"/>
  <c r="G178" i="6" s="1"/>
  <c r="H84" i="6"/>
  <c r="G84" i="6" s="1"/>
  <c r="H150" i="6"/>
  <c r="G150" i="6" s="1"/>
  <c r="H170" i="6"/>
  <c r="G170" i="6" s="1"/>
  <c r="H14" i="6"/>
  <c r="G14" i="6" s="1"/>
  <c r="H203" i="6"/>
  <c r="G203" i="6" s="1"/>
  <c r="H25" i="6"/>
  <c r="G25" i="6" s="1"/>
  <c r="H3" i="6"/>
  <c r="G3" i="6" s="1"/>
  <c r="H67" i="6"/>
  <c r="G67" i="6" s="1"/>
  <c r="H139" i="6"/>
  <c r="G139" i="6" s="1"/>
  <c r="H196" i="6"/>
  <c r="G196" i="6" s="1"/>
  <c r="H71" i="6"/>
  <c r="G71" i="6" s="1"/>
  <c r="H186" i="6"/>
  <c r="G186" i="6" s="1"/>
  <c r="K186" i="6" s="1"/>
  <c r="H174" i="6"/>
  <c r="G174" i="6" s="1"/>
  <c r="H194" i="6"/>
  <c r="G194" i="6" s="1"/>
  <c r="H197" i="6"/>
  <c r="G197" i="6" s="1"/>
  <c r="H32" i="6"/>
  <c r="G32" i="6" s="1"/>
  <c r="H24" i="6"/>
  <c r="G24" i="6" s="1"/>
  <c r="H121" i="6"/>
  <c r="G121" i="6" s="1"/>
  <c r="H6" i="6"/>
  <c r="G6" i="6" s="1"/>
  <c r="H162" i="6"/>
  <c r="G162" i="6" s="1"/>
  <c r="H184" i="6"/>
  <c r="G184" i="6" s="1"/>
  <c r="K184" i="6" s="1"/>
  <c r="H82" i="6"/>
  <c r="G82" i="6" s="1"/>
  <c r="H33" i="6"/>
  <c r="G33" i="6" s="1"/>
  <c r="H41" i="6"/>
  <c r="G41" i="6" s="1"/>
  <c r="H28" i="6"/>
  <c r="G28" i="6" s="1"/>
  <c r="H81" i="6"/>
  <c r="G81" i="6" s="1"/>
  <c r="H141" i="6"/>
  <c r="G141" i="6" s="1"/>
  <c r="H102" i="6"/>
  <c r="G102" i="6" s="1"/>
  <c r="E392" i="3" a="1"/>
  <c r="E392" i="3" s="1"/>
  <c r="H92" i="6"/>
  <c r="G92" i="6" s="1"/>
  <c r="K92" i="6" s="1"/>
  <c r="H22" i="6"/>
  <c r="G22" i="6" s="1"/>
  <c r="H157" i="6"/>
  <c r="G157" i="6" s="1"/>
  <c r="H85" i="6"/>
  <c r="G85" i="6" s="1"/>
  <c r="H145" i="6"/>
  <c r="G145" i="6" s="1"/>
  <c r="H180" i="6"/>
  <c r="G180" i="6" s="1"/>
  <c r="H83" i="6"/>
  <c r="G83" i="6" s="1"/>
  <c r="H193" i="6"/>
  <c r="G193" i="6" s="1"/>
  <c r="H42" i="6"/>
  <c r="G42" i="6" s="1"/>
  <c r="H280" i="6"/>
  <c r="G280" i="6" s="1"/>
  <c r="E621" i="8"/>
  <c r="C601" i="8"/>
  <c r="H316" i="6"/>
  <c r="G316" i="6" s="1"/>
  <c r="H309" i="6"/>
  <c r="G309" i="6" s="1"/>
  <c r="E76" i="8" a="1"/>
  <c r="E76" i="8" s="1"/>
  <c r="H54" i="4" a="1"/>
  <c r="H54" i="4" s="1"/>
  <c r="H250" i="6"/>
  <c r="G250" i="6" s="1"/>
  <c r="H357" i="6"/>
  <c r="G357" i="6" s="1"/>
  <c r="H15" i="6"/>
  <c r="G15" i="6" s="1"/>
  <c r="H68" i="6"/>
  <c r="G68" i="6" s="1"/>
  <c r="I79" i="8" a="1"/>
  <c r="I79" i="8" s="1"/>
  <c r="H260" i="6"/>
  <c r="G260" i="6" s="1"/>
  <c r="H36" i="6"/>
  <c r="G36" i="6" s="1"/>
  <c r="H366" i="6"/>
  <c r="G366" i="6" s="1"/>
  <c r="H9" i="6"/>
  <c r="G9" i="6" s="1"/>
  <c r="H713" i="8"/>
  <c r="H694" i="8"/>
  <c r="H675" i="8"/>
  <c r="C621" i="8"/>
  <c r="H311" i="6"/>
  <c r="G311" i="6" s="1"/>
  <c r="G713" i="8"/>
  <c r="G694" i="8"/>
  <c r="G675" i="8"/>
  <c r="H601" i="8"/>
  <c r="H308" i="6"/>
  <c r="G308" i="6" s="1"/>
  <c r="H306" i="6"/>
  <c r="G306" i="6" s="1"/>
  <c r="E75" i="8" a="1"/>
  <c r="E75" i="8" s="1"/>
  <c r="H56" i="4" a="1"/>
  <c r="H56" i="4" s="1"/>
  <c r="H400" i="6"/>
  <c r="G400" i="6" s="1"/>
  <c r="H258" i="6"/>
  <c r="G258" i="6" s="1"/>
  <c r="H266" i="6"/>
  <c r="G266" i="6" s="1"/>
  <c r="H249" i="6"/>
  <c r="G249" i="6" s="1"/>
  <c r="H257" i="6"/>
  <c r="G257" i="6" s="1"/>
  <c r="H182" i="6"/>
  <c r="G182" i="6" s="1"/>
  <c r="H163" i="6"/>
  <c r="G163" i="6" s="1"/>
  <c r="F713" i="8"/>
  <c r="F694" i="8"/>
  <c r="F675" i="8"/>
  <c r="G601" i="8"/>
  <c r="H313" i="6"/>
  <c r="G313" i="6" s="1"/>
  <c r="D55" i="4" a="1"/>
  <c r="D55" i="4" s="1"/>
  <c r="H393" i="6"/>
  <c r="G393" i="6" s="1"/>
  <c r="H10" i="6"/>
  <c r="G10" i="6" s="1"/>
  <c r="H179" i="6"/>
  <c r="G179" i="6" s="1"/>
  <c r="E713" i="8"/>
  <c r="E694" i="8"/>
  <c r="E675" i="8"/>
  <c r="H621" i="8"/>
  <c r="F601" i="8"/>
  <c r="H303" i="6"/>
  <c r="G303" i="6" s="1"/>
  <c r="H55" i="4" a="1"/>
  <c r="H55" i="4" s="1"/>
  <c r="H66" i="6"/>
  <c r="G66" i="6" s="1"/>
  <c r="H146" i="6"/>
  <c r="G146" i="6" s="1"/>
  <c r="H16" i="6"/>
  <c r="G16" i="6" s="1"/>
  <c r="H122" i="6"/>
  <c r="G122" i="6" s="1"/>
  <c r="C713" i="8"/>
  <c r="C694" i="8"/>
  <c r="C675" i="8"/>
  <c r="F621" i="8"/>
  <c r="H312" i="6"/>
  <c r="G312" i="6" s="1"/>
  <c r="D54" i="4" a="1"/>
  <c r="D54" i="4" s="1"/>
  <c r="H392" i="6"/>
  <c r="G392" i="6" s="1"/>
  <c r="H262" i="6"/>
  <c r="G262" i="6" s="1"/>
  <c r="H86" i="6"/>
  <c r="G86" i="6" s="1"/>
  <c r="H57" i="6"/>
  <c r="G57" i="6" s="1"/>
  <c r="H151" i="6"/>
  <c r="G151" i="6" s="1"/>
  <c r="H201" i="6"/>
  <c r="G201" i="6" s="1"/>
  <c r="H114" i="6"/>
  <c r="G114" i="6" s="1"/>
  <c r="H101" i="6"/>
  <c r="G101" i="6" s="1"/>
  <c r="H62" i="6"/>
  <c r="G62" i="6" s="1"/>
  <c r="H108" i="6"/>
  <c r="G108" i="6" s="1"/>
  <c r="H188" i="6"/>
  <c r="G188" i="6" s="1"/>
  <c r="H30" i="6"/>
  <c r="G30" i="6" s="1"/>
  <c r="H264" i="6"/>
  <c r="G264" i="6" s="1"/>
  <c r="H110" i="6"/>
  <c r="G110" i="6" s="1"/>
  <c r="H167" i="6"/>
  <c r="G167" i="6" s="1"/>
  <c r="H158" i="6"/>
  <c r="G158" i="6" s="1"/>
  <c r="H106" i="6"/>
  <c r="G106" i="6" s="1"/>
  <c r="H127" i="6"/>
  <c r="G127" i="6" s="1"/>
  <c r="H398" i="6"/>
  <c r="G398" i="6" s="1"/>
  <c r="H252" i="6"/>
  <c r="G252" i="6" s="1"/>
  <c r="H35" i="6"/>
  <c r="G35" i="6" s="1"/>
  <c r="H72" i="6"/>
  <c r="G72" i="6" s="1"/>
  <c r="H200" i="6"/>
  <c r="G200" i="6" s="1"/>
  <c r="H100" i="6"/>
  <c r="G100" i="6" s="1"/>
  <c r="H126" i="6"/>
  <c r="G126" i="6" s="1"/>
  <c r="H128" i="6"/>
  <c r="G128" i="6" s="1"/>
  <c r="H131" i="6"/>
  <c r="G131" i="6" s="1"/>
  <c r="H137" i="6"/>
  <c r="G137" i="6" s="1"/>
  <c r="H132" i="6"/>
  <c r="G132" i="6" s="1"/>
  <c r="H5" i="6"/>
  <c r="G5" i="6" s="1"/>
  <c r="H401" i="6"/>
  <c r="G401" i="6" s="1"/>
  <c r="H19" i="6"/>
  <c r="G19" i="6" s="1"/>
  <c r="H165" i="6"/>
  <c r="G165" i="6" s="1"/>
  <c r="H111" i="6"/>
  <c r="G111" i="6" s="1"/>
  <c r="H113" i="6"/>
  <c r="G113" i="6" s="1"/>
  <c r="H18" i="6"/>
  <c r="G18" i="6" s="1"/>
  <c r="H61" i="6"/>
  <c r="G61" i="6" s="1"/>
  <c r="H27" i="6"/>
  <c r="G27" i="6" s="1"/>
  <c r="H44" i="6"/>
  <c r="G44" i="6" s="1"/>
  <c r="H153" i="6"/>
  <c r="G153" i="6" s="1"/>
  <c r="D56" i="4" a="1"/>
  <c r="D56" i="4" s="1"/>
  <c r="H253" i="6"/>
  <c r="G253" i="6" s="1"/>
  <c r="H143" i="6"/>
  <c r="G143" i="6" s="1"/>
  <c r="H202" i="6"/>
  <c r="G202" i="6" s="1"/>
  <c r="H52" i="6"/>
  <c r="G52" i="6" s="1"/>
  <c r="H115" i="6"/>
  <c r="G115" i="6" s="1"/>
  <c r="H43" i="6"/>
  <c r="G43" i="6" s="1"/>
  <c r="H64" i="6"/>
  <c r="G64" i="6" s="1"/>
  <c r="E601" i="8"/>
  <c r="H261" i="6"/>
  <c r="G261" i="6" s="1"/>
  <c r="H164" i="6"/>
  <c r="G164" i="6" s="1"/>
  <c r="H168" i="6"/>
  <c r="G168" i="6" s="1"/>
  <c r="H107" i="6"/>
  <c r="G107" i="6" s="1"/>
  <c r="H7" i="6"/>
  <c r="G7" i="6" s="1"/>
  <c r="H169" i="6"/>
  <c r="G169" i="6" s="1"/>
  <c r="H76" i="6"/>
  <c r="G76" i="6" s="1"/>
  <c r="H138" i="6"/>
  <c r="G138" i="6" s="1"/>
  <c r="H176" i="6"/>
  <c r="G176" i="6" s="1"/>
  <c r="H191" i="6"/>
  <c r="G191" i="6" s="1"/>
  <c r="H104" i="6"/>
  <c r="G104" i="6" s="1"/>
  <c r="H2" i="6"/>
  <c r="G2" i="6" s="1"/>
  <c r="H78" i="6"/>
  <c r="G78" i="6" s="1"/>
  <c r="H40" i="6"/>
  <c r="G40" i="6" s="1"/>
  <c r="H70" i="6"/>
  <c r="G70" i="6" s="1"/>
  <c r="H363" i="6"/>
  <c r="G363" i="6" s="1"/>
  <c r="H379" i="6"/>
  <c r="G379" i="6" s="1"/>
  <c r="G621" i="8"/>
  <c r="I80" i="8" a="1"/>
  <c r="I80" i="8" s="1"/>
  <c r="H87" i="6"/>
  <c r="G87" i="6" s="1"/>
  <c r="H166" i="6"/>
  <c r="G166" i="6" s="1"/>
  <c r="H124" i="6"/>
  <c r="G124" i="6" s="1"/>
  <c r="H88" i="6"/>
  <c r="G88" i="6" s="1"/>
  <c r="H53" i="6"/>
  <c r="G53" i="6" s="1"/>
  <c r="I23" i="2"/>
  <c r="G23" i="2"/>
  <c r="H360" i="6"/>
  <c r="G360" i="6" s="1"/>
  <c r="H105" i="6"/>
  <c r="G105" i="6" s="1"/>
  <c r="H91" i="6"/>
  <c r="G91" i="6" s="1"/>
  <c r="H199" i="6"/>
  <c r="G199" i="6" s="1"/>
  <c r="H159" i="6"/>
  <c r="G159" i="6" s="1"/>
  <c r="H183" i="6"/>
  <c r="G183" i="6" s="1"/>
  <c r="H189" i="6"/>
  <c r="G189" i="6" s="1"/>
  <c r="H362" i="6"/>
  <c r="G362" i="6" s="1"/>
  <c r="H381" i="6"/>
  <c r="G381" i="6" s="1"/>
  <c r="H399" i="6"/>
  <c r="G399" i="6" s="1"/>
  <c r="H26" i="6"/>
  <c r="G26" i="6" s="1"/>
  <c r="H112" i="6"/>
  <c r="G112" i="6" s="1"/>
  <c r="H12" i="6"/>
  <c r="G12" i="6" s="1"/>
  <c r="E74" i="8" a="1"/>
  <c r="E74" i="8" s="1"/>
  <c r="H397" i="6"/>
  <c r="G397" i="6" s="1"/>
  <c r="H190" i="6"/>
  <c r="G190" i="6" s="1"/>
  <c r="H21" i="6"/>
  <c r="G21" i="6" s="1"/>
  <c r="H4" i="6"/>
  <c r="G4" i="6" s="1"/>
  <c r="H177" i="6"/>
  <c r="G177" i="6" s="1"/>
  <c r="H65" i="6"/>
  <c r="G65" i="6" s="1"/>
  <c r="E23" i="2"/>
  <c r="H246" i="6"/>
  <c r="G246" i="6" s="1"/>
  <c r="H248" i="6"/>
  <c r="G248" i="6" s="1"/>
  <c r="H90" i="6"/>
  <c r="G90" i="6" s="1"/>
  <c r="F656" i="8"/>
  <c r="C656" i="8"/>
  <c r="H656" i="8"/>
  <c r="G656" i="8"/>
  <c r="E656" i="8"/>
  <c r="H423" i="8"/>
  <c r="C423" i="8"/>
  <c r="G423" i="8"/>
  <c r="E423" i="8"/>
  <c r="G434" i="8"/>
  <c r="E434" i="8"/>
  <c r="C434" i="8"/>
  <c r="H434" i="8"/>
  <c r="F434" i="8"/>
  <c r="H452" i="8"/>
  <c r="C452" i="8"/>
  <c r="G452" i="8"/>
  <c r="E452" i="8"/>
  <c r="E468" i="8"/>
  <c r="C468" i="8"/>
  <c r="H468" i="8"/>
  <c r="G468" i="8"/>
  <c r="F468" i="8"/>
  <c r="H486" i="8"/>
  <c r="E486" i="8"/>
  <c r="C486" i="8"/>
  <c r="G486" i="8"/>
  <c r="C505" i="8"/>
  <c r="G505" i="8"/>
  <c r="F505" i="8"/>
  <c r="E505" i="8"/>
  <c r="H505" i="8"/>
  <c r="C524" i="8"/>
  <c r="H524" i="8"/>
  <c r="E524" i="8"/>
  <c r="G524" i="8"/>
  <c r="F524" i="8"/>
  <c r="H543" i="8"/>
  <c r="F543" i="8"/>
  <c r="C543" i="8"/>
  <c r="G543" i="8"/>
  <c r="E543" i="8"/>
  <c r="H562" i="8"/>
  <c r="E562" i="8"/>
  <c r="F562" i="8"/>
  <c r="C562" i="8"/>
  <c r="G562" i="8"/>
  <c r="H581" i="8"/>
  <c r="F581" i="8"/>
  <c r="E581" i="8"/>
  <c r="G581" i="8"/>
  <c r="C581" i="8"/>
  <c r="C370" i="3"/>
  <c r="C502" i="4"/>
  <c r="F502" i="4"/>
  <c r="H502" i="4"/>
  <c r="G502" i="4"/>
  <c r="E502" i="4"/>
  <c r="E578" i="4"/>
  <c r="H578" i="4"/>
  <c r="C591" i="4"/>
  <c r="C559" i="4"/>
  <c r="F578" i="4"/>
  <c r="F521" i="4"/>
  <c r="F604" i="4"/>
  <c r="F559" i="4"/>
  <c r="H604" i="4"/>
  <c r="G604" i="4"/>
  <c r="F591" i="4"/>
  <c r="C578" i="4"/>
  <c r="C604" i="4"/>
  <c r="E521" i="4"/>
  <c r="G540" i="4"/>
  <c r="E559" i="4"/>
  <c r="E604" i="4"/>
  <c r="H540" i="4"/>
  <c r="F540" i="4"/>
  <c r="G591" i="4"/>
  <c r="G521" i="4"/>
  <c r="E540" i="4"/>
  <c r="H521" i="4"/>
  <c r="H591" i="4"/>
  <c r="G578" i="4"/>
  <c r="E591" i="4"/>
  <c r="H559" i="4"/>
  <c r="G559" i="4"/>
  <c r="C521" i="4"/>
  <c r="C540" i="4"/>
  <c r="F618" i="4"/>
  <c r="F631" i="4"/>
  <c r="H631" i="4"/>
  <c r="G631" i="4"/>
  <c r="H618" i="4"/>
  <c r="C631" i="4"/>
  <c r="G618" i="4"/>
  <c r="E631" i="4"/>
  <c r="E618" i="4"/>
  <c r="C618" i="4"/>
  <c r="C654" i="4"/>
  <c r="H654" i="4"/>
  <c r="G654" i="4"/>
  <c r="E654" i="4"/>
  <c r="F654" i="4"/>
  <c r="G292" i="3"/>
  <c r="H370" i="3"/>
  <c r="F353" i="3"/>
  <c r="G281" i="3"/>
  <c r="F332" i="3"/>
  <c r="H340" i="3"/>
  <c r="G324" i="3"/>
  <c r="C292" i="3"/>
  <c r="C324" i="3"/>
  <c r="F340" i="3"/>
  <c r="G340" i="3"/>
  <c r="C340" i="3"/>
  <c r="H276" i="3"/>
  <c r="F292" i="3"/>
  <c r="H382" i="3"/>
  <c r="C276" i="3"/>
  <c r="F324" i="3"/>
  <c r="H297" i="3"/>
  <c r="G370" i="3"/>
  <c r="H366" i="3"/>
  <c r="G332" i="3"/>
  <c r="G366" i="3"/>
  <c r="H332" i="3"/>
  <c r="H353" i="3"/>
  <c r="F281" i="3"/>
  <c r="G276" i="3"/>
  <c r="H281" i="3"/>
  <c r="H292" i="3"/>
  <c r="C332" i="3"/>
  <c r="C382" i="3"/>
  <c r="G382" i="3"/>
  <c r="H324" i="3"/>
  <c r="C281" i="3"/>
  <c r="G353" i="3"/>
  <c r="C366" i="3"/>
  <c r="F297" i="3"/>
  <c r="C353" i="3"/>
  <c r="C297" i="3"/>
  <c r="F276" i="3"/>
  <c r="G297" i="3"/>
  <c r="N23" i="1"/>
  <c r="E59" i="3" l="1" a="1"/>
  <c r="E59" i="3" s="1"/>
  <c r="E68" i="3" a="1"/>
  <c r="E68" i="3" s="1"/>
  <c r="E139" i="4" a="1"/>
  <c r="E139" i="4" s="1"/>
  <c r="E67" i="3" a="1"/>
  <c r="E67" i="3" s="1"/>
  <c r="E138" i="4" a="1"/>
  <c r="E138" i="4" s="1"/>
  <c r="E58" i="3" a="1"/>
  <c r="E58" i="3" s="1"/>
  <c r="E130" i="4" a="1"/>
  <c r="E130" i="4" s="1"/>
  <c r="E66" i="3" a="1"/>
  <c r="E66" i="3" s="1"/>
  <c r="E136" i="4" a="1"/>
  <c r="E136" i="4" s="1"/>
  <c r="E149" i="3" a="1"/>
  <c r="E149" i="3" s="1"/>
  <c r="E227" i="4" a="1"/>
  <c r="E227" i="4" s="1"/>
  <c r="E157" i="3" a="1"/>
  <c r="E157" i="3" s="1"/>
  <c r="E231" i="4" a="1"/>
  <c r="E231" i="4" s="1"/>
  <c r="E138" i="3" a="1"/>
  <c r="E138" i="3" s="1"/>
  <c r="E211" i="4" a="1"/>
  <c r="E211" i="4" s="1"/>
  <c r="E180" i="3" a="1"/>
  <c r="E180" i="3" s="1"/>
  <c r="E249" i="4" a="1"/>
  <c r="E249" i="4" s="1"/>
  <c r="E65" i="3" a="1"/>
  <c r="E65" i="3" s="1"/>
  <c r="E135" i="4" a="1"/>
  <c r="E135" i="4" s="1"/>
  <c r="E57" i="3" a="1"/>
  <c r="E57" i="3" s="1"/>
  <c r="E129" i="4" a="1"/>
  <c r="E129" i="4" s="1"/>
  <c r="E140" i="3" a="1"/>
  <c r="E140" i="3" s="1"/>
  <c r="E213" i="4" a="1"/>
  <c r="E213" i="4" s="1"/>
  <c r="E311" i="4" a="1"/>
  <c r="E311" i="4" s="1"/>
  <c r="E243" i="8" a="1"/>
  <c r="E243" i="8" s="1"/>
  <c r="E247" i="3" a="1"/>
  <c r="E247" i="3" s="1"/>
  <c r="E179" i="3" a="1"/>
  <c r="E179" i="3" s="1"/>
  <c r="E248" i="4" a="1"/>
  <c r="E248" i="4" s="1"/>
  <c r="E60" i="3" a="1"/>
  <c r="E60" i="3" s="1"/>
  <c r="E132" i="4" a="1"/>
  <c r="E132" i="4" s="1"/>
  <c r="E148" i="3" a="1"/>
  <c r="E148" i="3" s="1"/>
  <c r="E226" i="4" a="1"/>
  <c r="E226" i="4" s="1"/>
  <c r="E62" i="3" a="1"/>
  <c r="E62" i="3" s="1"/>
  <c r="E134" i="4" a="1"/>
  <c r="E134" i="4" s="1"/>
  <c r="E245" i="3" a="1"/>
  <c r="E245" i="3" s="1"/>
  <c r="E309" i="4" a="1"/>
  <c r="E309" i="4" s="1"/>
  <c r="E61" i="3" a="1"/>
  <c r="E61" i="3" s="1"/>
  <c r="E133" i="4" a="1"/>
  <c r="E133" i="4" s="1"/>
  <c r="E181" i="3" a="1"/>
  <c r="E181" i="3" s="1"/>
  <c r="E250" i="4" a="1"/>
  <c r="E250" i="4" s="1"/>
  <c r="E159" i="3" a="1"/>
  <c r="E159" i="3" s="1"/>
  <c r="E233" i="4" a="1"/>
  <c r="E233" i="4" s="1"/>
  <c r="E178" i="3" a="1"/>
  <c r="E178" i="3" s="1"/>
  <c r="E247" i="4" a="1"/>
  <c r="E247" i="4" s="1"/>
  <c r="E134" i="3" a="1"/>
  <c r="E134" i="3" s="1"/>
  <c r="E246" i="3" a="1"/>
  <c r="E246" i="3" s="1"/>
  <c r="E177" i="8" a="1"/>
  <c r="E177" i="8" s="1"/>
  <c r="E183" i="3" a="1"/>
  <c r="E183" i="3" s="1"/>
  <c r="E176" i="8" a="1"/>
  <c r="E176" i="8" s="1"/>
  <c r="E182" i="3" a="1"/>
  <c r="E182" i="3" s="1"/>
  <c r="E13" i="3" a="1"/>
  <c r="E13" i="3" s="1"/>
  <c r="E90" i="4" a="1"/>
  <c r="E90" i="4" s="1"/>
  <c r="E133" i="3" a="1"/>
  <c r="E133" i="3" s="1"/>
  <c r="E136" i="3" a="1"/>
  <c r="E136" i="3" s="1"/>
  <c r="E145" i="3" a="1"/>
  <c r="E145" i="3" s="1"/>
  <c r="E28" i="3" a="1"/>
  <c r="E28" i="3" s="1"/>
  <c r="E102" i="4" s="1"/>
  <c r="E295" i="3" a="1"/>
  <c r="E295" i="3" s="1"/>
  <c r="E75" i="4" a="1"/>
  <c r="E75" i="4" s="1"/>
  <c r="E86" i="3" a="1"/>
  <c r="E86" i="3" s="1"/>
  <c r="E137" i="3" a="1"/>
  <c r="E137" i="3" s="1"/>
  <c r="E175" i="8" a="1"/>
  <c r="E175" i="8" s="1"/>
  <c r="E281" i="4" a="1"/>
  <c r="E281" i="4" s="1"/>
  <c r="E212" i="8" a="1"/>
  <c r="E212" i="8" s="1"/>
  <c r="E74" i="4" a="1"/>
  <c r="E74" i="4" s="1"/>
  <c r="E85" i="3" a="1"/>
  <c r="E85" i="3" s="1"/>
  <c r="E135" i="3" a="1"/>
  <c r="E135" i="3" s="1"/>
  <c r="E9" i="3" a="1"/>
  <c r="E9" i="3" s="1"/>
  <c r="E30" i="3" a="1"/>
  <c r="E30" i="3" s="1"/>
  <c r="E84" i="3" a="1"/>
  <c r="E84" i="3" s="1"/>
  <c r="E31" i="3" a="1"/>
  <c r="E31" i="3" s="1"/>
  <c r="E105" i="4" s="1"/>
  <c r="E25" i="3" a="1"/>
  <c r="E25" i="3" s="1"/>
  <c r="E99" i="4" s="1"/>
  <c r="E79" i="3" a="1"/>
  <c r="E79" i="3" s="1"/>
  <c r="E76" i="3" a="1"/>
  <c r="E76" i="3" s="1"/>
  <c r="E73" i="4" a="1"/>
  <c r="E73" i="4" s="1"/>
  <c r="E83" i="3" a="1"/>
  <c r="E83" i="3" s="1"/>
  <c r="E27" i="3" a="1"/>
  <c r="E27" i="3" s="1"/>
  <c r="E101" i="4" s="1"/>
  <c r="E81" i="3" a="1"/>
  <c r="E81" i="3" s="1"/>
  <c r="E77" i="3" a="1"/>
  <c r="E77" i="3" s="1"/>
  <c r="E82" i="3" a="1"/>
  <c r="E82" i="3" s="1"/>
  <c r="E78" i="3" a="1"/>
  <c r="E78" i="3" s="1"/>
  <c r="E80" i="3" a="1"/>
  <c r="E80" i="3" s="1"/>
  <c r="E29" i="3" a="1"/>
  <c r="E29" i="3" s="1"/>
  <c r="E103" i="4" s="1"/>
  <c r="E41" i="4" a="1"/>
  <c r="E41" i="4" s="1"/>
  <c r="E72" i="4" a="1"/>
  <c r="E72" i="4" s="1"/>
  <c r="E137" i="8" a="1"/>
  <c r="E137" i="8" s="1"/>
  <c r="E40" i="4" a="1"/>
  <c r="E40" i="4" s="1"/>
  <c r="E56" i="3" a="1"/>
  <c r="E56" i="3" s="1"/>
  <c r="E570" i="4" a="1"/>
  <c r="E570" i="4" s="1"/>
  <c r="E338" i="3" a="1"/>
  <c r="E338" i="3" s="1"/>
  <c r="E564" i="4" a="1"/>
  <c r="E564" i="4" s="1"/>
  <c r="E566" i="4" a="1"/>
  <c r="E566" i="4" s="1"/>
  <c r="E337" i="3" a="1"/>
  <c r="E337" i="3" s="1"/>
  <c r="E569" i="4" a="1"/>
  <c r="E569" i="4" s="1"/>
  <c r="E562" i="4" a="1"/>
  <c r="E562" i="4" s="1"/>
  <c r="E565" i="4" a="1"/>
  <c r="E565" i="4" s="1"/>
  <c r="E336" i="3" a="1"/>
  <c r="E336" i="3" s="1"/>
  <c r="E567" i="4" a="1"/>
  <c r="E567" i="4" s="1"/>
  <c r="E568" i="4" a="1"/>
  <c r="E568" i="4" s="1"/>
  <c r="E335" i="3" a="1"/>
  <c r="E335" i="3" s="1"/>
  <c r="E475" i="4" a="1"/>
  <c r="E475" i="4" s="1"/>
  <c r="E473" i="4" a="1"/>
  <c r="E473" i="4" s="1"/>
  <c r="E467" i="4" a="1"/>
  <c r="E467" i="4" s="1"/>
  <c r="E472" i="4" a="1"/>
  <c r="E472" i="4" s="1"/>
  <c r="E469" i="4" a="1"/>
  <c r="E469" i="4" s="1"/>
  <c r="E468" i="4" a="1"/>
  <c r="E468" i="4" s="1"/>
  <c r="E474" i="4" a="1"/>
  <c r="E474" i="4" s="1"/>
  <c r="E470" i="4" a="1"/>
  <c r="E470" i="4" s="1"/>
  <c r="E471" i="4" a="1"/>
  <c r="E471" i="4" s="1"/>
  <c r="E529" i="4" a="1"/>
  <c r="E529" i="4" s="1"/>
  <c r="E526" i="4" a="1"/>
  <c r="E526" i="4" s="1"/>
  <c r="E528" i="4" a="1"/>
  <c r="E528" i="4" s="1"/>
  <c r="E531" i="4" a="1"/>
  <c r="E531" i="4" s="1"/>
  <c r="E410" i="4" a="1"/>
  <c r="E410" i="4" s="1"/>
  <c r="E524" i="4" a="1"/>
  <c r="E524" i="4" s="1"/>
  <c r="E527" i="4" a="1"/>
  <c r="E527" i="4" s="1"/>
  <c r="E416" i="4" a="1"/>
  <c r="E416" i="4" s="1"/>
  <c r="E412" i="4" a="1"/>
  <c r="E412" i="4" s="1"/>
  <c r="E414" i="4" a="1"/>
  <c r="E414" i="4" s="1"/>
  <c r="E532" i="4" a="1"/>
  <c r="E532" i="4" s="1"/>
  <c r="E417" i="4" a="1"/>
  <c r="E417" i="4" s="1"/>
  <c r="E418" i="4" a="1"/>
  <c r="E418" i="4" s="1"/>
  <c r="E415" i="4" a="1"/>
  <c r="E415" i="4" s="1"/>
  <c r="E413" i="4" a="1"/>
  <c r="E413" i="4" s="1"/>
  <c r="E530" i="4" a="1"/>
  <c r="E530" i="4" s="1"/>
  <c r="E563" i="4" a="1"/>
  <c r="E563" i="4" s="1"/>
  <c r="E322" i="3" a="1"/>
  <c r="E322" i="3" s="1"/>
  <c r="E319" i="3" a="1"/>
  <c r="E319" i="3" s="1"/>
  <c r="E318" i="3" a="1"/>
  <c r="E318" i="3" s="1"/>
  <c r="E320" i="3" a="1"/>
  <c r="E320" i="3" s="1"/>
  <c r="E321" i="3" a="1"/>
  <c r="E321" i="3" s="1"/>
  <c r="E442" i="8" a="1"/>
  <c r="E442" i="8" s="1"/>
  <c r="E444" i="8" a="1"/>
  <c r="E444" i="8" s="1"/>
  <c r="E443" i="8" a="1"/>
  <c r="E443" i="8" s="1"/>
  <c r="E356" i="8" a="1"/>
  <c r="E356" i="8" s="1"/>
  <c r="E357" i="8" a="1"/>
  <c r="E357" i="8" s="1"/>
  <c r="E355" i="8" a="1"/>
  <c r="E355" i="8" s="1"/>
  <c r="E183" i="4" a="1"/>
  <c r="E183" i="4" s="1"/>
  <c r="E182" i="4" a="1"/>
  <c r="E182" i="4" s="1"/>
  <c r="E186" i="4" a="1"/>
  <c r="E186" i="4" s="1"/>
  <c r="E184" i="4" a="1"/>
  <c r="E184" i="4" s="1"/>
  <c r="E181" i="4" a="1"/>
  <c r="E181" i="4" s="1"/>
  <c r="E179" i="4" a="1"/>
  <c r="E179" i="4" s="1"/>
  <c r="E187" i="4" a="1"/>
  <c r="E187" i="4" s="1"/>
  <c r="E185" i="4" a="1"/>
  <c r="E185" i="4" s="1"/>
  <c r="E31" i="8" a="1"/>
  <c r="E31" i="8" s="1"/>
  <c r="E30" i="8" a="1"/>
  <c r="E30" i="8" s="1"/>
  <c r="E29" i="8" a="1"/>
  <c r="E29" i="8" s="1"/>
  <c r="E110" i="3" a="1"/>
  <c r="E110" i="3" s="1"/>
  <c r="E111" i="3" a="1"/>
  <c r="E111" i="3" s="1"/>
  <c r="E107" i="3" a="1"/>
  <c r="E107" i="3" s="1"/>
  <c r="E108" i="3" a="1"/>
  <c r="E108" i="3" s="1"/>
  <c r="E109" i="3" a="1"/>
  <c r="E109" i="3" s="1"/>
  <c r="E113" i="3" a="1"/>
  <c r="E113" i="3" s="1"/>
  <c r="E114" i="3" a="1"/>
  <c r="E114" i="3" s="1"/>
  <c r="E112" i="3" a="1"/>
  <c r="E112" i="3" s="1"/>
  <c r="E435" i="4" a="1"/>
  <c r="E435" i="4" s="1"/>
  <c r="E436" i="4" a="1"/>
  <c r="E436" i="4" s="1"/>
  <c r="E432" i="4" a="1"/>
  <c r="E432" i="4" s="1"/>
  <c r="E434" i="4" a="1"/>
  <c r="E434" i="4" s="1"/>
  <c r="E429" i="4" a="1"/>
  <c r="E429" i="4" s="1"/>
  <c r="E430" i="4" a="1"/>
  <c r="E430" i="4" s="1"/>
  <c r="E437" i="4" a="1"/>
  <c r="E437" i="4" s="1"/>
  <c r="E431" i="4" a="1"/>
  <c r="E431" i="4" s="1"/>
  <c r="E433" i="4" a="1"/>
  <c r="E433" i="4" s="1"/>
  <c r="E279" i="3" a="1"/>
  <c r="E279" i="3" s="1"/>
  <c r="E376" i="4" a="1"/>
  <c r="E376" i="4" s="1"/>
  <c r="E379" i="4" a="1"/>
  <c r="E379" i="4" s="1"/>
  <c r="E378" i="4" a="1"/>
  <c r="E378" i="4" s="1"/>
  <c r="E375" i="4" a="1"/>
  <c r="E375" i="4" s="1"/>
  <c r="E381" i="4" a="1"/>
  <c r="E381" i="4" s="1"/>
  <c r="E382" i="4" a="1"/>
  <c r="E382" i="4" s="1"/>
  <c r="E383" i="4" a="1"/>
  <c r="E383" i="4" s="1"/>
  <c r="E377" i="4" a="1"/>
  <c r="E377" i="4" s="1"/>
  <c r="E380" i="4" a="1"/>
  <c r="E380" i="4" s="1"/>
  <c r="E487" i="4" a="1"/>
  <c r="E487" i="4" s="1"/>
  <c r="E490" i="4" a="1"/>
  <c r="E490" i="4" s="1"/>
  <c r="E491" i="4" a="1"/>
  <c r="E491" i="4" s="1"/>
  <c r="E493" i="4" a="1"/>
  <c r="E493" i="4" s="1"/>
  <c r="E486" i="4" a="1"/>
  <c r="E486" i="4" s="1"/>
  <c r="E494" i="4" a="1"/>
  <c r="E494" i="4" s="1"/>
  <c r="E492" i="4" a="1"/>
  <c r="E492" i="4" s="1"/>
  <c r="E488" i="4" a="1"/>
  <c r="E488" i="4" s="1"/>
  <c r="E489" i="4" a="1"/>
  <c r="E489" i="4" s="1"/>
  <c r="E344" i="4" a="1"/>
  <c r="E344" i="4" s="1"/>
  <c r="E343" i="4" a="1"/>
  <c r="E343" i="4" s="1"/>
  <c r="E341" i="4" a="1"/>
  <c r="E341" i="4" s="1"/>
  <c r="E340" i="4" a="1"/>
  <c r="E340" i="4" s="1"/>
  <c r="E339" i="4" a="1"/>
  <c r="E339" i="4" s="1"/>
  <c r="E337" i="4" a="1"/>
  <c r="E337" i="4" s="1"/>
  <c r="E342" i="4" a="1"/>
  <c r="E342" i="4" s="1"/>
  <c r="E345" i="4" a="1"/>
  <c r="E345" i="4" s="1"/>
  <c r="E455" i="4" a="1"/>
  <c r="E455" i="4" s="1"/>
  <c r="E450" i="4" a="1"/>
  <c r="E450" i="4" s="1"/>
  <c r="E452" i="4" a="1"/>
  <c r="E452" i="4" s="1"/>
  <c r="E454" i="4" a="1"/>
  <c r="E454" i="4" s="1"/>
  <c r="E451" i="4" a="1"/>
  <c r="E451" i="4" s="1"/>
  <c r="E453" i="4" a="1"/>
  <c r="E453" i="4" s="1"/>
  <c r="E448" i="4" a="1"/>
  <c r="E448" i="4" s="1"/>
  <c r="E456" i="4" a="1"/>
  <c r="E456" i="4" s="1"/>
  <c r="E449" i="4" a="1"/>
  <c r="E449" i="4" s="1"/>
  <c r="E285" i="3" a="1"/>
  <c r="E285" i="3" s="1"/>
  <c r="E290" i="3" a="1"/>
  <c r="E290" i="3" s="1"/>
  <c r="E288" i="3" a="1"/>
  <c r="E288" i="3" s="1"/>
  <c r="E289" i="3" a="1"/>
  <c r="E289" i="3" s="1"/>
  <c r="E287" i="3" a="1"/>
  <c r="E287" i="3" s="1"/>
  <c r="E286" i="3" a="1"/>
  <c r="E286" i="3" s="1"/>
  <c r="E283" i="8" a="1"/>
  <c r="E283" i="8" s="1"/>
  <c r="E284" i="8" a="1"/>
  <c r="E284" i="8" s="1"/>
  <c r="E641" i="4" a="1"/>
  <c r="E641" i="4" s="1"/>
  <c r="E639" i="4" a="1"/>
  <c r="E639" i="4" s="1"/>
  <c r="E642" i="4" a="1"/>
  <c r="E642" i="4" s="1"/>
  <c r="E640" i="4" a="1"/>
  <c r="E640" i="4" s="1"/>
  <c r="E355" i="3" a="1"/>
  <c r="E355" i="3" s="1"/>
  <c r="E232" i="3" a="1"/>
  <c r="E232" i="3" s="1"/>
  <c r="E364" i="4" a="1"/>
  <c r="E364" i="4" s="1"/>
  <c r="E362" i="4" a="1"/>
  <c r="E362" i="4" s="1"/>
  <c r="E357" i="4" a="1"/>
  <c r="E357" i="4" s="1"/>
  <c r="E361" i="4" a="1"/>
  <c r="E361" i="4" s="1"/>
  <c r="E363" i="4" a="1"/>
  <c r="E363" i="4" s="1"/>
  <c r="E359" i="4" a="1"/>
  <c r="E359" i="4" s="1"/>
  <c r="E360" i="4" a="1"/>
  <c r="E360" i="4" s="1"/>
  <c r="E358" i="4" a="1"/>
  <c r="E358" i="4" s="1"/>
  <c r="E356" i="4" a="1"/>
  <c r="E356" i="4" s="1"/>
  <c r="E274" i="3" a="1"/>
  <c r="E274" i="3" s="1"/>
  <c r="E270" i="3" a="1"/>
  <c r="E270" i="3" s="1"/>
  <c r="E273" i="3" a="1"/>
  <c r="E273" i="3" s="1"/>
  <c r="E272" i="3" a="1"/>
  <c r="E272" i="3" s="1"/>
  <c r="E271" i="3" a="1"/>
  <c r="E271" i="3" s="1"/>
  <c r="E269" i="3" a="1"/>
  <c r="E269" i="3" s="1"/>
  <c r="E614" i="4" a="1"/>
  <c r="E614" i="4" s="1"/>
  <c r="E609" i="4" a="1"/>
  <c r="E609" i="4" s="1"/>
  <c r="E611" i="4" a="1"/>
  <c r="E611" i="4" s="1"/>
  <c r="E608" i="4" a="1"/>
  <c r="E608" i="4" s="1"/>
  <c r="E613" i="4" a="1"/>
  <c r="E613" i="4" s="1"/>
  <c r="E612" i="4" a="1"/>
  <c r="E612" i="4" s="1"/>
  <c r="E615" i="4" a="1"/>
  <c r="E615" i="4" s="1"/>
  <c r="E610" i="4" a="1"/>
  <c r="E610" i="4" s="1"/>
  <c r="E607" i="4" a="1"/>
  <c r="E607" i="4" s="1"/>
  <c r="E265" i="4" a="1"/>
  <c r="E265" i="4" s="1"/>
  <c r="E267" i="4" a="1"/>
  <c r="E267" i="4" s="1"/>
  <c r="E266" i="4" a="1"/>
  <c r="E266" i="4" s="1"/>
  <c r="E263" i="4" a="1"/>
  <c r="E263" i="4" s="1"/>
  <c r="E261" i="4" a="1"/>
  <c r="E261" i="4" s="1"/>
  <c r="E260" i="4" a="1"/>
  <c r="E260" i="4" s="1"/>
  <c r="E321" i="4" a="1"/>
  <c r="E321" i="4" s="1"/>
  <c r="E191" i="8" a="1"/>
  <c r="E191" i="8" s="1"/>
  <c r="E190" i="8" a="1"/>
  <c r="E190" i="8" s="1"/>
  <c r="E192" i="8" a="1"/>
  <c r="E192" i="8" s="1"/>
  <c r="E193" i="8" a="1"/>
  <c r="E193" i="8" s="1"/>
  <c r="E186" i="8" a="1"/>
  <c r="E186" i="8" s="1"/>
  <c r="E194" i="8" a="1"/>
  <c r="E194" i="8" s="1"/>
  <c r="E189" i="8" a="1"/>
  <c r="E189" i="8" s="1"/>
  <c r="E197" i="3" a="1"/>
  <c r="E197" i="3" s="1"/>
  <c r="E191" i="3" a="1"/>
  <c r="E191" i="3" s="1"/>
  <c r="E199" i="3" a="1"/>
  <c r="E199" i="3" s="1"/>
  <c r="E195" i="3" a="1"/>
  <c r="E195" i="3" s="1"/>
  <c r="E198" i="3" a="1"/>
  <c r="E198" i="3" s="1"/>
  <c r="E196" i="3" a="1"/>
  <c r="E196" i="3" s="1"/>
  <c r="E194" i="3" a="1"/>
  <c r="E194" i="3" s="1"/>
  <c r="E324" i="4" a="1"/>
  <c r="E324" i="4" s="1"/>
  <c r="E320" i="4" a="1"/>
  <c r="E320" i="4" s="1"/>
  <c r="E318" i="4" a="1"/>
  <c r="E318" i="4" s="1"/>
  <c r="E322" i="4" a="1"/>
  <c r="E322" i="4" s="1"/>
  <c r="E326" i="4" a="1"/>
  <c r="E326" i="4" s="1"/>
  <c r="E323" i="4" a="1"/>
  <c r="E323" i="4" s="1"/>
  <c r="E325" i="4" a="1"/>
  <c r="E325" i="4" s="1"/>
  <c r="E257" i="3" a="1"/>
  <c r="E257" i="3" s="1"/>
  <c r="E258" i="3" a="1"/>
  <c r="E258" i="3" s="1"/>
  <c r="E254" i="3" a="1"/>
  <c r="E254" i="3" s="1"/>
  <c r="E253" i="3" a="1"/>
  <c r="E253" i="3" s="1"/>
  <c r="E255" i="3" a="1"/>
  <c r="E255" i="3" s="1"/>
  <c r="E256" i="3" a="1"/>
  <c r="E256" i="3" s="1"/>
  <c r="E587" i="4" a="1"/>
  <c r="E587" i="4" s="1"/>
  <c r="E588" i="4" a="1"/>
  <c r="E588" i="4" s="1"/>
  <c r="E586" i="4" a="1"/>
  <c r="E586" i="4" s="1"/>
  <c r="E589" i="4" a="1"/>
  <c r="E589" i="4" s="1"/>
  <c r="E583" i="4" a="1"/>
  <c r="E583" i="4" s="1"/>
  <c r="E582" i="4" a="1"/>
  <c r="E582" i="4" s="1"/>
  <c r="E494" i="8" a="1"/>
  <c r="E494" i="8" s="1"/>
  <c r="E493" i="8" a="1"/>
  <c r="E493" i="8" s="1"/>
  <c r="E496" i="8" a="1"/>
  <c r="E496" i="8" s="1"/>
  <c r="E495" i="8" a="1"/>
  <c r="E495" i="8" s="1"/>
  <c r="E350" i="3" a="1"/>
  <c r="E350" i="3" s="1"/>
  <c r="E345" i="3" a="1"/>
  <c r="E345" i="3" s="1"/>
  <c r="E351" i="3" a="1"/>
  <c r="E351" i="3" s="1"/>
  <c r="E346" i="3" a="1"/>
  <c r="E346" i="3" s="1"/>
  <c r="E344" i="3" a="1"/>
  <c r="E344" i="3" s="1"/>
  <c r="E349" i="3" a="1"/>
  <c r="E349" i="3" s="1"/>
  <c r="E347" i="3" a="1"/>
  <c r="E347" i="3" s="1"/>
  <c r="E348" i="3" a="1"/>
  <c r="E348" i="3" s="1"/>
  <c r="E628" i="4" a="1"/>
  <c r="E628" i="4" s="1"/>
  <c r="E623" i="4" a="1"/>
  <c r="E623" i="4" s="1"/>
  <c r="E622" i="4" a="1"/>
  <c r="E622" i="4" s="1"/>
  <c r="E621" i="4" a="1"/>
  <c r="E621" i="4" s="1"/>
  <c r="E624" i="4" a="1"/>
  <c r="E624" i="4" s="1"/>
  <c r="E629" i="4" a="1"/>
  <c r="E629" i="4" s="1"/>
  <c r="E627" i="4" a="1"/>
  <c r="E627" i="4" s="1"/>
  <c r="E626" i="4" a="1"/>
  <c r="E626" i="4" s="1"/>
  <c r="E625" i="4" a="1"/>
  <c r="E625" i="4" s="1"/>
  <c r="E374" i="3" a="1"/>
  <c r="E374" i="3" s="1"/>
  <c r="E376" i="3" a="1"/>
  <c r="E376" i="3" s="1"/>
  <c r="E379" i="3" a="1"/>
  <c r="E379" i="3" s="1"/>
  <c r="E377" i="3" a="1"/>
  <c r="E377" i="3" s="1"/>
  <c r="E378" i="3" a="1"/>
  <c r="E378" i="3" s="1"/>
  <c r="E375" i="3" a="1"/>
  <c r="E375" i="3" s="1"/>
  <c r="E373" i="3" a="1"/>
  <c r="E373" i="3" s="1"/>
  <c r="E380" i="3" a="1"/>
  <c r="E380" i="3" s="1"/>
  <c r="E372" i="3" a="1"/>
  <c r="E372" i="3" s="1"/>
  <c r="E272" i="4" a="1"/>
  <c r="E272" i="4" s="1"/>
  <c r="E279" i="4" a="1"/>
  <c r="E279" i="4" s="1"/>
  <c r="E273" i="4" a="1"/>
  <c r="E273" i="4" s="1"/>
  <c r="E275" i="4" a="1"/>
  <c r="E275" i="4" s="1"/>
  <c r="E280" i="4" a="1"/>
  <c r="E280" i="4" s="1"/>
  <c r="E274" i="4" a="1"/>
  <c r="E274" i="4" s="1"/>
  <c r="E276" i="4" a="1"/>
  <c r="E276" i="4" s="1"/>
  <c r="E278" i="4" a="1"/>
  <c r="E278" i="4" s="1"/>
  <c r="E211" i="8" a="1"/>
  <c r="E211" i="8" s="1"/>
  <c r="E210" i="8" a="1"/>
  <c r="E210" i="8" s="1"/>
  <c r="E551" i="4" a="1"/>
  <c r="E551" i="4" s="1"/>
  <c r="E550" i="4" a="1"/>
  <c r="E550" i="4" s="1"/>
  <c r="E549" i="4" a="1"/>
  <c r="E549" i="4" s="1"/>
  <c r="E548" i="4" a="1"/>
  <c r="E548" i="4" s="1"/>
  <c r="E547" i="4" a="1"/>
  <c r="E547" i="4" s="1"/>
  <c r="E546" i="4" a="1"/>
  <c r="E546" i="4" s="1"/>
  <c r="E544" i="4" a="1"/>
  <c r="E544" i="4" s="1"/>
  <c r="E543" i="4" a="1"/>
  <c r="E543" i="4" s="1"/>
  <c r="E545" i="4" a="1"/>
  <c r="E545" i="4" s="1"/>
  <c r="E459" i="8" a="1"/>
  <c r="E459" i="8" s="1"/>
  <c r="E461" i="8" a="1"/>
  <c r="E461" i="8" s="1"/>
  <c r="E460" i="8" a="1"/>
  <c r="E460" i="8" s="1"/>
  <c r="E327" i="3" a="1"/>
  <c r="E327" i="3" s="1"/>
  <c r="E330" i="3" a="1"/>
  <c r="E330" i="3" s="1"/>
  <c r="E329" i="3" a="1"/>
  <c r="E329" i="3" s="1"/>
  <c r="E328" i="3" a="1"/>
  <c r="E328" i="3" s="1"/>
  <c r="E195" i="4" a="1"/>
  <c r="E195" i="4" s="1"/>
  <c r="E122" i="3" s="1"/>
  <c r="E197" i="4" a="1"/>
  <c r="E197" i="4" s="1"/>
  <c r="E124" i="3" s="1"/>
  <c r="E193" i="4" a="1"/>
  <c r="E193" i="4" s="1"/>
  <c r="E120" i="3" s="1"/>
  <c r="E198" i="4" a="1"/>
  <c r="E198" i="4" s="1"/>
  <c r="E125" i="3" s="1"/>
  <c r="E192" i="4" a="1"/>
  <c r="E192" i="4" s="1"/>
  <c r="E119" i="3" s="1"/>
  <c r="E196" i="4" a="1"/>
  <c r="E196" i="4" s="1"/>
  <c r="E123" i="3" s="1"/>
  <c r="E194" i="4" a="1"/>
  <c r="E194" i="4" s="1"/>
  <c r="E121" i="3" s="1"/>
  <c r="E200" i="4" a="1"/>
  <c r="E200" i="4" s="1"/>
  <c r="E127" i="3" s="1"/>
  <c r="E199" i="4" a="1"/>
  <c r="E199" i="4" s="1"/>
  <c r="E126" i="3" s="1"/>
  <c r="E595" i="4" a="1"/>
  <c r="E595" i="4" s="1"/>
  <c r="E599" i="4" a="1"/>
  <c r="E599" i="4" s="1"/>
  <c r="E602" i="4" a="1"/>
  <c r="E602" i="4" s="1"/>
  <c r="E594" i="4" a="1"/>
  <c r="E594" i="4" s="1"/>
  <c r="E596" i="4" a="1"/>
  <c r="E596" i="4" s="1"/>
  <c r="E598" i="4" a="1"/>
  <c r="E598" i="4" s="1"/>
  <c r="E600" i="4" a="1"/>
  <c r="E600" i="4" s="1"/>
  <c r="E601" i="4" a="1"/>
  <c r="E601" i="4" s="1"/>
  <c r="E597" i="4" a="1"/>
  <c r="E597" i="4" s="1"/>
  <c r="E511" i="8" a="1"/>
  <c r="E511" i="8" s="1"/>
  <c r="E513" i="8" a="1"/>
  <c r="E513" i="8" s="1"/>
  <c r="E514" i="8" a="1"/>
  <c r="E514" i="8" s="1"/>
  <c r="E512" i="8" a="1"/>
  <c r="E512" i="8" s="1"/>
  <c r="E515" i="8" a="1"/>
  <c r="E515" i="8" s="1"/>
  <c r="E510" i="8" a="1"/>
  <c r="E510" i="8" s="1"/>
  <c r="E356" i="3" a="1"/>
  <c r="E356" i="3" s="1"/>
  <c r="E360" i="3" a="1"/>
  <c r="E360" i="3" s="1"/>
  <c r="E364" i="3" a="1"/>
  <c r="E364" i="3" s="1"/>
  <c r="E357" i="3" a="1"/>
  <c r="E357" i="3" s="1"/>
  <c r="E363" i="3" a="1"/>
  <c r="E363" i="3" s="1"/>
  <c r="E361" i="3" a="1"/>
  <c r="E361" i="3" s="1"/>
  <c r="E358" i="3" a="1"/>
  <c r="E358" i="3" s="1"/>
  <c r="E362" i="3" a="1"/>
  <c r="E362" i="3" s="1"/>
  <c r="E174" i="8" a="1"/>
  <c r="E174" i="8" s="1"/>
  <c r="E169" i="3" a="1"/>
  <c r="E169" i="3" s="1"/>
  <c r="E171" i="3" a="1"/>
  <c r="E171" i="3" s="1"/>
  <c r="E170" i="3" a="1"/>
  <c r="E170" i="3" s="1"/>
  <c r="E168" i="3" a="1"/>
  <c r="E168" i="3" s="1"/>
  <c r="E172" i="3" a="1"/>
  <c r="E172" i="3" s="1"/>
  <c r="E177" i="3" a="1"/>
  <c r="E177" i="3" s="1"/>
  <c r="E428" i="8" a="1"/>
  <c r="E428" i="8" s="1"/>
  <c r="E513" i="4" a="1"/>
  <c r="E513" i="4" s="1"/>
  <c r="E313" i="3" a="1"/>
  <c r="E313" i="3" s="1"/>
  <c r="E310" i="3" a="1"/>
  <c r="E310" i="3" s="1"/>
  <c r="E512" i="4" a="1"/>
  <c r="E512" i="4" s="1"/>
  <c r="E511" i="4" a="1"/>
  <c r="E511" i="4" s="1"/>
  <c r="E509" i="4" a="1"/>
  <c r="E509" i="4" s="1"/>
  <c r="E312" i="3" a="1"/>
  <c r="E312" i="3" s="1"/>
  <c r="E510" i="4" a="1"/>
  <c r="E510" i="4" s="1"/>
  <c r="E314" i="3" a="1"/>
  <c r="E314" i="3" s="1"/>
  <c r="E311" i="3" a="1"/>
  <c r="E311" i="3" s="1"/>
  <c r="E508" i="4" a="1"/>
  <c r="E508" i="4" s="1"/>
  <c r="E506" i="4" a="1"/>
  <c r="E506" i="4" s="1"/>
  <c r="E507" i="4" a="1"/>
  <c r="E507" i="4" s="1"/>
  <c r="E505" i="4" a="1"/>
  <c r="E505" i="4" s="1"/>
  <c r="E336" i="8" a="1"/>
  <c r="E336" i="8" s="1"/>
  <c r="E333" i="8" a="1"/>
  <c r="E333" i="8" s="1"/>
  <c r="E337" i="8" a="1"/>
  <c r="E337" i="8" s="1"/>
  <c r="E334" i="8" a="1"/>
  <c r="E334" i="8" s="1"/>
  <c r="E338" i="8" a="1"/>
  <c r="E338" i="8" s="1"/>
  <c r="E332" i="8" a="1"/>
  <c r="E332" i="8" s="1"/>
  <c r="E167" i="4" a="1"/>
  <c r="E167" i="4" s="1"/>
  <c r="E174" i="4" a="1"/>
  <c r="E174" i="4" s="1"/>
  <c r="E172" i="4" a="1"/>
  <c r="E172" i="4" s="1"/>
  <c r="E94" i="3" a="1"/>
  <c r="E94" i="3" s="1"/>
  <c r="E171" i="4" a="1"/>
  <c r="E171" i="4" s="1"/>
  <c r="E99" i="3" a="1"/>
  <c r="E99" i="3" s="1"/>
  <c r="E93" i="3" a="1"/>
  <c r="E93" i="3" s="1"/>
  <c r="E95" i="3" a="1"/>
  <c r="E95" i="3" s="1"/>
  <c r="E170" i="4" a="1"/>
  <c r="E170" i="4" s="1"/>
  <c r="E169" i="4" a="1"/>
  <c r="E169" i="4" s="1"/>
  <c r="E173" i="4" a="1"/>
  <c r="E173" i="4" s="1"/>
  <c r="E98" i="3" a="1"/>
  <c r="E98" i="3" s="1"/>
  <c r="E101" i="3" a="1"/>
  <c r="E101" i="3" s="1"/>
  <c r="E100" i="3" a="1"/>
  <c r="E100" i="3" s="1"/>
  <c r="E97" i="3" a="1"/>
  <c r="E97" i="3" s="1"/>
  <c r="E96" i="3" a="1"/>
  <c r="E96" i="3" s="1"/>
  <c r="E105" i="8" a="1"/>
  <c r="E105" i="8" s="1"/>
  <c r="E106" i="8" a="1"/>
  <c r="E106" i="8" s="1"/>
  <c r="E107" i="8" a="1"/>
  <c r="E107" i="8" s="1"/>
  <c r="E12" i="8" a="1"/>
  <c r="E12" i="8" s="1"/>
  <c r="E10" i="8" a="1"/>
  <c r="E10" i="8" s="1"/>
  <c r="E11" i="8" a="1"/>
  <c r="E11" i="8" s="1"/>
  <c r="H444" i="6"/>
  <c r="G444" i="6" s="1"/>
  <c r="H54" i="6"/>
  <c r="G54" i="6" s="1"/>
  <c r="H395" i="6"/>
  <c r="G395" i="6" s="1"/>
  <c r="H130" i="6"/>
  <c r="G130" i="6" s="1"/>
  <c r="H302" i="6"/>
  <c r="G302" i="6" s="1"/>
  <c r="H160" i="6"/>
  <c r="G160" i="6" s="1"/>
  <c r="H351" i="6"/>
  <c r="G351" i="6" s="1"/>
  <c r="H29" i="6"/>
  <c r="G29" i="6" s="1"/>
  <c r="H333" i="6"/>
  <c r="G333" i="6" s="1"/>
  <c r="H144" i="6"/>
  <c r="G144" i="6" s="1"/>
  <c r="H51" i="6"/>
  <c r="G51" i="6" s="1"/>
  <c r="H255" i="6"/>
  <c r="G255" i="6" s="1"/>
  <c r="H11" i="6"/>
  <c r="G11" i="6" s="1"/>
  <c r="H290" i="6"/>
  <c r="G290" i="6" s="1"/>
  <c r="H195" i="6"/>
  <c r="G195" i="6" s="1"/>
  <c r="H242" i="6"/>
  <c r="G242" i="6" s="1"/>
  <c r="H216" i="6"/>
  <c r="G216" i="6" s="1"/>
  <c r="H422" i="6"/>
  <c r="G422" i="6" s="1"/>
  <c r="H222" i="6"/>
  <c r="G222" i="6" s="1"/>
  <c r="H428" i="6"/>
  <c r="G428" i="6" s="1"/>
  <c r="H229" i="6"/>
  <c r="G229" i="6" s="1"/>
  <c r="H435" i="6"/>
  <c r="G435" i="6" s="1"/>
  <c r="H439" i="6"/>
  <c r="G439" i="6" s="1"/>
  <c r="H185" i="6"/>
  <c r="G185" i="6" s="1"/>
  <c r="H403" i="6"/>
  <c r="G403" i="6" s="1"/>
  <c r="H96" i="6"/>
  <c r="G96" i="6" s="1"/>
  <c r="H388" i="6"/>
  <c r="G388" i="6" s="1"/>
  <c r="H155" i="6"/>
  <c r="G155" i="6" s="1"/>
  <c r="H315" i="6"/>
  <c r="G315" i="6" s="1"/>
  <c r="H118" i="6"/>
  <c r="G118" i="6" s="1"/>
  <c r="H345" i="6"/>
  <c r="G345" i="6" s="1"/>
  <c r="H39" i="6"/>
  <c r="G39" i="6" s="1"/>
  <c r="H238" i="6"/>
  <c r="G238" i="6" s="1"/>
  <c r="H198" i="6"/>
  <c r="G198" i="6" s="1"/>
  <c r="H221" i="6"/>
  <c r="G221" i="6" s="1"/>
  <c r="H117" i="6"/>
  <c r="G117" i="6" s="1"/>
  <c r="H340" i="6"/>
  <c r="G340" i="6" s="1"/>
  <c r="H69" i="6"/>
  <c r="G69" i="6" s="1"/>
  <c r="H259" i="6"/>
  <c r="G259" i="6" s="1"/>
  <c r="H175" i="6"/>
  <c r="G175" i="6" s="1"/>
  <c r="H338" i="6"/>
  <c r="G338" i="6" s="1"/>
  <c r="H47" i="6"/>
  <c r="G47" i="6" s="1"/>
  <c r="H233" i="6"/>
  <c r="G233" i="6" s="1"/>
  <c r="H205" i="6"/>
  <c r="G205" i="6" s="1"/>
  <c r="H409" i="6"/>
  <c r="G409" i="6" s="1"/>
  <c r="H438" i="6"/>
  <c r="G438" i="6" s="1"/>
  <c r="H208" i="6"/>
  <c r="G208" i="6" s="1"/>
  <c r="H412" i="6"/>
  <c r="G412" i="6" s="1"/>
  <c r="H136" i="6"/>
  <c r="G136" i="6" s="1"/>
  <c r="H404" i="6"/>
  <c r="G404" i="6" s="1"/>
  <c r="H440" i="6"/>
  <c r="G440" i="6" s="1"/>
  <c r="H171" i="6"/>
  <c r="G171" i="6" s="1"/>
  <c r="H414" i="6"/>
  <c r="G414" i="6" s="1"/>
  <c r="H80" i="6"/>
  <c r="G80" i="6" s="1"/>
  <c r="H365" i="6"/>
  <c r="G365" i="6" s="1"/>
  <c r="H89" i="6"/>
  <c r="G89" i="6" s="1"/>
  <c r="H307" i="6"/>
  <c r="G307" i="6" s="1"/>
  <c r="H161" i="6"/>
  <c r="G161" i="6" s="1"/>
  <c r="H352" i="6"/>
  <c r="G352" i="6" s="1"/>
  <c r="H23" i="6"/>
  <c r="G23" i="6" s="1"/>
  <c r="H372" i="6"/>
  <c r="G372" i="6" s="1"/>
  <c r="H73" i="6"/>
  <c r="G73" i="6" s="1"/>
  <c r="H232" i="6"/>
  <c r="G232" i="6" s="1"/>
  <c r="H140" i="6"/>
  <c r="G140" i="6" s="1"/>
  <c r="H391" i="6"/>
  <c r="G391" i="6" s="1"/>
  <c r="H75" i="6"/>
  <c r="G75" i="6" s="1"/>
  <c r="H304" i="6"/>
  <c r="G304" i="6" s="1"/>
  <c r="H133" i="6"/>
  <c r="G133" i="6" s="1"/>
  <c r="H378" i="6"/>
  <c r="G378" i="6" s="1"/>
  <c r="H116" i="6"/>
  <c r="G116" i="6" s="1"/>
  <c r="H331" i="6"/>
  <c r="G331" i="6" s="1"/>
  <c r="H129" i="6"/>
  <c r="G129" i="6" s="1"/>
  <c r="H288" i="6"/>
  <c r="G288" i="6" s="1"/>
  <c r="H20" i="6"/>
  <c r="G20" i="6" s="1"/>
  <c r="H334" i="6"/>
  <c r="G334" i="6" s="1"/>
  <c r="H48" i="6"/>
  <c r="G48" i="6" s="1"/>
  <c r="H369" i="6"/>
  <c r="G369" i="6" s="1"/>
  <c r="H45" i="6"/>
  <c r="G45" i="6" s="1"/>
  <c r="H329" i="6"/>
  <c r="G329" i="6" s="1"/>
  <c r="H103" i="6"/>
  <c r="G103" i="6" s="1"/>
  <c r="H324" i="6"/>
  <c r="G324" i="6" s="1"/>
  <c r="H134" i="6"/>
  <c r="G134" i="6" s="1"/>
  <c r="H256" i="6"/>
  <c r="G256" i="6" s="1"/>
  <c r="H58" i="6"/>
  <c r="G58" i="6" s="1"/>
  <c r="H335" i="6"/>
  <c r="G335" i="6" s="1"/>
  <c r="H109" i="6"/>
  <c r="G109" i="6" s="1"/>
  <c r="H227" i="6"/>
  <c r="G227" i="6" s="1"/>
  <c r="H31" i="6"/>
  <c r="G31" i="6" s="1"/>
  <c r="H322" i="6"/>
  <c r="G322" i="6" s="1"/>
  <c r="H125" i="6"/>
  <c r="G125" i="6" s="1"/>
  <c r="H278" i="6"/>
  <c r="G278" i="6" s="1"/>
  <c r="H77" i="6"/>
  <c r="G77" i="6" s="1"/>
  <c r="H317" i="6"/>
  <c r="G317" i="6" s="1"/>
  <c r="H63" i="6"/>
  <c r="G63" i="6" s="1"/>
  <c r="H281" i="6"/>
  <c r="G281" i="6" s="1"/>
  <c r="H74" i="6"/>
  <c r="G74" i="6" s="1"/>
  <c r="H284" i="6"/>
  <c r="G284" i="6" s="1"/>
  <c r="H79" i="6"/>
  <c r="G79" i="6" s="1"/>
  <c r="H220" i="6"/>
  <c r="G220" i="6" s="1"/>
  <c r="H17" i="6"/>
  <c r="G17" i="6" s="1"/>
  <c r="H239" i="6"/>
  <c r="G239" i="6" s="1"/>
  <c r="H60" i="6"/>
  <c r="G60" i="6" s="1"/>
  <c r="H274" i="6"/>
  <c r="G274" i="6" s="1"/>
  <c r="H135" i="6"/>
  <c r="G135" i="6" s="1"/>
  <c r="H405" i="6"/>
  <c r="G405" i="6" s="1"/>
  <c r="H426" i="6"/>
  <c r="G426" i="6" s="1"/>
  <c r="H226" i="6"/>
  <c r="G226" i="6" s="1"/>
  <c r="H432" i="6"/>
  <c r="G432" i="6" s="1"/>
  <c r="H230" i="6"/>
  <c r="G230" i="6" s="1"/>
  <c r="H436" i="6"/>
  <c r="G436" i="6" s="1"/>
  <c r="H97" i="6"/>
  <c r="G97" i="6" s="1"/>
  <c r="H390" i="6"/>
  <c r="G390" i="6" s="1"/>
  <c r="H59" i="6"/>
  <c r="G59" i="6" s="1"/>
  <c r="H337" i="6"/>
  <c r="G337" i="6" s="1"/>
  <c r="H120" i="6"/>
  <c r="G120" i="6" s="1"/>
  <c r="H336" i="6"/>
  <c r="G336" i="6" s="1"/>
  <c r="H37" i="6"/>
  <c r="G37" i="6" s="1"/>
  <c r="H396" i="6"/>
  <c r="G396" i="6" s="1"/>
  <c r="H56" i="6"/>
  <c r="G56" i="6" s="1"/>
  <c r="K56" i="6" s="1"/>
  <c r="H361" i="6"/>
  <c r="G361" i="6" s="1"/>
  <c r="H156" i="6"/>
  <c r="G156" i="6" s="1"/>
  <c r="H384" i="6"/>
  <c r="G384" i="6" s="1"/>
  <c r="H154" i="6"/>
  <c r="G154" i="6" s="1"/>
  <c r="H310" i="6"/>
  <c r="G310" i="6" s="1"/>
  <c r="H50" i="6"/>
  <c r="G50" i="6" s="1"/>
  <c r="H254" i="6"/>
  <c r="G254" i="6" s="1"/>
  <c r="H49" i="6"/>
  <c r="G49" i="6" s="1"/>
  <c r="H237" i="6"/>
  <c r="G237" i="6" s="1"/>
  <c r="H192" i="6"/>
  <c r="G192" i="6" s="1"/>
  <c r="H348" i="6"/>
  <c r="G348" i="6" s="1"/>
  <c r="H13" i="6"/>
  <c r="G13" i="6" s="1"/>
  <c r="H295" i="6"/>
  <c r="G295" i="6" s="1"/>
  <c r="H123" i="6"/>
  <c r="G123" i="6" s="1"/>
  <c r="H275" i="6"/>
  <c r="G275" i="6" s="1"/>
  <c r="H119" i="6"/>
  <c r="G119" i="6" s="1"/>
  <c r="H346" i="6"/>
  <c r="G346" i="6" s="1"/>
  <c r="H173" i="6"/>
  <c r="G173" i="6" s="1"/>
  <c r="H341" i="6"/>
  <c r="G341" i="6" s="1"/>
  <c r="H152" i="6"/>
  <c r="G152" i="6" s="1"/>
  <c r="H241" i="6"/>
  <c r="G241" i="6" s="1"/>
  <c r="H181" i="6"/>
  <c r="G181" i="6" s="1"/>
  <c r="H263" i="6"/>
  <c r="G263" i="6" s="1"/>
  <c r="H142" i="6"/>
  <c r="G142" i="6" s="1"/>
  <c r="H234" i="6"/>
  <c r="G234" i="6" s="1"/>
  <c r="H228" i="6"/>
  <c r="G228" i="6" s="1"/>
  <c r="H434" i="6"/>
  <c r="G434" i="6" s="1"/>
  <c r="H219" i="6"/>
  <c r="G219" i="6" s="1"/>
  <c r="H425" i="6"/>
  <c r="G425" i="6" s="1"/>
  <c r="H149" i="6"/>
  <c r="G149" i="6" s="1"/>
  <c r="K149" i="6" s="1"/>
  <c r="H407" i="6"/>
  <c r="G407" i="6" s="1"/>
  <c r="H225" i="6"/>
  <c r="G225" i="6" s="1"/>
  <c r="H431" i="6"/>
  <c r="G431" i="6" s="1"/>
  <c r="H433" i="6"/>
  <c r="G433" i="6" s="1"/>
  <c r="H172" i="6"/>
  <c r="G172" i="6" s="1"/>
  <c r="H415" i="6"/>
  <c r="G415" i="6" s="1"/>
  <c r="H445" i="6"/>
  <c r="G445" i="6" s="1"/>
  <c r="H215" i="6"/>
  <c r="G215" i="6" s="1"/>
  <c r="H421" i="6"/>
  <c r="G421" i="6" s="1"/>
  <c r="H213" i="6"/>
  <c r="G213" i="6" s="1"/>
  <c r="H419" i="6"/>
  <c r="G419" i="6" s="1"/>
  <c r="H210" i="6"/>
  <c r="G210" i="6" s="1"/>
  <c r="H416" i="6"/>
  <c r="G416" i="6" s="1"/>
  <c r="H212" i="6"/>
  <c r="G212" i="6" s="1"/>
  <c r="H204" i="6"/>
  <c r="G204" i="6" s="1"/>
  <c r="H408" i="6"/>
  <c r="G408" i="6" s="1"/>
  <c r="H443" i="6"/>
  <c r="G443" i="6" s="1"/>
  <c r="H34" i="6"/>
  <c r="G34" i="6" s="1"/>
  <c r="H382" i="6"/>
  <c r="G382" i="6" s="1"/>
  <c r="H240" i="6"/>
  <c r="G240" i="6" s="1"/>
  <c r="H446" i="6"/>
  <c r="G446" i="6" s="1"/>
  <c r="H206" i="6"/>
  <c r="G206" i="6" s="1"/>
  <c r="H410" i="6"/>
  <c r="G410" i="6" s="1"/>
  <c r="H148" i="6"/>
  <c r="G148" i="6" s="1"/>
  <c r="H406" i="6"/>
  <c r="G406" i="6" s="1"/>
  <c r="H211" i="6"/>
  <c r="G211" i="6" s="1"/>
  <c r="H417" i="6"/>
  <c r="G417" i="6" s="1"/>
  <c r="H147" i="6"/>
  <c r="G147" i="6" s="1"/>
  <c r="H394" i="6"/>
  <c r="G394" i="6" s="1"/>
  <c r="H8" i="6"/>
  <c r="G8" i="6" s="1"/>
  <c r="H376" i="6"/>
  <c r="G376" i="6" s="1"/>
  <c r="H214" i="6"/>
  <c r="G214" i="6" s="1"/>
  <c r="H420" i="6"/>
  <c r="G420" i="6" s="1"/>
  <c r="H223" i="6"/>
  <c r="G223" i="6" s="1"/>
  <c r="H429" i="6"/>
  <c r="G429" i="6" s="1"/>
  <c r="H447" i="6"/>
  <c r="G447" i="6" s="1"/>
  <c r="H231" i="6"/>
  <c r="G231" i="6" s="1"/>
  <c r="H437" i="6"/>
  <c r="G437" i="6" s="1"/>
  <c r="H224" i="6"/>
  <c r="G224" i="6" s="1"/>
  <c r="H430" i="6"/>
  <c r="G430" i="6" s="1"/>
  <c r="H235" i="6"/>
  <c r="G235" i="6" s="1"/>
  <c r="H441" i="6"/>
  <c r="G441" i="6" s="1"/>
  <c r="H218" i="6"/>
  <c r="G218" i="6" s="1"/>
  <c r="H424" i="6"/>
  <c r="G424" i="6" s="1"/>
  <c r="H427" i="6"/>
  <c r="G427" i="6" s="1"/>
  <c r="H236" i="6"/>
  <c r="G236" i="6" s="1"/>
  <c r="H442" i="6"/>
  <c r="G442" i="6" s="1"/>
  <c r="H209" i="6"/>
  <c r="G209" i="6" s="1"/>
  <c r="H413" i="6"/>
  <c r="G413" i="6" s="1"/>
  <c r="H207" i="6"/>
  <c r="G207" i="6" s="1"/>
  <c r="H411" i="6"/>
  <c r="G411" i="6" s="1"/>
  <c r="H38" i="6"/>
  <c r="G38" i="6" s="1"/>
  <c r="H402" i="6"/>
  <c r="G402" i="6" s="1"/>
  <c r="H217" i="6"/>
  <c r="G217" i="6" s="1"/>
  <c r="H423" i="6"/>
  <c r="G423" i="6" s="1"/>
  <c r="E133" i="8" a="1"/>
  <c r="E133" i="8" s="1"/>
  <c r="E132" i="3" a="1"/>
  <c r="E132" i="3" s="1"/>
  <c r="E143" i="8" a="1"/>
  <c r="E143" i="8" s="1"/>
  <c r="E136" i="8" a="1"/>
  <c r="E136" i="8" s="1"/>
  <c r="E131" i="8" a="1"/>
  <c r="E131" i="8" s="1"/>
  <c r="E142" i="8" a="1"/>
  <c r="E142" i="8" s="1"/>
  <c r="E135" i="8" a="1"/>
  <c r="E135" i="8" s="1"/>
  <c r="E144" i="8" a="1"/>
  <c r="E144" i="8" s="1"/>
  <c r="E132" i="8" a="1"/>
  <c r="E132" i="8" s="1"/>
  <c r="E130" i="8" a="1"/>
  <c r="E130" i="8" s="1"/>
  <c r="E145" i="8" a="1"/>
  <c r="E145" i="8" s="1"/>
  <c r="E129" i="8" a="1"/>
  <c r="E129" i="8" s="1"/>
  <c r="E134" i="8" a="1"/>
  <c r="E134" i="8" s="1"/>
  <c r="E68" i="4" a="1"/>
  <c r="E68" i="4" s="1"/>
  <c r="E70" i="4" a="1"/>
  <c r="E70" i="4" s="1"/>
  <c r="E159" i="8" a="1"/>
  <c r="E159" i="8" s="1"/>
  <c r="E69" i="4" a="1"/>
  <c r="E69" i="4" s="1"/>
  <c r="E71" i="4" a="1"/>
  <c r="E71" i="4" s="1"/>
  <c r="E28" i="8" a="1"/>
  <c r="E28" i="8" s="1"/>
  <c r="E171" i="8" a="1"/>
  <c r="E171" i="8" s="1"/>
  <c r="E121" i="8" a="1"/>
  <c r="E121" i="8" s="1"/>
  <c r="E243" i="3" a="1"/>
  <c r="E243" i="3" s="1"/>
  <c r="E239" i="8" a="1"/>
  <c r="E239" i="8" s="1"/>
  <c r="E227" i="3" a="1"/>
  <c r="E227" i="3" s="1"/>
  <c r="E156" i="8" a="1"/>
  <c r="E156" i="8" s="1"/>
  <c r="E491" i="8" a="1"/>
  <c r="E491" i="8" s="1"/>
  <c r="E593" i="4" a="1"/>
  <c r="E593" i="4" s="1"/>
  <c r="E244" i="3" a="1"/>
  <c r="E244" i="3" s="1"/>
  <c r="E240" i="8" a="1"/>
  <c r="E240" i="8" s="1"/>
  <c r="E228" i="3" a="1"/>
  <c r="E228" i="3" s="1"/>
  <c r="E209" i="8" a="1"/>
  <c r="E209" i="8" s="1"/>
  <c r="E116" i="8" a="1"/>
  <c r="E116" i="8" s="1"/>
  <c r="E104" i="8" a="1"/>
  <c r="E104" i="8" s="1"/>
  <c r="E158" i="8" a="1"/>
  <c r="E158" i="8" s="1"/>
  <c r="E255" i="8" a="1"/>
  <c r="E255" i="8" s="1"/>
  <c r="E101" i="8" a="1"/>
  <c r="E101" i="8" s="1"/>
  <c r="E103" i="8" a="1"/>
  <c r="E103" i="8" s="1"/>
  <c r="E114" i="8" a="1"/>
  <c r="E114" i="8" s="1"/>
  <c r="E230" i="3" a="1"/>
  <c r="E230" i="3" s="1"/>
  <c r="E206" i="3" a="1"/>
  <c r="E206" i="3" s="1"/>
  <c r="E119" i="8" a="1"/>
  <c r="E119" i="8" s="1"/>
  <c r="E118" i="8" a="1"/>
  <c r="E118" i="8" s="1"/>
  <c r="E120" i="8" a="1"/>
  <c r="E120" i="8" s="1"/>
  <c r="E229" i="3" a="1"/>
  <c r="E229" i="3" s="1"/>
  <c r="E240" i="3" a="1"/>
  <c r="E240" i="3" s="1"/>
  <c r="E236" i="8" a="1"/>
  <c r="E236" i="8" s="1"/>
  <c r="E258" i="8" a="1"/>
  <c r="E258" i="8" s="1"/>
  <c r="E193" i="3" a="1"/>
  <c r="E193" i="3" s="1"/>
  <c r="E188" i="8" a="1"/>
  <c r="E188" i="8" s="1"/>
  <c r="E231" i="3" a="1"/>
  <c r="E231" i="3" s="1"/>
  <c r="E343" i="3" a="1"/>
  <c r="E343" i="3" s="1"/>
  <c r="E242" i="3" a="1"/>
  <c r="E242" i="3" s="1"/>
  <c r="E238" i="8" a="1"/>
  <c r="E238" i="8" s="1"/>
  <c r="E317" i="4" a="1"/>
  <c r="E317" i="4" s="1"/>
  <c r="E236" i="3" a="1"/>
  <c r="E236" i="3" s="1"/>
  <c r="E259" i="8" a="1"/>
  <c r="E259" i="8" s="1"/>
  <c r="E235" i="3" a="1"/>
  <c r="E235" i="3" s="1"/>
  <c r="E302" i="3" a="1"/>
  <c r="E302" i="3" s="1"/>
  <c r="E205" i="3" a="1"/>
  <c r="E205" i="3" s="1"/>
  <c r="E239" i="3" a="1"/>
  <c r="E239" i="3" s="1"/>
  <c r="E235" i="8" a="1"/>
  <c r="E235" i="8" s="1"/>
  <c r="E155" i="8" a="1"/>
  <c r="E155" i="8" s="1"/>
  <c r="E113" i="8" a="1"/>
  <c r="E113" i="8" s="1"/>
  <c r="E301" i="3" a="1"/>
  <c r="E301" i="3" s="1"/>
  <c r="E233" i="3" a="1"/>
  <c r="E233" i="3" s="1"/>
  <c r="E237" i="3" a="1"/>
  <c r="E237" i="3" s="1"/>
  <c r="E233" i="8" a="1"/>
  <c r="E233" i="8" s="1"/>
  <c r="E238" i="3" a="1"/>
  <c r="E238" i="3" s="1"/>
  <c r="E234" i="8" a="1"/>
  <c r="E234" i="8" s="1"/>
  <c r="E242" i="8" a="1"/>
  <c r="E242" i="8" s="1"/>
  <c r="E300" i="3" a="1"/>
  <c r="E300" i="3" s="1"/>
  <c r="E102" i="8" a="1"/>
  <c r="E102" i="8" s="1"/>
  <c r="E172" i="8" a="1"/>
  <c r="E172" i="8" s="1"/>
  <c r="E234" i="3" a="1"/>
  <c r="E234" i="3" s="1"/>
  <c r="E241" i="3" a="1"/>
  <c r="E241" i="3" s="1"/>
  <c r="E237" i="8" a="1"/>
  <c r="E237" i="8" s="1"/>
  <c r="E122" i="8" a="1"/>
  <c r="E122" i="8" s="1"/>
  <c r="E192" i="3" a="1"/>
  <c r="E192" i="3" s="1"/>
  <c r="E187" i="8" a="1"/>
  <c r="E187" i="8" s="1"/>
  <c r="E112" i="8" a="1"/>
  <c r="E112" i="8" s="1"/>
  <c r="E117" i="8" a="1"/>
  <c r="E117" i="8" s="1"/>
  <c r="E241" i="8" a="1"/>
  <c r="E241" i="8" s="1"/>
  <c r="E115" i="8" a="1"/>
  <c r="E115" i="8" s="1"/>
  <c r="E257" i="8" a="1"/>
  <c r="E257" i="8" s="1"/>
  <c r="E207" i="3" a="1"/>
  <c r="E207" i="3" s="1"/>
  <c r="E157" i="8" a="1"/>
  <c r="E157" i="8" s="1"/>
  <c r="E256" i="8" a="1"/>
  <c r="E256" i="8" s="1"/>
  <c r="E290" i="4" a="1"/>
  <c r="E290" i="4" s="1"/>
  <c r="E492" i="8" a="1"/>
  <c r="E492" i="8" s="1"/>
  <c r="E490" i="8" a="1"/>
  <c r="E490" i="8" s="1"/>
  <c r="E306" i="3" a="1"/>
  <c r="E306" i="3" s="1"/>
  <c r="E303" i="3" a="1"/>
  <c r="E303" i="3" s="1"/>
  <c r="E305" i="3" a="1"/>
  <c r="E305" i="3" s="1"/>
  <c r="E304" i="3" a="1"/>
  <c r="E304" i="3" s="1"/>
  <c r="E284" i="3" a="1"/>
  <c r="E284" i="3" s="1"/>
  <c r="H98" i="6"/>
  <c r="G98" i="6" s="1"/>
  <c r="H99" i="6"/>
  <c r="G99" i="6" s="1"/>
  <c r="H292" i="6"/>
  <c r="G292" i="6" s="1"/>
  <c r="E458" i="8" a="1"/>
  <c r="E458" i="8" s="1"/>
  <c r="E509" i="8" a="1"/>
  <c r="E509" i="8" s="1"/>
  <c r="E427" i="8" a="1"/>
  <c r="E427" i="8" s="1"/>
  <c r="H245" i="6"/>
  <c r="G245" i="6" s="1"/>
  <c r="H418" i="6"/>
  <c r="G418" i="6" s="1"/>
  <c r="E73" i="8" a="1"/>
  <c r="E73" i="8" s="1"/>
  <c r="E269" i="8" a="1"/>
  <c r="E269" i="8" s="1"/>
  <c r="E457" i="8" a="1"/>
  <c r="E457" i="8" s="1"/>
  <c r="E81" i="8" a="1"/>
  <c r="E81" i="8" s="1"/>
  <c r="E79" i="8" a="1"/>
  <c r="E79" i="8" s="1"/>
  <c r="I68" i="8" a="1"/>
  <c r="I68" i="8" s="1"/>
  <c r="I488" i="8" a="1"/>
  <c r="I488" i="8" s="1"/>
  <c r="H504" i="4" a="1"/>
  <c r="H504" i="4" s="1"/>
  <c r="H84" i="4" a="1"/>
  <c r="H84" i="4" s="1"/>
  <c r="I5" i="8" a="1"/>
  <c r="I5" i="8" s="1"/>
  <c r="I149" i="8" a="1"/>
  <c r="I149" i="8" s="1"/>
  <c r="I231" i="8" a="1"/>
  <c r="I231" i="8" s="1"/>
  <c r="E231" i="8" a="1"/>
  <c r="E231" i="8" s="1"/>
  <c r="I317" i="8" a="1"/>
  <c r="I317" i="8" s="1"/>
  <c r="H89" i="4" a="1"/>
  <c r="H89" i="4" s="1"/>
  <c r="I154" i="8" a="1"/>
  <c r="I154" i="8" s="1"/>
  <c r="I425" i="8" a="1"/>
  <c r="I425" i="8" s="1"/>
  <c r="H428" i="4" a="1"/>
  <c r="H428" i="4" s="1"/>
  <c r="I326" i="3" a="1"/>
  <c r="I326" i="3" s="1"/>
  <c r="D89" i="4" a="1"/>
  <c r="D89" i="4" s="1"/>
  <c r="D154" i="8" a="1"/>
  <c r="D154" i="8" s="1"/>
  <c r="I457" i="8" a="1"/>
  <c r="I457" i="8" s="1"/>
  <c r="I81" i="8" a="1"/>
  <c r="I81" i="8" s="1"/>
  <c r="E250" i="8" a="1"/>
  <c r="E250" i="8" s="1"/>
  <c r="D205" i="8" a="1"/>
  <c r="D205" i="8" s="1"/>
  <c r="D231" i="8" a="1"/>
  <c r="D231" i="8" s="1"/>
  <c r="D74" i="8" a="1"/>
  <c r="D74" i="8" s="1"/>
  <c r="D37" i="4" a="1"/>
  <c r="D37" i="4" s="1"/>
  <c r="I298" i="8" a="1"/>
  <c r="I298" i="8" s="1"/>
  <c r="I306" i="8" a="1"/>
  <c r="I306" i="8" s="1"/>
  <c r="D299" i="8" a="1"/>
  <c r="D299" i="8" s="1"/>
  <c r="D45" i="8" a="1"/>
  <c r="D45" i="8" s="1"/>
  <c r="D10" i="4" a="1"/>
  <c r="D10" i="4" s="1"/>
  <c r="I252" i="8" a="1"/>
  <c r="I252" i="8" s="1"/>
  <c r="I42" i="8" a="1"/>
  <c r="I42" i="8" s="1"/>
  <c r="H7" i="4" a="1"/>
  <c r="H7" i="4" s="1"/>
  <c r="I6" i="3" a="1"/>
  <c r="I6" i="3" s="1"/>
  <c r="D48" i="4" a="1"/>
  <c r="D48" i="4" s="1"/>
  <c r="I224" i="8" a="1"/>
  <c r="I224" i="8" s="1"/>
  <c r="D52" i="4" a="1"/>
  <c r="D52" i="4" s="1"/>
  <c r="D308" i="8" a="1"/>
  <c r="D308" i="8" s="1"/>
  <c r="I254" i="8" a="1"/>
  <c r="I254" i="8" s="1"/>
  <c r="E441" i="8" a="1"/>
  <c r="E441" i="8" s="1"/>
  <c r="D320" i="8" a="1"/>
  <c r="D320" i="8" s="1"/>
  <c r="I319" i="8" a="1"/>
  <c r="I319" i="8" s="1"/>
  <c r="I204" i="8" a="1"/>
  <c r="I204" i="8" s="1"/>
  <c r="D297" i="8" a="1"/>
  <c r="D297" i="8" s="1"/>
  <c r="I305" i="8" a="1"/>
  <c r="I305" i="8" s="1"/>
  <c r="D191" i="4" a="1"/>
  <c r="D191" i="4" s="1"/>
  <c r="D118" i="3" s="1"/>
  <c r="D266" i="8" a="1"/>
  <c r="D266" i="8" s="1"/>
  <c r="D190" i="3" a="1"/>
  <c r="D190" i="3" s="1"/>
  <c r="D45" i="4" a="1"/>
  <c r="D45" i="4" s="1"/>
  <c r="D55" i="3" a="1"/>
  <c r="D55" i="3" s="1"/>
  <c r="D111" i="8" a="1"/>
  <c r="D111" i="8" s="1"/>
  <c r="E282" i="8" a="1"/>
  <c r="E282" i="8" s="1"/>
  <c r="D223" i="8" a="1"/>
  <c r="D223" i="8" s="1"/>
  <c r="I282" i="8" a="1"/>
  <c r="I282" i="8" s="1"/>
  <c r="D25" i="8" a="1"/>
  <c r="D25" i="8" s="1"/>
  <c r="D168" i="8" a="1"/>
  <c r="D168" i="8" s="1"/>
  <c r="D436" i="8" a="1"/>
  <c r="D436" i="8" s="1"/>
  <c r="D447" i="4" a="1"/>
  <c r="D447" i="4" s="1"/>
  <c r="D334" i="3" a="1"/>
  <c r="D334" i="3" s="1"/>
  <c r="H204" i="4" a="1"/>
  <c r="H204" i="4" s="1"/>
  <c r="I276" i="8" a="1"/>
  <c r="I276" i="8" s="1"/>
  <c r="I203" i="3" a="1"/>
  <c r="I203" i="3" s="1"/>
  <c r="H178" i="4" a="1"/>
  <c r="H178" i="4" s="1"/>
  <c r="I248" i="8" a="1"/>
  <c r="I248" i="8" s="1"/>
  <c r="I167" i="3" a="1"/>
  <c r="I167" i="3" s="1"/>
  <c r="I309" i="8" a="1"/>
  <c r="I309" i="8" s="1"/>
  <c r="D100" i="8" a="1"/>
  <c r="D100" i="8" s="1"/>
  <c r="D66" i="4" a="1"/>
  <c r="D66" i="4" s="1"/>
  <c r="D165" i="4" a="1"/>
  <c r="D165" i="4" s="1"/>
  <c r="D222" i="8" a="1"/>
  <c r="D222" i="8" s="1"/>
  <c r="D144" i="3" a="1"/>
  <c r="D144" i="3" s="1"/>
  <c r="D309" i="8" a="1"/>
  <c r="D309" i="8" s="1"/>
  <c r="I230" i="8" a="1"/>
  <c r="I230" i="8" s="1"/>
  <c r="E100" i="8" a="1"/>
  <c r="E100" i="8" s="1"/>
  <c r="E301" i="8" a="1"/>
  <c r="E301" i="8" s="1"/>
  <c r="D280" i="8" a="1"/>
  <c r="D280" i="8" s="1"/>
  <c r="I205" i="8" a="1"/>
  <c r="I205" i="8" s="1"/>
  <c r="I206" i="8" a="1"/>
  <c r="I206" i="8" s="1"/>
  <c r="I295" i="8" a="1"/>
  <c r="I295" i="8" s="1"/>
  <c r="E267" i="8" a="1"/>
  <c r="E267" i="8" s="1"/>
  <c r="H88" i="4" a="1"/>
  <c r="H88" i="4" s="1"/>
  <c r="I9" i="8" a="1"/>
  <c r="I9" i="8" s="1"/>
  <c r="I153" i="8" a="1"/>
  <c r="I153" i="8" s="1"/>
  <c r="I438" i="8" a="1"/>
  <c r="I438" i="8" s="1"/>
  <c r="I387" i="3" a="1"/>
  <c r="I387" i="3" s="1"/>
  <c r="I385" i="3" a="1"/>
  <c r="I385" i="3" s="1"/>
  <c r="I350" i="8" a="1"/>
  <c r="I350" i="8" s="1"/>
  <c r="E27" i="8" a="1"/>
  <c r="E27" i="8" s="1"/>
  <c r="E170" i="8" a="1"/>
  <c r="E170" i="8" s="1"/>
  <c r="I99" i="8" a="1"/>
  <c r="I99" i="8" s="1"/>
  <c r="H65" i="4" a="1"/>
  <c r="H65" i="4" s="1"/>
  <c r="I75" i="3" a="1"/>
  <c r="I75" i="3" s="1"/>
  <c r="I229" i="8" a="1"/>
  <c r="I229" i="8" s="1"/>
  <c r="I389" i="3" a="1"/>
  <c r="I389" i="3" s="1"/>
  <c r="D22" i="3" a="1"/>
  <c r="D22" i="3" s="1"/>
  <c r="D96" i="4" s="1"/>
  <c r="D62" i="8" a="1"/>
  <c r="D62" i="8" s="1"/>
  <c r="D26" i="4" a="1"/>
  <c r="D26" i="4" s="1"/>
  <c r="D454" i="8" a="1"/>
  <c r="D454" i="8" s="1"/>
  <c r="D466" i="4" a="1"/>
  <c r="D466" i="4" s="1"/>
  <c r="D342" i="3" a="1"/>
  <c r="D342" i="3" s="1"/>
  <c r="D27" i="8" a="1"/>
  <c r="D27" i="8" s="1"/>
  <c r="D170" i="8" a="1"/>
  <c r="D170" i="8" s="1"/>
  <c r="D86" i="4" a="1"/>
  <c r="D86" i="4" s="1"/>
  <c r="D7" i="8" a="1"/>
  <c r="D7" i="8" s="1"/>
  <c r="D151" i="8" a="1"/>
  <c r="D151" i="8" s="1"/>
  <c r="E299" i="8" a="1"/>
  <c r="E299" i="8" s="1"/>
  <c r="D253" i="8" a="1"/>
  <c r="D253" i="8" s="1"/>
  <c r="E207" i="8" a="1"/>
  <c r="E207" i="8" s="1"/>
  <c r="D226" i="8" a="1"/>
  <c r="D226" i="8" s="1"/>
  <c r="D439" i="8" a="1"/>
  <c r="D439" i="8" s="1"/>
  <c r="H147" i="4" a="1"/>
  <c r="H147" i="4" s="1"/>
  <c r="I203" i="8" a="1"/>
  <c r="I203" i="8" s="1"/>
  <c r="I131" i="3" a="1"/>
  <c r="I131" i="3" s="1"/>
  <c r="H53" i="4" a="1"/>
  <c r="H53" i="4" s="1"/>
  <c r="H47" i="4" a="1"/>
  <c r="H47" i="4" s="1"/>
  <c r="E229" i="8" a="1"/>
  <c r="E229" i="8" s="1"/>
  <c r="I65" i="8" a="1"/>
  <c r="I65" i="8" s="1"/>
  <c r="H29" i="4" a="1"/>
  <c r="H29" i="4" s="1"/>
  <c r="E440" i="8" a="1"/>
  <c r="E440" i="8" s="1"/>
  <c r="D455" i="8" a="1"/>
  <c r="D455" i="8" s="1"/>
  <c r="D63" i="8" a="1"/>
  <c r="D63" i="8" s="1"/>
  <c r="D27" i="4" a="1"/>
  <c r="D27" i="4" s="1"/>
  <c r="I440" i="8" a="1"/>
  <c r="I440" i="8" s="1"/>
  <c r="I70" i="8" a="1"/>
  <c r="I70" i="8" s="1"/>
  <c r="H33" i="4" a="1"/>
  <c r="H33" i="4" s="1"/>
  <c r="E355" i="4" a="1"/>
  <c r="E355" i="4" s="1"/>
  <c r="I77" i="8" a="1"/>
  <c r="I77" i="8" s="1"/>
  <c r="H40" i="4" a="1"/>
  <c r="H40" i="4" s="1"/>
  <c r="D75" i="8" a="1"/>
  <c r="D75" i="8" s="1"/>
  <c r="D38" i="4" a="1"/>
  <c r="D38" i="4" s="1"/>
  <c r="I75" i="8" a="1"/>
  <c r="I75" i="8" s="1"/>
  <c r="H38" i="4" a="1"/>
  <c r="H38" i="4" s="1"/>
  <c r="E230" i="8" a="1"/>
  <c r="E230" i="8" s="1"/>
  <c r="D298" i="8" a="1"/>
  <c r="D298" i="8" s="1"/>
  <c r="D120" i="3"/>
  <c r="D268" i="8" a="1"/>
  <c r="D268" i="8" s="1"/>
  <c r="I321" i="8" a="1"/>
  <c r="I321" i="8" s="1"/>
  <c r="I76" i="8" a="1"/>
  <c r="I76" i="8" s="1"/>
  <c r="H39" i="4" a="1"/>
  <c r="H39" i="4" s="1"/>
  <c r="I437" i="8" a="1"/>
  <c r="I437" i="8" s="1"/>
  <c r="I388" i="3" a="1"/>
  <c r="I388" i="3" s="1"/>
  <c r="I100" i="8" a="1"/>
  <c r="I100" i="8" s="1"/>
  <c r="H66" i="4" a="1"/>
  <c r="H66" i="4" s="1"/>
  <c r="I301" i="8" a="1"/>
  <c r="I301" i="8" s="1"/>
  <c r="D206" i="8" a="1"/>
  <c r="D206" i="8" s="1"/>
  <c r="D313" i="8" a="1"/>
  <c r="D313" i="8" s="1"/>
  <c r="I299" i="8" a="1"/>
  <c r="I299" i="8" s="1"/>
  <c r="I24" i="8" a="1"/>
  <c r="I24" i="8" s="1"/>
  <c r="I167" i="8" a="1"/>
  <c r="I167" i="8" s="1"/>
  <c r="I106" i="3" a="1"/>
  <c r="I106" i="3" s="1"/>
  <c r="D47" i="8" a="1"/>
  <c r="D47" i="8" s="1"/>
  <c r="D258" i="4" a="1"/>
  <c r="D258" i="4" s="1"/>
  <c r="D12" i="4" a="1"/>
  <c r="D12" i="4" s="1"/>
  <c r="D330" i="8" a="1"/>
  <c r="D330" i="8" s="1"/>
  <c r="D262" i="3" a="1"/>
  <c r="D262" i="3" s="1"/>
  <c r="I45" i="8" a="1"/>
  <c r="I45" i="8" s="1"/>
  <c r="H10" i="4" a="1"/>
  <c r="H10" i="4" s="1"/>
  <c r="D426" i="8" a="1"/>
  <c r="D426" i="8" s="1"/>
  <c r="I297" i="8" a="1"/>
  <c r="I297" i="8" s="1"/>
  <c r="E308" i="8" a="1"/>
  <c r="E308" i="8" s="1"/>
  <c r="I308" i="8" a="1"/>
  <c r="I308" i="8" s="1"/>
  <c r="D49" i="4" a="1"/>
  <c r="D49" i="4" s="1"/>
  <c r="D222" i="4" a="1"/>
  <c r="D222" i="4" s="1"/>
  <c r="D294" i="8" a="1"/>
  <c r="D294" i="8" s="1"/>
  <c r="D226" i="3" a="1"/>
  <c r="D226" i="3" s="1"/>
  <c r="D46" i="4" a="1"/>
  <c r="D46" i="4" s="1"/>
  <c r="D251" i="8" a="1"/>
  <c r="D251" i="8" s="1"/>
  <c r="D279" i="8" a="1"/>
  <c r="D279" i="8" s="1"/>
  <c r="E226" i="8" a="1"/>
  <c r="E226" i="8" s="1"/>
  <c r="D44" i="8" a="1"/>
  <c r="D44" i="8" s="1"/>
  <c r="D9" i="4" a="1"/>
  <c r="D9" i="4" s="1"/>
  <c r="I320" i="8" a="1"/>
  <c r="I320" i="8" s="1"/>
  <c r="D50" i="4" a="1"/>
  <c r="D50" i="4" s="1"/>
  <c r="D204" i="8" a="1"/>
  <c r="D204" i="8" s="1"/>
  <c r="H191" i="4" a="1"/>
  <c r="H191" i="4" s="1"/>
  <c r="I118" i="3" s="1"/>
  <c r="I266" i="8" a="1"/>
  <c r="I266" i="8" s="1"/>
  <c r="I190" i="3" a="1"/>
  <c r="I190" i="3" s="1"/>
  <c r="H85" i="4" a="1"/>
  <c r="H85" i="4" s="1"/>
  <c r="I6" i="8" a="1"/>
  <c r="I6" i="8" s="1"/>
  <c r="I150" i="8" a="1"/>
  <c r="I150" i="8" s="1"/>
  <c r="D303" i="8" a="1"/>
  <c r="D303" i="8" s="1"/>
  <c r="E25" i="8" a="1"/>
  <c r="E25" i="8" s="1"/>
  <c r="E168" i="8" a="1"/>
  <c r="E168" i="8" s="1"/>
  <c r="I25" i="8" a="1"/>
  <c r="I25" i="8" s="1"/>
  <c r="I168" i="8" a="1"/>
  <c r="I168" i="8" s="1"/>
  <c r="I277" i="8" a="1"/>
  <c r="I277" i="8" s="1"/>
  <c r="D317" i="8" a="1"/>
  <c r="D317" i="8" s="1"/>
  <c r="D507" i="8" a="1"/>
  <c r="D507" i="8" s="1"/>
  <c r="D523" i="4" a="1"/>
  <c r="D523" i="4" s="1"/>
  <c r="I120" i="3"/>
  <c r="I268" i="8" a="1"/>
  <c r="I268" i="8" s="1"/>
  <c r="I250" i="8" a="1"/>
  <c r="I250" i="8" s="1"/>
  <c r="D250" i="8" a="1"/>
  <c r="D250" i="8" s="1"/>
  <c r="E309" i="8" a="1"/>
  <c r="E309" i="8" s="1"/>
  <c r="I316" i="8" a="1"/>
  <c r="I316" i="8" s="1"/>
  <c r="I296" i="8" a="1"/>
  <c r="I296" i="8" s="1"/>
  <c r="E300" i="8" a="1"/>
  <c r="E300" i="8" s="1"/>
  <c r="I119" i="3"/>
  <c r="I267" i="8" a="1"/>
  <c r="I267" i="8" s="1"/>
  <c r="D64" i="8" a="1"/>
  <c r="D64" i="8" s="1"/>
  <c r="D28" i="4" a="1"/>
  <c r="D28" i="4" s="1"/>
  <c r="D302" i="8" a="1"/>
  <c r="D302" i="8" s="1"/>
  <c r="D87" i="4" a="1"/>
  <c r="D87" i="4" s="1"/>
  <c r="D8" i="8" a="1"/>
  <c r="D8" i="8" s="1"/>
  <c r="D152" i="8" a="1"/>
  <c r="D152" i="8" s="1"/>
  <c r="E252" i="8" a="1"/>
  <c r="E252" i="8" s="1"/>
  <c r="D438" i="8" a="1"/>
  <c r="D438" i="8" s="1"/>
  <c r="D387" i="3" a="1"/>
  <c r="D387" i="3" s="1"/>
  <c r="I27" i="8" a="1"/>
  <c r="I27" i="8" s="1"/>
  <c r="I170" i="8" a="1"/>
  <c r="I170" i="8" s="1"/>
  <c r="I456" i="8" a="1"/>
  <c r="I456" i="8" s="1"/>
  <c r="D98" i="8" a="1"/>
  <c r="D98" i="8" s="1"/>
  <c r="D64" i="4" a="1"/>
  <c r="D64" i="4" s="1"/>
  <c r="D74" i="3" a="1"/>
  <c r="D74" i="3" s="1"/>
  <c r="I253" i="8" a="1"/>
  <c r="I253" i="8" s="1"/>
  <c r="H48" i="4" a="1"/>
  <c r="H48" i="4" s="1"/>
  <c r="I226" i="8" a="1"/>
  <c r="I226" i="8" s="1"/>
  <c r="I386" i="3" a="1"/>
  <c r="I386" i="3" s="1"/>
  <c r="D385" i="3" a="1"/>
  <c r="D385" i="3" s="1"/>
  <c r="D350" i="8" a="1"/>
  <c r="D350" i="8" s="1"/>
  <c r="I64" i="8" a="1"/>
  <c r="I64" i="8" s="1"/>
  <c r="H28" i="4" a="1"/>
  <c r="H28" i="4" s="1"/>
  <c r="I66" i="8" a="1"/>
  <c r="I66" i="8" s="1"/>
  <c r="H30" i="4" a="1"/>
  <c r="H30" i="4" s="1"/>
  <c r="D73" i="8" a="1"/>
  <c r="D73" i="8" s="1"/>
  <c r="D36" i="4" a="1"/>
  <c r="D36" i="4" s="1"/>
  <c r="D70" i="8" a="1"/>
  <c r="D70" i="8" s="1"/>
  <c r="D33" i="4" a="1"/>
  <c r="D33" i="4" s="1"/>
  <c r="E489" i="8" a="1"/>
  <c r="E489" i="8" s="1"/>
  <c r="E336" i="4" a="1"/>
  <c r="E336" i="4" s="1"/>
  <c r="D204" i="4" a="1"/>
  <c r="D204" i="4" s="1"/>
  <c r="D276" i="8" a="1"/>
  <c r="D276" i="8" s="1"/>
  <c r="D203" i="3" a="1"/>
  <c r="D203" i="3" s="1"/>
  <c r="I280" i="8" a="1"/>
  <c r="I280" i="8" s="1"/>
  <c r="D301" i="8" a="1"/>
  <c r="D301" i="8" s="1"/>
  <c r="AI55" i="4"/>
  <c r="T55" i="4"/>
  <c r="AC55" i="4"/>
  <c r="N55" i="4"/>
  <c r="Q55" i="4"/>
  <c r="M55" i="4"/>
  <c r="P55" i="4"/>
  <c r="L55" i="4"/>
  <c r="J55" i="4"/>
  <c r="R55" i="4"/>
  <c r="W55" i="4"/>
  <c r="AD55" i="4"/>
  <c r="Z55" i="4"/>
  <c r="V55" i="4"/>
  <c r="AG55" i="4"/>
  <c r="U55" i="4"/>
  <c r="AA55" i="4"/>
  <c r="O55" i="4"/>
  <c r="K55" i="4"/>
  <c r="AH55" i="4"/>
  <c r="AB55" i="4"/>
  <c r="S55" i="4"/>
  <c r="Y55" i="4"/>
  <c r="X55" i="4"/>
  <c r="I78" i="8" a="1"/>
  <c r="I78" i="8" s="1"/>
  <c r="H41" i="4" a="1"/>
  <c r="H41" i="4" s="1"/>
  <c r="D230" i="8" a="1"/>
  <c r="D230" i="8" s="1"/>
  <c r="D437" i="8" a="1"/>
  <c r="D437" i="8" s="1"/>
  <c r="D388" i="3" a="1"/>
  <c r="D388" i="3" s="1"/>
  <c r="D296" i="8" a="1"/>
  <c r="D296" i="8" s="1"/>
  <c r="D314" i="8" a="1"/>
  <c r="D314" i="8" s="1"/>
  <c r="D119" i="3"/>
  <c r="D267" i="8" a="1"/>
  <c r="D267" i="8" s="1"/>
  <c r="H52" i="4" a="1"/>
  <c r="H52" i="4" s="1"/>
  <c r="I47" i="8" a="1"/>
  <c r="I47" i="8" s="1"/>
  <c r="H12" i="4" a="1"/>
  <c r="H12" i="4" s="1"/>
  <c r="H258" i="4" a="1"/>
  <c r="H258" i="4" s="1"/>
  <c r="I330" i="8" a="1"/>
  <c r="I330" i="8" s="1"/>
  <c r="I262" i="3" a="1"/>
  <c r="I262" i="3" s="1"/>
  <c r="D441" i="8" a="1"/>
  <c r="D441" i="8" s="1"/>
  <c r="I455" i="8" a="1"/>
  <c r="I455" i="8" s="1"/>
  <c r="I63" i="8" a="1"/>
  <c r="I63" i="8" s="1"/>
  <c r="H27" i="4" a="1"/>
  <c r="H27" i="4" s="1"/>
  <c r="I426" i="8" a="1"/>
  <c r="I426" i="8" s="1"/>
  <c r="I44" i="8" a="1"/>
  <c r="I44" i="8" s="1"/>
  <c r="H9" i="4" a="1"/>
  <c r="H9" i="4" s="1"/>
  <c r="I225" i="8" a="1"/>
  <c r="I225" i="8" s="1"/>
  <c r="H271" i="4" a="1"/>
  <c r="H271" i="4" s="1"/>
  <c r="H542" i="4" a="1"/>
  <c r="H542" i="4" s="1"/>
  <c r="I384" i="3" a="1"/>
  <c r="I384" i="3" s="1"/>
  <c r="I349" i="8" a="1"/>
  <c r="I349" i="8" s="1"/>
  <c r="I268" i="3" a="1"/>
  <c r="I268" i="3" s="1"/>
  <c r="I489" i="8" a="1"/>
  <c r="I489" i="8" s="1"/>
  <c r="H49" i="4" a="1"/>
  <c r="H49" i="4" s="1"/>
  <c r="I223" i="8" a="1"/>
  <c r="I223" i="8" s="1"/>
  <c r="I251" i="8" a="1"/>
  <c r="I251" i="8" s="1"/>
  <c r="H336" i="4" a="1"/>
  <c r="H336" i="4" s="1"/>
  <c r="I294" i="3" a="1"/>
  <c r="I294" i="3" s="1"/>
  <c r="E225" i="8" a="1"/>
  <c r="E225" i="8" s="1"/>
  <c r="D228" i="8" a="1"/>
  <c r="D228" i="8" s="1"/>
  <c r="D386" i="3" a="1"/>
  <c r="D386" i="3" s="1"/>
  <c r="H50" i="4" a="1"/>
  <c r="H50" i="4" s="1"/>
  <c r="I249" i="8" a="1"/>
  <c r="I249" i="8" s="1"/>
  <c r="E426" i="8" a="1"/>
  <c r="E426" i="8" s="1"/>
  <c r="D307" i="8" a="1"/>
  <c r="D307" i="8" s="1"/>
  <c r="E191" i="4" a="1"/>
  <c r="E191" i="4" s="1"/>
  <c r="E118" i="3" s="1"/>
  <c r="E266" i="8" a="1"/>
  <c r="E266" i="8" s="1"/>
  <c r="E190" i="3" a="1"/>
  <c r="E190" i="3" s="1"/>
  <c r="D224" i="8" a="1"/>
  <c r="D224" i="8" s="1"/>
  <c r="I303" i="8" a="1"/>
  <c r="I303" i="8" s="1"/>
  <c r="D208" i="8" a="1"/>
  <c r="D208" i="8" s="1"/>
  <c r="D277" i="8" a="1"/>
  <c r="D277" i="8" s="1"/>
  <c r="E254" i="8" a="1"/>
  <c r="E254" i="8" s="1"/>
  <c r="E6" i="3" a="1"/>
  <c r="E6" i="3" s="1"/>
  <c r="E67" i="8" a="1"/>
  <c r="E67" i="8" s="1"/>
  <c r="D355" i="4" a="1"/>
  <c r="D355" i="4" s="1"/>
  <c r="D299" i="3" a="1"/>
  <c r="D299" i="3" s="1"/>
  <c r="D240" i="4" a="1"/>
  <c r="D240" i="4" s="1"/>
  <c r="D312" i="8" a="1"/>
  <c r="D312" i="8" s="1"/>
  <c r="D252" i="3" a="1"/>
  <c r="D252" i="3" s="1"/>
  <c r="I436" i="8" a="1"/>
  <c r="I436" i="8" s="1"/>
  <c r="H447" i="4" a="1"/>
  <c r="H447" i="4" s="1"/>
  <c r="I334" i="3" a="1"/>
  <c r="I334" i="3" s="1"/>
  <c r="D68" i="8" a="1"/>
  <c r="D68" i="8" s="1"/>
  <c r="D488" i="8" a="1"/>
  <c r="D488" i="8" s="1"/>
  <c r="D504" i="4" a="1"/>
  <c r="D504" i="4" s="1"/>
  <c r="D368" i="3" a="1"/>
  <c r="D368" i="3" s="1"/>
  <c r="D178" i="4" a="1"/>
  <c r="D178" i="4" s="1"/>
  <c r="D248" i="8" a="1"/>
  <c r="D248" i="8" s="1"/>
  <c r="D167" i="3" a="1"/>
  <c r="D167" i="3" s="1"/>
  <c r="I507" i="8" a="1"/>
  <c r="I507" i="8" s="1"/>
  <c r="H523" i="4" a="1"/>
  <c r="H523" i="4" s="1"/>
  <c r="D76" i="8" a="1"/>
  <c r="D76" i="8" s="1"/>
  <c r="D39" i="4" a="1"/>
  <c r="D39" i="4" s="1"/>
  <c r="H355" i="4" a="1"/>
  <c r="H355" i="4" s="1"/>
  <c r="I299" i="3" a="1"/>
  <c r="I299" i="3" s="1"/>
  <c r="D281" i="8" a="1"/>
  <c r="D281" i="8" s="1"/>
  <c r="I318" i="8" a="1"/>
  <c r="I318" i="8" s="1"/>
  <c r="I314" i="8" a="1"/>
  <c r="I314" i="8" s="1"/>
  <c r="D225" i="8" a="1"/>
  <c r="D225" i="8" s="1"/>
  <c r="D65" i="8" a="1"/>
  <c r="D65" i="8" s="1"/>
  <c r="D29" i="4" a="1"/>
  <c r="D29" i="4" s="1"/>
  <c r="I67" i="8" a="1"/>
  <c r="I67" i="8" s="1"/>
  <c r="H31" i="4" a="1"/>
  <c r="H31" i="4" s="1"/>
  <c r="I302" i="8" a="1"/>
  <c r="I302" i="8" s="1"/>
  <c r="D207" i="8" a="1"/>
  <c r="D207" i="8" s="1"/>
  <c r="H87" i="4" a="1"/>
  <c r="H87" i="4" s="1"/>
  <c r="I8" i="8" a="1"/>
  <c r="I8" i="8" s="1"/>
  <c r="I152" i="8" a="1"/>
  <c r="I152" i="8" s="1"/>
  <c r="E22" i="3" a="1"/>
  <c r="E22" i="3" s="1"/>
  <c r="E96" i="4" s="1"/>
  <c r="E342" i="3" a="1"/>
  <c r="E342" i="3" s="1"/>
  <c r="H46" i="4" a="1"/>
  <c r="H46" i="4" s="1"/>
  <c r="D489" i="8" a="1"/>
  <c r="D489" i="8" s="1"/>
  <c r="D227" i="8" a="1"/>
  <c r="D227" i="8" s="1"/>
  <c r="D147" i="4" a="1"/>
  <c r="D147" i="4" s="1"/>
  <c r="D203" i="8" a="1"/>
  <c r="D203" i="8" s="1"/>
  <c r="D131" i="3" a="1"/>
  <c r="D131" i="3" s="1"/>
  <c r="D71" i="8" a="1"/>
  <c r="D71" i="8" s="1"/>
  <c r="D34" i="4" a="1"/>
  <c r="D34" i="4" s="1"/>
  <c r="D51" i="4" a="1"/>
  <c r="D51" i="4" s="1"/>
  <c r="D249" i="8" a="1"/>
  <c r="D249" i="8" s="1"/>
  <c r="D271" i="4" a="1"/>
  <c r="D271" i="4" s="1"/>
  <c r="D542" i="4" a="1"/>
  <c r="D542" i="4" s="1"/>
  <c r="D384" i="3" a="1"/>
  <c r="D384" i="3" s="1"/>
  <c r="D349" i="8" a="1"/>
  <c r="D349" i="8" s="1"/>
  <c r="D268" i="3" a="1"/>
  <c r="D268" i="3" s="1"/>
  <c r="E87" i="4" a="1"/>
  <c r="E87" i="4" s="1"/>
  <c r="E8" i="8" a="1"/>
  <c r="E8" i="8" s="1"/>
  <c r="E152" i="8" a="1"/>
  <c r="E152" i="8" s="1"/>
  <c r="D4" i="8" a="1"/>
  <c r="D4" i="8" s="1"/>
  <c r="D83" i="4" a="1"/>
  <c r="D83" i="4" s="1"/>
  <c r="D148" i="8" a="1"/>
  <c r="D148" i="8" s="1"/>
  <c r="D92" i="3" a="1"/>
  <c r="D92" i="3" s="1"/>
  <c r="D26" i="8" a="1"/>
  <c r="D26" i="8" s="1"/>
  <c r="D169" i="8" a="1"/>
  <c r="D169" i="8" s="1"/>
  <c r="D47" i="4" a="1"/>
  <c r="D47" i="4" s="1"/>
  <c r="I69" i="8" a="1"/>
  <c r="I69" i="8" s="1"/>
  <c r="H32" i="4" a="1"/>
  <c r="H32" i="4" s="1"/>
  <c r="D23" i="8" a="1"/>
  <c r="D23" i="8" s="1"/>
  <c r="D166" i="8" a="1"/>
  <c r="D166" i="8" s="1"/>
  <c r="D105" i="3" a="1"/>
  <c r="D105" i="3" s="1"/>
  <c r="I73" i="8" a="1"/>
  <c r="I73" i="8" s="1"/>
  <c r="H36" i="4" a="1"/>
  <c r="H36" i="4" s="1"/>
  <c r="I72" i="8" a="1"/>
  <c r="I72" i="8" s="1"/>
  <c r="H35" i="4" a="1"/>
  <c r="H35" i="4" s="1"/>
  <c r="E227" i="8" a="1"/>
  <c r="E227" i="8" s="1"/>
  <c r="D46" i="8" a="1"/>
  <c r="D46" i="8" s="1"/>
  <c r="D11" i="4" a="1"/>
  <c r="D11" i="4" s="1"/>
  <c r="D331" i="8" a="1"/>
  <c r="D331" i="8" s="1"/>
  <c r="E111" i="8" a="1"/>
  <c r="E111" i="8" s="1"/>
  <c r="AG56" i="4"/>
  <c r="P56" i="4"/>
  <c r="V56" i="4"/>
  <c r="R56" i="4"/>
  <c r="Z56" i="4"/>
  <c r="Y56" i="4"/>
  <c r="U56" i="4"/>
  <c r="W56" i="4"/>
  <c r="K56" i="4"/>
  <c r="N56" i="4"/>
  <c r="T56" i="4"/>
  <c r="AH56" i="4"/>
  <c r="AD56" i="4"/>
  <c r="AI56" i="4"/>
  <c r="J56" i="4"/>
  <c r="AA56" i="4"/>
  <c r="O56" i="4"/>
  <c r="AB56" i="4"/>
  <c r="X56" i="4"/>
  <c r="L56" i="4"/>
  <c r="AC56" i="4"/>
  <c r="Q56" i="4"/>
  <c r="M56" i="4"/>
  <c r="S56" i="4"/>
  <c r="I300" i="8" a="1"/>
  <c r="I300" i="8" s="1"/>
  <c r="I281" i="8" a="1"/>
  <c r="I281" i="8" s="1"/>
  <c r="D300" i="8" a="1"/>
  <c r="D300" i="8" s="1"/>
  <c r="I74" i="8" a="1"/>
  <c r="I74" i="8" s="1"/>
  <c r="H37" i="4" a="1"/>
  <c r="H37" i="4" s="1"/>
  <c r="T54" i="4"/>
  <c r="AH54" i="4"/>
  <c r="P54" i="4"/>
  <c r="K54" i="4"/>
  <c r="AI54" i="4"/>
  <c r="Q54" i="4"/>
  <c r="J54" i="4"/>
  <c r="Y54" i="4"/>
  <c r="AG54" i="4"/>
  <c r="S54" i="4"/>
  <c r="V54" i="4"/>
  <c r="L54" i="4"/>
  <c r="U54" i="4"/>
  <c r="N54" i="4"/>
  <c r="AD54" i="4"/>
  <c r="R54" i="4"/>
  <c r="X54" i="4"/>
  <c r="O54" i="4"/>
  <c r="AB54" i="4"/>
  <c r="M54" i="4"/>
  <c r="AC54" i="4"/>
  <c r="AA54" i="4"/>
  <c r="W54" i="4"/>
  <c r="Z54" i="4"/>
  <c r="D318" i="8" a="1"/>
  <c r="D318" i="8" s="1"/>
  <c r="H86" i="4" a="1"/>
  <c r="H86" i="4" s="1"/>
  <c r="I7" i="8" a="1"/>
  <c r="I7" i="8" s="1"/>
  <c r="I151" i="8" a="1"/>
  <c r="I151" i="8" s="1"/>
  <c r="D306" i="8" a="1"/>
  <c r="D306" i="8" s="1"/>
  <c r="I23" i="8" a="1"/>
  <c r="I23" i="8" s="1"/>
  <c r="I166" i="8" a="1"/>
  <c r="I166" i="8" s="1"/>
  <c r="I105" i="3" a="1"/>
  <c r="I105" i="3" s="1"/>
  <c r="I441" i="8" a="1"/>
  <c r="I441" i="8" s="1"/>
  <c r="I71" i="8" a="1"/>
  <c r="I71" i="8" s="1"/>
  <c r="H34" i="4" a="1"/>
  <c r="H34" i="4" s="1"/>
  <c r="I98" i="8" a="1"/>
  <c r="I98" i="8" s="1"/>
  <c r="H64" i="4" a="1"/>
  <c r="H64" i="4" s="1"/>
  <c r="I74" i="3" a="1"/>
  <c r="I74" i="3" s="1"/>
  <c r="D252" i="8" a="1"/>
  <c r="D252" i="8" s="1"/>
  <c r="E251" i="8" a="1"/>
  <c r="E251" i="8" s="1"/>
  <c r="I4" i="8" a="1"/>
  <c r="I4" i="8" s="1"/>
  <c r="H83" i="4" a="1"/>
  <c r="H83" i="4" s="1"/>
  <c r="I148" i="8" a="1"/>
  <c r="I148" i="8" s="1"/>
  <c r="I92" i="3" a="1"/>
  <c r="I92" i="3" s="1"/>
  <c r="D336" i="4" a="1"/>
  <c r="D336" i="4" s="1"/>
  <c r="D294" i="3" a="1"/>
  <c r="D294" i="3" s="1"/>
  <c r="D67" i="8" a="1"/>
  <c r="D67" i="8" s="1"/>
  <c r="D31" i="4" a="1"/>
  <c r="D31" i="4" s="1"/>
  <c r="D278" i="8" a="1"/>
  <c r="D278" i="8" s="1"/>
  <c r="I228" i="8" a="1"/>
  <c r="I228" i="8" s="1"/>
  <c r="H222" i="4" a="1"/>
  <c r="H222" i="4" s="1"/>
  <c r="I294" i="8" a="1"/>
  <c r="I294" i="8" s="1"/>
  <c r="I226" i="3" a="1"/>
  <c r="I226" i="3" s="1"/>
  <c r="E258" i="4" a="1"/>
  <c r="E258" i="4" s="1"/>
  <c r="E330" i="8" a="1"/>
  <c r="E330" i="8" s="1"/>
  <c r="E262" i="3" a="1"/>
  <c r="E262" i="3" s="1"/>
  <c r="E307" i="8" a="1"/>
  <c r="E307" i="8" s="1"/>
  <c r="D42" i="8" a="1"/>
  <c r="D42" i="8" s="1"/>
  <c r="D7" i="4" a="1"/>
  <c r="D7" i="4" s="1"/>
  <c r="D6" i="3" a="1"/>
  <c r="D6" i="3" s="1"/>
  <c r="I307" i="8" a="1"/>
  <c r="I307" i="8" s="1"/>
  <c r="D319" i="8" a="1"/>
  <c r="D319" i="8" s="1"/>
  <c r="D85" i="4" a="1"/>
  <c r="D85" i="4" s="1"/>
  <c r="D6" i="8" a="1"/>
  <c r="D6" i="8" s="1"/>
  <c r="D150" i="8" a="1"/>
  <c r="D150" i="8" s="1"/>
  <c r="D305" i="8" a="1"/>
  <c r="D305" i="8" s="1"/>
  <c r="E208" i="8" a="1"/>
  <c r="E208" i="8" s="1"/>
  <c r="I208" i="8" a="1"/>
  <c r="I208" i="8" s="1"/>
  <c r="H45" i="4" a="1"/>
  <c r="H45" i="4" s="1"/>
  <c r="I55" i="3" a="1"/>
  <c r="I55" i="3" s="1"/>
  <c r="D282" i="8" a="1"/>
  <c r="D282" i="8" s="1"/>
  <c r="E86" i="4" a="1"/>
  <c r="E86" i="4" s="1"/>
  <c r="E7" i="8" a="1"/>
  <c r="E7" i="8" s="1"/>
  <c r="E151" i="8" a="1"/>
  <c r="E151" i="8" s="1"/>
  <c r="H165" i="4" a="1"/>
  <c r="H165" i="4" s="1"/>
  <c r="I222" i="8" a="1"/>
  <c r="I222" i="8" s="1"/>
  <c r="I144" i="3" a="1"/>
  <c r="I144" i="3" s="1"/>
  <c r="H240" i="4" a="1"/>
  <c r="H240" i="4" s="1"/>
  <c r="I312" i="8" a="1"/>
  <c r="I312" i="8" s="1"/>
  <c r="I252" i="3" a="1"/>
  <c r="I252" i="3" s="1"/>
  <c r="D84" i="4" a="1"/>
  <c r="D84" i="4" s="1"/>
  <c r="D5" i="8" a="1"/>
  <c r="D5" i="8" s="1"/>
  <c r="D149" i="8" a="1"/>
  <c r="D149" i="8" s="1"/>
  <c r="I232" i="8" a="1"/>
  <c r="I232" i="8" s="1"/>
  <c r="D232" i="8" a="1"/>
  <c r="D232" i="8" s="1"/>
  <c r="E89" i="4" a="1"/>
  <c r="E89" i="4" s="1"/>
  <c r="E154" i="8" a="1"/>
  <c r="E154" i="8" s="1"/>
  <c r="I315" i="8" a="1"/>
  <c r="I315" i="8" s="1"/>
  <c r="E232" i="8" a="1"/>
  <c r="E232" i="8" s="1"/>
  <c r="D425" i="8" a="1"/>
  <c r="D425" i="8" s="1"/>
  <c r="D428" i="4" a="1"/>
  <c r="D428" i="4" s="1"/>
  <c r="D326" i="3" a="1"/>
  <c r="D326" i="3" s="1"/>
  <c r="D315" i="8" a="1"/>
  <c r="D315" i="8" s="1"/>
  <c r="E268" i="8" a="1"/>
  <c r="E268" i="8" s="1"/>
  <c r="D316" i="8" a="1"/>
  <c r="D316" i="8" s="1"/>
  <c r="I313" i="8" a="1"/>
  <c r="I313" i="8" s="1"/>
  <c r="D295" i="8" a="1"/>
  <c r="D295" i="8" s="1"/>
  <c r="D66" i="8" a="1"/>
  <c r="D66" i="8" s="1"/>
  <c r="D30" i="4" a="1"/>
  <c r="D30" i="4" s="1"/>
  <c r="D88" i="4" a="1"/>
  <c r="D88" i="4" s="1"/>
  <c r="D9" i="8" a="1"/>
  <c r="D9" i="8" s="1"/>
  <c r="D153" i="8" a="1"/>
  <c r="D153" i="8" s="1"/>
  <c r="I43" i="8" a="1"/>
  <c r="I43" i="8" s="1"/>
  <c r="H8" i="4" a="1"/>
  <c r="H8" i="4" s="1"/>
  <c r="I207" i="8" a="1"/>
  <c r="I207" i="8" s="1"/>
  <c r="I278" i="8" a="1"/>
  <c r="I278" i="8" s="1"/>
  <c r="E88" i="4" a="1"/>
  <c r="E88" i="4" s="1"/>
  <c r="E9" i="8" a="1"/>
  <c r="E9" i="8" s="1"/>
  <c r="E153" i="8" a="1"/>
  <c r="E153" i="8" s="1"/>
  <c r="D99" i="8" a="1"/>
  <c r="D99" i="8" s="1"/>
  <c r="D65" i="4" a="1"/>
  <c r="D65" i="4" s="1"/>
  <c r="D75" i="3" a="1"/>
  <c r="D75" i="3" s="1"/>
  <c r="D304" i="8" a="1"/>
  <c r="D304" i="8" s="1"/>
  <c r="D229" i="8" a="1"/>
  <c r="D229" i="8" s="1"/>
  <c r="D254" i="8" a="1"/>
  <c r="D254" i="8" s="1"/>
  <c r="I227" i="8" a="1"/>
  <c r="I227" i="8" s="1"/>
  <c r="I304" i="8" a="1"/>
  <c r="I304" i="8" s="1"/>
  <c r="D69" i="8" a="1"/>
  <c r="D69" i="8" s="1"/>
  <c r="D32" i="4" a="1"/>
  <c r="D32" i="4" s="1"/>
  <c r="D24" i="8" a="1"/>
  <c r="D24" i="8" s="1"/>
  <c r="D167" i="8" a="1"/>
  <c r="D167" i="8" s="1"/>
  <c r="D106" i="3" a="1"/>
  <c r="D106" i="3" s="1"/>
  <c r="E228" i="8" a="1"/>
  <c r="E228" i="8" s="1"/>
  <c r="H51" i="4" a="1"/>
  <c r="H51" i="4" s="1"/>
  <c r="I279" i="8" a="1"/>
  <c r="I279" i="8" s="1"/>
  <c r="E302" i="8" a="1"/>
  <c r="E302" i="8" s="1"/>
  <c r="E99" i="8" a="1"/>
  <c r="E99" i="8" s="1"/>
  <c r="E75" i="3" a="1"/>
  <c r="E75" i="3" s="1"/>
  <c r="E26" i="8" a="1"/>
  <c r="E26" i="8" s="1"/>
  <c r="E169" i="8" a="1"/>
  <c r="E169" i="8" s="1"/>
  <c r="I26" i="8" a="1"/>
  <c r="I26" i="8" s="1"/>
  <c r="I169" i="8" a="1"/>
  <c r="I169" i="8" s="1"/>
  <c r="I439" i="8" a="1"/>
  <c r="I439" i="8" s="1"/>
  <c r="D389" i="3" a="1"/>
  <c r="D389" i="3" s="1"/>
  <c r="I22" i="3" a="1"/>
  <c r="I22" i="3" s="1"/>
  <c r="I62" i="8" a="1"/>
  <c r="I62" i="8" s="1"/>
  <c r="H26" i="4" a="1"/>
  <c r="H26" i="4" s="1"/>
  <c r="I454" i="8" a="1"/>
  <c r="I454" i="8" s="1"/>
  <c r="H466" i="4" a="1"/>
  <c r="H466" i="4" s="1"/>
  <c r="I342" i="3" a="1"/>
  <c r="I342" i="3" s="1"/>
  <c r="D53" i="4" a="1"/>
  <c r="D53" i="4" s="1"/>
  <c r="D72" i="8" a="1"/>
  <c r="D72" i="8" s="1"/>
  <c r="D35" i="4" a="1"/>
  <c r="D35" i="4" s="1"/>
  <c r="E331" i="8" a="1"/>
  <c r="E331" i="8" s="1"/>
  <c r="D456" i="8" a="1"/>
  <c r="D456" i="8" s="1"/>
  <c r="I46" i="8" a="1"/>
  <c r="I46" i="8" s="1"/>
  <c r="H11" i="4" a="1"/>
  <c r="H11" i="4" s="1"/>
  <c r="I331" i="8" a="1"/>
  <c r="I331" i="8" s="1"/>
  <c r="D440" i="8" a="1"/>
  <c r="D440" i="8" s="1"/>
  <c r="D43" i="8" a="1"/>
  <c r="D43" i="8" s="1"/>
  <c r="D8" i="4" a="1"/>
  <c r="D8" i="4" s="1"/>
  <c r="E206" i="8" a="1"/>
  <c r="E206" i="8" s="1"/>
  <c r="E223" i="8" a="1"/>
  <c r="E223" i="8" s="1"/>
  <c r="E456" i="8" a="1"/>
  <c r="E456" i="8" s="1"/>
  <c r="E240" i="4" a="1"/>
  <c r="E240" i="4" s="1"/>
  <c r="E312" i="8" a="1"/>
  <c r="E312" i="8" s="1"/>
  <c r="E252" i="3" a="1"/>
  <c r="E252" i="3" s="1"/>
  <c r="E295" i="8" a="1"/>
  <c r="E295" i="8" s="1"/>
  <c r="E64" i="8" a="1"/>
  <c r="E64" i="8" s="1"/>
  <c r="E6" i="8" a="1"/>
  <c r="E6" i="8" s="1"/>
  <c r="E150" i="8" a="1"/>
  <c r="E150" i="8" s="1"/>
  <c r="E4" i="8" a="1"/>
  <c r="E4" i="8" s="1"/>
  <c r="E83" i="4" a="1"/>
  <c r="E83" i="4" s="1"/>
  <c r="E148" i="8" a="1"/>
  <c r="E148" i="8" s="1"/>
  <c r="E92" i="3" a="1"/>
  <c r="E92" i="3" s="1"/>
  <c r="E271" i="4" a="1"/>
  <c r="E271" i="4" s="1"/>
  <c r="E349" i="8" a="1"/>
  <c r="E349" i="8" s="1"/>
  <c r="E268" i="3" a="1"/>
  <c r="E268" i="3" s="1"/>
  <c r="E70" i="8" a="1"/>
  <c r="E70" i="8" s="1"/>
  <c r="E5" i="8" a="1"/>
  <c r="E5" i="8" s="1"/>
  <c r="E149" i="8" a="1"/>
  <c r="E149" i="8" s="1"/>
  <c r="E249" i="8" a="1"/>
  <c r="E249" i="8" s="1"/>
  <c r="E65" i="8" a="1"/>
  <c r="E65" i="8" s="1"/>
  <c r="E71" i="8" a="1"/>
  <c r="E71" i="8" s="1"/>
  <c r="E69" i="8" a="1"/>
  <c r="E69" i="8" s="1"/>
  <c r="E224" i="8" a="1"/>
  <c r="E224" i="8" s="1"/>
  <c r="E316" i="8" a="1"/>
  <c r="E316" i="8" s="1"/>
  <c r="E279" i="8" a="1"/>
  <c r="E279" i="8" s="1"/>
  <c r="E222" i="8" a="1"/>
  <c r="E222" i="8" s="1"/>
  <c r="E144" i="3" a="1"/>
  <c r="E144" i="3" s="1"/>
  <c r="E165" i="4" a="1"/>
  <c r="E165" i="4" s="1"/>
  <c r="E317" i="8" a="1"/>
  <c r="E317" i="8" s="1"/>
  <c r="E278" i="8" a="1"/>
  <c r="E278" i="8" s="1"/>
  <c r="E297" i="8" a="1"/>
  <c r="E297" i="8" s="1"/>
  <c r="E298" i="8" a="1"/>
  <c r="E298" i="8" s="1"/>
  <c r="E203" i="8" a="1"/>
  <c r="E203" i="8" s="1"/>
  <c r="E131" i="3" a="1"/>
  <c r="E131" i="3" s="1"/>
  <c r="E147" i="4" a="1"/>
  <c r="E147" i="4" s="1"/>
  <c r="E205" i="8" a="1"/>
  <c r="E205" i="8" s="1"/>
  <c r="E350" i="8" a="1"/>
  <c r="E350" i="8" s="1"/>
  <c r="E66" i="8" a="1"/>
  <c r="E66" i="8" s="1"/>
  <c r="E313" i="8" a="1"/>
  <c r="E313" i="8" s="1"/>
  <c r="E314" i="8" a="1"/>
  <c r="E314" i="8" s="1"/>
  <c r="E248" i="8" a="1"/>
  <c r="E248" i="8" s="1"/>
  <c r="E167" i="3" a="1"/>
  <c r="E167" i="3" s="1"/>
  <c r="E178" i="4" a="1"/>
  <c r="E178" i="4" s="1"/>
  <c r="E315" i="8" a="1"/>
  <c r="E315" i="8" s="1"/>
  <c r="E294" i="8" a="1"/>
  <c r="E294" i="8" s="1"/>
  <c r="E226" i="3" a="1"/>
  <c r="E226" i="3" s="1"/>
  <c r="E222" i="4" a="1"/>
  <c r="E222" i="4" s="1"/>
  <c r="E72" i="8" a="1"/>
  <c r="E72" i="8" s="1"/>
  <c r="E296" i="8" a="1"/>
  <c r="E296" i="8" s="1"/>
  <c r="E68" i="8" a="1"/>
  <c r="E68" i="8" s="1"/>
  <c r="E488" i="8" a="1"/>
  <c r="E488" i="8" s="1"/>
  <c r="E504" i="4" a="1"/>
  <c r="E504" i="4" s="1"/>
  <c r="E455" i="8" a="1"/>
  <c r="E455" i="8" s="1"/>
  <c r="E74" i="3" a="1"/>
  <c r="E74" i="3" s="1"/>
  <c r="E23" i="8" a="1"/>
  <c r="E23" i="8" s="1"/>
  <c r="E166" i="8" a="1"/>
  <c r="E166" i="8" s="1"/>
  <c r="E105" i="3" a="1"/>
  <c r="E105" i="3" s="1"/>
  <c r="E204" i="8" a="1"/>
  <c r="E204" i="8" s="1"/>
  <c r="E24" i="8" a="1"/>
  <c r="E24" i="8" s="1"/>
  <c r="E167" i="8" a="1"/>
  <c r="E167" i="8" s="1"/>
  <c r="E106" i="3" a="1"/>
  <c r="E106" i="3" s="1"/>
  <c r="E204" i="4" a="1"/>
  <c r="E204" i="4" s="1"/>
  <c r="E276" i="8" a="1"/>
  <c r="E276" i="8" s="1"/>
  <c r="E203" i="3" a="1"/>
  <c r="E203" i="3" s="1"/>
  <c r="E277" i="8" a="1"/>
  <c r="E277" i="8" s="1"/>
  <c r="E318" i="8" a="1"/>
  <c r="E318" i="8" s="1"/>
  <c r="E323" i="8" a="1"/>
  <c r="E323" i="8" s="1"/>
  <c r="AA43" i="4"/>
  <c r="J43" i="4"/>
  <c r="U43" i="4"/>
  <c r="AC43" i="4"/>
  <c r="Z43" i="4"/>
  <c r="V43" i="4"/>
  <c r="O43" i="4"/>
  <c r="K43" i="4"/>
  <c r="W43" i="4"/>
  <c r="R43" i="4"/>
  <c r="Q43" i="4"/>
  <c r="AD43" i="4"/>
  <c r="Y43" i="4"/>
  <c r="AG43" i="4"/>
  <c r="P43" i="4"/>
  <c r="S43" i="4"/>
  <c r="N43" i="4"/>
  <c r="AH43" i="4"/>
  <c r="M43" i="4"/>
  <c r="X43" i="4"/>
  <c r="T43" i="4"/>
  <c r="AI43" i="4"/>
  <c r="AB43" i="4"/>
  <c r="L43" i="4"/>
  <c r="L96" i="8"/>
  <c r="J96" i="8"/>
  <c r="AI62" i="4"/>
  <c r="AD62" i="4"/>
  <c r="P62" i="4"/>
  <c r="AH62" i="4"/>
  <c r="Q62" i="4"/>
  <c r="Z62" i="4"/>
  <c r="M62" i="4"/>
  <c r="AA62" i="4"/>
  <c r="J62" i="4"/>
  <c r="V62" i="4"/>
  <c r="U62" i="4"/>
  <c r="AC62" i="4"/>
  <c r="R62" i="4"/>
  <c r="L62" i="4"/>
  <c r="W62" i="4"/>
  <c r="Y62" i="4"/>
  <c r="AB62" i="4"/>
  <c r="N62" i="4"/>
  <c r="S62" i="4"/>
  <c r="O62" i="4"/>
  <c r="AG62" i="4"/>
  <c r="X62" i="4"/>
  <c r="T62" i="4"/>
  <c r="K62" i="4"/>
  <c r="E57" i="4" a="1"/>
  <c r="E57" i="4" s="1"/>
  <c r="E63" i="8" a="1"/>
  <c r="E63" i="8" s="1"/>
  <c r="AG654" i="4"/>
  <c r="AH654" i="4"/>
  <c r="AI654" i="4"/>
  <c r="E722" i="8" a="1"/>
  <c r="E722" i="8" s="1"/>
  <c r="E711" i="4" a="1"/>
  <c r="E711" i="4" s="1"/>
  <c r="E67" i="4" a="1"/>
  <c r="E67" i="4" s="1"/>
  <c r="E439" i="8" a="1"/>
  <c r="E439" i="8" s="1"/>
  <c r="E723" i="8" a="1"/>
  <c r="E723" i="8" s="1"/>
  <c r="E712" i="4" a="1"/>
  <c r="E712" i="4" s="1"/>
  <c r="E321" i="8" a="1"/>
  <c r="E321" i="8" s="1"/>
  <c r="E322" i="8" a="1"/>
  <c r="E322" i="8" s="1"/>
  <c r="E438" i="8" a="1"/>
  <c r="E438" i="8" s="1"/>
  <c r="E727" i="8" a="1"/>
  <c r="E727" i="8" s="1"/>
  <c r="E716" i="4" a="1"/>
  <c r="E716" i="4" s="1"/>
  <c r="E726" i="8" a="1"/>
  <c r="E726" i="8" s="1"/>
  <c r="E715" i="4" a="1"/>
  <c r="E715" i="4" s="1"/>
  <c r="E721" i="8" a="1"/>
  <c r="E721" i="8" s="1"/>
  <c r="E710" i="4" a="1"/>
  <c r="E710" i="4" s="1"/>
  <c r="E478" i="8" a="1"/>
  <c r="E478" i="8" s="1"/>
  <c r="E724" i="8" a="1"/>
  <c r="E724" i="8" s="1"/>
  <c r="E713" i="4" a="1"/>
  <c r="E713" i="4" s="1"/>
  <c r="E720" i="8" a="1"/>
  <c r="E720" i="8" s="1"/>
  <c r="E709" i="4" a="1"/>
  <c r="E709" i="4" s="1"/>
  <c r="E508" i="8" a="1"/>
  <c r="E508" i="8" s="1"/>
  <c r="E725" i="8" a="1"/>
  <c r="E725" i="8" s="1"/>
  <c r="E714" i="4" a="1"/>
  <c r="E714" i="4" s="1"/>
  <c r="E477" i="8" a="1"/>
  <c r="E477" i="8" s="1"/>
  <c r="E39" i="4" a="1"/>
  <c r="E39" i="4" s="1"/>
  <c r="E306" i="8" a="1"/>
  <c r="E306" i="8" s="1"/>
  <c r="E38" i="4" a="1"/>
  <c r="E38" i="4" s="1"/>
  <c r="E550" i="8" a="1"/>
  <c r="E550" i="8" s="1"/>
  <c r="E631" i="8" a="1"/>
  <c r="E631" i="8" s="1"/>
  <c r="E670" i="8" a="1"/>
  <c r="E670" i="8" s="1"/>
  <c r="E668" i="4" a="1"/>
  <c r="E668" i="4" s="1"/>
  <c r="E673" i="8" a="1"/>
  <c r="E673" i="8" s="1"/>
  <c r="E671" i="4" a="1"/>
  <c r="E671" i="4" s="1"/>
  <c r="E680" i="8" a="1"/>
  <c r="E680" i="8" s="1"/>
  <c r="E675" i="4" a="1"/>
  <c r="E675" i="4" s="1"/>
  <c r="E659" i="8" a="1"/>
  <c r="E659" i="8" s="1"/>
  <c r="E657" i="4" a="1"/>
  <c r="E657" i="4" s="1"/>
  <c r="E708" i="8" a="1"/>
  <c r="E708" i="8" s="1"/>
  <c r="E700" i="4" a="1"/>
  <c r="E700" i="4" s="1"/>
  <c r="E703" i="8" a="1"/>
  <c r="E703" i="8" s="1"/>
  <c r="E695" i="4" a="1"/>
  <c r="E695" i="4" s="1"/>
  <c r="E687" i="8" a="1"/>
  <c r="E687" i="8" s="1"/>
  <c r="E682" i="4" a="1"/>
  <c r="E682" i="4" s="1"/>
  <c r="E686" i="8" a="1"/>
  <c r="E686" i="8" s="1"/>
  <c r="E681" i="4" a="1"/>
  <c r="E681" i="4" s="1"/>
  <c r="E704" i="8" a="1"/>
  <c r="E704" i="8" s="1"/>
  <c r="E696" i="4" a="1"/>
  <c r="E696" i="4" s="1"/>
  <c r="E716" i="8" a="1"/>
  <c r="E716" i="8" s="1"/>
  <c r="E705" i="4" a="1"/>
  <c r="E705" i="4" s="1"/>
  <c r="E717" i="8" a="1"/>
  <c r="E717" i="8" s="1"/>
  <c r="E706" i="4" a="1"/>
  <c r="E706" i="4" s="1"/>
  <c r="E711" i="8" a="1"/>
  <c r="E711" i="8" s="1"/>
  <c r="E703" i="4" a="1"/>
  <c r="E703" i="4" s="1"/>
  <c r="E354" i="8" a="1"/>
  <c r="E354" i="8" s="1"/>
  <c r="E710" i="8" a="1"/>
  <c r="E710" i="8" s="1"/>
  <c r="E702" i="4" a="1"/>
  <c r="E702" i="4" s="1"/>
  <c r="E660" i="8" a="1"/>
  <c r="E660" i="8" s="1"/>
  <c r="E658" i="4" a="1"/>
  <c r="E658" i="4" s="1"/>
  <c r="E671" i="8" a="1"/>
  <c r="E671" i="8" s="1"/>
  <c r="E669" i="4" a="1"/>
  <c r="E669" i="4" s="1"/>
  <c r="E669" i="8" a="1"/>
  <c r="E669" i="8" s="1"/>
  <c r="E667" i="4" a="1"/>
  <c r="E667" i="4" s="1"/>
  <c r="E661" i="8" a="1"/>
  <c r="E661" i="8" s="1"/>
  <c r="E659" i="4" a="1"/>
  <c r="E659" i="4" s="1"/>
  <c r="E681" i="8" a="1"/>
  <c r="E681" i="8" s="1"/>
  <c r="E676" i="4" a="1"/>
  <c r="E676" i="4" s="1"/>
  <c r="E683" i="8" a="1"/>
  <c r="E683" i="8" s="1"/>
  <c r="E678" i="4" a="1"/>
  <c r="E678" i="4" s="1"/>
  <c r="E663" i="8" a="1"/>
  <c r="E663" i="8" s="1"/>
  <c r="E661" i="4" a="1"/>
  <c r="E661" i="4" s="1"/>
  <c r="E666" i="8" a="1"/>
  <c r="E666" i="8" s="1"/>
  <c r="E664" i="4" a="1"/>
  <c r="E664" i="4" s="1"/>
  <c r="E690" i="8" a="1"/>
  <c r="E690" i="8" s="1"/>
  <c r="E685" i="4" a="1"/>
  <c r="E685" i="4" s="1"/>
  <c r="E678" i="8" a="1"/>
  <c r="E678" i="8" s="1"/>
  <c r="E673" i="4" a="1"/>
  <c r="E673" i="4" s="1"/>
  <c r="E658" i="8" a="1"/>
  <c r="E658" i="8" s="1"/>
  <c r="E656" i="4" a="1"/>
  <c r="E656" i="4" s="1"/>
  <c r="E664" i="8" a="1"/>
  <c r="E664" i="8" s="1"/>
  <c r="E662" i="4" a="1"/>
  <c r="E662" i="4" s="1"/>
  <c r="E701" i="8" a="1"/>
  <c r="E701" i="8" s="1"/>
  <c r="E693" i="4" a="1"/>
  <c r="E693" i="4" s="1"/>
  <c r="E685" i="8" a="1"/>
  <c r="E685" i="8" s="1"/>
  <c r="E680" i="4" a="1"/>
  <c r="E680" i="4" s="1"/>
  <c r="E718" i="8" a="1"/>
  <c r="E718" i="8" s="1"/>
  <c r="E707" i="4" a="1"/>
  <c r="E707" i="4" s="1"/>
  <c r="E707" i="8" a="1"/>
  <c r="E707" i="8" s="1"/>
  <c r="E699" i="4" a="1"/>
  <c r="E699" i="4" s="1"/>
  <c r="E699" i="8" a="1"/>
  <c r="E699" i="8" s="1"/>
  <c r="E691" i="4" a="1"/>
  <c r="E691" i="4" s="1"/>
  <c r="E709" i="8" a="1"/>
  <c r="E709" i="8" s="1"/>
  <c r="E701" i="4" a="1"/>
  <c r="E701" i="4" s="1"/>
  <c r="E665" i="8" a="1"/>
  <c r="E665" i="8" s="1"/>
  <c r="E663" i="4" a="1"/>
  <c r="E663" i="4" s="1"/>
  <c r="E679" i="8" a="1"/>
  <c r="E679" i="8" s="1"/>
  <c r="E674" i="4" a="1"/>
  <c r="E674" i="4" s="1"/>
  <c r="E672" i="8" a="1"/>
  <c r="E672" i="8" s="1"/>
  <c r="E670" i="4" a="1"/>
  <c r="E670" i="4" s="1"/>
  <c r="E677" i="8" a="1"/>
  <c r="E677" i="8" s="1"/>
  <c r="E672" i="4" a="1"/>
  <c r="E672" i="4" s="1"/>
  <c r="E705" i="8" a="1"/>
  <c r="E705" i="8" s="1"/>
  <c r="E697" i="4" a="1"/>
  <c r="E697" i="4" s="1"/>
  <c r="E715" i="8" a="1"/>
  <c r="E715" i="8" s="1"/>
  <c r="E704" i="4" a="1"/>
  <c r="E704" i="4" s="1"/>
  <c r="E702" i="8" a="1"/>
  <c r="E702" i="8" s="1"/>
  <c r="E694" i="4" a="1"/>
  <c r="E694" i="4" s="1"/>
  <c r="E682" i="8" a="1"/>
  <c r="E682" i="8" s="1"/>
  <c r="E677" i="4" a="1"/>
  <c r="E677" i="4" s="1"/>
  <c r="E668" i="8" a="1"/>
  <c r="E668" i="8" s="1"/>
  <c r="E666" i="4" a="1"/>
  <c r="E666" i="4" s="1"/>
  <c r="E662" i="8" a="1"/>
  <c r="E662" i="8" s="1"/>
  <c r="E660" i="4" a="1"/>
  <c r="E660" i="4" s="1"/>
  <c r="E706" i="8" a="1"/>
  <c r="E706" i="8" s="1"/>
  <c r="E698" i="4" a="1"/>
  <c r="E698" i="4" s="1"/>
  <c r="E667" i="8" a="1"/>
  <c r="E667" i="8" s="1"/>
  <c r="E665" i="4" a="1"/>
  <c r="E665" i="4" s="1"/>
  <c r="E684" i="8" a="1"/>
  <c r="E684" i="8" s="1"/>
  <c r="E679" i="4" a="1"/>
  <c r="E679" i="4" s="1"/>
  <c r="E719" i="8" a="1"/>
  <c r="E719" i="8" s="1"/>
  <c r="E708" i="4" a="1"/>
  <c r="E708" i="4" s="1"/>
  <c r="E373" i="8" a="1"/>
  <c r="E373" i="8" s="1"/>
  <c r="E374" i="8" a="1"/>
  <c r="E374" i="8" s="1"/>
  <c r="E375" i="8" a="1"/>
  <c r="E375" i="8" s="1"/>
  <c r="E380" i="8" a="1"/>
  <c r="E380" i="8" s="1"/>
  <c r="E386" i="4" a="1"/>
  <c r="E386" i="4" s="1"/>
  <c r="E370" i="8" a="1"/>
  <c r="E370" i="8" s="1"/>
  <c r="E371" i="8" a="1"/>
  <c r="E371" i="8" s="1"/>
  <c r="E377" i="8" a="1"/>
  <c r="E377" i="8" s="1"/>
  <c r="E378" i="8" a="1"/>
  <c r="E378" i="8" s="1"/>
  <c r="E372" i="8" a="1"/>
  <c r="E372" i="8" s="1"/>
  <c r="E376" i="8" a="1"/>
  <c r="E376" i="8" s="1"/>
  <c r="E368" i="8" a="1"/>
  <c r="E368" i="8" s="1"/>
  <c r="E374" i="4" a="1"/>
  <c r="E374" i="4" s="1"/>
  <c r="E369" i="8" a="1"/>
  <c r="E369" i="8" s="1"/>
  <c r="E379" i="8" a="1"/>
  <c r="E379" i="8" s="1"/>
  <c r="E385" i="4" a="1"/>
  <c r="E385" i="4" s="1"/>
  <c r="E408" i="8" a="1"/>
  <c r="E408" i="8" s="1"/>
  <c r="E410" i="8" a="1"/>
  <c r="E410" i="8" s="1"/>
  <c r="E415" i="8" a="1"/>
  <c r="E415" i="8" s="1"/>
  <c r="E417" i="8" a="1"/>
  <c r="E417" i="8" s="1"/>
  <c r="E412" i="8" a="1"/>
  <c r="E412" i="8" s="1"/>
  <c r="E407" i="8" a="1"/>
  <c r="E407" i="8" s="1"/>
  <c r="E413" i="8" a="1"/>
  <c r="E413" i="8" s="1"/>
  <c r="E409" i="8" a="1"/>
  <c r="E409" i="8" s="1"/>
  <c r="E418" i="8" a="1"/>
  <c r="E418" i="8" s="1"/>
  <c r="E420" i="8" a="1"/>
  <c r="E420" i="8" s="1"/>
  <c r="E423" i="4" a="1"/>
  <c r="E423" i="4" s="1"/>
  <c r="E419" i="8" a="1"/>
  <c r="E419" i="8" s="1"/>
  <c r="E422" i="4" a="1"/>
  <c r="E422" i="4" s="1"/>
  <c r="E414" i="8" a="1"/>
  <c r="E414" i="8" s="1"/>
  <c r="E411" i="8" a="1"/>
  <c r="E411" i="8" s="1"/>
  <c r="E421" i="8" a="1"/>
  <c r="E421" i="8" s="1"/>
  <c r="E424" i="4" a="1"/>
  <c r="E424" i="4" s="1"/>
  <c r="E416" i="8" a="1"/>
  <c r="E416" i="8" s="1"/>
  <c r="E596" i="8" a="1"/>
  <c r="E596" i="8" s="1"/>
  <c r="E611" i="8" a="1"/>
  <c r="E611" i="8" s="1"/>
  <c r="E595" i="8" a="1"/>
  <c r="E595" i="8" s="1"/>
  <c r="E591" i="8" a="1"/>
  <c r="E591" i="8" s="1"/>
  <c r="E586" i="8" a="1"/>
  <c r="E586" i="8" s="1"/>
  <c r="E597" i="8" a="1"/>
  <c r="E597" i="8" s="1"/>
  <c r="E585" i="8" a="1"/>
  <c r="E585" i="8" s="1"/>
  <c r="E593" i="8" a="1"/>
  <c r="E593" i="8" s="1"/>
  <c r="E615" i="8" a="1"/>
  <c r="E615" i="8" s="1"/>
  <c r="E583" i="8" a="1"/>
  <c r="E583" i="8" s="1"/>
  <c r="E606" i="4" a="1"/>
  <c r="E606" i="4" s="1"/>
  <c r="E368" i="3" a="1"/>
  <c r="E368" i="3" s="1"/>
  <c r="E587" i="8" a="1"/>
  <c r="E587" i="8" s="1"/>
  <c r="E616" i="8" a="1"/>
  <c r="E616" i="8" s="1"/>
  <c r="E584" i="8" a="1"/>
  <c r="E584" i="8" s="1"/>
  <c r="E590" i="8" a="1"/>
  <c r="E590" i="8" s="1"/>
  <c r="E592" i="8" a="1"/>
  <c r="E592" i="8" s="1"/>
  <c r="E612" i="8" a="1"/>
  <c r="E612" i="8" s="1"/>
  <c r="E588" i="8" a="1"/>
  <c r="E588" i="8" s="1"/>
  <c r="E610" i="8" a="1"/>
  <c r="E610" i="8" s="1"/>
  <c r="E598" i="8" a="1"/>
  <c r="E598" i="8" s="1"/>
  <c r="E613" i="8" a="1"/>
  <c r="E613" i="8" s="1"/>
  <c r="E594" i="8" a="1"/>
  <c r="E594" i="8" s="1"/>
  <c r="E589" i="8" a="1"/>
  <c r="E589" i="8" s="1"/>
  <c r="E608" i="8" a="1"/>
  <c r="E608" i="8" s="1"/>
  <c r="E617" i="8" a="1"/>
  <c r="E617" i="8" s="1"/>
  <c r="E607" i="8" a="1"/>
  <c r="E607" i="8" s="1"/>
  <c r="E609" i="8" a="1"/>
  <c r="E609" i="8" s="1"/>
  <c r="E603" i="8" a="1"/>
  <c r="E603" i="8" s="1"/>
  <c r="E620" i="4" a="1"/>
  <c r="E620" i="4" s="1"/>
  <c r="E604" i="8" a="1"/>
  <c r="E604" i="8" s="1"/>
  <c r="E605" i="8" a="1"/>
  <c r="E605" i="8" s="1"/>
  <c r="E606" i="8" a="1"/>
  <c r="E606" i="8" s="1"/>
  <c r="E56" i="8" a="1"/>
  <c r="E56" i="8" s="1"/>
  <c r="E21" i="4" a="1"/>
  <c r="E21" i="4" s="1"/>
  <c r="E28" i="4" a="1"/>
  <c r="E28" i="4" s="1"/>
  <c r="E62" i="8" a="1"/>
  <c r="E62" i="8" s="1"/>
  <c r="E26" i="4" a="1"/>
  <c r="E26" i="4" s="1"/>
  <c r="E27" i="4" a="1"/>
  <c r="E27" i="4" s="1"/>
  <c r="E57" i="8" a="1"/>
  <c r="E57" i="8" s="1"/>
  <c r="E22" i="4" a="1"/>
  <c r="E22" i="4" s="1"/>
  <c r="E37" i="4" a="1"/>
  <c r="E37" i="4" s="1"/>
  <c r="E35" i="4" a="1"/>
  <c r="E35" i="4" s="1"/>
  <c r="E30" i="4" a="1"/>
  <c r="E30" i="4" s="1"/>
  <c r="E33" i="4" a="1"/>
  <c r="E33" i="4" s="1"/>
  <c r="E29" i="4" a="1"/>
  <c r="E29" i="4" s="1"/>
  <c r="E34" i="4" a="1"/>
  <c r="E34" i="4" s="1"/>
  <c r="E31" i="4" a="1"/>
  <c r="E31" i="4" s="1"/>
  <c r="E32" i="4" a="1"/>
  <c r="E32" i="4" s="1"/>
  <c r="E36" i="4" a="1"/>
  <c r="E36" i="4" s="1"/>
  <c r="E50" i="8" a="1"/>
  <c r="E50" i="8" s="1"/>
  <c r="E15" i="4" a="1"/>
  <c r="E15" i="4" s="1"/>
  <c r="E54" i="8" a="1"/>
  <c r="E54" i="8" s="1"/>
  <c r="E19" i="4" a="1"/>
  <c r="E19" i="4" s="1"/>
  <c r="E46" i="8" a="1"/>
  <c r="E46" i="8" s="1"/>
  <c r="E11" i="4" a="1"/>
  <c r="E11" i="4" s="1"/>
  <c r="E44" i="8" a="1"/>
  <c r="E44" i="8" s="1"/>
  <c r="E9" i="4" a="1"/>
  <c r="E9" i="4" s="1"/>
  <c r="E45" i="8" a="1"/>
  <c r="E45" i="8" s="1"/>
  <c r="E10" i="4" a="1"/>
  <c r="E10" i="4" s="1"/>
  <c r="E49" i="8" a="1"/>
  <c r="E49" i="8" s="1"/>
  <c r="E14" i="4" a="1"/>
  <c r="E14" i="4" s="1"/>
  <c r="E55" i="8" a="1"/>
  <c r="E55" i="8" s="1"/>
  <c r="E20" i="4" a="1"/>
  <c r="E20" i="4" s="1"/>
  <c r="E42" i="8" a="1"/>
  <c r="E42" i="8" s="1"/>
  <c r="E7" i="4" a="1"/>
  <c r="E7" i="4" s="1"/>
  <c r="E51" i="8" a="1"/>
  <c r="E51" i="8" s="1"/>
  <c r="E16" i="4" a="1"/>
  <c r="E16" i="4" s="1"/>
  <c r="E48" i="8" a="1"/>
  <c r="E48" i="8" s="1"/>
  <c r="E13" i="4" a="1"/>
  <c r="E13" i="4" s="1"/>
  <c r="E43" i="8" a="1"/>
  <c r="E43" i="8" s="1"/>
  <c r="E8" i="4" a="1"/>
  <c r="E8" i="4" s="1"/>
  <c r="E53" i="8" a="1"/>
  <c r="E53" i="8" s="1"/>
  <c r="E18" i="4" a="1"/>
  <c r="E18" i="4" s="1"/>
  <c r="E47" i="8" a="1"/>
  <c r="E47" i="8" s="1"/>
  <c r="E12" i="4" a="1"/>
  <c r="E12" i="4" s="1"/>
  <c r="E52" i="8" a="1"/>
  <c r="E52" i="8" s="1"/>
  <c r="E17" i="4" a="1"/>
  <c r="E17" i="4" s="1"/>
  <c r="E98" i="8" a="1"/>
  <c r="E98" i="8" s="1"/>
  <c r="E64" i="4" a="1"/>
  <c r="E64" i="4" s="1"/>
  <c r="E65" i="4" a="1"/>
  <c r="E65" i="4" s="1"/>
  <c r="E66" i="4" a="1"/>
  <c r="E66" i="4" s="1"/>
  <c r="E50" i="4" a="1"/>
  <c r="E50" i="4" s="1"/>
  <c r="E55" i="4" a="1"/>
  <c r="E55" i="4" s="1"/>
  <c r="E54" i="4" a="1"/>
  <c r="E54" i="4" s="1"/>
  <c r="E52" i="4" a="1"/>
  <c r="E52" i="4" s="1"/>
  <c r="E53" i="4" a="1"/>
  <c r="E53" i="4" s="1"/>
  <c r="E46" i="4" a="1"/>
  <c r="E46" i="4" s="1"/>
  <c r="E47" i="4" a="1"/>
  <c r="E47" i="4" s="1"/>
  <c r="E51" i="4" a="1"/>
  <c r="E51" i="4" s="1"/>
  <c r="E49" i="4" a="1"/>
  <c r="E49" i="4" s="1"/>
  <c r="E48" i="4" a="1"/>
  <c r="E48" i="4" s="1"/>
  <c r="E56" i="4" a="1"/>
  <c r="E56" i="4" s="1"/>
  <c r="E320" i="8" a="1"/>
  <c r="E320" i="8" s="1"/>
  <c r="E45" i="4" a="1"/>
  <c r="E45" i="4" s="1"/>
  <c r="E303" i="8" a="1"/>
  <c r="E303" i="8" s="1"/>
  <c r="E304" i="8" a="1"/>
  <c r="E304" i="8" s="1"/>
  <c r="E351" i="8" a="1"/>
  <c r="E351" i="8" s="1"/>
  <c r="E319" i="8" a="1"/>
  <c r="E319" i="8" s="1"/>
  <c r="E476" i="8" a="1"/>
  <c r="E476" i="8" s="1"/>
  <c r="E437" i="8" a="1"/>
  <c r="E437" i="8" s="1"/>
  <c r="E305" i="8" a="1"/>
  <c r="E305" i="8" s="1"/>
  <c r="E280" i="8" a="1"/>
  <c r="E280" i="8" s="1"/>
  <c r="E281" i="8" a="1"/>
  <c r="E281" i="8" s="1"/>
  <c r="E353" i="8" a="1"/>
  <c r="E353" i="8" s="1"/>
  <c r="E253" i="8" a="1"/>
  <c r="E253" i="8" s="1"/>
  <c r="E173" i="8" a="1"/>
  <c r="E173" i="8" s="1"/>
  <c r="E352" i="8" a="1"/>
  <c r="E352" i="8" s="1"/>
  <c r="E335" i="8" a="1"/>
  <c r="E335" i="8" s="1"/>
  <c r="E475" i="8" a="1"/>
  <c r="E475" i="8" s="1"/>
  <c r="E527" i="8" a="1"/>
  <c r="E527" i="8" s="1"/>
  <c r="E629" i="8" a="1"/>
  <c r="E629" i="8" s="1"/>
  <c r="E472" i="8" a="1"/>
  <c r="E472" i="8" s="1"/>
  <c r="E627" i="8" a="1"/>
  <c r="E627" i="8" s="1"/>
  <c r="E529" i="8" a="1"/>
  <c r="E529" i="8" s="1"/>
  <c r="E388" i="3" a="1"/>
  <c r="E388" i="3" s="1"/>
  <c r="E436" i="8" a="1"/>
  <c r="E436" i="8" s="1"/>
  <c r="E447" i="4" a="1"/>
  <c r="E447" i="4" s="1"/>
  <c r="E283" i="3" a="1"/>
  <c r="E283" i="3" s="1"/>
  <c r="E473" i="8" a="1"/>
  <c r="E473" i="8" s="1"/>
  <c r="E542" i="4" a="1"/>
  <c r="E542" i="4" s="1"/>
  <c r="E326" i="3" a="1"/>
  <c r="E326" i="3" s="1"/>
  <c r="E454" i="8" a="1"/>
  <c r="E454" i="8" s="1"/>
  <c r="E466" i="4" a="1"/>
  <c r="E466" i="4" s="1"/>
  <c r="E294" i="3" a="1"/>
  <c r="E294" i="3" s="1"/>
  <c r="E507" i="8" a="1"/>
  <c r="E507" i="8" s="1"/>
  <c r="E523" i="4" a="1"/>
  <c r="E523" i="4" s="1"/>
  <c r="E623" i="8" a="1"/>
  <c r="E623" i="8" s="1"/>
  <c r="E526" i="8" a="1"/>
  <c r="E526" i="8" s="1"/>
  <c r="E561" i="4" a="1"/>
  <c r="E561" i="4" s="1"/>
  <c r="E633" i="4" a="1"/>
  <c r="E633" i="4" s="1"/>
  <c r="E334" i="3" a="1"/>
  <c r="E334" i="3" s="1"/>
  <c r="E384" i="3" a="1"/>
  <c r="E384" i="3" s="1"/>
  <c r="E625" i="8" a="1"/>
  <c r="E625" i="8" s="1"/>
  <c r="E470" i="8" a="1"/>
  <c r="E470" i="8" s="1"/>
  <c r="E386" i="3" a="1"/>
  <c r="E386" i="3" s="1"/>
  <c r="E299" i="3" a="1"/>
  <c r="E299" i="3" s="1"/>
  <c r="E485" i="4" a="1"/>
  <c r="E485" i="4" s="1"/>
  <c r="E471" i="8" a="1"/>
  <c r="E471" i="8" s="1"/>
  <c r="E528" i="8" a="1"/>
  <c r="E528" i="8" s="1"/>
  <c r="E390" i="3" a="1"/>
  <c r="E390" i="3" s="1"/>
  <c r="E425" i="8" a="1"/>
  <c r="E425" i="8" s="1"/>
  <c r="E428" i="4" a="1"/>
  <c r="E428" i="4" s="1"/>
  <c r="E278" i="3" a="1"/>
  <c r="E278" i="3" s="1"/>
  <c r="E474" i="8" a="1"/>
  <c r="E474" i="8" s="1"/>
  <c r="E55" i="3" a="1"/>
  <c r="E55" i="3" s="1"/>
  <c r="R654" i="4"/>
  <c r="Y654" i="4"/>
  <c r="M654" i="4"/>
  <c r="X654" i="4"/>
  <c r="Z654" i="4"/>
  <c r="AC654" i="4"/>
  <c r="K654" i="4"/>
  <c r="U654" i="4"/>
  <c r="P654" i="4"/>
  <c r="V654" i="4"/>
  <c r="AA654" i="4"/>
  <c r="Q654" i="4"/>
  <c r="T654" i="4"/>
  <c r="S654" i="4"/>
  <c r="L654" i="4"/>
  <c r="J654" i="4"/>
  <c r="N654" i="4"/>
  <c r="AB654" i="4"/>
  <c r="W654" i="4"/>
  <c r="AD654" i="4"/>
  <c r="O654" i="4"/>
  <c r="E409" i="4" a="1"/>
  <c r="E409" i="4" s="1"/>
  <c r="D23" i="1"/>
  <c r="M24" i="1"/>
  <c r="N24" i="1" s="1"/>
  <c r="N1" i="6" l="1"/>
  <c r="D264" i="8"/>
  <c r="AI12" i="4"/>
  <c r="AD12" i="4"/>
  <c r="S12" i="4"/>
  <c r="AB12" i="4"/>
  <c r="Q12" i="4"/>
  <c r="O12" i="4"/>
  <c r="V12" i="4"/>
  <c r="R12" i="4"/>
  <c r="AA12" i="4"/>
  <c r="W12" i="4"/>
  <c r="U12" i="4"/>
  <c r="AG12" i="4"/>
  <c r="Z12" i="4"/>
  <c r="X12" i="4"/>
  <c r="P12" i="4"/>
  <c r="AC12" i="4"/>
  <c r="Y12" i="4"/>
  <c r="AH12" i="4"/>
  <c r="T12" i="4"/>
  <c r="AI30" i="4"/>
  <c r="AG30" i="4"/>
  <c r="AH30" i="4"/>
  <c r="R30" i="4"/>
  <c r="AC30" i="4"/>
  <c r="O30" i="4"/>
  <c r="AD30" i="4"/>
  <c r="T30" i="4"/>
  <c r="M30" i="4"/>
  <c r="X30" i="4"/>
  <c r="Q30" i="4"/>
  <c r="AB30" i="4"/>
  <c r="AA30" i="4"/>
  <c r="L30" i="4"/>
  <c r="S30" i="4"/>
  <c r="Y30" i="4"/>
  <c r="P30" i="4"/>
  <c r="N30" i="4"/>
  <c r="K30" i="4"/>
  <c r="V30" i="4"/>
  <c r="Z30" i="4"/>
  <c r="W30" i="4"/>
  <c r="U30" i="4"/>
  <c r="J30" i="4"/>
  <c r="AI48" i="4"/>
  <c r="Z48" i="4"/>
  <c r="T48" i="4"/>
  <c r="W48" i="4"/>
  <c r="AD48" i="4"/>
  <c r="AB48" i="4"/>
  <c r="J48" i="4"/>
  <c r="AG48" i="4"/>
  <c r="AH48" i="4"/>
  <c r="Q48" i="4"/>
  <c r="P48" i="4"/>
  <c r="U48" i="4"/>
  <c r="X48" i="4"/>
  <c r="Y48" i="4"/>
  <c r="O48" i="4"/>
  <c r="N48" i="4"/>
  <c r="AA48" i="4"/>
  <c r="M48" i="4"/>
  <c r="K48" i="4"/>
  <c r="AC48" i="4"/>
  <c r="L48" i="4"/>
  <c r="R48" i="4"/>
  <c r="V48" i="4"/>
  <c r="S48" i="4"/>
  <c r="AI66" i="4"/>
  <c r="AG66" i="4"/>
  <c r="AH66" i="4"/>
  <c r="Q66" i="4"/>
  <c r="L66" i="4"/>
  <c r="U66" i="4"/>
  <c r="T66" i="4"/>
  <c r="M66" i="4"/>
  <c r="K66" i="4"/>
  <c r="Y66" i="4"/>
  <c r="S66" i="4"/>
  <c r="AC66" i="4"/>
  <c r="AA66" i="4"/>
  <c r="V66" i="4"/>
  <c r="J66" i="4"/>
  <c r="P66" i="4"/>
  <c r="Z66" i="4"/>
  <c r="X66" i="4"/>
  <c r="O66" i="4"/>
  <c r="N66" i="4"/>
  <c r="W66" i="4"/>
  <c r="R66" i="4"/>
  <c r="AB66" i="4"/>
  <c r="AD66" i="4"/>
  <c r="AI39" i="4"/>
  <c r="AB39" i="4"/>
  <c r="K39" i="4"/>
  <c r="W39" i="4"/>
  <c r="V39" i="4"/>
  <c r="Z39" i="4"/>
  <c r="Q39" i="4"/>
  <c r="J39" i="4"/>
  <c r="L39" i="4"/>
  <c r="S39" i="4"/>
  <c r="N39" i="4"/>
  <c r="AD39" i="4"/>
  <c r="T39" i="4"/>
  <c r="O39" i="4"/>
  <c r="U39" i="4"/>
  <c r="AC39" i="4"/>
  <c r="AA39" i="4"/>
  <c r="AG39" i="4"/>
  <c r="R39" i="4"/>
  <c r="P39" i="4"/>
  <c r="AH39" i="4"/>
  <c r="X39" i="4"/>
  <c r="M39" i="4"/>
  <c r="Y39" i="4"/>
  <c r="AI51" i="4"/>
  <c r="U51" i="4"/>
  <c r="R51" i="4"/>
  <c r="Y51" i="4"/>
  <c r="AB51" i="4"/>
  <c r="L51" i="4"/>
  <c r="Z51" i="4"/>
  <c r="J51" i="4"/>
  <c r="AA51" i="4"/>
  <c r="K51" i="4"/>
  <c r="AG51" i="4"/>
  <c r="V51" i="4"/>
  <c r="T51" i="4"/>
  <c r="P51" i="4"/>
  <c r="AH51" i="4"/>
  <c r="X51" i="4"/>
  <c r="M51" i="4"/>
  <c r="AD51" i="4"/>
  <c r="AC51" i="4"/>
  <c r="Q51" i="4"/>
  <c r="S51" i="4"/>
  <c r="O51" i="4"/>
  <c r="N51" i="4"/>
  <c r="W51" i="4"/>
  <c r="AI64" i="4"/>
  <c r="Q64" i="4"/>
  <c r="S64" i="4"/>
  <c r="U64" i="4"/>
  <c r="AA64" i="4"/>
  <c r="AG64" i="4"/>
  <c r="AH64" i="4"/>
  <c r="M64" i="4"/>
  <c r="X64" i="4"/>
  <c r="Y64" i="4"/>
  <c r="O64" i="4"/>
  <c r="AC64" i="4"/>
  <c r="W64" i="4"/>
  <c r="AB64" i="4"/>
  <c r="V64" i="4"/>
  <c r="J64" i="4"/>
  <c r="Z64" i="4"/>
  <c r="N64" i="4"/>
  <c r="K64" i="4"/>
  <c r="L64" i="4"/>
  <c r="AD64" i="4"/>
  <c r="T64" i="4"/>
  <c r="R64" i="4"/>
  <c r="P64" i="4"/>
  <c r="AI29" i="4"/>
  <c r="AG29" i="4"/>
  <c r="AH29" i="4"/>
  <c r="O29" i="4"/>
  <c r="AD29" i="4"/>
  <c r="S29" i="4"/>
  <c r="J29" i="4"/>
  <c r="Z29" i="4"/>
  <c r="W29" i="4"/>
  <c r="U29" i="4"/>
  <c r="AA29" i="4"/>
  <c r="N29" i="4"/>
  <c r="P29" i="4"/>
  <c r="M29" i="4"/>
  <c r="Q29" i="4"/>
  <c r="Y29" i="4"/>
  <c r="L29" i="4"/>
  <c r="AC29" i="4"/>
  <c r="R29" i="4"/>
  <c r="T29" i="4"/>
  <c r="V29" i="4"/>
  <c r="X29" i="4"/>
  <c r="AB29" i="4"/>
  <c r="K29" i="4"/>
  <c r="AI8" i="4"/>
  <c r="AG8" i="4"/>
  <c r="AH8" i="4"/>
  <c r="AD8" i="4"/>
  <c r="AA8" i="4"/>
  <c r="U8" i="4"/>
  <c r="X8" i="4"/>
  <c r="Y8" i="4"/>
  <c r="O8" i="4"/>
  <c r="R8" i="4"/>
  <c r="T8" i="4"/>
  <c r="V8" i="4"/>
  <c r="AB8" i="4"/>
  <c r="Z8" i="4"/>
  <c r="S8" i="4"/>
  <c r="Q8" i="4"/>
  <c r="P8" i="4"/>
  <c r="AC8" i="4"/>
  <c r="W8" i="4"/>
  <c r="AB31" i="4"/>
  <c r="AA31" i="4"/>
  <c r="AD31" i="4"/>
  <c r="T31" i="4"/>
  <c r="P31" i="4"/>
  <c r="AH31" i="4"/>
  <c r="AC31" i="4"/>
  <c r="W31" i="4"/>
  <c r="AI31" i="4"/>
  <c r="J31" i="4"/>
  <c r="Q31" i="4"/>
  <c r="R31" i="4"/>
  <c r="S31" i="4"/>
  <c r="O31" i="4"/>
  <c r="Z31" i="4"/>
  <c r="X31" i="4"/>
  <c r="U31" i="4"/>
  <c r="AG31" i="4"/>
  <c r="V31" i="4"/>
  <c r="L31" i="4"/>
  <c r="M31" i="4"/>
  <c r="N31" i="4"/>
  <c r="Y31" i="4"/>
  <c r="K31" i="4"/>
  <c r="AI49" i="4"/>
  <c r="AB49" i="4"/>
  <c r="AD49" i="4"/>
  <c r="J49" i="4"/>
  <c r="AG49" i="4"/>
  <c r="K49" i="4"/>
  <c r="M49" i="4"/>
  <c r="AH49" i="4"/>
  <c r="S49" i="4"/>
  <c r="Z49" i="4"/>
  <c r="W49" i="4"/>
  <c r="Q49" i="4"/>
  <c r="AA49" i="4"/>
  <c r="Y49" i="4"/>
  <c r="X49" i="4"/>
  <c r="V49" i="4"/>
  <c r="U49" i="4"/>
  <c r="P49" i="4"/>
  <c r="R49" i="4"/>
  <c r="L49" i="4"/>
  <c r="AC49" i="4"/>
  <c r="N49" i="4"/>
  <c r="T49" i="4"/>
  <c r="O49" i="4"/>
  <c r="AH52" i="4"/>
  <c r="U52" i="4"/>
  <c r="Q52" i="4"/>
  <c r="Z52" i="4"/>
  <c r="AI52" i="4"/>
  <c r="AD52" i="4"/>
  <c r="AA52" i="4"/>
  <c r="K52" i="4"/>
  <c r="R52" i="4"/>
  <c r="X52" i="4"/>
  <c r="V52" i="4"/>
  <c r="M52" i="4"/>
  <c r="J52" i="4"/>
  <c r="W52" i="4"/>
  <c r="AC52" i="4"/>
  <c r="Y52" i="4"/>
  <c r="T52" i="4"/>
  <c r="AG52" i="4"/>
  <c r="L52" i="4"/>
  <c r="N52" i="4"/>
  <c r="S52" i="4"/>
  <c r="O52" i="4"/>
  <c r="AB52" i="4"/>
  <c r="P52" i="4"/>
  <c r="AI33" i="4"/>
  <c r="X33" i="4"/>
  <c r="U33" i="4"/>
  <c r="V33" i="4"/>
  <c r="R33" i="4"/>
  <c r="N33" i="4"/>
  <c r="S33" i="4"/>
  <c r="Y33" i="4"/>
  <c r="J33" i="4"/>
  <c r="K33" i="4"/>
  <c r="AB33" i="4"/>
  <c r="P33" i="4"/>
  <c r="T33" i="4"/>
  <c r="Z33" i="4"/>
  <c r="Q33" i="4"/>
  <c r="W33" i="4"/>
  <c r="AA33" i="4"/>
  <c r="L33" i="4"/>
  <c r="AG33" i="4"/>
  <c r="O33" i="4"/>
  <c r="AD33" i="4"/>
  <c r="M33" i="4"/>
  <c r="AH33" i="4"/>
  <c r="AC33" i="4"/>
  <c r="S53" i="4"/>
  <c r="Y53" i="4"/>
  <c r="AH53" i="4"/>
  <c r="J53" i="4"/>
  <c r="X53" i="4"/>
  <c r="AC53" i="4"/>
  <c r="AI53" i="4"/>
  <c r="AD53" i="4"/>
  <c r="W53" i="4"/>
  <c r="U53" i="4"/>
  <c r="R53" i="4"/>
  <c r="P53" i="4"/>
  <c r="L53" i="4"/>
  <c r="N53" i="4"/>
  <c r="M53" i="4"/>
  <c r="Z53" i="4"/>
  <c r="V53" i="4"/>
  <c r="AG53" i="4"/>
  <c r="AB53" i="4"/>
  <c r="O53" i="4"/>
  <c r="K53" i="4"/>
  <c r="AA53" i="4"/>
  <c r="T53" i="4"/>
  <c r="Q53" i="4"/>
  <c r="AI45" i="4"/>
  <c r="T45" i="4"/>
  <c r="N45" i="4"/>
  <c r="Q45" i="4"/>
  <c r="X45" i="4"/>
  <c r="V45" i="4"/>
  <c r="Y45" i="4"/>
  <c r="AG45" i="4"/>
  <c r="AH45" i="4"/>
  <c r="S45" i="4"/>
  <c r="Z45" i="4"/>
  <c r="W45" i="4"/>
  <c r="J45" i="4"/>
  <c r="AA45" i="4"/>
  <c r="U45" i="4"/>
  <c r="AB45" i="4"/>
  <c r="L45" i="4"/>
  <c r="AC45" i="4"/>
  <c r="P45" i="4"/>
  <c r="K45" i="4"/>
  <c r="AD45" i="4"/>
  <c r="O45" i="4"/>
  <c r="R45" i="4"/>
  <c r="M45" i="4"/>
  <c r="O34" i="4"/>
  <c r="R34" i="4"/>
  <c r="X34" i="4"/>
  <c r="L34" i="4"/>
  <c r="Z34" i="4"/>
  <c r="M34" i="4"/>
  <c r="W34" i="4"/>
  <c r="AG34" i="4"/>
  <c r="AC34" i="4"/>
  <c r="P34" i="4"/>
  <c r="N34" i="4"/>
  <c r="AB34" i="4"/>
  <c r="AD34" i="4"/>
  <c r="U34" i="4"/>
  <c r="Q34" i="4"/>
  <c r="AA34" i="4"/>
  <c r="V34" i="4"/>
  <c r="T34" i="4"/>
  <c r="AH34" i="4"/>
  <c r="K34" i="4"/>
  <c r="J34" i="4"/>
  <c r="AI34" i="4"/>
  <c r="Y34" i="4"/>
  <c r="S34" i="4"/>
  <c r="AI46" i="4"/>
  <c r="R46" i="4"/>
  <c r="AC46" i="4"/>
  <c r="K46" i="4"/>
  <c r="V46" i="4"/>
  <c r="P46" i="4"/>
  <c r="S46" i="4"/>
  <c r="AG46" i="4"/>
  <c r="AH46" i="4"/>
  <c r="Q46" i="4"/>
  <c r="AB46" i="4"/>
  <c r="U46" i="4"/>
  <c r="AA46" i="4"/>
  <c r="Y46" i="4"/>
  <c r="J46" i="4"/>
  <c r="X46" i="4"/>
  <c r="L46" i="4"/>
  <c r="N46" i="4"/>
  <c r="O46" i="4"/>
  <c r="T46" i="4"/>
  <c r="Z46" i="4"/>
  <c r="AD46" i="4"/>
  <c r="M46" i="4"/>
  <c r="W46" i="4"/>
  <c r="AI41" i="4"/>
  <c r="X41" i="4"/>
  <c r="R41" i="4"/>
  <c r="Y41" i="4"/>
  <c r="AH41" i="4"/>
  <c r="AG41" i="4"/>
  <c r="L41" i="4"/>
  <c r="AA41" i="4"/>
  <c r="U41" i="4"/>
  <c r="P41" i="4"/>
  <c r="N41" i="4"/>
  <c r="AC41" i="4"/>
  <c r="T41" i="4"/>
  <c r="V41" i="4"/>
  <c r="Q41" i="4"/>
  <c r="W41" i="4"/>
  <c r="O41" i="4"/>
  <c r="S41" i="4"/>
  <c r="Z41" i="4"/>
  <c r="J41" i="4"/>
  <c r="AD41" i="4"/>
  <c r="AB41" i="4"/>
  <c r="M41" i="4"/>
  <c r="K41" i="4"/>
  <c r="AI28" i="4"/>
  <c r="N28" i="4"/>
  <c r="Y28" i="4"/>
  <c r="O28" i="4"/>
  <c r="AG28" i="4"/>
  <c r="AH28" i="4"/>
  <c r="Z28" i="4"/>
  <c r="T28" i="4"/>
  <c r="AD28" i="4"/>
  <c r="X28" i="4"/>
  <c r="M28" i="4"/>
  <c r="AB28" i="4"/>
  <c r="L28" i="4"/>
  <c r="R28" i="4"/>
  <c r="S28" i="4"/>
  <c r="U28" i="4"/>
  <c r="P28" i="4"/>
  <c r="V28" i="4"/>
  <c r="W28" i="4"/>
  <c r="Q28" i="4"/>
  <c r="AA28" i="4"/>
  <c r="J28" i="4"/>
  <c r="K28" i="4"/>
  <c r="AC28" i="4"/>
  <c r="AI7" i="4"/>
  <c r="AG7" i="4"/>
  <c r="AH7" i="4"/>
  <c r="AB7" i="4"/>
  <c r="Y7" i="4"/>
  <c r="S7" i="4"/>
  <c r="AD7" i="4"/>
  <c r="W7" i="4"/>
  <c r="U7" i="4"/>
  <c r="P7" i="4"/>
  <c r="R7" i="4"/>
  <c r="T7" i="4"/>
  <c r="Z7" i="4"/>
  <c r="X7" i="4"/>
  <c r="Q7" i="4"/>
  <c r="O7" i="4"/>
  <c r="V7" i="4"/>
  <c r="AA7" i="4"/>
  <c r="AC7" i="4"/>
  <c r="AI11" i="4"/>
  <c r="AG11" i="4"/>
  <c r="AH11" i="4"/>
  <c r="P11" i="4"/>
  <c r="R11" i="4"/>
  <c r="T11" i="4"/>
  <c r="Z11" i="4"/>
  <c r="Q11" i="4"/>
  <c r="AB11" i="4"/>
  <c r="Y11" i="4"/>
  <c r="AA11" i="4"/>
  <c r="AC11" i="4"/>
  <c r="X11" i="4"/>
  <c r="O11" i="4"/>
  <c r="V11" i="4"/>
  <c r="W11" i="4"/>
  <c r="U11" i="4"/>
  <c r="S11" i="4"/>
  <c r="AD11" i="4"/>
  <c r="Y35" i="4"/>
  <c r="Q35" i="4"/>
  <c r="Z35" i="4"/>
  <c r="J35" i="4"/>
  <c r="R35" i="4"/>
  <c r="AB35" i="4"/>
  <c r="X35" i="4"/>
  <c r="P35" i="4"/>
  <c r="K35" i="4"/>
  <c r="V35" i="4"/>
  <c r="AG35" i="4"/>
  <c r="S35" i="4"/>
  <c r="N35" i="4"/>
  <c r="AD35" i="4"/>
  <c r="O35" i="4"/>
  <c r="W35" i="4"/>
  <c r="U35" i="4"/>
  <c r="T35" i="4"/>
  <c r="M35" i="4"/>
  <c r="AH35" i="4"/>
  <c r="L35" i="4"/>
  <c r="AA35" i="4"/>
  <c r="AI35" i="4"/>
  <c r="AC35" i="4"/>
  <c r="AI27" i="4"/>
  <c r="AG27" i="4"/>
  <c r="O27" i="4"/>
  <c r="AD27" i="4"/>
  <c r="AH27" i="4"/>
  <c r="S27" i="4"/>
  <c r="M27" i="4"/>
  <c r="W27" i="4"/>
  <c r="Q27" i="4"/>
  <c r="L27" i="4"/>
  <c r="AA27" i="4"/>
  <c r="U27" i="4"/>
  <c r="X27" i="4"/>
  <c r="Y27" i="4"/>
  <c r="AB27" i="4"/>
  <c r="N27" i="4"/>
  <c r="P27" i="4"/>
  <c r="J27" i="4"/>
  <c r="AC27" i="4"/>
  <c r="K27" i="4"/>
  <c r="T27" i="4"/>
  <c r="R27" i="4"/>
  <c r="V27" i="4"/>
  <c r="Z27" i="4"/>
  <c r="AI32" i="4"/>
  <c r="P32" i="4"/>
  <c r="AA32" i="4"/>
  <c r="AG32" i="4"/>
  <c r="AD32" i="4"/>
  <c r="O32" i="4"/>
  <c r="AH32" i="4"/>
  <c r="T32" i="4"/>
  <c r="M32" i="4"/>
  <c r="J32" i="4"/>
  <c r="AB32" i="4"/>
  <c r="N32" i="4"/>
  <c r="L32" i="4"/>
  <c r="U32" i="4"/>
  <c r="Q32" i="4"/>
  <c r="S32" i="4"/>
  <c r="K32" i="4"/>
  <c r="Z32" i="4"/>
  <c r="W32" i="4"/>
  <c r="X32" i="4"/>
  <c r="V32" i="4"/>
  <c r="AC32" i="4"/>
  <c r="Y32" i="4"/>
  <c r="R32" i="4"/>
  <c r="AI40" i="4"/>
  <c r="R40" i="4"/>
  <c r="AC40" i="4"/>
  <c r="O40" i="4"/>
  <c r="V40" i="4"/>
  <c r="L40" i="4"/>
  <c r="S40" i="4"/>
  <c r="Z40" i="4"/>
  <c r="P40" i="4"/>
  <c r="W40" i="4"/>
  <c r="AD40" i="4"/>
  <c r="T40" i="4"/>
  <c r="AA40" i="4"/>
  <c r="M40" i="4"/>
  <c r="X40" i="4"/>
  <c r="Q40" i="4"/>
  <c r="AB40" i="4"/>
  <c r="U40" i="4"/>
  <c r="J40" i="4"/>
  <c r="N40" i="4"/>
  <c r="Y40" i="4"/>
  <c r="K40" i="4"/>
  <c r="AH40" i="4"/>
  <c r="AG40" i="4"/>
  <c r="AI65" i="4"/>
  <c r="L65" i="4"/>
  <c r="W65" i="4"/>
  <c r="R65" i="4"/>
  <c r="P65" i="4"/>
  <c r="AA65" i="4"/>
  <c r="Z65" i="4"/>
  <c r="AG65" i="4"/>
  <c r="AH65" i="4"/>
  <c r="X65" i="4"/>
  <c r="M65" i="4"/>
  <c r="AB65" i="4"/>
  <c r="U65" i="4"/>
  <c r="K65" i="4"/>
  <c r="AC65" i="4"/>
  <c r="T65" i="4"/>
  <c r="J65" i="4"/>
  <c r="N65" i="4"/>
  <c r="Q65" i="4"/>
  <c r="V65" i="4"/>
  <c r="AD65" i="4"/>
  <c r="S65" i="4"/>
  <c r="Y65" i="4"/>
  <c r="O65" i="4"/>
  <c r="AI37" i="4"/>
  <c r="M37" i="4"/>
  <c r="X37" i="4"/>
  <c r="T37" i="4"/>
  <c r="J37" i="4"/>
  <c r="W37" i="4"/>
  <c r="AC37" i="4"/>
  <c r="Q37" i="4"/>
  <c r="L37" i="4"/>
  <c r="R37" i="4"/>
  <c r="AG37" i="4"/>
  <c r="AA37" i="4"/>
  <c r="Z37" i="4"/>
  <c r="AB37" i="4"/>
  <c r="AH37" i="4"/>
  <c r="P37" i="4"/>
  <c r="O37" i="4"/>
  <c r="AD37" i="4"/>
  <c r="V37" i="4"/>
  <c r="Y37" i="4"/>
  <c r="U37" i="4"/>
  <c r="S37" i="4"/>
  <c r="K37" i="4"/>
  <c r="N37" i="4"/>
  <c r="M50" i="4"/>
  <c r="AG50" i="4"/>
  <c r="V50" i="4"/>
  <c r="N50" i="4"/>
  <c r="X50" i="4"/>
  <c r="U50" i="4"/>
  <c r="P50" i="4"/>
  <c r="AD50" i="4"/>
  <c r="K50" i="4"/>
  <c r="T50" i="4"/>
  <c r="O50" i="4"/>
  <c r="AH50" i="4"/>
  <c r="AB50" i="4"/>
  <c r="Z50" i="4"/>
  <c r="J50" i="4"/>
  <c r="AI50" i="4"/>
  <c r="Y50" i="4"/>
  <c r="S50" i="4"/>
  <c r="R50" i="4"/>
  <c r="L50" i="4"/>
  <c r="AC50" i="4"/>
  <c r="Q50" i="4"/>
  <c r="AA50" i="4"/>
  <c r="W50" i="4"/>
  <c r="AI9" i="4"/>
  <c r="AG9" i="4"/>
  <c r="AH9" i="4"/>
  <c r="AB9" i="4"/>
  <c r="AC9" i="4"/>
  <c r="S9" i="4"/>
  <c r="Z9" i="4"/>
  <c r="W9" i="4"/>
  <c r="Q9" i="4"/>
  <c r="P9" i="4"/>
  <c r="V9" i="4"/>
  <c r="T9" i="4"/>
  <c r="AD9" i="4"/>
  <c r="X9" i="4"/>
  <c r="U9" i="4"/>
  <c r="O9" i="4"/>
  <c r="R9" i="4"/>
  <c r="AA9" i="4"/>
  <c r="Y9" i="4"/>
  <c r="AI10" i="4"/>
  <c r="AG10" i="4"/>
  <c r="AH10" i="4"/>
  <c r="AD10" i="4"/>
  <c r="W10" i="4"/>
  <c r="U10" i="4"/>
  <c r="AB10" i="4"/>
  <c r="Y10" i="4"/>
  <c r="S10" i="4"/>
  <c r="R10" i="4"/>
  <c r="P10" i="4"/>
  <c r="V10" i="4"/>
  <c r="X10" i="4"/>
  <c r="Z10" i="4"/>
  <c r="O10" i="4"/>
  <c r="Q10" i="4"/>
  <c r="T10" i="4"/>
  <c r="AC10" i="4"/>
  <c r="AA10" i="4"/>
  <c r="AI26" i="4"/>
  <c r="AG26" i="4"/>
  <c r="AD26" i="4"/>
  <c r="T26" i="4"/>
  <c r="AH26" i="4"/>
  <c r="R26" i="4"/>
  <c r="L26" i="4"/>
  <c r="AA26" i="4"/>
  <c r="V26" i="4"/>
  <c r="P26" i="4"/>
  <c r="J26" i="4"/>
  <c r="Z26" i="4"/>
  <c r="Q26" i="4"/>
  <c r="S26" i="4"/>
  <c r="U26" i="4"/>
  <c r="K26" i="4"/>
  <c r="O26" i="4"/>
  <c r="W26" i="4"/>
  <c r="AC26" i="4"/>
  <c r="Y26" i="4"/>
  <c r="N26" i="4"/>
  <c r="M26" i="4"/>
  <c r="X26" i="4"/>
  <c r="AB26" i="4"/>
  <c r="AI36" i="4"/>
  <c r="X36" i="4"/>
  <c r="P36" i="4"/>
  <c r="V36" i="4"/>
  <c r="R36" i="4"/>
  <c r="N36" i="4"/>
  <c r="M36" i="4"/>
  <c r="AA36" i="4"/>
  <c r="L36" i="4"/>
  <c r="AB36" i="4"/>
  <c r="T36" i="4"/>
  <c r="Z36" i="4"/>
  <c r="O36" i="4"/>
  <c r="K36" i="4"/>
  <c r="J36" i="4"/>
  <c r="Q36" i="4"/>
  <c r="AD36" i="4"/>
  <c r="AG36" i="4"/>
  <c r="W36" i="4"/>
  <c r="S36" i="4"/>
  <c r="AC36" i="4"/>
  <c r="Y36" i="4"/>
  <c r="U36" i="4"/>
  <c r="AH36" i="4"/>
  <c r="AI38" i="4"/>
  <c r="U38" i="4"/>
  <c r="AB38" i="4"/>
  <c r="AA38" i="4"/>
  <c r="V38" i="4"/>
  <c r="N38" i="4"/>
  <c r="Q38" i="4"/>
  <c r="P38" i="4"/>
  <c r="AD38" i="4"/>
  <c r="W38" i="4"/>
  <c r="O38" i="4"/>
  <c r="T38" i="4"/>
  <c r="L38" i="4"/>
  <c r="Y38" i="4"/>
  <c r="AG38" i="4"/>
  <c r="J38" i="4"/>
  <c r="Z38" i="4"/>
  <c r="R38" i="4"/>
  <c r="AH38" i="4"/>
  <c r="X38" i="4"/>
  <c r="S38" i="4"/>
  <c r="K38" i="4"/>
  <c r="M38" i="4"/>
  <c r="AC38" i="4"/>
  <c r="AI47" i="4"/>
  <c r="AG47" i="4"/>
  <c r="AH47" i="4"/>
  <c r="S47" i="4"/>
  <c r="V47" i="4"/>
  <c r="L47" i="4"/>
  <c r="W47" i="4"/>
  <c r="AD47" i="4"/>
  <c r="O47" i="4"/>
  <c r="U47" i="4"/>
  <c r="AA47" i="4"/>
  <c r="AC47" i="4"/>
  <c r="R47" i="4"/>
  <c r="J47" i="4"/>
  <c r="T47" i="4"/>
  <c r="M47" i="4"/>
  <c r="K47" i="4"/>
  <c r="Z47" i="4"/>
  <c r="Y47" i="4"/>
  <c r="Q47" i="4"/>
  <c r="X47" i="4"/>
  <c r="P47" i="4"/>
  <c r="N47" i="4"/>
  <c r="AB47" i="4"/>
  <c r="D288" i="4"/>
  <c r="D24" i="1"/>
  <c r="D274" i="8" s="1"/>
  <c r="M25" i="1"/>
  <c r="N25" i="1" s="1"/>
  <c r="J264" i="8" l="1"/>
  <c r="L264" i="8"/>
  <c r="D315" i="4"/>
  <c r="M26" i="1"/>
  <c r="N26" i="1" s="1"/>
  <c r="D25" i="1"/>
  <c r="D292" i="8" s="1"/>
  <c r="L292" i="8" s="1"/>
  <c r="J292" i="8" l="1"/>
  <c r="D334" i="4"/>
  <c r="D26" i="1"/>
  <c r="D310" i="8" s="1"/>
  <c r="M27" i="1"/>
  <c r="N27" i="1" l="1"/>
  <c r="M28" i="1" s="1"/>
  <c r="N28" i="1" s="1"/>
  <c r="D27" i="1"/>
  <c r="D308" i="3" s="1"/>
  <c r="D353" i="4"/>
  <c r="D328" i="8" l="1"/>
  <c r="D372" i="4"/>
  <c r="D385" i="8"/>
  <c r="D28" i="1"/>
  <c r="M29" i="1"/>
  <c r="N29" i="1" s="1"/>
  <c r="D347" i="8" l="1"/>
  <c r="D316" i="3"/>
  <c r="D407" i="4"/>
  <c r="D404" i="8"/>
  <c r="M30" i="1"/>
  <c r="N30" i="1" s="1"/>
  <c r="D29" i="1"/>
  <c r="D366" i="8" s="1"/>
  <c r="D423" i="8" l="1"/>
  <c r="D276" i="3"/>
  <c r="D30" i="1"/>
  <c r="M31" i="1"/>
  <c r="N31" i="1" s="1"/>
  <c r="D524" i="8" l="1"/>
  <c r="D434" i="8"/>
  <c r="D281" i="3"/>
  <c r="L423" i="8"/>
  <c r="J423" i="8"/>
  <c r="D559" i="4"/>
  <c r="D31" i="1"/>
  <c r="M32" i="1"/>
  <c r="N32" i="1" s="1"/>
  <c r="D543" i="8" l="1"/>
  <c r="D452" i="8"/>
  <c r="D292" i="3"/>
  <c r="D332" i="3"/>
  <c r="D578" i="4"/>
  <c r="D32" i="1"/>
  <c r="M33" i="1"/>
  <c r="N33" i="1" s="1"/>
  <c r="D562" i="8" l="1"/>
  <c r="D468" i="8"/>
  <c r="D297" i="3"/>
  <c r="L452" i="8"/>
  <c r="J452" i="8"/>
  <c r="D340" i="3"/>
  <c r="D591" i="4"/>
  <c r="D33" i="1"/>
  <c r="D366" i="3" s="1"/>
  <c r="M34" i="1"/>
  <c r="N34" i="1" s="1"/>
  <c r="D581" i="8" l="1"/>
  <c r="D486" i="8"/>
  <c r="D353" i="3"/>
  <c r="D604" i="4"/>
  <c r="D34" i="1"/>
  <c r="M35" i="1"/>
  <c r="N35" i="1" s="1"/>
  <c r="D601" i="8" l="1"/>
  <c r="D505" i="8"/>
  <c r="J486" i="8"/>
  <c r="L486" i="8"/>
  <c r="B36" i="1"/>
  <c r="M36" i="1"/>
  <c r="D618" i="4"/>
  <c r="D35" i="1"/>
  <c r="D621" i="8" l="1"/>
  <c r="D540" i="4"/>
  <c r="D324" i="3"/>
  <c r="D631" i="4"/>
  <c r="D382" i="3"/>
  <c r="D694" i="8" l="1"/>
  <c r="D675" i="8"/>
  <c r="D713" i="8"/>
  <c r="D656" i="8"/>
  <c r="D370" i="3"/>
  <c r="E483" i="4"/>
  <c r="H483" i="4"/>
  <c r="C445" i="4"/>
  <c r="F426" i="4"/>
  <c r="D483" i="4"/>
  <c r="C464" i="4"/>
  <c r="G464" i="4"/>
  <c r="G483" i="4"/>
  <c r="D426" i="4"/>
  <c r="H426" i="4"/>
  <c r="H464" i="4"/>
  <c r="C483" i="4"/>
  <c r="H445" i="4"/>
  <c r="F483" i="4"/>
  <c r="F464" i="4"/>
  <c r="D445" i="4"/>
  <c r="G426" i="4"/>
  <c r="F445" i="4"/>
  <c r="E445" i="4"/>
  <c r="C426" i="4"/>
  <c r="E426" i="4"/>
  <c r="G445" i="4"/>
  <c r="E464" i="4"/>
  <c r="D464" i="4"/>
  <c r="D502" i="4"/>
  <c r="D521" i="4"/>
  <c r="D654" i="4"/>
  <c r="N36" i="1"/>
  <c r="D36" i="1" l="1"/>
  <c r="P2" i="4" l="1"/>
  <c r="AC2" i="4"/>
  <c r="R2" i="4"/>
  <c r="AA2" i="4"/>
  <c r="L2" i="4"/>
  <c r="J2" i="4"/>
  <c r="AE2" i="4"/>
  <c r="AF2" i="4"/>
  <c r="AI2" i="4"/>
  <c r="AH2" i="4"/>
  <c r="AG2" i="4"/>
  <c r="AB2" i="4"/>
  <c r="O2" i="4"/>
  <c r="Y2" i="4"/>
  <c r="U2" i="4"/>
  <c r="S2" i="4"/>
  <c r="AD2" i="4"/>
  <c r="W2" i="4"/>
  <c r="N2" i="4"/>
  <c r="M2" i="4"/>
  <c r="Q2" i="4"/>
  <c r="Z2" i="4"/>
  <c r="X2" i="4"/>
  <c r="K2" i="4"/>
  <c r="V2" i="4"/>
  <c r="I111" i="8" a="1"/>
  <c r="I111" i="8" s="1"/>
</calcChain>
</file>

<file path=xl/sharedStrings.xml><?xml version="1.0" encoding="utf-8"?>
<sst xmlns="http://schemas.openxmlformats.org/spreadsheetml/2006/main" count="2073" uniqueCount="671">
  <si>
    <t>Rennen</t>
  </si>
  <si>
    <t>Name</t>
  </si>
  <si>
    <t>Vorname</t>
  </si>
  <si>
    <t>Altersklasse</t>
  </si>
  <si>
    <t>Jahrgang</t>
  </si>
  <si>
    <t>Strecke</t>
  </si>
  <si>
    <t>Masters A-H, weiblich</t>
  </si>
  <si>
    <t>Masters A-H, männlich</t>
  </si>
  <si>
    <t>1000 m</t>
  </si>
  <si>
    <t>1500 m</t>
  </si>
  <si>
    <t>350 m</t>
  </si>
  <si>
    <t>2000 m</t>
  </si>
  <si>
    <t>Seniorinnen A</t>
  </si>
  <si>
    <t>Senioren A</t>
  </si>
  <si>
    <t>5000 m</t>
  </si>
  <si>
    <t>Startzeit</t>
  </si>
  <si>
    <t>Klasse</t>
  </si>
  <si>
    <t>Verein</t>
  </si>
  <si>
    <t>Ergonummer</t>
  </si>
  <si>
    <t>Masters A-H, weiblich  </t>
  </si>
  <si>
    <t>30 min.</t>
  </si>
  <si>
    <t>Jungen U15</t>
  </si>
  <si>
    <t>Mädchen U15</t>
  </si>
  <si>
    <t>Juniorinnen B U17</t>
  </si>
  <si>
    <t>Junioren B U17</t>
  </si>
  <si>
    <t>Sprint weiblich</t>
  </si>
  <si>
    <t>offen</t>
  </si>
  <si>
    <t>Sprint männlich</t>
  </si>
  <si>
    <t>Juniorinnen A U19</t>
  </si>
  <si>
    <t>Junioren A U19</t>
  </si>
  <si>
    <t>Abteilung 1</t>
  </si>
  <si>
    <t>Abteilung 2</t>
  </si>
  <si>
    <t>Punkte</t>
  </si>
  <si>
    <t>Altersgrenze</t>
  </si>
  <si>
    <t>27 und älter</t>
  </si>
  <si>
    <t>LGW. bis 75 kg</t>
  </si>
  <si>
    <t>19 und älter</t>
  </si>
  <si>
    <t>Lgw. bis 50 kg</t>
  </si>
  <si>
    <t>13 und jünger</t>
  </si>
  <si>
    <t>-</t>
  </si>
  <si>
    <t>15-16</t>
  </si>
  <si>
    <t>Lgw. bis 67,5kg</t>
  </si>
  <si>
    <t>LGW. bis 60 kg</t>
  </si>
  <si>
    <t>17-18</t>
  </si>
  <si>
    <t>Lgw. bis 55 kg</t>
  </si>
  <si>
    <t>LGW. bis 70 kg</t>
  </si>
  <si>
    <t>Lgw. bis 57,5kg</t>
  </si>
  <si>
    <t>Lgw. bis 52,5 kg</t>
  </si>
  <si>
    <t>LGW. bis 61 kg</t>
  </si>
  <si>
    <t>Jhg</t>
  </si>
  <si>
    <t>Ergebnis</t>
  </si>
  <si>
    <t>Platzierung</t>
  </si>
  <si>
    <t>Abteilung 3</t>
  </si>
  <si>
    <t>Nachmeldung</t>
  </si>
  <si>
    <t>Gewichtsklasse</t>
  </si>
  <si>
    <t>Vereine</t>
  </si>
  <si>
    <t>Alter</t>
  </si>
  <si>
    <t>Anzahl Meldungen</t>
  </si>
  <si>
    <t>Kasse</t>
  </si>
  <si>
    <t>Bezahlt</t>
  </si>
  <si>
    <t>Summe</t>
  </si>
  <si>
    <t>Doppelrennen</t>
  </si>
  <si>
    <t>Zeitfenster</t>
  </si>
  <si>
    <t>min</t>
  </si>
  <si>
    <t>von</t>
  </si>
  <si>
    <t>bis</t>
  </si>
  <si>
    <t>Wett-bewerb</t>
  </si>
  <si>
    <t>Ergocup</t>
  </si>
  <si>
    <t>1991 und älter  </t>
  </si>
  <si>
    <t>2005 und jünger</t>
  </si>
  <si>
    <t>2003 und 2002</t>
  </si>
  <si>
    <t>2001 und 2000</t>
  </si>
  <si>
    <t>1999 und älter</t>
  </si>
  <si>
    <t>1991 und älter</t>
  </si>
  <si>
    <t>Wettbewerb</t>
  </si>
  <si>
    <t>Abteilung 4</t>
  </si>
  <si>
    <t>Lübecker Ruderklub</t>
  </si>
  <si>
    <t>RG Eberbach</t>
  </si>
  <si>
    <t>Mannschaft offen - 2 Personen</t>
  </si>
  <si>
    <t>Rang</t>
  </si>
  <si>
    <t>Rennstart</t>
  </si>
  <si>
    <t>Frühste Waage</t>
  </si>
  <si>
    <t>Späteste Waage</t>
  </si>
  <si>
    <t>Rennen Nummer</t>
  </si>
  <si>
    <t>Veranstaltung</t>
  </si>
  <si>
    <t>Gewogen um</t>
  </si>
  <si>
    <t>Ergebniss</t>
  </si>
  <si>
    <t>Korrekt</t>
  </si>
  <si>
    <t>Betrag</t>
  </si>
  <si>
    <t>Max. Gewicht in kg.</t>
  </si>
  <si>
    <t>Eingabe Rennergebnisse</t>
  </si>
  <si>
    <t>Rechenzelle</t>
  </si>
  <si>
    <t>Siegerehrung ERGOCUP Teil 1 und Pause</t>
  </si>
  <si>
    <t>Ausschreibung und Zeitplan</t>
  </si>
  <si>
    <t>Startzeit
(erstes Abteil)</t>
  </si>
  <si>
    <t>Masters A-H, männlich, 30 Min.</t>
  </si>
  <si>
    <t>Masters A-H, weiblich, 30 Min.</t>
  </si>
  <si>
    <t>Jungen U15, 1000m</t>
  </si>
  <si>
    <t>Mädchen U15, 1000m</t>
  </si>
  <si>
    <t>Sprint weiblich, 350m</t>
  </si>
  <si>
    <t>Sprint männlich, 350m</t>
  </si>
  <si>
    <t>Juniorinnen A U19, 2000m</t>
  </si>
  <si>
    <t>Junioren A U19, 2000m</t>
  </si>
  <si>
    <t>Seniorinnen A, 2000m</t>
  </si>
  <si>
    <t>Senioren A, 2000m</t>
  </si>
  <si>
    <t>Masters A-H, weiblich, 2000m</t>
  </si>
  <si>
    <t>Masters A-H, männlich, 2000m</t>
  </si>
  <si>
    <t>Doppel, 5000m</t>
  </si>
  <si>
    <t>Rennen2</t>
  </si>
  <si>
    <t>Offen</t>
  </si>
  <si>
    <t>Kasse:</t>
  </si>
  <si>
    <t>Siegerehrung ERGOCUP Teil 2, Gesamtsieger ERGOCUP</t>
  </si>
  <si>
    <t>Jungen U14</t>
  </si>
  <si>
    <t>Mädchen U14</t>
  </si>
  <si>
    <t>Masters A-H, männlich, 1000m</t>
  </si>
  <si>
    <t>Masters A-H, weiblich, 1000m</t>
  </si>
  <si>
    <t>A1 11:48
A2 11:56</t>
  </si>
  <si>
    <t xml:space="preserve"> 21. ERGOCUP Neckarelz</t>
  </si>
  <si>
    <t>Young</t>
  </si>
  <si>
    <t>Susan</t>
  </si>
  <si>
    <t>Sub7 IRC</t>
  </si>
  <si>
    <t>Hanauer Rudergesellschaft 1879</t>
  </si>
  <si>
    <t>Arnold</t>
  </si>
  <si>
    <t>Frank</t>
  </si>
  <si>
    <t>Gocke</t>
  </si>
  <si>
    <t>Eberhard</t>
  </si>
  <si>
    <t>J</t>
  </si>
  <si>
    <t>RC Neptun Neckarelz</t>
  </si>
  <si>
    <t>Diem</t>
  </si>
  <si>
    <t>Werner</t>
  </si>
  <si>
    <t>Schuhn</t>
  </si>
  <si>
    <t>Peter</t>
  </si>
  <si>
    <t>ErgoRudern Saarlouis</t>
  </si>
  <si>
    <t>Ruderverein Bad Wimpfen</t>
  </si>
  <si>
    <t>Linda</t>
  </si>
  <si>
    <t>Christian</t>
  </si>
  <si>
    <t>Helmut</t>
  </si>
  <si>
    <t>Marquardt</t>
  </si>
  <si>
    <t>Häfner</t>
  </si>
  <si>
    <t>Schmiedeknecht</t>
  </si>
  <si>
    <t>Sommer</t>
  </si>
  <si>
    <t>USV TU Dresden</t>
  </si>
  <si>
    <t>Kunz</t>
  </si>
  <si>
    <t>Gert</t>
  </si>
  <si>
    <t>Marx</t>
  </si>
  <si>
    <t>Johannes</t>
  </si>
  <si>
    <t>E</t>
  </si>
  <si>
    <t>Matthias</t>
  </si>
  <si>
    <t>Schönmann Fink</t>
  </si>
  <si>
    <t>B</t>
  </si>
  <si>
    <t>Sponsor</t>
  </si>
  <si>
    <t>Mitglied</t>
  </si>
  <si>
    <t>Schultheiß</t>
  </si>
  <si>
    <t>Günther</t>
  </si>
  <si>
    <t>Marion</t>
  </si>
  <si>
    <t>Markus</t>
  </si>
  <si>
    <t>Blank</t>
  </si>
  <si>
    <t>Hannes</t>
  </si>
  <si>
    <t>Karlsruher Ruder-Verein Wiking</t>
  </si>
  <si>
    <t>Hamini</t>
  </si>
  <si>
    <t>Weber</t>
  </si>
  <si>
    <t>Hamzaoui</t>
  </si>
  <si>
    <t>Walter</t>
  </si>
  <si>
    <t>Bergler</t>
  </si>
  <si>
    <t>Juschka</t>
  </si>
  <si>
    <t>Snyman</t>
  </si>
  <si>
    <t>Berner</t>
  </si>
  <si>
    <t>Röhling</t>
  </si>
  <si>
    <t>Outojane</t>
  </si>
  <si>
    <t>Bilal</t>
  </si>
  <si>
    <t>Nils</t>
  </si>
  <si>
    <t>Latif</t>
  </si>
  <si>
    <t>Miron</t>
  </si>
  <si>
    <t>Kathrin</t>
  </si>
  <si>
    <t>Meaghan</t>
  </si>
  <si>
    <t>Sandra</t>
  </si>
  <si>
    <t>Nina</t>
  </si>
  <si>
    <t>Hanaa</t>
  </si>
  <si>
    <t>Heidelberger Ruderklub</t>
  </si>
  <si>
    <t>Nake</t>
  </si>
  <si>
    <t>Dankov</t>
  </si>
  <si>
    <t>Kokes</t>
  </si>
  <si>
    <t>Schilling</t>
  </si>
  <si>
    <t>Krausch</t>
  </si>
  <si>
    <t>Hartig</t>
  </si>
  <si>
    <t>Zeppenfeld</t>
  </si>
  <si>
    <t>Antonia</t>
  </si>
  <si>
    <t>Maximilian</t>
  </si>
  <si>
    <t>Tim</t>
  </si>
  <si>
    <t>Philipp</t>
  </si>
  <si>
    <t>Felix</t>
  </si>
  <si>
    <t>Ben</t>
  </si>
  <si>
    <t>Janne</t>
  </si>
  <si>
    <t>Fouque</t>
  </si>
  <si>
    <t>Hammer</t>
  </si>
  <si>
    <t>Dorfschmid</t>
  </si>
  <si>
    <t>Liebrich</t>
  </si>
  <si>
    <t>Mayer</t>
  </si>
  <si>
    <t>Weiß</t>
  </si>
  <si>
    <t>Knott</t>
  </si>
  <si>
    <t>Heß</t>
  </si>
  <si>
    <t>Walz</t>
  </si>
  <si>
    <t>Engel</t>
  </si>
  <si>
    <t>Melcher</t>
  </si>
  <si>
    <t>Hümpfner</t>
  </si>
  <si>
    <t>Höring</t>
  </si>
  <si>
    <t>Schmiegelt</t>
  </si>
  <si>
    <t>Melin</t>
  </si>
  <si>
    <t>Swoboda</t>
  </si>
  <si>
    <t>Friebe</t>
  </si>
  <si>
    <t>Hodapp</t>
  </si>
  <si>
    <t>Schnaidt</t>
  </si>
  <si>
    <t>Weckenmann</t>
  </si>
  <si>
    <t>Strohmann</t>
  </si>
  <si>
    <t>Burkhart</t>
  </si>
  <si>
    <t>Ross</t>
  </si>
  <si>
    <t>Heszler</t>
  </si>
  <si>
    <t>Aydin</t>
  </si>
  <si>
    <t>Martin</t>
  </si>
  <si>
    <t>Lukas</t>
  </si>
  <si>
    <t>Amelie</t>
  </si>
  <si>
    <t>Ina</t>
  </si>
  <si>
    <t>Lilly</t>
  </si>
  <si>
    <t>Annika</t>
  </si>
  <si>
    <t>Levi</t>
  </si>
  <si>
    <t>Julian</t>
  </si>
  <si>
    <t>Max</t>
  </si>
  <si>
    <t>Jara</t>
  </si>
  <si>
    <t>Finn</t>
  </si>
  <si>
    <t>Clemens</t>
  </si>
  <si>
    <t>Adrian</t>
  </si>
  <si>
    <t>Neval</t>
  </si>
  <si>
    <t>Luca</t>
  </si>
  <si>
    <t>Bruno</t>
  </si>
  <si>
    <t>Bjarne</t>
  </si>
  <si>
    <t>Manuel</t>
  </si>
  <si>
    <t>Phil Ole</t>
  </si>
  <si>
    <t>Urs</t>
  </si>
  <si>
    <t>Levin</t>
  </si>
  <si>
    <t>Charlotte</t>
  </si>
  <si>
    <t>Semih</t>
  </si>
  <si>
    <t>RC Nürtingen</t>
  </si>
  <si>
    <t>Köhler</t>
  </si>
  <si>
    <t>Bernhard</t>
  </si>
  <si>
    <t>Fitness Oase in Regen</t>
  </si>
  <si>
    <t>Klinge</t>
  </si>
  <si>
    <t>Achim</t>
  </si>
  <si>
    <t>SSG Bensheim</t>
  </si>
  <si>
    <t>Krause</t>
  </si>
  <si>
    <t>Meyer</t>
  </si>
  <si>
    <t>Passon</t>
  </si>
  <si>
    <t>Duwenhoegger</t>
  </si>
  <si>
    <t>Michel</t>
  </si>
  <si>
    <t>Holländer</t>
  </si>
  <si>
    <t>Heterle</t>
  </si>
  <si>
    <t>Gürth</t>
  </si>
  <si>
    <t>Gute</t>
  </si>
  <si>
    <t>Wilke</t>
  </si>
  <si>
    <t>Carl</t>
  </si>
  <si>
    <t>Lars</t>
  </si>
  <si>
    <t>Cosima</t>
  </si>
  <si>
    <t>Filippa</t>
  </si>
  <si>
    <t>Lene</t>
  </si>
  <si>
    <t>Elisa</t>
  </si>
  <si>
    <t>Emilie</t>
  </si>
  <si>
    <t>Mona</t>
  </si>
  <si>
    <t>Oskar</t>
  </si>
  <si>
    <t>Henri</t>
  </si>
  <si>
    <t>Rudergesellschaft Heidelberg</t>
  </si>
  <si>
    <t>Klisch</t>
  </si>
  <si>
    <t>Sprauer</t>
  </si>
  <si>
    <t>Roob</t>
  </si>
  <si>
    <t>Deuter</t>
  </si>
  <si>
    <t>Nestor</t>
  </si>
  <si>
    <t>Deimel</t>
  </si>
  <si>
    <t>Jonescheit</t>
  </si>
  <si>
    <t>Schulze</t>
  </si>
  <si>
    <t>Vurdu</t>
  </si>
  <si>
    <t>Schweneke</t>
  </si>
  <si>
    <t>Sammler</t>
  </si>
  <si>
    <t>Gehring</t>
  </si>
  <si>
    <t>Kappler</t>
  </si>
  <si>
    <t>Podbicanin</t>
  </si>
  <si>
    <t>von Watzdorf</t>
  </si>
  <si>
    <t>Gläser</t>
  </si>
  <si>
    <t>Milo</t>
  </si>
  <si>
    <t>Lucius</t>
  </si>
  <si>
    <t>David</t>
  </si>
  <si>
    <t>Johanna</t>
  </si>
  <si>
    <t>Zoë</t>
  </si>
  <si>
    <t>Lisann</t>
  </si>
  <si>
    <t>Zehra</t>
  </si>
  <si>
    <t>Melisande</t>
  </si>
  <si>
    <t>Simon</t>
  </si>
  <si>
    <t>Mannheimer RV "Amicitia"</t>
  </si>
  <si>
    <t>Schwarz</t>
  </si>
  <si>
    <t>Jona</t>
  </si>
  <si>
    <t>Schmidt</t>
  </si>
  <si>
    <t>Breitenbücher</t>
  </si>
  <si>
    <t>Rentz</t>
  </si>
  <si>
    <t>Veigel</t>
  </si>
  <si>
    <t>Grünewald</t>
  </si>
  <si>
    <t>Rebmann</t>
  </si>
  <si>
    <t>Bitz</t>
  </si>
  <si>
    <t>Bittermann</t>
  </si>
  <si>
    <t>Calovini</t>
  </si>
  <si>
    <t>Stirner</t>
  </si>
  <si>
    <t>Gering</t>
  </si>
  <si>
    <t>Basilowski</t>
  </si>
  <si>
    <t>Hentschel</t>
  </si>
  <si>
    <t>Gerbershagen</t>
  </si>
  <si>
    <t>Zahn</t>
  </si>
  <si>
    <t>Groß</t>
  </si>
  <si>
    <t>Löwer</t>
  </si>
  <si>
    <t>Burkert</t>
  </si>
  <si>
    <t>Tafelmaier</t>
  </si>
  <si>
    <t>Keefer</t>
  </si>
  <si>
    <t>Spandel</t>
  </si>
  <si>
    <t>Killinger</t>
  </si>
  <si>
    <t>Angelakov</t>
  </si>
  <si>
    <t>Henriette</t>
  </si>
  <si>
    <t>Heike</t>
  </si>
  <si>
    <t>Uta</t>
  </si>
  <si>
    <t>Rolf</t>
  </si>
  <si>
    <t>Jürgen</t>
  </si>
  <si>
    <t>Wolfram</t>
  </si>
  <si>
    <t>Christoph</t>
  </si>
  <si>
    <t>Florentin</t>
  </si>
  <si>
    <t>Moritz</t>
  </si>
  <si>
    <t>Alfons</t>
  </si>
  <si>
    <t>Samuel</t>
  </si>
  <si>
    <t>Morino</t>
  </si>
  <si>
    <t>Julika</t>
  </si>
  <si>
    <t>Lea</t>
  </si>
  <si>
    <t>Lina</t>
  </si>
  <si>
    <t>Mira</t>
  </si>
  <si>
    <t>Florian</t>
  </si>
  <si>
    <t>Sebastian</t>
  </si>
  <si>
    <t>Kim</t>
  </si>
  <si>
    <t>Niklas</t>
  </si>
  <si>
    <t>Nicolai</t>
  </si>
  <si>
    <t>Jonas</t>
  </si>
  <si>
    <t>Cornelius</t>
  </si>
  <si>
    <t>Cornelius/</t>
  </si>
  <si>
    <t>Michael</t>
  </si>
  <si>
    <t>Marbacher Ruderverein</t>
  </si>
  <si>
    <t>Strahl</t>
  </si>
  <si>
    <t>Jarad</t>
  </si>
  <si>
    <t>Nüchter</t>
  </si>
  <si>
    <t>Grimm</t>
  </si>
  <si>
    <t>Hannig</t>
  </si>
  <si>
    <t>Waller</t>
  </si>
  <si>
    <t>Remelé</t>
  </si>
  <si>
    <t>Leander</t>
  </si>
  <si>
    <t>Huzaifa</t>
  </si>
  <si>
    <t>Fine-Marie</t>
  </si>
  <si>
    <t>Lorenz</t>
  </si>
  <si>
    <t>Paul</t>
  </si>
  <si>
    <t>Vincent</t>
  </si>
  <si>
    <t>Jan</t>
  </si>
  <si>
    <t>Friedrich</t>
  </si>
  <si>
    <t>Schweinfurter Ruder-Club Franken</t>
  </si>
  <si>
    <t>Burger</t>
  </si>
  <si>
    <t>Schneckenberger</t>
  </si>
  <si>
    <t>Bogenschütz</t>
  </si>
  <si>
    <t>Luisa</t>
  </si>
  <si>
    <t>Benjamin</t>
  </si>
  <si>
    <t>Stuttgarter RG</t>
  </si>
  <si>
    <t>Yilmaz</t>
  </si>
  <si>
    <t>Warning</t>
  </si>
  <si>
    <t>Gathmann</t>
  </si>
  <si>
    <t>Sauer</t>
  </si>
  <si>
    <t>Nagel</t>
  </si>
  <si>
    <t>Wulfkühler</t>
  </si>
  <si>
    <t>Oppold</t>
  </si>
  <si>
    <t>Kalmbach</t>
  </si>
  <si>
    <t>Abendschein</t>
  </si>
  <si>
    <t>Guhl</t>
  </si>
  <si>
    <t>Leon</t>
  </si>
  <si>
    <t>Franziska</t>
  </si>
  <si>
    <t>Anke</t>
  </si>
  <si>
    <t>Marlene</t>
  </si>
  <si>
    <t>Henning</t>
  </si>
  <si>
    <t>Amrei</t>
  </si>
  <si>
    <t>Mara</t>
  </si>
  <si>
    <t>Tobias</t>
  </si>
  <si>
    <t>Stuttgart-Cannstatter RC</t>
  </si>
  <si>
    <t>RV Waldsee</t>
  </si>
  <si>
    <t>Kibele</t>
  </si>
  <si>
    <t>Wieland</t>
  </si>
  <si>
    <t>Balke</t>
  </si>
  <si>
    <t>Zirn</t>
  </si>
  <si>
    <t>Lehmann</t>
  </si>
  <si>
    <t>Fischer</t>
  </si>
  <si>
    <t>Herrmann</t>
  </si>
  <si>
    <t>Hildebrand</t>
  </si>
  <si>
    <t>Scheffold</t>
  </si>
  <si>
    <t>Nothelfer</t>
  </si>
  <si>
    <t>Tschöke</t>
  </si>
  <si>
    <t>Wiens</t>
  </si>
  <si>
    <t>Degasperi</t>
  </si>
  <si>
    <t>Reimer</t>
  </si>
  <si>
    <t>Leuter</t>
  </si>
  <si>
    <t>Lennart</t>
  </si>
  <si>
    <t>Frederik</t>
  </si>
  <si>
    <t>Maja</t>
  </si>
  <si>
    <t>Madeleine</t>
  </si>
  <si>
    <t>Amatus</t>
  </si>
  <si>
    <t>Alexander</t>
  </si>
  <si>
    <t>Nico</t>
  </si>
  <si>
    <t>Sina</t>
  </si>
  <si>
    <t>Alisa</t>
  </si>
  <si>
    <t>Pascal</t>
  </si>
  <si>
    <t>Daniel</t>
  </si>
  <si>
    <t>Cathrin</t>
  </si>
  <si>
    <t>Nadine</t>
  </si>
  <si>
    <t xml:space="preserve">Schweinfurtrt Ruder-Club Franken </t>
  </si>
  <si>
    <t>Stein</t>
  </si>
  <si>
    <t>Ingrid</t>
  </si>
  <si>
    <t>Antje</t>
  </si>
  <si>
    <t>Rene´</t>
  </si>
  <si>
    <t>Patrick</t>
  </si>
  <si>
    <t>Gerhard</t>
  </si>
  <si>
    <t>Thea</t>
  </si>
  <si>
    <t>Christina</t>
  </si>
  <si>
    <t>Maya</t>
  </si>
  <si>
    <t>Enno</t>
  </si>
  <si>
    <t>Fabian</t>
  </si>
  <si>
    <t>Jens</t>
  </si>
  <si>
    <t>Julius</t>
  </si>
  <si>
    <t>Jörg</t>
  </si>
  <si>
    <t>Vogt</t>
  </si>
  <si>
    <t>Reinert</t>
  </si>
  <si>
    <t>Rottler</t>
  </si>
  <si>
    <t>Bischoff</t>
  </si>
  <si>
    <t>Demmer</t>
  </si>
  <si>
    <t>Grün</t>
  </si>
  <si>
    <t>Vollmer</t>
  </si>
  <si>
    <t>Kontusch</t>
  </si>
  <si>
    <t>Heinle</t>
  </si>
  <si>
    <t>Wolf</t>
  </si>
  <si>
    <t>Bachmann</t>
  </si>
  <si>
    <t>Münzing</t>
  </si>
  <si>
    <t>Öynhausen</t>
  </si>
  <si>
    <t>C</t>
  </si>
  <si>
    <t>F</t>
  </si>
  <si>
    <t>D</t>
  </si>
  <si>
    <t>H</t>
  </si>
  <si>
    <t>A</t>
  </si>
  <si>
    <t>HRG Schwaben</t>
  </si>
  <si>
    <t>Stephan</t>
  </si>
  <si>
    <t>Julia</t>
  </si>
  <si>
    <t>G</t>
  </si>
  <si>
    <t>I</t>
  </si>
  <si>
    <t>A1</t>
  </si>
  <si>
    <t>A2</t>
  </si>
  <si>
    <t>A3</t>
  </si>
  <si>
    <t>Juniorinnen B U17, 1500m</t>
  </si>
  <si>
    <t>Junioren B U17, 1500m</t>
  </si>
  <si>
    <t>Startet mit Rennen 16</t>
  </si>
  <si>
    <t>Startet mit Rennen 15</t>
  </si>
  <si>
    <t>Startet mit Rennen 18</t>
  </si>
  <si>
    <t>Startet mit Rennen 17</t>
  </si>
  <si>
    <t>Startet mit Rennen 20</t>
  </si>
  <si>
    <t>Startet mit Rennen 19</t>
  </si>
  <si>
    <t>Startet mit Rennen 22</t>
  </si>
  <si>
    <t>Startet mit Rennen 21</t>
  </si>
  <si>
    <t>Startet mit Rennen 24</t>
  </si>
  <si>
    <t>Startet mit Rennen 23</t>
  </si>
  <si>
    <t>KEINE MELDUNGEN</t>
  </si>
  <si>
    <t>Startet mit Rennen 28</t>
  </si>
  <si>
    <t>Startet mit Rennen 27</t>
  </si>
  <si>
    <t>Steffi</t>
  </si>
  <si>
    <t>Stefanie</t>
  </si>
  <si>
    <t>Stefan</t>
  </si>
  <si>
    <t>Malte</t>
  </si>
  <si>
    <t>Len</t>
  </si>
  <si>
    <t>Marius</t>
  </si>
  <si>
    <t>Philippe</t>
  </si>
  <si>
    <t>Malthe</t>
  </si>
  <si>
    <t>Munke</t>
  </si>
  <si>
    <t>Wöppel</t>
  </si>
  <si>
    <t>Lentner</t>
  </si>
  <si>
    <t>Sigloch</t>
  </si>
  <si>
    <t>Hinderer</t>
  </si>
  <si>
    <t>Wagner</t>
  </si>
  <si>
    <t>Theurer</t>
  </si>
  <si>
    <t>Schupp</t>
  </si>
  <si>
    <t xml:space="preserve">WSV Schifferclub Neckarrems </t>
  </si>
  <si>
    <t>A1 09:40
A2 10:20
A3 11:00</t>
  </si>
  <si>
    <t>A1 11:40
A2 11:48</t>
  </si>
  <si>
    <t>A2 startet mit 
Rennen 4 A1</t>
  </si>
  <si>
    <t>A1 startet mit 
Rennen 3 A2</t>
  </si>
  <si>
    <t>Jungen U14, 1000m</t>
  </si>
  <si>
    <t>Mädchen U14, 1000m</t>
  </si>
  <si>
    <t>A1 12:36
A2 12:44</t>
  </si>
  <si>
    <t>A1 12:52
A2 13:00</t>
  </si>
  <si>
    <t>A3 Startet mit Rennen 14</t>
  </si>
  <si>
    <t>Rennliste ERGOCUP 2020</t>
  </si>
  <si>
    <t>A1 13:50
A2 14:02</t>
  </si>
  <si>
    <t>A1 14:14
A2 14:26
A3 14:38</t>
  </si>
  <si>
    <t>Startet mit Rennen 13 A3</t>
  </si>
  <si>
    <t>Jendrozek</t>
  </si>
  <si>
    <t>JA</t>
  </si>
  <si>
    <t>Kern</t>
  </si>
  <si>
    <t xml:space="preserve">Haag </t>
  </si>
  <si>
    <t>Bad Wimpfen</t>
  </si>
  <si>
    <t>Neckarelz</t>
  </si>
  <si>
    <t>Marbach</t>
  </si>
  <si>
    <t>Mannheim "Amicitia"</t>
  </si>
  <si>
    <t>Ruderklub Heidelberg</t>
  </si>
  <si>
    <t>Rudergesellschaft  Heidelberg</t>
  </si>
  <si>
    <t>WSV Neckarrems</t>
  </si>
  <si>
    <t>Vogel</t>
  </si>
  <si>
    <t>Jasper</t>
  </si>
  <si>
    <t>RG Heidelberg</t>
  </si>
  <si>
    <t>Antie</t>
  </si>
  <si>
    <t>4.13,7</t>
  </si>
  <si>
    <t>4.15,6</t>
  </si>
  <si>
    <t>4.22,1</t>
  </si>
  <si>
    <t>4.24,0</t>
  </si>
  <si>
    <t>4.35,9</t>
  </si>
  <si>
    <t>4.46,3</t>
  </si>
  <si>
    <t>4.53,6</t>
  </si>
  <si>
    <t>4.43,9</t>
  </si>
  <si>
    <t>4.14,8</t>
  </si>
  <si>
    <t>3.44,9</t>
  </si>
  <si>
    <t>5.02,7</t>
  </si>
  <si>
    <t>5.36,1</t>
  </si>
  <si>
    <t>4.10,1</t>
  </si>
  <si>
    <t>4.22,0</t>
  </si>
  <si>
    <t>4.22,2</t>
  </si>
  <si>
    <t>3.46,3</t>
  </si>
  <si>
    <t>4.10,6</t>
  </si>
  <si>
    <t>4.14,3</t>
  </si>
  <si>
    <t>4.15,7</t>
  </si>
  <si>
    <t>4.17,6</t>
  </si>
  <si>
    <t>4.22,6</t>
  </si>
  <si>
    <t>4.28,9</t>
  </si>
  <si>
    <t>4.45,3</t>
  </si>
  <si>
    <t>4.52,5</t>
  </si>
  <si>
    <t>4.25,4</t>
  </si>
  <si>
    <t>4.25,9</t>
  </si>
  <si>
    <t>4.27,0</t>
  </si>
  <si>
    <t>4.32,1</t>
  </si>
  <si>
    <t>RC Stuttgart-Canstatter RC</t>
  </si>
  <si>
    <t>4.08,0</t>
  </si>
  <si>
    <t>4.18,3</t>
  </si>
  <si>
    <t>4.23,9</t>
  </si>
  <si>
    <t>4.24,7</t>
  </si>
  <si>
    <t>4.25,2</t>
  </si>
  <si>
    <t>4.37,0</t>
  </si>
  <si>
    <t>4.40,8</t>
  </si>
  <si>
    <t>3.48,4</t>
  </si>
  <si>
    <t>3.58,2</t>
  </si>
  <si>
    <t>4.00,4</t>
  </si>
  <si>
    <t>4.06,1</t>
  </si>
  <si>
    <t>4.06,2</t>
  </si>
  <si>
    <t>4.06,8</t>
  </si>
  <si>
    <t>4.12,5</t>
  </si>
  <si>
    <t>4.20,4</t>
  </si>
  <si>
    <t>4.37,7</t>
  </si>
  <si>
    <t>3.57,3</t>
  </si>
  <si>
    <t>4.00,6</t>
  </si>
  <si>
    <t>4.10,7</t>
  </si>
  <si>
    <t>4.19,8</t>
  </si>
  <si>
    <t>4.22,9</t>
  </si>
  <si>
    <t>4.18,9</t>
  </si>
  <si>
    <t>4.37,1</t>
  </si>
  <si>
    <t>4.27,8</t>
  </si>
  <si>
    <t>3.21,5</t>
  </si>
  <si>
    <t>3.37,9</t>
  </si>
  <si>
    <t>3.49,0</t>
  </si>
  <si>
    <t>3.53,3</t>
  </si>
  <si>
    <t>4.03,9</t>
  </si>
  <si>
    <t>4.09,9</t>
  </si>
  <si>
    <t>3.24,9</t>
  </si>
  <si>
    <t>3.35,5</t>
  </si>
  <si>
    <t>3.36,1</t>
  </si>
  <si>
    <t>3.57,0</t>
  </si>
  <si>
    <t>4.13,3</t>
  </si>
  <si>
    <t>4.33,1</t>
  </si>
  <si>
    <t>6.09,8</t>
  </si>
  <si>
    <t>6.16,7</t>
  </si>
  <si>
    <t>6.33,6</t>
  </si>
  <si>
    <t>Aufgabe</t>
  </si>
  <si>
    <t>5.40,7</t>
  </si>
  <si>
    <t>5.44,5</t>
  </si>
  <si>
    <t>5,54,2</t>
  </si>
  <si>
    <t>6.05,6</t>
  </si>
  <si>
    <t>6.09,2</t>
  </si>
  <si>
    <t>6.18,3</t>
  </si>
  <si>
    <t>5.38,5</t>
  </si>
  <si>
    <t>5.55,2</t>
  </si>
  <si>
    <t>6.22,5</t>
  </si>
  <si>
    <t>6.40,4</t>
  </si>
  <si>
    <t>5.13,4</t>
  </si>
  <si>
    <t>5.29,9</t>
  </si>
  <si>
    <t>5.32,0</t>
  </si>
  <si>
    <t>5.44,8</t>
  </si>
  <si>
    <t>5.45,8</t>
  </si>
  <si>
    <t>5.47,0</t>
  </si>
  <si>
    <t>6.05,7</t>
  </si>
  <si>
    <t>6.15,5</t>
  </si>
  <si>
    <t>7.11,8</t>
  </si>
  <si>
    <t>5.24,5</t>
  </si>
  <si>
    <t>5.36,0</t>
  </si>
  <si>
    <t>5.39,4</t>
  </si>
  <si>
    <t>5.43,1</t>
  </si>
  <si>
    <t>5.44,3</t>
  </si>
  <si>
    <t>5.54,7</t>
  </si>
  <si>
    <t>6.06,8</t>
  </si>
  <si>
    <t>5.19,3</t>
  </si>
  <si>
    <t>5.48,9</t>
  </si>
  <si>
    <t>4.57.1</t>
  </si>
  <si>
    <t>5.09,7</t>
  </si>
  <si>
    <t>5.19,5</t>
  </si>
  <si>
    <t>6.26,5</t>
  </si>
  <si>
    <t>1.12,0</t>
  </si>
  <si>
    <t>1.13,2</t>
  </si>
  <si>
    <t>1.18,9</t>
  </si>
  <si>
    <t>57.4,3</t>
  </si>
  <si>
    <t>58.4,3</t>
  </si>
  <si>
    <t>1.00,0</t>
  </si>
  <si>
    <t>59.5,3</t>
  </si>
  <si>
    <t>1.15,9</t>
  </si>
  <si>
    <t>7.54,5</t>
  </si>
  <si>
    <t>7.55,9</t>
  </si>
  <si>
    <t>7.58,4</t>
  </si>
  <si>
    <t>8.28,4</t>
  </si>
  <si>
    <t>9.30,1</t>
  </si>
  <si>
    <t>7.10,3</t>
  </si>
  <si>
    <t>7.14,3</t>
  </si>
  <si>
    <t>6.26,9</t>
  </si>
  <si>
    <t>6.38,9</t>
  </si>
  <si>
    <t>6.40,0</t>
  </si>
  <si>
    <t>6.49,9</t>
  </si>
  <si>
    <t>6.51,8</t>
  </si>
  <si>
    <t>7.03,5</t>
  </si>
  <si>
    <t>7.30,7</t>
  </si>
  <si>
    <t>7.47,7</t>
  </si>
  <si>
    <t>7.39,0</t>
  </si>
  <si>
    <t>7.57,3</t>
  </si>
  <si>
    <t>8.15,6</t>
  </si>
  <si>
    <t>6.33,9</t>
  </si>
  <si>
    <t>6.46,9</t>
  </si>
  <si>
    <t>6.56,5</t>
  </si>
  <si>
    <t>7.15,1</t>
  </si>
  <si>
    <t>6.27,4</t>
  </si>
  <si>
    <t>6.45,7</t>
  </si>
  <si>
    <t>6.35.8</t>
  </si>
  <si>
    <t>8.06,1</t>
  </si>
  <si>
    <t>6.58,5</t>
  </si>
  <si>
    <t>6.47,1</t>
  </si>
  <si>
    <t>7.27,7</t>
  </si>
  <si>
    <t>8.30,1</t>
  </si>
  <si>
    <t>7.01,3</t>
  </si>
  <si>
    <t>7.19,6</t>
  </si>
  <si>
    <t>3.35,1</t>
  </si>
  <si>
    <t>4.05,7</t>
  </si>
  <si>
    <t>4.03,2</t>
  </si>
  <si>
    <t>3.26,7</t>
  </si>
  <si>
    <t>3.06,7</t>
  </si>
  <si>
    <t>3.14,5</t>
  </si>
  <si>
    <t>4.06,3</t>
  </si>
  <si>
    <t>3.28,5</t>
  </si>
  <si>
    <t>3.07,6</t>
  </si>
  <si>
    <t>16.14,5</t>
  </si>
  <si>
    <t>17.34,1</t>
  </si>
  <si>
    <t>17.46,8</t>
  </si>
  <si>
    <t>27 und älter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</si>
</sst>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h:mm;@"/>
    <numFmt numFmtId="165" formatCode="#,##0.00\ &quot;€&quot;"/>
    <numFmt numFmtId="166" formatCode="[mm]"/>
    <numFmt numFmtId="167" formatCode="[$-407]General"/>
    <numFmt numFmtId="168" formatCode="#,##0.00&quot; &quot;[$€-407];[Red]&quot;-&quot;#,##0.00&quot; &quot;[$€-407]"/>
  </numFmts>
  <fonts count="41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name val="Verdana"/>
      <family val="2"/>
    </font>
    <font>
      <b/>
      <sz val="12"/>
      <name val="Verdana"/>
      <family val="2"/>
    </font>
    <font>
      <sz val="10"/>
      <name val="Verdana"/>
      <family val="2"/>
    </font>
    <font>
      <sz val="7"/>
      <name val="Arial"/>
      <family val="2"/>
    </font>
    <font>
      <b/>
      <sz val="11"/>
      <name val="Verdana"/>
      <family val="2"/>
    </font>
    <font>
      <b/>
      <sz val="16"/>
      <name val="Verdana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u/>
      <sz val="11"/>
      <color theme="10"/>
      <name val="Calibri"/>
      <family val="2"/>
      <scheme val="minor"/>
    </font>
    <font>
      <sz val="11"/>
      <name val="Verdana"/>
      <family val="2"/>
    </font>
    <font>
      <b/>
      <sz val="24"/>
      <name val="Verdana"/>
      <family val="2"/>
    </font>
    <font>
      <sz val="11"/>
      <color indexed="8"/>
      <name val="Calibri"/>
      <family val="2"/>
      <charset val="1"/>
    </font>
    <font>
      <sz val="11"/>
      <color indexed="8"/>
      <name val="Calibri"/>
      <family val="2"/>
    </font>
    <font>
      <sz val="11"/>
      <color rgb="FF000000"/>
      <name val="Calibri"/>
      <family val="2"/>
      <charset val="1"/>
    </font>
    <font>
      <sz val="10"/>
      <color rgb="FFFF0000"/>
      <name val="Verdana"/>
      <family val="2"/>
    </font>
    <font>
      <b/>
      <sz val="18"/>
      <name val="Arial"/>
      <family val="2"/>
    </font>
    <font>
      <b/>
      <sz val="12"/>
      <color theme="1"/>
      <name val="Verdana"/>
      <family val="2"/>
    </font>
    <font>
      <sz val="10"/>
      <color theme="3"/>
      <name val="Verdana"/>
      <family val="2"/>
    </font>
    <font>
      <sz val="10"/>
      <name val="Verdana"/>
      <family val="2"/>
    </font>
    <font>
      <b/>
      <sz val="12"/>
      <color theme="1"/>
      <name val="Verdana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u/>
      <sz val="11"/>
      <color rgb="FF0000FF"/>
      <name val="Calibri"/>
      <family val="2"/>
      <charset val="1"/>
    </font>
    <font>
      <sz val="11"/>
      <color theme="1"/>
      <name val="Arial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name val="Arial"/>
      <family val="2"/>
    </font>
    <font>
      <b/>
      <sz val="10"/>
      <color theme="4" tint="0.79998168889431442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3">
    <xf numFmtId="0" fontId="0" fillId="0" borderId="0"/>
    <xf numFmtId="0" fontId="7" fillId="0" borderId="0"/>
    <xf numFmtId="0" fontId="9" fillId="0" borderId="0"/>
    <xf numFmtId="0" fontId="6" fillId="0" borderId="0"/>
    <xf numFmtId="0" fontId="13" fillId="0" borderId="0"/>
    <xf numFmtId="0" fontId="5" fillId="0" borderId="0"/>
    <xf numFmtId="0" fontId="19" fillId="0" borderId="0" applyNumberFormat="0" applyFill="0" applyBorder="0" applyAlignment="0" applyProtection="0"/>
    <xf numFmtId="0" fontId="4" fillId="0" borderId="0"/>
    <xf numFmtId="0" fontId="22" fillId="0" borderId="0"/>
    <xf numFmtId="0" fontId="3" fillId="0" borderId="0"/>
    <xf numFmtId="0" fontId="23" fillId="0" borderId="0" applyNumberFormat="0" applyFill="0" applyBorder="0" applyProtection="0"/>
    <xf numFmtId="0" fontId="24" fillId="0" borderId="0"/>
    <xf numFmtId="0" fontId="2" fillId="0" borderId="0"/>
    <xf numFmtId="44" fontId="29" fillId="0" borderId="0" applyFont="0" applyFill="0" applyBorder="0" applyAlignment="0" applyProtection="0"/>
    <xf numFmtId="0" fontId="1" fillId="0" borderId="0"/>
    <xf numFmtId="0" fontId="33" fillId="0" borderId="0" applyBorder="0" applyProtection="0"/>
    <xf numFmtId="0" fontId="34" fillId="0" borderId="0"/>
    <xf numFmtId="167" fontId="36" fillId="0" borderId="0"/>
    <xf numFmtId="167" fontId="35" fillId="0" borderId="0"/>
    <xf numFmtId="0" fontId="37" fillId="0" borderId="0">
      <alignment horizontal="center"/>
    </xf>
    <xf numFmtId="0" fontId="37" fillId="0" borderId="0">
      <alignment horizontal="center" textRotation="90"/>
    </xf>
    <xf numFmtId="0" fontId="38" fillId="0" borderId="0"/>
    <xf numFmtId="168" fontId="38" fillId="0" borderId="0"/>
  </cellStyleXfs>
  <cellXfs count="445">
    <xf numFmtId="0" fontId="0" fillId="0" borderId="0" xfId="0"/>
    <xf numFmtId="0" fontId="9" fillId="0" borderId="0" xfId="0" applyFont="1" applyAlignment="1">
      <alignment horizontal="center"/>
    </xf>
    <xf numFmtId="0" fontId="0" fillId="0" borderId="0" xfId="0" applyAlignment="1">
      <alignment horizontal="center" textRotation="90"/>
    </xf>
    <xf numFmtId="0" fontId="9" fillId="0" borderId="0" xfId="0" applyFont="1" applyAlignment="1">
      <alignment horizontal="center" textRotation="90"/>
    </xf>
    <xf numFmtId="0" fontId="0" fillId="0" borderId="0" xfId="0" applyAlignment="1">
      <alignment horizont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164" fontId="9" fillId="0" borderId="0" xfId="0" applyNumberFormat="1" applyFont="1" applyAlignment="1">
      <alignment vertical="center"/>
    </xf>
    <xf numFmtId="0" fontId="10" fillId="0" borderId="0" xfId="0" applyFont="1" applyAlignment="1">
      <alignment vertical="center" wrapText="1"/>
    </xf>
    <xf numFmtId="164" fontId="0" fillId="0" borderId="0" xfId="0" applyNumberFormat="1" applyAlignment="1">
      <alignment vertical="center"/>
    </xf>
    <xf numFmtId="2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12" fillId="0" borderId="0" xfId="0" applyFont="1" applyAlignment="1">
      <alignment horizontal="center" vertical="center"/>
    </xf>
    <xf numFmtId="0" fontId="0" fillId="0" borderId="10" xfId="0" applyBorder="1"/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20" fontId="11" fillId="0" borderId="0" xfId="0" applyNumberFormat="1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1" xfId="0" applyBorder="1" applyAlignment="1">
      <alignment wrapText="1"/>
    </xf>
    <xf numFmtId="0" fontId="8" fillId="0" borderId="0" xfId="0" applyFont="1" applyAlignment="1">
      <alignment horizontal="center"/>
    </xf>
    <xf numFmtId="0" fontId="11" fillId="0" borderId="0" xfId="0" applyFont="1"/>
    <xf numFmtId="0" fontId="11" fillId="2" borderId="1" xfId="0" applyFont="1" applyFill="1" applyBorder="1" applyAlignment="1">
      <alignment horizontal="center" vertical="center" wrapText="1"/>
    </xf>
    <xf numFmtId="20" fontId="11" fillId="2" borderId="2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3" fillId="0" borderId="0" xfId="0" applyFont="1"/>
    <xf numFmtId="0" fontId="11" fillId="0" borderId="8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7" fontId="0" fillId="0" borderId="0" xfId="0" applyNumberFormat="1" applyAlignment="1">
      <alignment wrapText="1"/>
    </xf>
    <xf numFmtId="47" fontId="0" fillId="0" borderId="10" xfId="0" applyNumberFormat="1" applyBorder="1" applyAlignment="1">
      <alignment wrapText="1"/>
    </xf>
    <xf numFmtId="0" fontId="0" fillId="0" borderId="7" xfId="0" applyBorder="1" applyAlignment="1">
      <alignment horizontal="left" vertical="center"/>
    </xf>
    <xf numFmtId="0" fontId="13" fillId="0" borderId="0" xfId="4"/>
    <xf numFmtId="0" fontId="13" fillId="0" borderId="0" xfId="4" applyAlignment="1">
      <alignment horizontal="center"/>
    </xf>
    <xf numFmtId="0" fontId="8" fillId="0" borderId="0" xfId="4" applyFont="1" applyAlignment="1">
      <alignment horizontal="left"/>
    </xf>
    <xf numFmtId="0" fontId="13" fillId="0" borderId="0" xfId="4" applyAlignment="1">
      <alignment horizontal="left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5" xfId="0" applyBorder="1"/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" xfId="0" applyBorder="1"/>
    <xf numFmtId="0" fontId="13" fillId="0" borderId="16" xfId="0" applyFont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165" fontId="0" fillId="0" borderId="12" xfId="0" applyNumberFormat="1" applyBorder="1"/>
    <xf numFmtId="165" fontId="0" fillId="0" borderId="17" xfId="0" applyNumberFormat="1" applyBorder="1"/>
    <xf numFmtId="165" fontId="0" fillId="0" borderId="19" xfId="0" applyNumberFormat="1" applyBorder="1"/>
    <xf numFmtId="165" fontId="0" fillId="0" borderId="20" xfId="0" applyNumberFormat="1" applyBorder="1"/>
    <xf numFmtId="49" fontId="0" fillId="0" borderId="8" xfId="0" applyNumberFormat="1" applyBorder="1" applyAlignment="1">
      <alignment wrapText="1"/>
    </xf>
    <xf numFmtId="49" fontId="0" fillId="0" borderId="11" xfId="0" applyNumberFormat="1" applyBorder="1" applyAlignment="1">
      <alignment wrapText="1"/>
    </xf>
    <xf numFmtId="20" fontId="11" fillId="0" borderId="2" xfId="0" applyNumberFormat="1" applyFont="1" applyBorder="1" applyAlignment="1">
      <alignment horizontal="center" vertical="center" wrapText="1"/>
    </xf>
    <xf numFmtId="20" fontId="13" fillId="0" borderId="0" xfId="4" applyNumberFormat="1" applyAlignment="1">
      <alignment wrapText="1"/>
    </xf>
    <xf numFmtId="20" fontId="13" fillId="0" borderId="0" xfId="4" applyNumberFormat="1"/>
    <xf numFmtId="20" fontId="13" fillId="0" borderId="8" xfId="4" applyNumberFormat="1" applyBorder="1"/>
    <xf numFmtId="0" fontId="13" fillId="5" borderId="5" xfId="4" applyFill="1" applyBorder="1"/>
    <xf numFmtId="20" fontId="13" fillId="5" borderId="5" xfId="4" applyNumberFormat="1" applyFill="1" applyBorder="1"/>
    <xf numFmtId="20" fontId="13" fillId="5" borderId="6" xfId="4" applyNumberFormat="1" applyFill="1" applyBorder="1"/>
    <xf numFmtId="0" fontId="11" fillId="3" borderId="5" xfId="4" applyFont="1" applyFill="1" applyBorder="1"/>
    <xf numFmtId="0" fontId="11" fillId="3" borderId="6" xfId="4" applyFont="1" applyFill="1" applyBorder="1"/>
    <xf numFmtId="0" fontId="1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1" xfId="0" applyBorder="1"/>
    <xf numFmtId="0" fontId="11" fillId="2" borderId="2" xfId="0" applyFont="1" applyFill="1" applyBorder="1" applyAlignment="1">
      <alignment vertical="center" wrapText="1"/>
    </xf>
    <xf numFmtId="1" fontId="13" fillId="0" borderId="7" xfId="4" applyNumberFormat="1" applyBorder="1"/>
    <xf numFmtId="1" fontId="13" fillId="5" borderId="4" xfId="4" applyNumberFormat="1" applyFill="1" applyBorder="1"/>
    <xf numFmtId="0" fontId="11" fillId="0" borderId="0" xfId="0" applyFont="1" applyAlignment="1">
      <alignment vertical="center" wrapText="1"/>
    </xf>
    <xf numFmtId="47" fontId="0" fillId="0" borderId="0" xfId="0" applyNumberFormat="1"/>
    <xf numFmtId="0" fontId="11" fillId="7" borderId="0" xfId="0" applyFont="1" applyFill="1" applyAlignment="1">
      <alignment horizontal="center" vertical="center" wrapText="1"/>
    </xf>
    <xf numFmtId="47" fontId="0" fillId="7" borderId="0" xfId="0" applyNumberFormat="1" applyFill="1" applyAlignment="1">
      <alignment wrapText="1"/>
    </xf>
    <xf numFmtId="0" fontId="0" fillId="7" borderId="0" xfId="0" applyFill="1" applyAlignment="1">
      <alignment wrapText="1"/>
    </xf>
    <xf numFmtId="0" fontId="0" fillId="7" borderId="10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wrapText="1"/>
    </xf>
    <xf numFmtId="47" fontId="0" fillId="7" borderId="2" xfId="0" applyNumberFormat="1" applyFill="1" applyBorder="1" applyAlignment="1">
      <alignment wrapText="1"/>
    </xf>
    <xf numFmtId="0" fontId="13" fillId="0" borderId="8" xfId="0" applyFont="1" applyBorder="1" applyAlignment="1">
      <alignment wrapText="1"/>
    </xf>
    <xf numFmtId="0" fontId="13" fillId="0" borderId="0" xfId="0" applyFont="1" applyAlignment="1">
      <alignment horizontal="center" vertical="center" wrapText="1"/>
    </xf>
    <xf numFmtId="47" fontId="0" fillId="7" borderId="10" xfId="0" applyNumberFormat="1" applyFill="1" applyBorder="1" applyAlignment="1">
      <alignment wrapText="1"/>
    </xf>
    <xf numFmtId="0" fontId="0" fillId="0" borderId="10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7" borderId="2" xfId="0" applyFill="1" applyBorder="1" applyAlignment="1">
      <alignment wrapText="1"/>
    </xf>
    <xf numFmtId="0" fontId="11" fillId="0" borderId="9" xfId="0" applyFont="1" applyBorder="1" applyAlignment="1">
      <alignment horizontal="center" vertical="center" wrapText="1"/>
    </xf>
    <xf numFmtId="20" fontId="11" fillId="0" borderId="10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0" xfId="0" applyFont="1" applyBorder="1"/>
    <xf numFmtId="0" fontId="11" fillId="7" borderId="10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20" fontId="11" fillId="8" borderId="2" xfId="0" applyNumberFormat="1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11" fillId="8" borderId="12" xfId="0" applyFont="1" applyFill="1" applyBorder="1" applyAlignment="1">
      <alignment horizontal="center" vertical="center" wrapText="1"/>
    </xf>
    <xf numFmtId="20" fontId="11" fillId="8" borderId="12" xfId="0" applyNumberFormat="1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20" fontId="11" fillId="0" borderId="12" xfId="0" applyNumberFormat="1" applyFont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wrapText="1"/>
    </xf>
    <xf numFmtId="0" fontId="11" fillId="2" borderId="12" xfId="0" applyFont="1" applyFill="1" applyBorder="1" applyAlignment="1">
      <alignment horizontal="center" vertical="center" wrapText="1"/>
    </xf>
    <xf numFmtId="20" fontId="11" fillId="2" borderId="12" xfId="0" applyNumberFormat="1" applyFont="1" applyFill="1" applyBorder="1" applyAlignment="1">
      <alignment horizontal="center" vertical="center" wrapText="1"/>
    </xf>
    <xf numFmtId="0" fontId="11" fillId="8" borderId="16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20" fontId="11" fillId="0" borderId="17" xfId="0" applyNumberFormat="1" applyFont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11" fillId="0" borderId="21" xfId="0" applyFont="1" applyBorder="1" applyAlignment="1">
      <alignment horizontal="center" vertical="center" wrapText="1"/>
    </xf>
    <xf numFmtId="0" fontId="11" fillId="8" borderId="27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20" fontId="11" fillId="2" borderId="14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20" fontId="11" fillId="2" borderId="27" xfId="0" applyNumberFormat="1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11" fillId="2" borderId="14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7" fontId="0" fillId="7" borderId="2" xfId="0" applyNumberFormat="1" applyFill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47" fontId="0" fillId="7" borderId="0" xfId="0" applyNumberFormat="1" applyFill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7" borderId="0" xfId="0" applyFill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7" borderId="10" xfId="0" applyFill="1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47" fontId="0" fillId="0" borderId="0" xfId="0" applyNumberFormat="1" applyAlignment="1">
      <alignment horizontal="center" wrapText="1"/>
    </xf>
    <xf numFmtId="47" fontId="0" fillId="7" borderId="10" xfId="0" applyNumberFormat="1" applyFill="1" applyBorder="1" applyAlignment="1">
      <alignment horizontal="center" wrapText="1"/>
    </xf>
    <xf numFmtId="0" fontId="0" fillId="7" borderId="2" xfId="0" applyFill="1" applyBorder="1" applyAlignment="1">
      <alignment horizontal="center" wrapText="1"/>
    </xf>
    <xf numFmtId="0" fontId="11" fillId="0" borderId="10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47" fontId="0" fillId="7" borderId="12" xfId="0" applyNumberFormat="1" applyFill="1" applyBorder="1" applyAlignment="1">
      <alignment horizontal="center" wrapText="1"/>
    </xf>
    <xf numFmtId="0" fontId="0" fillId="7" borderId="12" xfId="0" applyFill="1" applyBorder="1" applyAlignment="1">
      <alignment horizontal="center" wrapText="1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 wrapText="1"/>
    </xf>
    <xf numFmtId="0" fontId="0" fillId="7" borderId="19" xfId="0" applyFill="1" applyBorder="1" applyAlignment="1">
      <alignment horizontal="center" wrapText="1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1" fontId="0" fillId="7" borderId="12" xfId="0" applyNumberFormat="1" applyFill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1" xfId="0" applyBorder="1" applyAlignment="1">
      <alignment horizontal="center" wrapText="1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 wrapText="1"/>
    </xf>
    <xf numFmtId="47" fontId="0" fillId="0" borderId="31" xfId="0" applyNumberFormat="1" applyBorder="1" applyAlignment="1">
      <alignment horizontal="center" wrapText="1"/>
    </xf>
    <xf numFmtId="47" fontId="0" fillId="0" borderId="12" xfId="0" applyNumberFormat="1" applyBorder="1" applyAlignment="1">
      <alignment horizontal="center" wrapText="1"/>
    </xf>
    <xf numFmtId="164" fontId="0" fillId="0" borderId="12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47" fontId="0" fillId="0" borderId="27" xfId="0" applyNumberFormat="1" applyBorder="1" applyAlignment="1">
      <alignment horizontal="center" wrapText="1"/>
    </xf>
    <xf numFmtId="47" fontId="0" fillId="0" borderId="12" xfId="0" applyNumberFormat="1" applyBorder="1" applyAlignment="1">
      <alignment horizontal="center"/>
    </xf>
    <xf numFmtId="47" fontId="0" fillId="0" borderId="21" xfId="0" applyNumberFormat="1" applyBorder="1" applyAlignment="1">
      <alignment horizontal="center"/>
    </xf>
    <xf numFmtId="47" fontId="13" fillId="0" borderId="31" xfId="0" applyNumberFormat="1" applyFont="1" applyBorder="1" applyAlignment="1">
      <alignment horizontal="center" wrapText="1"/>
    </xf>
    <xf numFmtId="0" fontId="0" fillId="7" borderId="31" xfId="0" applyFill="1" applyBorder="1" applyAlignment="1">
      <alignment horizontal="center" wrapText="1"/>
    </xf>
    <xf numFmtId="0" fontId="11" fillId="5" borderId="16" xfId="0" applyFont="1" applyFill="1" applyBorder="1" applyAlignment="1">
      <alignment horizontal="center" vertical="center" wrapText="1"/>
    </xf>
    <xf numFmtId="20" fontId="11" fillId="5" borderId="12" xfId="0" applyNumberFormat="1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 vertical="center"/>
    </xf>
    <xf numFmtId="0" fontId="15" fillId="9" borderId="23" xfId="0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horizontal="center" vertical="center" wrapText="1"/>
    </xf>
    <xf numFmtId="0" fontId="15" fillId="9" borderId="25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/>
    </xf>
    <xf numFmtId="0" fontId="13" fillId="0" borderId="13" xfId="0" applyFont="1" applyBorder="1"/>
    <xf numFmtId="0" fontId="13" fillId="0" borderId="14" xfId="0" applyFont="1" applyBorder="1"/>
    <xf numFmtId="0" fontId="0" fillId="0" borderId="14" xfId="0" applyBorder="1"/>
    <xf numFmtId="44" fontId="0" fillId="0" borderId="12" xfId="0" applyNumberFormat="1" applyBorder="1" applyAlignment="1">
      <alignment horizontal="center" vertical="center"/>
    </xf>
    <xf numFmtId="0" fontId="0" fillId="11" borderId="12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20" fontId="11" fillId="2" borderId="0" xfId="0" applyNumberFormat="1" applyFont="1" applyFill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2" fillId="10" borderId="34" xfId="0" applyFont="1" applyFill="1" applyBorder="1" applyAlignment="1">
      <alignment horizontal="center" vertical="center"/>
    </xf>
    <xf numFmtId="0" fontId="12" fillId="10" borderId="35" xfId="0" applyFont="1" applyFill="1" applyBorder="1" applyAlignment="1">
      <alignment horizontal="center" vertical="center"/>
    </xf>
    <xf numFmtId="0" fontId="12" fillId="10" borderId="36" xfId="0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/>
    </xf>
    <xf numFmtId="0" fontId="11" fillId="7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2" borderId="13" xfId="4" applyFont="1" applyFill="1" applyBorder="1" applyAlignment="1">
      <alignment horizontal="center" vertical="center" wrapText="1"/>
    </xf>
    <xf numFmtId="0" fontId="11" fillId="2" borderId="14" xfId="4" applyFont="1" applyFill="1" applyBorder="1" applyAlignment="1">
      <alignment horizontal="center" vertical="center" wrapText="1"/>
    </xf>
    <xf numFmtId="0" fontId="11" fillId="2" borderId="15" xfId="4" applyFont="1" applyFill="1" applyBorder="1" applyAlignment="1">
      <alignment horizontal="center" vertical="center" wrapText="1"/>
    </xf>
    <xf numFmtId="0" fontId="13" fillId="0" borderId="16" xfId="4" applyBorder="1" applyAlignment="1">
      <alignment horizontal="center" vertical="center" wrapText="1"/>
    </xf>
    <xf numFmtId="0" fontId="13" fillId="0" borderId="12" xfId="4" applyBorder="1" applyAlignment="1">
      <alignment horizontal="center" vertical="center" wrapText="1"/>
    </xf>
    <xf numFmtId="20" fontId="13" fillId="0" borderId="12" xfId="4" applyNumberFormat="1" applyBorder="1" applyAlignment="1">
      <alignment horizontal="center" vertical="center" wrapText="1"/>
    </xf>
    <xf numFmtId="0" fontId="13" fillId="0" borderId="17" xfId="4" applyBorder="1" applyAlignment="1">
      <alignment horizontal="center" vertical="center" wrapText="1"/>
    </xf>
    <xf numFmtId="0" fontId="11" fillId="2" borderId="26" xfId="4" applyFont="1" applyFill="1" applyBorder="1" applyAlignment="1">
      <alignment horizontal="center" vertical="center" wrapText="1"/>
    </xf>
    <xf numFmtId="0" fontId="11" fillId="2" borderId="27" xfId="4" applyFont="1" applyFill="1" applyBorder="1" applyAlignment="1">
      <alignment horizontal="center" vertical="center" wrapText="1"/>
    </xf>
    <xf numFmtId="0" fontId="11" fillId="2" borderId="29" xfId="4" applyFont="1" applyFill="1" applyBorder="1" applyAlignment="1">
      <alignment horizontal="center" vertical="center" wrapText="1"/>
    </xf>
    <xf numFmtId="20" fontId="11" fillId="5" borderId="4" xfId="4" applyNumberFormat="1" applyFont="1" applyFill="1" applyBorder="1" applyAlignment="1">
      <alignment vertical="center"/>
    </xf>
    <xf numFmtId="20" fontId="11" fillId="5" borderId="5" xfId="4" applyNumberFormat="1" applyFont="1" applyFill="1" applyBorder="1" applyAlignment="1">
      <alignment horizontal="center" vertical="center" wrapText="1"/>
    </xf>
    <xf numFmtId="0" fontId="17" fillId="3" borderId="0" xfId="4" applyFont="1" applyFill="1"/>
    <xf numFmtId="166" fontId="17" fillId="3" borderId="0" xfId="4" applyNumberFormat="1" applyFont="1" applyFill="1"/>
    <xf numFmtId="0" fontId="18" fillId="3" borderId="0" xfId="4" applyFont="1" applyFill="1"/>
    <xf numFmtId="0" fontId="8" fillId="0" borderId="0" xfId="4" applyFont="1"/>
    <xf numFmtId="0" fontId="8" fillId="0" borderId="0" xfId="4" applyFont="1" applyAlignment="1">
      <alignment wrapText="1"/>
    </xf>
    <xf numFmtId="0" fontId="14" fillId="0" borderId="0" xfId="4" applyFont="1" applyAlignment="1">
      <alignment vertical="center"/>
    </xf>
    <xf numFmtId="0" fontId="14" fillId="0" borderId="0" xfId="4" applyFont="1"/>
    <xf numFmtId="0" fontId="11" fillId="4" borderId="13" xfId="0" applyFont="1" applyFill="1" applyBorder="1" applyAlignment="1" applyProtection="1">
      <alignment horizontal="center" vertical="center"/>
      <protection locked="0"/>
    </xf>
    <xf numFmtId="0" fontId="11" fillId="4" borderId="14" xfId="0" applyFont="1" applyFill="1" applyBorder="1" applyAlignment="1" applyProtection="1">
      <alignment horizontal="center" vertical="center"/>
      <protection locked="0"/>
    </xf>
    <xf numFmtId="0" fontId="11" fillId="4" borderId="14" xfId="0" applyFont="1" applyFill="1" applyBorder="1" applyAlignment="1" applyProtection="1">
      <alignment horizontal="left" vertical="center"/>
      <protection locked="0"/>
    </xf>
    <xf numFmtId="0" fontId="11" fillId="4" borderId="43" xfId="0" applyFont="1" applyFill="1" applyBorder="1" applyAlignment="1" applyProtection="1">
      <alignment horizontal="center" vertical="center"/>
      <protection locked="0"/>
    </xf>
    <xf numFmtId="0" fontId="13" fillId="0" borderId="0" xfId="0" applyFont="1" applyProtection="1">
      <protection locked="0"/>
    </xf>
    <xf numFmtId="0" fontId="13" fillId="11" borderId="12" xfId="0" applyFont="1" applyFill="1" applyBorder="1" applyAlignment="1" applyProtection="1">
      <alignment horizontal="left" vertical="center"/>
      <protection locked="0"/>
    </xf>
    <xf numFmtId="0" fontId="13" fillId="11" borderId="12" xfId="0" applyFont="1" applyFill="1" applyBorder="1" applyAlignment="1" applyProtection="1">
      <alignment horizontal="center" vertical="center"/>
      <protection locked="0"/>
    </xf>
    <xf numFmtId="0" fontId="13" fillId="0" borderId="0" xfId="4" applyAlignment="1" applyProtection="1">
      <alignment horizontal="center" vertical="center"/>
      <protection locked="0"/>
    </xf>
    <xf numFmtId="0" fontId="13" fillId="11" borderId="12" xfId="0" applyFont="1" applyFill="1" applyBorder="1" applyProtection="1">
      <protection locked="0"/>
    </xf>
    <xf numFmtId="0" fontId="13" fillId="11" borderId="12" xfId="0" applyFont="1" applyFill="1" applyBorder="1" applyAlignment="1" applyProtection="1">
      <alignment horizontal="center"/>
      <protection locked="0"/>
    </xf>
    <xf numFmtId="0" fontId="13" fillId="11" borderId="0" xfId="0" applyFont="1" applyFill="1" applyAlignment="1" applyProtection="1">
      <alignment horizontal="left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left" vertical="center"/>
      <protection locked="0"/>
    </xf>
    <xf numFmtId="0" fontId="13" fillId="11" borderId="0" xfId="0" applyFont="1" applyFill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0" fillId="0" borderId="0" xfId="0" applyProtection="1">
      <protection locked="0"/>
    </xf>
    <xf numFmtId="0" fontId="28" fillId="11" borderId="16" xfId="0" applyFont="1" applyFill="1" applyBorder="1" applyAlignment="1" applyProtection="1">
      <alignment horizontal="center" vertical="center"/>
      <protection locked="0"/>
    </xf>
    <xf numFmtId="0" fontId="28" fillId="0" borderId="12" xfId="0" applyFont="1" applyBorder="1" applyAlignment="1">
      <alignment horizontal="center"/>
    </xf>
    <xf numFmtId="0" fontId="28" fillId="11" borderId="12" xfId="0" applyFont="1" applyFill="1" applyBorder="1" applyProtection="1">
      <protection locked="0"/>
    </xf>
    <xf numFmtId="0" fontId="28" fillId="0" borderId="12" xfId="0" applyFont="1" applyBorder="1" applyAlignment="1">
      <alignment horizontal="center" vertical="center"/>
    </xf>
    <xf numFmtId="0" fontId="28" fillId="11" borderId="12" xfId="0" applyFont="1" applyFill="1" applyBorder="1" applyAlignment="1" applyProtection="1">
      <alignment horizontal="center"/>
      <protection locked="0"/>
    </xf>
    <xf numFmtId="0" fontId="28" fillId="11" borderId="17" xfId="0" applyFont="1" applyFill="1" applyBorder="1" applyAlignment="1" applyProtection="1">
      <alignment horizontal="center" vertical="center"/>
      <protection locked="0"/>
    </xf>
    <xf numFmtId="0" fontId="0" fillId="11" borderId="21" xfId="0" applyFill="1" applyBorder="1" applyAlignment="1" applyProtection="1">
      <alignment horizontal="center"/>
      <protection locked="0"/>
    </xf>
    <xf numFmtId="0" fontId="0" fillId="11" borderId="32" xfId="0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11" borderId="12" xfId="0" applyFill="1" applyBorder="1" applyAlignment="1" applyProtection="1">
      <alignment horizontal="center"/>
      <protection locked="0"/>
    </xf>
    <xf numFmtId="0" fontId="0" fillId="11" borderId="17" xfId="0" applyFill="1" applyBorder="1" applyAlignment="1" applyProtection="1">
      <alignment horizontal="center"/>
      <protection locked="0"/>
    </xf>
    <xf numFmtId="0" fontId="0" fillId="11" borderId="19" xfId="0" applyFill="1" applyBorder="1" applyAlignment="1" applyProtection="1">
      <alignment horizontal="center"/>
      <protection locked="0"/>
    </xf>
    <xf numFmtId="0" fontId="0" fillId="11" borderId="22" xfId="0" applyFill="1" applyBorder="1" applyAlignment="1" applyProtection="1">
      <alignment horizontal="center"/>
      <protection locked="0"/>
    </xf>
    <xf numFmtId="0" fontId="0" fillId="11" borderId="20" xfId="0" applyFill="1" applyBorder="1" applyAlignment="1" applyProtection="1">
      <alignment horizontal="center"/>
      <protection locked="0"/>
    </xf>
    <xf numFmtId="0" fontId="0" fillId="11" borderId="17" xfId="0" applyFill="1" applyBorder="1" applyAlignment="1" applyProtection="1">
      <alignment horizontal="center" vertical="center"/>
      <protection locked="0"/>
    </xf>
    <xf numFmtId="0" fontId="0" fillId="11" borderId="20" xfId="0" applyFill="1" applyBorder="1" applyAlignment="1" applyProtection="1">
      <alignment horizontal="center" vertical="center"/>
      <protection locked="0"/>
    </xf>
    <xf numFmtId="0" fontId="11" fillId="11" borderId="12" xfId="0" applyFont="1" applyFill="1" applyBorder="1" applyAlignment="1" applyProtection="1">
      <alignment horizontal="center" vertical="center" wrapText="1"/>
      <protection locked="0"/>
    </xf>
    <xf numFmtId="0" fontId="11" fillId="11" borderId="21" xfId="0" applyFont="1" applyFill="1" applyBorder="1" applyAlignment="1" applyProtection="1">
      <alignment horizontal="center" vertical="center" wrapText="1"/>
      <protection locked="0"/>
    </xf>
    <xf numFmtId="20" fontId="11" fillId="11" borderId="17" xfId="0" applyNumberFormat="1" applyFont="1" applyFill="1" applyBorder="1" applyAlignment="1" applyProtection="1">
      <alignment horizontal="center" vertical="center" wrapText="1"/>
      <protection locked="0"/>
    </xf>
    <xf numFmtId="0" fontId="0" fillId="11" borderId="31" xfId="0" applyFill="1" applyBorder="1" applyAlignment="1" applyProtection="1">
      <alignment horizontal="center"/>
      <protection locked="0"/>
    </xf>
    <xf numFmtId="0" fontId="0" fillId="11" borderId="33" xfId="0" applyFill="1" applyBorder="1" applyAlignment="1" applyProtection="1">
      <alignment horizontal="center"/>
      <protection locked="0"/>
    </xf>
    <xf numFmtId="0" fontId="13" fillId="11" borderId="17" xfId="0" applyFont="1" applyFill="1" applyBorder="1" applyAlignment="1" applyProtection="1">
      <alignment horizontal="center"/>
      <protection locked="0"/>
    </xf>
    <xf numFmtId="0" fontId="11" fillId="6" borderId="7" xfId="0" applyFont="1" applyFill="1" applyBorder="1" applyAlignment="1" applyProtection="1">
      <alignment horizontal="center" vertical="center" wrapText="1"/>
      <protection locked="0"/>
    </xf>
    <xf numFmtId="20" fontId="11" fillId="6" borderId="0" xfId="0" applyNumberFormat="1" applyFont="1" applyFill="1" applyAlignment="1" applyProtection="1">
      <alignment horizontal="center" vertical="center" wrapText="1"/>
      <protection locked="0"/>
    </xf>
    <xf numFmtId="0" fontId="11" fillId="6" borderId="0" xfId="0" applyFont="1" applyFill="1" applyAlignment="1" applyProtection="1">
      <alignment horizontal="center" vertical="center" wrapText="1"/>
      <protection locked="0"/>
    </xf>
    <xf numFmtId="0" fontId="11" fillId="6" borderId="0" xfId="0" applyFont="1" applyFill="1" applyProtection="1">
      <protection locked="0"/>
    </xf>
    <xf numFmtId="0" fontId="11" fillId="6" borderId="0" xfId="0" applyFont="1" applyFill="1" applyAlignment="1" applyProtection="1">
      <alignment horizontal="center" vertical="center"/>
      <protection locked="0"/>
    </xf>
    <xf numFmtId="0" fontId="0" fillId="6" borderId="0" xfId="0" applyFill="1" applyProtection="1">
      <protection locked="0"/>
    </xf>
    <xf numFmtId="0" fontId="0" fillId="0" borderId="7" xfId="0" applyBorder="1" applyProtection="1">
      <protection locked="0"/>
    </xf>
    <xf numFmtId="0" fontId="25" fillId="12" borderId="34" xfId="0" applyFont="1" applyFill="1" applyBorder="1" applyAlignment="1" applyProtection="1">
      <alignment horizontal="right" vertical="center"/>
      <protection locked="0"/>
    </xf>
    <xf numFmtId="44" fontId="25" fillId="12" borderId="36" xfId="13" applyFont="1" applyFill="1" applyBorder="1" applyAlignment="1" applyProtection="1">
      <alignment vertical="center"/>
      <protection locked="0"/>
    </xf>
    <xf numFmtId="44" fontId="0" fillId="0" borderId="0" xfId="0" applyNumberFormat="1" applyAlignment="1">
      <alignment horizontal="center" vertical="center"/>
    </xf>
    <xf numFmtId="0" fontId="30" fillId="10" borderId="48" xfId="0" applyFont="1" applyFill="1" applyBorder="1" applyAlignment="1" applyProtection="1">
      <alignment horizontal="center" vertical="center"/>
      <protection locked="0"/>
    </xf>
    <xf numFmtId="44" fontId="0" fillId="0" borderId="44" xfId="0" applyNumberFormat="1" applyBorder="1" applyAlignment="1">
      <alignment horizontal="center" vertical="center"/>
    </xf>
    <xf numFmtId="0" fontId="27" fillId="10" borderId="13" xfId="0" applyFont="1" applyFill="1" applyBorder="1" applyAlignment="1" applyProtection="1">
      <alignment horizontal="center" vertical="center"/>
      <protection locked="0"/>
    </xf>
    <xf numFmtId="0" fontId="27" fillId="10" borderId="14" xfId="0" applyFont="1" applyFill="1" applyBorder="1" applyAlignment="1" applyProtection="1">
      <alignment horizontal="center" vertical="center"/>
      <protection locked="0"/>
    </xf>
    <xf numFmtId="0" fontId="27" fillId="10" borderId="15" xfId="0" applyFont="1" applyFill="1" applyBorder="1" applyAlignment="1" applyProtection="1">
      <alignment horizontal="center" vertical="center"/>
      <protection locked="0"/>
    </xf>
    <xf numFmtId="0" fontId="28" fillId="11" borderId="12" xfId="0" applyFont="1" applyFill="1" applyBorder="1" applyAlignment="1" applyProtection="1">
      <alignment horizontal="center" vertical="center"/>
      <protection locked="0"/>
    </xf>
    <xf numFmtId="0" fontId="25" fillId="0" borderId="0" xfId="4" applyFont="1"/>
    <xf numFmtId="0" fontId="31" fillId="0" borderId="0" xfId="4" applyFont="1" applyAlignment="1">
      <alignment horizontal="left"/>
    </xf>
    <xf numFmtId="0" fontId="31" fillId="0" borderId="0" xfId="4" applyFont="1"/>
    <xf numFmtId="0" fontId="31" fillId="0" borderId="0" xfId="4" applyFont="1" applyAlignment="1">
      <alignment wrapText="1"/>
    </xf>
    <xf numFmtId="0" fontId="32" fillId="0" borderId="0" xfId="4" applyFont="1"/>
    <xf numFmtId="0" fontId="25" fillId="0" borderId="0" xfId="0" applyFont="1"/>
    <xf numFmtId="0" fontId="0" fillId="0" borderId="3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10" xfId="0" applyBorder="1" applyAlignment="1">
      <alignment vertical="center"/>
    </xf>
    <xf numFmtId="0" fontId="11" fillId="0" borderId="11" xfId="0" applyFont="1" applyBorder="1" applyAlignment="1">
      <alignment horizontal="center" vertical="center" wrapText="1"/>
    </xf>
    <xf numFmtId="0" fontId="11" fillId="13" borderId="13" xfId="0" applyFont="1" applyFill="1" applyBorder="1" applyAlignment="1">
      <alignment horizontal="center" vertical="center" wrapText="1"/>
    </xf>
    <xf numFmtId="0" fontId="11" fillId="13" borderId="14" xfId="0" applyFont="1" applyFill="1" applyBorder="1" applyAlignment="1">
      <alignment horizontal="center" vertical="center" wrapText="1"/>
    </xf>
    <xf numFmtId="20" fontId="11" fillId="13" borderId="14" xfId="0" applyNumberFormat="1" applyFont="1" applyFill="1" applyBorder="1" applyAlignment="1">
      <alignment horizontal="center" vertical="center" wrapText="1"/>
    </xf>
    <xf numFmtId="164" fontId="11" fillId="13" borderId="14" xfId="0" applyNumberFormat="1" applyFont="1" applyFill="1" applyBorder="1" applyAlignment="1">
      <alignment horizontal="center" vertical="center" wrapText="1"/>
    </xf>
    <xf numFmtId="0" fontId="11" fillId="13" borderId="15" xfId="0" applyFont="1" applyFill="1" applyBorder="1" applyAlignment="1">
      <alignment horizontal="center" vertical="center" wrapText="1"/>
    </xf>
    <xf numFmtId="0" fontId="11" fillId="13" borderId="16" xfId="0" applyFont="1" applyFill="1" applyBorder="1" applyAlignment="1">
      <alignment horizontal="center" vertical="center" wrapText="1"/>
    </xf>
    <xf numFmtId="0" fontId="11" fillId="13" borderId="12" xfId="0" applyFont="1" applyFill="1" applyBorder="1" applyAlignment="1">
      <alignment horizontal="center" vertical="center" wrapText="1"/>
    </xf>
    <xf numFmtId="20" fontId="11" fillId="13" borderId="12" xfId="0" applyNumberFormat="1" applyFont="1" applyFill="1" applyBorder="1" applyAlignment="1">
      <alignment horizontal="center" vertical="center" wrapText="1"/>
    </xf>
    <xf numFmtId="0" fontId="11" fillId="13" borderId="17" xfId="0" applyFont="1" applyFill="1" applyBorder="1" applyAlignment="1">
      <alignment horizontal="center" vertical="center" wrapText="1"/>
    </xf>
    <xf numFmtId="0" fontId="13" fillId="0" borderId="0" xfId="4" applyProtection="1">
      <protection locked="0"/>
    </xf>
    <xf numFmtId="0" fontId="11" fillId="13" borderId="42" xfId="0" applyFont="1" applyFill="1" applyBorder="1" applyAlignment="1">
      <alignment vertical="center" textRotation="255"/>
    </xf>
    <xf numFmtId="0" fontId="20" fillId="0" borderId="16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vertical="center"/>
    </xf>
    <xf numFmtId="44" fontId="20" fillId="0" borderId="12" xfId="0" applyNumberFormat="1" applyFont="1" applyBorder="1" applyAlignment="1">
      <alignment horizontal="center" vertical="center"/>
    </xf>
    <xf numFmtId="0" fontId="20" fillId="11" borderId="17" xfId="0" applyFont="1" applyFill="1" applyBorder="1" applyAlignment="1" applyProtection="1">
      <alignment horizontal="center" vertical="center"/>
      <protection locked="0"/>
    </xf>
    <xf numFmtId="44" fontId="20" fillId="0" borderId="44" xfId="0" applyNumberFormat="1" applyFont="1" applyBorder="1" applyAlignment="1">
      <alignment horizontal="center" vertical="center"/>
    </xf>
    <xf numFmtId="44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11" borderId="20" xfId="0" applyFont="1" applyFill="1" applyBorder="1" applyAlignment="1" applyProtection="1">
      <alignment horizontal="center" vertical="center"/>
      <protection locked="0"/>
    </xf>
    <xf numFmtId="44" fontId="20" fillId="0" borderId="46" xfId="0" applyNumberFormat="1" applyFont="1" applyBorder="1" applyAlignment="1">
      <alignment horizontal="center" vertical="center"/>
    </xf>
    <xf numFmtId="0" fontId="15" fillId="0" borderId="49" xfId="0" applyFont="1" applyBorder="1" applyAlignment="1">
      <alignment horizontal="right" vertical="center"/>
    </xf>
    <xf numFmtId="0" fontId="20" fillId="0" borderId="39" xfId="0" applyFont="1" applyBorder="1" applyAlignment="1" applyProtection="1">
      <alignment horizontal="center" vertical="center"/>
      <protection locked="0"/>
    </xf>
    <xf numFmtId="0" fontId="20" fillId="0" borderId="37" xfId="0" applyFont="1" applyBorder="1" applyAlignment="1" applyProtection="1">
      <alignment horizontal="center" vertical="center"/>
      <protection locked="0"/>
    </xf>
    <xf numFmtId="49" fontId="20" fillId="0" borderId="38" xfId="0" applyNumberFormat="1" applyFont="1" applyBorder="1" applyAlignment="1" applyProtection="1">
      <alignment horizontal="center" textRotation="90"/>
      <protection locked="0"/>
    </xf>
    <xf numFmtId="0" fontId="0" fillId="0" borderId="0" xfId="0" applyAlignment="1" applyProtection="1">
      <alignment textRotation="90"/>
      <protection locked="0"/>
    </xf>
    <xf numFmtId="0" fontId="0" fillId="0" borderId="0" xfId="0" applyAlignment="1">
      <alignment textRotation="90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20" fontId="15" fillId="2" borderId="2" xfId="0" applyNumberFormat="1" applyFont="1" applyFill="1" applyBorder="1" applyAlignment="1">
      <alignment horizontal="center" vertical="center" wrapText="1"/>
    </xf>
    <xf numFmtId="0" fontId="15" fillId="2" borderId="2" xfId="0" applyFont="1" applyFill="1" applyBorder="1" applyAlignment="1" applyProtection="1">
      <alignment vertical="center" wrapText="1"/>
      <protection locked="0"/>
    </xf>
    <xf numFmtId="0" fontId="15" fillId="2" borderId="2" xfId="0" applyFont="1" applyFill="1" applyBorder="1" applyAlignment="1" applyProtection="1">
      <alignment horizontal="center" vertical="center" wrapText="1"/>
      <protection locked="0"/>
    </xf>
    <xf numFmtId="0" fontId="15" fillId="2" borderId="3" xfId="0" applyFont="1" applyFill="1" applyBorder="1" applyAlignment="1">
      <alignment horizontal="center" vertical="center" wrapText="1"/>
    </xf>
    <xf numFmtId="0" fontId="20" fillId="11" borderId="7" xfId="0" applyFont="1" applyFill="1" applyBorder="1" applyAlignment="1" applyProtection="1">
      <alignment vertical="center"/>
      <protection locked="0"/>
    </xf>
    <xf numFmtId="0" fontId="20" fillId="0" borderId="0" xfId="0" applyFont="1" applyAlignment="1" applyProtection="1">
      <alignment vertical="center"/>
      <protection locked="0"/>
    </xf>
    <xf numFmtId="0" fontId="15" fillId="0" borderId="7" xfId="0" applyFont="1" applyBorder="1" applyAlignment="1">
      <alignment horizontal="center" vertical="center" wrapText="1"/>
    </xf>
    <xf numFmtId="20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11" borderId="0" xfId="0" applyFont="1" applyFill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8" xfId="0" applyFont="1" applyBorder="1" applyAlignment="1">
      <alignment horizontal="center" vertical="center"/>
    </xf>
    <xf numFmtId="0" fontId="20" fillId="0" borderId="7" xfId="0" applyFont="1" applyBorder="1" applyAlignment="1">
      <alignment vertical="center"/>
    </xf>
    <xf numFmtId="0" fontId="20" fillId="0" borderId="0" xfId="0" applyFont="1" applyAlignment="1">
      <alignment vertical="center" wrapText="1"/>
    </xf>
    <xf numFmtId="1" fontId="20" fillId="11" borderId="0" xfId="0" applyNumberFormat="1" applyFont="1" applyFill="1" applyAlignment="1" applyProtection="1">
      <alignment vertical="center" wrapText="1"/>
      <protection locked="0"/>
    </xf>
    <xf numFmtId="0" fontId="20" fillId="0" borderId="8" xfId="0" applyFont="1" applyBorder="1" applyAlignment="1">
      <alignment vertical="center" wrapText="1"/>
    </xf>
    <xf numFmtId="0" fontId="20" fillId="0" borderId="9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 wrapText="1"/>
    </xf>
    <xf numFmtId="1" fontId="20" fillId="11" borderId="10" xfId="0" applyNumberFormat="1" applyFont="1" applyFill="1" applyBorder="1" applyAlignment="1" applyProtection="1">
      <alignment vertical="center" wrapText="1"/>
      <protection locked="0"/>
    </xf>
    <xf numFmtId="0" fontId="20" fillId="0" borderId="10" xfId="0" applyFont="1" applyBorder="1" applyAlignment="1" applyProtection="1">
      <alignment vertical="center"/>
      <protection locked="0"/>
    </xf>
    <xf numFmtId="0" fontId="20" fillId="0" borderId="11" xfId="0" applyFont="1" applyBorder="1" applyAlignment="1">
      <alignment vertical="center" wrapText="1"/>
    </xf>
    <xf numFmtId="0" fontId="20" fillId="0" borderId="0" xfId="0" applyFont="1" applyAlignment="1">
      <alignment horizontal="center" vertical="center" textRotation="90"/>
    </xf>
    <xf numFmtId="0" fontId="39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47" fontId="20" fillId="11" borderId="0" xfId="0" applyNumberFormat="1" applyFont="1" applyFill="1" applyAlignment="1" applyProtection="1">
      <alignment vertical="center" wrapText="1"/>
      <protection locked="0"/>
    </xf>
    <xf numFmtId="47" fontId="20" fillId="11" borderId="10" xfId="0" applyNumberFormat="1" applyFont="1" applyFill="1" applyBorder="1" applyAlignment="1" applyProtection="1">
      <alignment vertical="center" wrapText="1"/>
      <protection locked="0"/>
    </xf>
    <xf numFmtId="0" fontId="20" fillId="0" borderId="0" xfId="0" applyFont="1" applyAlignment="1" applyProtection="1">
      <alignment vertical="center" wrapText="1"/>
      <protection locked="0"/>
    </xf>
    <xf numFmtId="0" fontId="15" fillId="0" borderId="0" xfId="0" applyFont="1" applyAlignment="1" applyProtection="1">
      <alignment vertical="center" wrapText="1"/>
      <protection locked="0"/>
    </xf>
    <xf numFmtId="0" fontId="20" fillId="0" borderId="7" xfId="0" applyFont="1" applyBorder="1" applyAlignment="1" applyProtection="1">
      <alignment vertical="center"/>
      <protection locked="0"/>
    </xf>
    <xf numFmtId="47" fontId="20" fillId="0" borderId="0" xfId="0" applyNumberFormat="1" applyFont="1" applyAlignment="1" applyProtection="1">
      <alignment vertical="center" wrapText="1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47" fontId="20" fillId="0" borderId="10" xfId="0" applyNumberFormat="1" applyFont="1" applyBorder="1" applyAlignment="1" applyProtection="1">
      <alignment vertical="center" wrapText="1"/>
      <protection locked="0"/>
    </xf>
    <xf numFmtId="0" fontId="20" fillId="0" borderId="13" xfId="0" applyFont="1" applyBorder="1" applyAlignment="1">
      <alignment vertical="center"/>
    </xf>
    <xf numFmtId="0" fontId="20" fillId="0" borderId="14" xfId="0" applyFont="1" applyBorder="1" applyAlignment="1">
      <alignment vertical="center"/>
    </xf>
    <xf numFmtId="0" fontId="20" fillId="0" borderId="14" xfId="0" applyFont="1" applyBorder="1" applyAlignment="1">
      <alignment vertical="center" wrapText="1"/>
    </xf>
    <xf numFmtId="0" fontId="20" fillId="0" borderId="14" xfId="0" applyFont="1" applyBorder="1" applyAlignment="1" applyProtection="1">
      <alignment vertical="center"/>
      <protection locked="0"/>
    </xf>
    <xf numFmtId="0" fontId="20" fillId="0" borderId="15" xfId="0" applyFont="1" applyBorder="1" applyAlignment="1">
      <alignment vertical="center" wrapText="1"/>
    </xf>
    <xf numFmtId="0" fontId="20" fillId="0" borderId="18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vertical="center" wrapText="1"/>
    </xf>
    <xf numFmtId="0" fontId="20" fillId="0" borderId="19" xfId="0" applyFont="1" applyBorder="1" applyAlignment="1" applyProtection="1">
      <alignment vertical="center"/>
      <protection locked="0"/>
    </xf>
    <xf numFmtId="0" fontId="20" fillId="0" borderId="20" xfId="0" applyFont="1" applyBorder="1" applyAlignment="1">
      <alignment vertical="center" wrapText="1"/>
    </xf>
    <xf numFmtId="0" fontId="20" fillId="0" borderId="26" xfId="0" applyFont="1" applyBorder="1" applyAlignment="1">
      <alignment vertical="center"/>
    </xf>
    <xf numFmtId="0" fontId="20" fillId="0" borderId="27" xfId="0" applyFont="1" applyBorder="1" applyAlignment="1">
      <alignment vertical="center"/>
    </xf>
    <xf numFmtId="0" fontId="20" fillId="0" borderId="27" xfId="0" applyFont="1" applyBorder="1" applyAlignment="1">
      <alignment vertical="center" wrapText="1"/>
    </xf>
    <xf numFmtId="0" fontId="20" fillId="0" borderId="27" xfId="0" applyFont="1" applyBorder="1" applyAlignment="1" applyProtection="1">
      <alignment vertical="center"/>
      <protection locked="0"/>
    </xf>
    <xf numFmtId="0" fontId="20" fillId="0" borderId="29" xfId="0" applyFont="1" applyBorder="1" applyAlignment="1">
      <alignment vertical="center" wrapText="1"/>
    </xf>
    <xf numFmtId="0" fontId="20" fillId="0" borderId="30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0" fontId="20" fillId="0" borderId="31" xfId="0" applyFont="1" applyBorder="1" applyAlignment="1">
      <alignment vertical="center" wrapText="1"/>
    </xf>
    <xf numFmtId="0" fontId="20" fillId="0" borderId="31" xfId="0" applyFont="1" applyBorder="1" applyAlignment="1" applyProtection="1">
      <alignment vertical="center"/>
      <protection locked="0"/>
    </xf>
    <xf numFmtId="0" fontId="20" fillId="0" borderId="33" xfId="0" applyFont="1" applyBorder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20" fillId="0" borderId="2" xfId="0" applyFont="1" applyBorder="1" applyAlignment="1">
      <alignment vertical="center" wrapText="1"/>
    </xf>
    <xf numFmtId="0" fontId="20" fillId="0" borderId="2" xfId="0" applyFont="1" applyBorder="1" applyAlignment="1">
      <alignment horizontal="center" vertical="center" wrapText="1"/>
    </xf>
    <xf numFmtId="1" fontId="20" fillId="11" borderId="2" xfId="0" applyNumberFormat="1" applyFont="1" applyFill="1" applyBorder="1" applyAlignment="1" applyProtection="1">
      <alignment vertical="center" wrapText="1"/>
      <protection locked="0"/>
    </xf>
    <xf numFmtId="0" fontId="20" fillId="0" borderId="2" xfId="0" applyFont="1" applyBorder="1" applyAlignment="1" applyProtection="1">
      <alignment vertical="center"/>
      <protection locked="0"/>
    </xf>
    <xf numFmtId="0" fontId="20" fillId="0" borderId="3" xfId="0" applyFont="1" applyBorder="1" applyAlignment="1">
      <alignment vertical="center" wrapText="1"/>
    </xf>
    <xf numFmtId="0" fontId="11" fillId="3" borderId="4" xfId="4" applyFont="1" applyFill="1" applyBorder="1" applyAlignment="1">
      <alignment horizontal="center"/>
    </xf>
    <xf numFmtId="0" fontId="11" fillId="3" borderId="5" xfId="4" applyFont="1" applyFill="1" applyBorder="1" applyAlignment="1">
      <alignment horizontal="center"/>
    </xf>
    <xf numFmtId="0" fontId="11" fillId="5" borderId="5" xfId="4" applyFont="1" applyFill="1" applyBorder="1" applyAlignment="1">
      <alignment horizontal="left" vertical="center"/>
    </xf>
    <xf numFmtId="0" fontId="11" fillId="5" borderId="6" xfId="4" applyFont="1" applyFill="1" applyBorder="1" applyAlignment="1">
      <alignment horizontal="left" vertical="center"/>
    </xf>
    <xf numFmtId="0" fontId="13" fillId="14" borderId="12" xfId="0" applyFont="1" applyFill="1" applyBorder="1" applyAlignment="1" applyProtection="1">
      <alignment horizontal="center"/>
      <protection locked="0"/>
    </xf>
    <xf numFmtId="0" fontId="13" fillId="14" borderId="12" xfId="0" applyFont="1" applyFill="1" applyBorder="1" applyAlignment="1" applyProtection="1">
      <alignment horizontal="left" vertical="center"/>
      <protection locked="0"/>
    </xf>
    <xf numFmtId="0" fontId="13" fillId="14" borderId="12" xfId="0" applyFont="1" applyFill="1" applyBorder="1" applyAlignment="1">
      <alignment horizontal="center"/>
    </xf>
    <xf numFmtId="0" fontId="13" fillId="0" borderId="0" xfId="0" applyFont="1" applyAlignment="1">
      <alignment horizontal="center" wrapText="1"/>
    </xf>
    <xf numFmtId="20" fontId="40" fillId="2" borderId="2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wrapText="1"/>
    </xf>
    <xf numFmtId="47" fontId="0" fillId="7" borderId="5" xfId="0" applyNumberFormat="1" applyFill="1" applyBorder="1" applyAlignment="1">
      <alignment horizontal="center"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 wrapText="1"/>
    </xf>
    <xf numFmtId="47" fontId="0" fillId="0" borderId="10" xfId="0" applyNumberFormat="1" applyBorder="1" applyAlignment="1">
      <alignment horizontal="center" wrapText="1"/>
    </xf>
    <xf numFmtId="47" fontId="0" fillId="0" borderId="2" xfId="0" applyNumberFormat="1" applyBorder="1" applyAlignment="1">
      <alignment horizontal="center" wrapText="1"/>
    </xf>
    <xf numFmtId="14" fontId="20" fillId="11" borderId="0" xfId="0" applyNumberFormat="1" applyFont="1" applyFill="1" applyAlignment="1" applyProtection="1">
      <alignment vertical="center" wrapText="1"/>
      <protection locked="0"/>
    </xf>
    <xf numFmtId="0" fontId="26" fillId="5" borderId="1" xfId="4" applyFont="1" applyFill="1" applyBorder="1" applyAlignment="1">
      <alignment horizontal="center" vertical="center"/>
    </xf>
    <xf numFmtId="0" fontId="26" fillId="5" borderId="2" xfId="4" applyFont="1" applyFill="1" applyBorder="1" applyAlignment="1">
      <alignment horizontal="center" vertical="center"/>
    </xf>
    <xf numFmtId="0" fontId="26" fillId="5" borderId="3" xfId="4" applyFont="1" applyFill="1" applyBorder="1" applyAlignment="1">
      <alignment horizontal="center" vertical="center"/>
    </xf>
    <xf numFmtId="0" fontId="11" fillId="3" borderId="4" xfId="4" applyFont="1" applyFill="1" applyBorder="1" applyAlignment="1">
      <alignment horizontal="center"/>
    </xf>
    <xf numFmtId="0" fontId="11" fillId="3" borderId="5" xfId="4" applyFont="1" applyFill="1" applyBorder="1" applyAlignment="1">
      <alignment horizontal="center"/>
    </xf>
    <xf numFmtId="0" fontId="11" fillId="5" borderId="5" xfId="4" applyFont="1" applyFill="1" applyBorder="1" applyAlignment="1">
      <alignment horizontal="left" vertical="center"/>
    </xf>
    <xf numFmtId="0" fontId="11" fillId="5" borderId="6" xfId="4" applyFont="1" applyFill="1" applyBorder="1" applyAlignment="1">
      <alignment horizontal="left" vertical="center"/>
    </xf>
    <xf numFmtId="0" fontId="12" fillId="5" borderId="9" xfId="4" applyFont="1" applyFill="1" applyBorder="1" applyAlignment="1">
      <alignment horizontal="center" vertical="center"/>
    </xf>
    <xf numFmtId="0" fontId="12" fillId="5" borderId="10" xfId="4" applyFont="1" applyFill="1" applyBorder="1" applyAlignment="1">
      <alignment horizontal="center" vertical="center"/>
    </xf>
    <xf numFmtId="0" fontId="12" fillId="5" borderId="11" xfId="4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 textRotation="255"/>
    </xf>
    <xf numFmtId="0" fontId="11" fillId="13" borderId="8" xfId="0" applyFont="1" applyFill="1" applyBorder="1" applyAlignment="1">
      <alignment horizontal="center" vertical="center" textRotation="255"/>
    </xf>
    <xf numFmtId="0" fontId="11" fillId="13" borderId="11" xfId="0" applyFont="1" applyFill="1" applyBorder="1" applyAlignment="1">
      <alignment horizontal="center" vertical="center" textRotation="255"/>
    </xf>
    <xf numFmtId="0" fontId="11" fillId="13" borderId="40" xfId="0" applyFont="1" applyFill="1" applyBorder="1" applyAlignment="1">
      <alignment horizontal="center" vertical="center" textRotation="255"/>
    </xf>
    <xf numFmtId="0" fontId="11" fillId="13" borderId="41" xfId="0" applyFont="1" applyFill="1" applyBorder="1" applyAlignment="1">
      <alignment horizontal="center" vertical="center" textRotation="255"/>
    </xf>
    <xf numFmtId="0" fontId="11" fillId="13" borderId="42" xfId="0" applyFont="1" applyFill="1" applyBorder="1" applyAlignment="1">
      <alignment horizontal="center" vertical="center" textRotation="255"/>
    </xf>
    <xf numFmtId="0" fontId="16" fillId="10" borderId="4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47" fontId="20" fillId="11" borderId="24" xfId="0" applyNumberFormat="1" applyFont="1" applyFill="1" applyBorder="1" applyAlignment="1" applyProtection="1">
      <alignment horizontal="center" vertical="center" wrapText="1"/>
      <protection locked="0"/>
    </xf>
    <xf numFmtId="47" fontId="20" fillId="11" borderId="47" xfId="0" applyNumberFormat="1" applyFont="1" applyFill="1" applyBorder="1" applyAlignment="1" applyProtection="1">
      <alignment horizontal="center" vertical="center" wrapText="1"/>
      <protection locked="0"/>
    </xf>
    <xf numFmtId="47" fontId="20" fillId="11" borderId="45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</cellXfs>
  <cellStyles count="23">
    <cellStyle name="Excel Built-in Hyperlink" xfId="17" xr:uid="{00000000-0005-0000-0000-000000000000}"/>
    <cellStyle name="Excel Built-in Normal" xfId="8" xr:uid="{00000000-0005-0000-0000-000001000000}"/>
    <cellStyle name="Excel Built-in Normal 2" xfId="18" xr:uid="{00000000-0005-0000-0000-000002000000}"/>
    <cellStyle name="Heading" xfId="19" xr:uid="{00000000-0005-0000-0000-000003000000}"/>
    <cellStyle name="Heading1" xfId="20" xr:uid="{00000000-0005-0000-0000-000004000000}"/>
    <cellStyle name="Link 2" xfId="6" xr:uid="{00000000-0005-0000-0000-000005000000}"/>
    <cellStyle name="Link 3" xfId="15" xr:uid="{00000000-0005-0000-0000-000006000000}"/>
    <cellStyle name="Result" xfId="21" xr:uid="{00000000-0005-0000-0000-000007000000}"/>
    <cellStyle name="Result2" xfId="22" xr:uid="{00000000-0005-0000-0000-000008000000}"/>
    <cellStyle name="Standard" xfId="0" builtinId="0"/>
    <cellStyle name="Standard 10" xfId="12" xr:uid="{00000000-0005-0000-0000-00000A000000}"/>
    <cellStyle name="Standard 11" xfId="14" xr:uid="{00000000-0005-0000-0000-00000B000000}"/>
    <cellStyle name="Standard 12" xfId="16" xr:uid="{00000000-0005-0000-0000-00000C000000}"/>
    <cellStyle name="Standard 2" xfId="1" xr:uid="{00000000-0005-0000-0000-00000D000000}"/>
    <cellStyle name="Standard 3" xfId="2" xr:uid="{00000000-0005-0000-0000-00000E000000}"/>
    <cellStyle name="Standard 3 2" xfId="3" xr:uid="{00000000-0005-0000-0000-00000F000000}"/>
    <cellStyle name="Standard 4" xfId="4" xr:uid="{00000000-0005-0000-0000-000010000000}"/>
    <cellStyle name="Standard 5" xfId="5" xr:uid="{00000000-0005-0000-0000-000011000000}"/>
    <cellStyle name="Standard 6" xfId="7" xr:uid="{00000000-0005-0000-0000-000012000000}"/>
    <cellStyle name="Standard 7" xfId="9" xr:uid="{00000000-0005-0000-0000-000013000000}"/>
    <cellStyle name="Standard 8" xfId="10" xr:uid="{00000000-0005-0000-0000-000014000000}"/>
    <cellStyle name="Standard 9" xfId="11" xr:uid="{00000000-0005-0000-0000-000015000000}"/>
    <cellStyle name="Währung" xfId="13" builtinId="4"/>
  </cellStyles>
  <dxfs count="15">
    <dxf>
      <numFmt numFmtId="34" formatCode="_-* #,##0.00\ &quot;€&quot;_-;\-* #,##0.00\ &quot;€&quot;_-;_-* &quot;-&quot;??\ &quot;€&quot;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* #,##0.00\ &quot;€&quot;_-;\-* #,##0.00\ &quot;€&quot;_-;_-* &quot;-&quot;??\ &quot;€&quot;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* #,##0.00\ &quot;€&quot;_-;\-* #,##0.00\ &quot;€&quot;_-;_-* &quot;-&quot;??\ &quot;€&quot;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kumente/7.%20RC%20Neptun%20Neckarelz/ERGOCUP/20.%20ERGOCUP%20Neckarelz%202019/RennadressenERGOCUP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sschreibung"/>
      <sheetName val="Eingabe Meldungen"/>
      <sheetName val="Rennlisten"/>
      <sheetName val="Ergebnisse Rennen"/>
      <sheetName val="Kasse Einzelteilnehmer"/>
      <sheetName val="Kasse Verein"/>
      <sheetName val="Waage"/>
    </sheetNames>
    <sheetDataSet>
      <sheetData sheetId="0">
        <row r="4">
          <cell r="B4" t="str">
            <v>Rennen</v>
          </cell>
          <cell r="C4" t="str">
            <v>Wett-bewerb</v>
          </cell>
          <cell r="D4" t="str">
            <v>Startzeit
(erstes Abteil)</v>
          </cell>
          <cell r="E4" t="str">
            <v>Klasse</v>
          </cell>
          <cell r="F4" t="str">
            <v>Gewichtsklasse</v>
          </cell>
          <cell r="G4" t="str">
            <v>Alter</v>
          </cell>
          <cell r="H4" t="str">
            <v>Jahrgang</v>
          </cell>
          <cell r="I4" t="str">
            <v>Strecke</v>
          </cell>
        </row>
        <row r="5">
          <cell r="B5">
            <v>1</v>
          </cell>
          <cell r="C5" t="str">
            <v>Ergocup</v>
          </cell>
          <cell r="D5">
            <v>0.375</v>
          </cell>
          <cell r="E5" t="str">
            <v>Masters A-H, weiblich  </v>
          </cell>
          <cell r="F5" t="str">
            <v>-</v>
          </cell>
          <cell r="G5" t="str">
            <v>27 und älter  </v>
          </cell>
          <cell r="H5" t="str">
            <v>1991 und älter  </v>
          </cell>
          <cell r="I5" t="str">
            <v>30 min.</v>
          </cell>
        </row>
        <row r="6">
          <cell r="B6">
            <v>2</v>
          </cell>
          <cell r="C6" t="str">
            <v>Ergocup</v>
          </cell>
          <cell r="D6">
            <v>0.40277777777777779</v>
          </cell>
          <cell r="E6" t="str">
            <v>Masters A-H, männlich</v>
          </cell>
          <cell r="F6" t="str">
            <v>-</v>
          </cell>
          <cell r="G6" t="str">
            <v>27 und älter</v>
          </cell>
          <cell r="H6" t="str">
            <v>1991 und älter  </v>
          </cell>
          <cell r="I6" t="str">
            <v>30 min.</v>
          </cell>
        </row>
        <row r="7">
          <cell r="B7">
            <v>3</v>
          </cell>
          <cell r="C7" t="str">
            <v>Ergocup</v>
          </cell>
          <cell r="D7">
            <v>0.45833333333333337</v>
          </cell>
          <cell r="E7" t="str">
            <v>Jungen U14</v>
          </cell>
          <cell r="F7" t="str">
            <v>Lgw. bis 50 kg</v>
          </cell>
          <cell r="G7" t="str">
            <v>13 und jünger</v>
          </cell>
          <cell r="H7" t="str">
            <v>2005 und jünger</v>
          </cell>
          <cell r="I7" t="str">
            <v>1000 m</v>
          </cell>
        </row>
        <row r="8">
          <cell r="B8">
            <v>4</v>
          </cell>
          <cell r="C8" t="str">
            <v>Ergocup</v>
          </cell>
          <cell r="D8">
            <v>0.4694444444444445</v>
          </cell>
          <cell r="E8" t="str">
            <v>Jungen U14</v>
          </cell>
          <cell r="F8" t="str">
            <v>-</v>
          </cell>
          <cell r="G8" t="str">
            <v>13 und jünger</v>
          </cell>
          <cell r="H8" t="str">
            <v>2005 und jünger</v>
          </cell>
          <cell r="I8" t="str">
            <v>1000 m</v>
          </cell>
        </row>
        <row r="9">
          <cell r="B9">
            <v>5</v>
          </cell>
          <cell r="C9" t="str">
            <v>Ergocup</v>
          </cell>
          <cell r="D9">
            <v>0.47500000000000003</v>
          </cell>
          <cell r="E9" t="str">
            <v>Mädchen U14</v>
          </cell>
          <cell r="F9" t="str">
            <v>Lgw. bis 50 kg</v>
          </cell>
          <cell r="G9" t="str">
            <v>13 und jünger</v>
          </cell>
          <cell r="H9" t="str">
            <v>2005 und jünger</v>
          </cell>
          <cell r="I9" t="str">
            <v>1000 m</v>
          </cell>
        </row>
        <row r="10">
          <cell r="B10">
            <v>6</v>
          </cell>
          <cell r="C10" t="str">
            <v>Ergocup</v>
          </cell>
          <cell r="D10">
            <v>0.48055555555555557</v>
          </cell>
          <cell r="E10" t="str">
            <v>Mädchen U14</v>
          </cell>
          <cell r="F10" t="str">
            <v>-</v>
          </cell>
          <cell r="G10" t="str">
            <v>13 und jünger</v>
          </cell>
          <cell r="H10" t="str">
            <v>2005 und jünger</v>
          </cell>
          <cell r="I10" t="str">
            <v>1000 m</v>
          </cell>
        </row>
        <row r="11">
          <cell r="B11">
            <v>7</v>
          </cell>
          <cell r="C11" t="str">
            <v>Ergocup</v>
          </cell>
          <cell r="D11">
            <v>0.48055555555555557</v>
          </cell>
          <cell r="E11" t="str">
            <v>Mädchen U15</v>
          </cell>
          <cell r="F11" t="str">
            <v>Lgw. bis 52,5 kg</v>
          </cell>
          <cell r="G11">
            <v>14</v>
          </cell>
          <cell r="H11">
            <v>2004</v>
          </cell>
          <cell r="I11" t="str">
            <v>1000 m</v>
          </cell>
        </row>
        <row r="12">
          <cell r="B12">
            <v>8</v>
          </cell>
          <cell r="C12" t="str">
            <v>Ergocup</v>
          </cell>
          <cell r="D12">
            <v>0.4861111111111111</v>
          </cell>
          <cell r="E12" t="str">
            <v>Mädchen U15</v>
          </cell>
          <cell r="F12" t="str">
            <v>-</v>
          </cell>
          <cell r="G12">
            <v>14</v>
          </cell>
          <cell r="H12">
            <v>2004</v>
          </cell>
          <cell r="I12" t="str">
            <v>1000 m</v>
          </cell>
        </row>
        <row r="13">
          <cell r="B13">
            <v>9</v>
          </cell>
          <cell r="C13" t="str">
            <v>Ergocup</v>
          </cell>
          <cell r="D13">
            <v>0.49166666666666664</v>
          </cell>
          <cell r="E13" t="str">
            <v>Jungen U15</v>
          </cell>
          <cell r="F13" t="str">
            <v>Lgw. bis 55 kg</v>
          </cell>
          <cell r="G13">
            <v>14</v>
          </cell>
          <cell r="H13">
            <v>2004</v>
          </cell>
          <cell r="I13" t="str">
            <v>1000 m</v>
          </cell>
        </row>
        <row r="14">
          <cell r="B14">
            <v>10</v>
          </cell>
          <cell r="C14" t="str">
            <v>Ergocup</v>
          </cell>
          <cell r="D14">
            <v>0.49722222222222218</v>
          </cell>
          <cell r="E14" t="str">
            <v>Jungen U15</v>
          </cell>
          <cell r="F14" t="str">
            <v>-</v>
          </cell>
          <cell r="G14">
            <v>14</v>
          </cell>
          <cell r="H14">
            <v>2004</v>
          </cell>
          <cell r="I14" t="str">
            <v>1000 m</v>
          </cell>
        </row>
        <row r="15">
          <cell r="B15">
            <v>11</v>
          </cell>
          <cell r="C15" t="str">
            <v>Ergocup</v>
          </cell>
          <cell r="D15">
            <v>0.50277777777777777</v>
          </cell>
          <cell r="E15" t="str">
            <v>Juniorinnen B U17</v>
          </cell>
          <cell r="F15" t="str">
            <v>Lgw. bis 57,5kg</v>
          </cell>
          <cell r="G15" t="str">
            <v>15-16</v>
          </cell>
          <cell r="H15" t="str">
            <v>2003 und 2002</v>
          </cell>
          <cell r="I15" t="str">
            <v>1500 m</v>
          </cell>
        </row>
        <row r="16">
          <cell r="B16">
            <v>12</v>
          </cell>
          <cell r="C16" t="str">
            <v>Ergocup</v>
          </cell>
          <cell r="D16">
            <v>0.51111111111111107</v>
          </cell>
          <cell r="E16" t="str">
            <v>Juniorinnen B U17</v>
          </cell>
          <cell r="F16" t="str">
            <v>-</v>
          </cell>
          <cell r="G16" t="str">
            <v>15-16</v>
          </cell>
          <cell r="H16" t="str">
            <v>2003 und 2002</v>
          </cell>
          <cell r="I16" t="str">
            <v>1500 m</v>
          </cell>
        </row>
        <row r="17">
          <cell r="B17">
            <v>13</v>
          </cell>
          <cell r="C17" t="str">
            <v>Ergocup</v>
          </cell>
          <cell r="D17">
            <v>0.51944444444444438</v>
          </cell>
          <cell r="E17" t="str">
            <v>Junioren B U17</v>
          </cell>
          <cell r="F17" t="str">
            <v>Lgw. bis 67,5kg</v>
          </cell>
          <cell r="G17" t="str">
            <v>15-16</v>
          </cell>
          <cell r="H17" t="str">
            <v>2003 und 2002</v>
          </cell>
          <cell r="I17" t="str">
            <v>1500 m</v>
          </cell>
        </row>
        <row r="18">
          <cell r="B18">
            <v>14</v>
          </cell>
          <cell r="C18" t="str">
            <v>Ergocup</v>
          </cell>
          <cell r="D18">
            <v>0.54027777777777775</v>
          </cell>
          <cell r="E18" t="str">
            <v>Junioren B U17</v>
          </cell>
          <cell r="F18" t="str">
            <v>-</v>
          </cell>
          <cell r="G18" t="str">
            <v>15-16</v>
          </cell>
          <cell r="H18" t="str">
            <v>2003 und 2002</v>
          </cell>
          <cell r="I18" t="str">
            <v>1500 m</v>
          </cell>
        </row>
        <row r="19">
          <cell r="B19">
            <v>15</v>
          </cell>
          <cell r="C19" t="str">
            <v>Ergocup</v>
          </cell>
          <cell r="D19">
            <v>0.54722222222222217</v>
          </cell>
          <cell r="E19" t="str">
            <v>Sprint weiblich</v>
          </cell>
          <cell r="F19" t="str">
            <v>-</v>
          </cell>
          <cell r="G19" t="str">
            <v>offen</v>
          </cell>
          <cell r="H19" t="str">
            <v>offen</v>
          </cell>
          <cell r="I19" t="str">
            <v>350 m</v>
          </cell>
        </row>
        <row r="20">
          <cell r="B20">
            <v>16</v>
          </cell>
          <cell r="C20" t="str">
            <v>Ergocup</v>
          </cell>
          <cell r="D20">
            <v>0.54722222222222217</v>
          </cell>
          <cell r="E20" t="str">
            <v>Sprint männlich</v>
          </cell>
          <cell r="F20" t="str">
            <v>-</v>
          </cell>
          <cell r="G20" t="str">
            <v>offen</v>
          </cell>
          <cell r="H20" t="str">
            <v>offen</v>
          </cell>
          <cell r="I20" t="str">
            <v>350 m</v>
          </cell>
        </row>
        <row r="21">
          <cell r="B21">
            <v>0.54722222222222217</v>
          </cell>
          <cell r="C21" t="str">
            <v>bis</v>
          </cell>
          <cell r="D21">
            <v>0.57847222222222217</v>
          </cell>
          <cell r="E21" t="str">
            <v>Siegerehrung ERGOCUP Teil 1 und Pause</v>
          </cell>
        </row>
        <row r="22">
          <cell r="B22" t="str">
            <v>Rennen</v>
          </cell>
          <cell r="C22" t="str">
            <v>Wett-bewerb</v>
          </cell>
          <cell r="D22" t="str">
            <v>Startzeit</v>
          </cell>
          <cell r="E22" t="str">
            <v>Klasse</v>
          </cell>
          <cell r="F22" t="str">
            <v>Gewichtsklasse</v>
          </cell>
          <cell r="G22" t="str">
            <v>Alter</v>
          </cell>
          <cell r="H22" t="str">
            <v>Jahrgang</v>
          </cell>
          <cell r="I22" t="str">
            <v>Strecke</v>
          </cell>
        </row>
        <row r="23">
          <cell r="B23">
            <v>17</v>
          </cell>
          <cell r="C23" t="str">
            <v>Ergocup</v>
          </cell>
          <cell r="D23">
            <v>0.57847222222222217</v>
          </cell>
          <cell r="E23" t="str">
            <v>Juniorinnen A U19</v>
          </cell>
          <cell r="F23" t="str">
            <v>LGW. bis 60 kg</v>
          </cell>
          <cell r="G23" t="str">
            <v>17-18</v>
          </cell>
          <cell r="H23" t="str">
            <v>2001 und 2000</v>
          </cell>
          <cell r="I23" t="str">
            <v>2000 m</v>
          </cell>
        </row>
        <row r="24">
          <cell r="B24">
            <v>18</v>
          </cell>
          <cell r="C24" t="str">
            <v>Ergocup</v>
          </cell>
          <cell r="D24">
            <v>0.57847222222222217</v>
          </cell>
          <cell r="E24" t="str">
            <v>Juniorinnen A U19</v>
          </cell>
          <cell r="F24" t="str">
            <v>-</v>
          </cell>
          <cell r="G24" t="str">
            <v>17-18</v>
          </cell>
          <cell r="H24" t="str">
            <v>2001 und 2000</v>
          </cell>
          <cell r="I24" t="str">
            <v>2000 m</v>
          </cell>
        </row>
        <row r="25">
          <cell r="B25">
            <v>19</v>
          </cell>
          <cell r="C25" t="str">
            <v>Ergocup</v>
          </cell>
          <cell r="D25">
            <v>0.5888888888888888</v>
          </cell>
          <cell r="E25" t="str">
            <v>Junioren A U19</v>
          </cell>
          <cell r="F25" t="str">
            <v>LGW. bis 70 kg</v>
          </cell>
          <cell r="G25" t="str">
            <v>17-18</v>
          </cell>
          <cell r="H25" t="str">
            <v>2001 und 2000</v>
          </cell>
          <cell r="I25" t="str">
            <v>2000 m</v>
          </cell>
        </row>
        <row r="26">
          <cell r="B26">
            <v>20</v>
          </cell>
          <cell r="C26" t="str">
            <v>Ergocup</v>
          </cell>
          <cell r="D26">
            <v>0.59930555555555542</v>
          </cell>
          <cell r="E26" t="str">
            <v>Junioren A U19</v>
          </cell>
          <cell r="F26" t="str">
            <v>-</v>
          </cell>
          <cell r="G26" t="str">
            <v>17-18</v>
          </cell>
          <cell r="H26" t="str">
            <v>2001 und 2000</v>
          </cell>
          <cell r="I26" t="str">
            <v>2000 m</v>
          </cell>
        </row>
        <row r="27">
          <cell r="B27">
            <v>21</v>
          </cell>
          <cell r="C27" t="str">
            <v>Ergocup</v>
          </cell>
          <cell r="D27">
            <v>0.60972222222222205</v>
          </cell>
          <cell r="E27" t="str">
            <v>Seniorinnen A</v>
          </cell>
          <cell r="F27" t="str">
            <v>LGW. bis 61 kg</v>
          </cell>
          <cell r="G27" t="str">
            <v>19 und älter</v>
          </cell>
          <cell r="H27" t="str">
            <v>1999 und älter</v>
          </cell>
          <cell r="I27" t="str">
            <v>2000 m</v>
          </cell>
        </row>
        <row r="28">
          <cell r="B28">
            <v>22</v>
          </cell>
          <cell r="C28" t="str">
            <v>Ergocup</v>
          </cell>
          <cell r="D28">
            <v>0.60972222222222205</v>
          </cell>
          <cell r="E28" t="str">
            <v>Seniorinnen A</v>
          </cell>
          <cell r="F28" t="str">
            <v>-</v>
          </cell>
          <cell r="G28" t="str">
            <v>19 und älter</v>
          </cell>
          <cell r="H28" t="str">
            <v>1999 und älter</v>
          </cell>
          <cell r="I28" t="str">
            <v>2000 m</v>
          </cell>
        </row>
        <row r="29">
          <cell r="B29">
            <v>23</v>
          </cell>
          <cell r="C29" t="str">
            <v>Ergocup</v>
          </cell>
          <cell r="D29">
            <v>0.60972222222222205</v>
          </cell>
          <cell r="E29" t="str">
            <v>Senioren A</v>
          </cell>
          <cell r="F29" t="str">
            <v>LGW. bis 75 kg</v>
          </cell>
          <cell r="G29" t="str">
            <v>19 und älter</v>
          </cell>
          <cell r="H29" t="str">
            <v>1999 und älter</v>
          </cell>
          <cell r="I29" t="str">
            <v>2000 m</v>
          </cell>
        </row>
        <row r="30">
          <cell r="B30">
            <v>24</v>
          </cell>
          <cell r="C30" t="str">
            <v>Ergocup</v>
          </cell>
          <cell r="D30">
            <v>0.62013888888888868</v>
          </cell>
          <cell r="E30" t="str">
            <v>Senioren A</v>
          </cell>
          <cell r="F30" t="str">
            <v>-</v>
          </cell>
          <cell r="G30" t="str">
            <v>19 und älter</v>
          </cell>
          <cell r="H30" t="str">
            <v>1999 und älter</v>
          </cell>
          <cell r="I30" t="str">
            <v>2000 m</v>
          </cell>
        </row>
        <row r="31">
          <cell r="B31">
            <v>25</v>
          </cell>
          <cell r="C31" t="str">
            <v>Ergocup</v>
          </cell>
          <cell r="D31">
            <v>0.63055555555555531</v>
          </cell>
          <cell r="E31" t="str">
            <v>Masters A-H, männlich</v>
          </cell>
          <cell r="F31" t="str">
            <v>-</v>
          </cell>
          <cell r="G31" t="str">
            <v>27 und älter</v>
          </cell>
          <cell r="H31" t="str">
            <v>1991 und älter</v>
          </cell>
          <cell r="I31" t="str">
            <v>2000 m</v>
          </cell>
        </row>
        <row r="32">
          <cell r="B32">
            <v>26</v>
          </cell>
          <cell r="C32" t="str">
            <v>Ergocup</v>
          </cell>
          <cell r="D32">
            <v>0.64097222222222194</v>
          </cell>
          <cell r="E32" t="str">
            <v>Masters A-H, weiblich</v>
          </cell>
          <cell r="F32" t="str">
            <v>-</v>
          </cell>
          <cell r="G32" t="str">
            <v>27 und älter</v>
          </cell>
          <cell r="H32" t="str">
            <v>1991 und älter</v>
          </cell>
          <cell r="I32" t="str">
            <v>2000 m</v>
          </cell>
        </row>
        <row r="33">
          <cell r="B33">
            <v>27</v>
          </cell>
          <cell r="C33" t="str">
            <v>Ergocup</v>
          </cell>
          <cell r="D33">
            <v>0.65138888888888857</v>
          </cell>
          <cell r="E33" t="str">
            <v>Masters A-H, männlich</v>
          </cell>
          <cell r="F33" t="str">
            <v>-</v>
          </cell>
          <cell r="G33" t="str">
            <v>27 und älter</v>
          </cell>
          <cell r="H33" t="str">
            <v>1991 und älter</v>
          </cell>
          <cell r="I33" t="str">
            <v>1000 m</v>
          </cell>
        </row>
        <row r="34">
          <cell r="B34">
            <v>28</v>
          </cell>
          <cell r="C34" t="str">
            <v>Ergocup</v>
          </cell>
          <cell r="D34">
            <v>0.65833333333333299</v>
          </cell>
          <cell r="E34" t="str">
            <v>Masters A-H, weiblich</v>
          </cell>
          <cell r="F34" t="str">
            <v>-</v>
          </cell>
          <cell r="G34" t="str">
            <v>27 und älter</v>
          </cell>
          <cell r="H34" t="str">
            <v>1991 und älter</v>
          </cell>
          <cell r="I34" t="str">
            <v>1000 m</v>
          </cell>
        </row>
        <row r="35">
          <cell r="B35">
            <v>29</v>
          </cell>
          <cell r="C35" t="str">
            <v>Ergocup</v>
          </cell>
          <cell r="D35">
            <v>0.66527777777777741</v>
          </cell>
          <cell r="E35" t="str">
            <v>Mannschaft offen - 2 Personen</v>
          </cell>
          <cell r="F35" t="str">
            <v>-</v>
          </cell>
          <cell r="G35" t="str">
            <v>offen</v>
          </cell>
          <cell r="H35" t="str">
            <v>offen</v>
          </cell>
          <cell r="I35" t="str">
            <v>5000 m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B1:K550" totalsRowShown="0" headerRowDxfId="14" dataDxfId="12" headerRowBorderDxfId="13" tableBorderDxfId="11" totalsRowBorderDxfId="10">
  <autoFilter ref="B1:K550" xr:uid="{00000000-0009-0000-0100-000001000000}"/>
  <sortState xmlns:xlrd2="http://schemas.microsoft.com/office/spreadsheetml/2017/richdata2" ref="B2:K551">
    <sortCondition descending="1" ref="E1:E551"/>
  </sortState>
  <tableColumns count="10">
    <tableColumn id="1" xr3:uid="{00000000-0010-0000-0000-000001000000}" name="Rennen" dataDxfId="9">
      <calculatedColumnFormula>'Eingabe Meldungen'!A2</calculatedColumnFormula>
    </tableColumn>
    <tableColumn id="3" xr3:uid="{00000000-0010-0000-0000-000003000000}" name="Name" dataDxfId="8">
      <calculatedColumnFormula>'Eingabe Meldungen'!C2</calculatedColumnFormula>
    </tableColumn>
    <tableColumn id="4" xr3:uid="{00000000-0010-0000-0000-000004000000}" name="Vorname" dataDxfId="7">
      <calculatedColumnFormula>'Eingabe Meldungen'!D2</calculatedColumnFormula>
    </tableColumn>
    <tableColumn id="5" xr3:uid="{00000000-0010-0000-0000-000005000000}" name="Verein" dataDxfId="6">
      <calculatedColumnFormula>'Eingabe Meldungen'!J2</calculatedColumnFormula>
    </tableColumn>
    <tableColumn id="6" xr3:uid="{00000000-0010-0000-0000-000006000000}" name="Rennen2" dataDxfId="5">
      <calculatedColumnFormula>VLOOKUP(B2,Ausschreibung!$B$4:$I$35,4,FALSE)</calculatedColumnFormula>
    </tableColumn>
    <tableColumn id="7" xr3:uid="{00000000-0010-0000-0000-000007000000}" name="Betrag" dataDxfId="4">
      <calculatedColumnFormula>IF(#REF!=35,H2-4,H2)</calculatedColumnFormula>
    </tableColumn>
    <tableColumn id="8" xr3:uid="{00000000-0010-0000-0000-000008000000}" name="Rechenzelle" dataDxfId="3">
      <calculatedColumnFormula>IF(#REF!="Ergocup",8,"DHM")</calculatedColumnFormula>
    </tableColumn>
    <tableColumn id="10" xr3:uid="{00000000-0010-0000-0000-00000A000000}" name="Nachmeldung" dataDxfId="2">
      <calculatedColumnFormula>'Eingabe Meldungen'!K2</calculatedColumnFormula>
    </tableColumn>
    <tableColumn id="11" xr3:uid="{00000000-0010-0000-0000-00000B000000}" name="Bezahlt" dataDxfId="1"/>
    <tableColumn id="12" xr3:uid="{00000000-0010-0000-0000-00000C000000}" name="Offen" dataDxfId="0">
      <calculatedColumnFormula>IF(Tabelle1[[#This Row],[Bezahlt]]="JA",#REF!,0)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>
    <tabColor theme="3" tint="0.59999389629810485"/>
    <pageSetUpPr fitToPage="1"/>
  </sheetPr>
  <dimension ref="B1:T56"/>
  <sheetViews>
    <sheetView tabSelected="1" zoomScale="85" zoomScaleNormal="85" workbookViewId="0">
      <selection activeCell="I5" sqref="I5"/>
    </sheetView>
  </sheetViews>
  <sheetFormatPr baseColWidth="10" defaultColWidth="11" defaultRowHeight="12.6" x14ac:dyDescent="0.2"/>
  <cols>
    <col min="1" max="1" width="2.453125" style="35" customWidth="1"/>
    <col min="2" max="2" width="10.453125" style="35" customWidth="1"/>
    <col min="3" max="3" width="10.453125" style="35" hidden="1" customWidth="1"/>
    <col min="4" max="4" width="15.7265625" style="35" customWidth="1"/>
    <col min="5" max="5" width="33.08984375" style="35" customWidth="1"/>
    <col min="6" max="6" width="26.7265625" style="35" customWidth="1"/>
    <col min="7" max="7" width="27.08984375" style="35" customWidth="1"/>
    <col min="8" max="8" width="12.90625" style="35" hidden="1" customWidth="1"/>
    <col min="9" max="9" width="14" style="35" customWidth="1"/>
    <col min="10" max="10" width="4.08984375" style="35" customWidth="1"/>
    <col min="11" max="11" width="5.453125" style="35" customWidth="1"/>
    <col min="12" max="12" width="12" style="36" customWidth="1"/>
    <col min="13" max="13" width="8.6328125" style="35" customWidth="1"/>
    <col min="14" max="14" width="8.7265625" style="35" customWidth="1"/>
    <col min="15" max="15" width="5" style="35" customWidth="1"/>
    <col min="16" max="16384" width="11" style="35"/>
  </cols>
  <sheetData>
    <row r="1" spans="2:20" ht="13.2" thickBot="1" x14ac:dyDescent="0.25"/>
    <row r="2" spans="2:20" ht="35.25" customHeight="1" x14ac:dyDescent="0.2">
      <c r="B2" s="413" t="s">
        <v>93</v>
      </c>
      <c r="C2" s="414"/>
      <c r="D2" s="414"/>
      <c r="E2" s="414"/>
      <c r="F2" s="414"/>
      <c r="G2" s="414"/>
      <c r="H2" s="414"/>
      <c r="I2" s="415"/>
      <c r="L2" s="35"/>
    </row>
    <row r="3" spans="2:20" ht="25.5" customHeight="1" thickBot="1" x14ac:dyDescent="0.25">
      <c r="B3" s="420" t="s">
        <v>117</v>
      </c>
      <c r="C3" s="421"/>
      <c r="D3" s="421"/>
      <c r="E3" s="421"/>
      <c r="F3" s="421"/>
      <c r="G3" s="421"/>
      <c r="H3" s="421"/>
      <c r="I3" s="422"/>
      <c r="L3" s="35"/>
    </row>
    <row r="4" spans="2:20" ht="39.9" customHeight="1" thickBot="1" x14ac:dyDescent="0.25">
      <c r="B4" s="210" t="s">
        <v>0</v>
      </c>
      <c r="C4" s="211" t="s">
        <v>66</v>
      </c>
      <c r="D4" s="211" t="s">
        <v>94</v>
      </c>
      <c r="E4" s="211" t="s">
        <v>16</v>
      </c>
      <c r="F4" s="211" t="s">
        <v>54</v>
      </c>
      <c r="G4" s="211" t="s">
        <v>56</v>
      </c>
      <c r="H4" s="211" t="s">
        <v>4</v>
      </c>
      <c r="I4" s="212" t="s">
        <v>5</v>
      </c>
      <c r="K4" s="416" t="s">
        <v>62</v>
      </c>
      <c r="L4" s="417"/>
      <c r="M4" s="63" t="s">
        <v>64</v>
      </c>
      <c r="N4" s="64" t="s">
        <v>65</v>
      </c>
      <c r="O4" s="222"/>
      <c r="P4" s="286"/>
      <c r="Q4" s="286"/>
      <c r="R4" s="286"/>
      <c r="S4" s="286"/>
      <c r="T4" s="286"/>
    </row>
    <row r="5" spans="2:20" ht="30" customHeight="1" x14ac:dyDescent="0.2">
      <c r="B5" s="213">
        <v>1</v>
      </c>
      <c r="C5" s="214" t="s">
        <v>67</v>
      </c>
      <c r="D5" s="215">
        <f t="shared" ref="D5" si="0">M5</f>
        <v>0.375</v>
      </c>
      <c r="E5" s="214" t="s">
        <v>19</v>
      </c>
      <c r="F5" s="214" t="s">
        <v>39</v>
      </c>
      <c r="G5" s="214" t="s">
        <v>670</v>
      </c>
      <c r="H5" s="214" t="s">
        <v>68</v>
      </c>
      <c r="I5" s="216" t="s">
        <v>20</v>
      </c>
      <c r="K5" s="69">
        <v>40</v>
      </c>
      <c r="L5" s="35" t="s">
        <v>63</v>
      </c>
      <c r="M5" s="57">
        <v>0.375</v>
      </c>
      <c r="N5" s="59">
        <f t="shared" ref="N5:N22" si="1">M5+O5</f>
        <v>0.40277777777777779</v>
      </c>
      <c r="O5" s="223">
        <f>K5/24/60</f>
        <v>2.777777777777778E-2</v>
      </c>
      <c r="P5" s="286"/>
      <c r="Q5" s="286"/>
      <c r="R5" s="286"/>
      <c r="S5" s="286"/>
      <c r="T5" s="286"/>
    </row>
    <row r="6" spans="2:20" ht="30" customHeight="1" x14ac:dyDescent="0.2">
      <c r="B6" s="213">
        <v>2</v>
      </c>
      <c r="C6" s="214" t="s">
        <v>67</v>
      </c>
      <c r="D6" s="215">
        <f t="shared" ref="D6:D22" si="2">M6</f>
        <v>0.40277777777777779</v>
      </c>
      <c r="E6" s="214" t="s">
        <v>7</v>
      </c>
      <c r="F6" s="214" t="s">
        <v>39</v>
      </c>
      <c r="G6" s="214" t="s">
        <v>34</v>
      </c>
      <c r="H6" s="214" t="s">
        <v>68</v>
      </c>
      <c r="I6" s="216" t="s">
        <v>20</v>
      </c>
      <c r="K6" s="69">
        <v>120</v>
      </c>
      <c r="L6" s="35" t="s">
        <v>63</v>
      </c>
      <c r="M6" s="58">
        <f>N5</f>
        <v>0.40277777777777779</v>
      </c>
      <c r="N6" s="59">
        <f t="shared" si="1"/>
        <v>0.4861111111111111</v>
      </c>
      <c r="O6" s="223">
        <f t="shared" ref="O6" si="3">K6/24/60</f>
        <v>8.3333333333333329E-2</v>
      </c>
      <c r="P6" s="286"/>
      <c r="Q6" s="286"/>
      <c r="R6" s="286"/>
      <c r="S6" s="286"/>
      <c r="T6" s="286"/>
    </row>
    <row r="7" spans="2:20" ht="30" customHeight="1" x14ac:dyDescent="0.2">
      <c r="B7" s="213">
        <v>3</v>
      </c>
      <c r="C7" s="214" t="s">
        <v>67</v>
      </c>
      <c r="D7" s="215">
        <f t="shared" si="2"/>
        <v>0.4861111111111111</v>
      </c>
      <c r="E7" s="214" t="s">
        <v>112</v>
      </c>
      <c r="F7" s="214" t="s">
        <v>37</v>
      </c>
      <c r="G7" s="214" t="s">
        <v>38</v>
      </c>
      <c r="H7" s="214" t="s">
        <v>69</v>
      </c>
      <c r="I7" s="216" t="s">
        <v>8</v>
      </c>
      <c r="K7" s="69">
        <v>8</v>
      </c>
      <c r="L7" s="35" t="s">
        <v>63</v>
      </c>
      <c r="M7" s="58">
        <f t="shared" ref="M7:M23" si="4">N6</f>
        <v>0.4861111111111111</v>
      </c>
      <c r="N7" s="59">
        <f t="shared" si="1"/>
        <v>0.49166666666666664</v>
      </c>
      <c r="O7" s="223">
        <f t="shared" ref="O7:O22" si="5">K7/24/60</f>
        <v>5.5555555555555549E-3</v>
      </c>
      <c r="P7" s="286"/>
      <c r="Q7" s="286"/>
      <c r="R7" s="286"/>
      <c r="S7" s="286"/>
      <c r="T7" s="286"/>
    </row>
    <row r="8" spans="2:20" ht="30" customHeight="1" x14ac:dyDescent="0.2">
      <c r="B8" s="213">
        <v>4</v>
      </c>
      <c r="C8" s="214" t="s">
        <v>67</v>
      </c>
      <c r="D8" s="215">
        <f t="shared" si="2"/>
        <v>0.49166666666666664</v>
      </c>
      <c r="E8" s="214" t="s">
        <v>112</v>
      </c>
      <c r="F8" s="214" t="s">
        <v>39</v>
      </c>
      <c r="G8" s="214" t="s">
        <v>38</v>
      </c>
      <c r="H8" s="214" t="s">
        <v>69</v>
      </c>
      <c r="I8" s="216" t="s">
        <v>8</v>
      </c>
      <c r="K8" s="69">
        <v>16</v>
      </c>
      <c r="L8" s="35" t="s">
        <v>63</v>
      </c>
      <c r="M8" s="58">
        <f t="shared" si="4"/>
        <v>0.49166666666666664</v>
      </c>
      <c r="N8" s="59">
        <f t="shared" si="1"/>
        <v>0.50277777777777777</v>
      </c>
      <c r="O8" s="223">
        <f t="shared" si="5"/>
        <v>1.111111111111111E-2</v>
      </c>
      <c r="P8" s="287"/>
      <c r="Q8" s="286"/>
      <c r="R8" s="286"/>
      <c r="S8" s="286"/>
      <c r="T8" s="286"/>
    </row>
    <row r="9" spans="2:20" ht="30" customHeight="1" x14ac:dyDescent="0.2">
      <c r="B9" s="213">
        <v>5</v>
      </c>
      <c r="C9" s="214" t="s">
        <v>67</v>
      </c>
      <c r="D9" s="215">
        <f t="shared" si="2"/>
        <v>0.50277777777777777</v>
      </c>
      <c r="E9" s="214" t="s">
        <v>113</v>
      </c>
      <c r="F9" s="214" t="s">
        <v>37</v>
      </c>
      <c r="G9" s="214" t="s">
        <v>38</v>
      </c>
      <c r="H9" s="214" t="s">
        <v>69</v>
      </c>
      <c r="I9" s="216" t="s">
        <v>8</v>
      </c>
      <c r="K9" s="69">
        <v>8</v>
      </c>
      <c r="L9" s="35" t="s">
        <v>63</v>
      </c>
      <c r="M9" s="58">
        <f t="shared" si="4"/>
        <v>0.50277777777777777</v>
      </c>
      <c r="N9" s="59">
        <f t="shared" si="1"/>
        <v>0.5083333333333333</v>
      </c>
      <c r="O9" s="223">
        <f t="shared" si="5"/>
        <v>5.5555555555555549E-3</v>
      </c>
      <c r="P9" s="288"/>
      <c r="Q9" s="286"/>
      <c r="R9" s="286"/>
      <c r="S9" s="286"/>
      <c r="T9" s="286"/>
    </row>
    <row r="10" spans="2:20" ht="30" customHeight="1" x14ac:dyDescent="0.2">
      <c r="B10" s="213">
        <v>6</v>
      </c>
      <c r="C10" s="214" t="s">
        <v>67</v>
      </c>
      <c r="D10" s="215">
        <f t="shared" si="2"/>
        <v>0.5083333333333333</v>
      </c>
      <c r="E10" s="214" t="s">
        <v>113</v>
      </c>
      <c r="F10" s="214" t="s">
        <v>39</v>
      </c>
      <c r="G10" s="214" t="s">
        <v>38</v>
      </c>
      <c r="H10" s="214" t="s">
        <v>69</v>
      </c>
      <c r="I10" s="216" t="s">
        <v>8</v>
      </c>
      <c r="K10" s="69">
        <v>8</v>
      </c>
      <c r="L10" s="35" t="s">
        <v>63</v>
      </c>
      <c r="M10" s="58">
        <f t="shared" si="4"/>
        <v>0.5083333333333333</v>
      </c>
      <c r="N10" s="59">
        <f t="shared" si="1"/>
        <v>0.51388888888888884</v>
      </c>
      <c r="O10" s="223">
        <f t="shared" si="5"/>
        <v>5.5555555555555549E-3</v>
      </c>
      <c r="P10" s="286"/>
      <c r="Q10" s="286"/>
      <c r="R10" s="286"/>
      <c r="S10" s="286"/>
      <c r="T10" s="286"/>
    </row>
    <row r="11" spans="2:20" ht="30" customHeight="1" x14ac:dyDescent="0.2">
      <c r="B11" s="213">
        <v>7</v>
      </c>
      <c r="C11" s="214" t="s">
        <v>67</v>
      </c>
      <c r="D11" s="215">
        <f t="shared" si="2"/>
        <v>0.51388888888888884</v>
      </c>
      <c r="E11" s="214" t="s">
        <v>22</v>
      </c>
      <c r="F11" s="214" t="s">
        <v>47</v>
      </c>
      <c r="G11" s="214">
        <v>14</v>
      </c>
      <c r="H11" s="214">
        <v>2004</v>
      </c>
      <c r="I11" s="216" t="s">
        <v>8</v>
      </c>
      <c r="K11" s="69">
        <v>8</v>
      </c>
      <c r="L11" s="35" t="s">
        <v>63</v>
      </c>
      <c r="M11" s="58">
        <f t="shared" si="4"/>
        <v>0.51388888888888884</v>
      </c>
      <c r="N11" s="59">
        <f t="shared" si="1"/>
        <v>0.51944444444444438</v>
      </c>
      <c r="O11" s="223">
        <f t="shared" si="5"/>
        <v>5.5555555555555549E-3</v>
      </c>
      <c r="P11" s="286"/>
      <c r="Q11" s="286"/>
      <c r="R11" s="286"/>
      <c r="S11" s="286"/>
      <c r="T11" s="286"/>
    </row>
    <row r="12" spans="2:20" ht="30" customHeight="1" x14ac:dyDescent="0.2">
      <c r="B12" s="213">
        <v>8</v>
      </c>
      <c r="C12" s="214" t="s">
        <v>67</v>
      </c>
      <c r="D12" s="215">
        <f t="shared" si="2"/>
        <v>0.51944444444444438</v>
      </c>
      <c r="E12" s="214" t="s">
        <v>22</v>
      </c>
      <c r="F12" s="214" t="s">
        <v>39</v>
      </c>
      <c r="G12" s="214">
        <v>14</v>
      </c>
      <c r="H12" s="214">
        <v>2004</v>
      </c>
      <c r="I12" s="216" t="s">
        <v>8</v>
      </c>
      <c r="K12" s="69">
        <v>8</v>
      </c>
      <c r="L12" s="35" t="s">
        <v>63</v>
      </c>
      <c r="M12" s="58">
        <f t="shared" si="4"/>
        <v>0.51944444444444438</v>
      </c>
      <c r="N12" s="59">
        <f t="shared" si="1"/>
        <v>0.52499999999999991</v>
      </c>
      <c r="O12" s="223">
        <f t="shared" si="5"/>
        <v>5.5555555555555549E-3</v>
      </c>
      <c r="P12" s="288"/>
      <c r="Q12" s="286"/>
      <c r="R12" s="286"/>
      <c r="S12" s="286"/>
      <c r="T12" s="286"/>
    </row>
    <row r="13" spans="2:20" ht="30" customHeight="1" x14ac:dyDescent="0.2">
      <c r="B13" s="213">
        <v>9</v>
      </c>
      <c r="C13" s="214" t="s">
        <v>67</v>
      </c>
      <c r="D13" s="215">
        <f t="shared" si="2"/>
        <v>0.52499999999999991</v>
      </c>
      <c r="E13" s="214" t="s">
        <v>21</v>
      </c>
      <c r="F13" s="214" t="s">
        <v>44</v>
      </c>
      <c r="G13" s="214">
        <v>14</v>
      </c>
      <c r="H13" s="214">
        <v>2004</v>
      </c>
      <c r="I13" s="216" t="s">
        <v>8</v>
      </c>
      <c r="K13" s="69">
        <v>16</v>
      </c>
      <c r="L13" s="35" t="s">
        <v>63</v>
      </c>
      <c r="M13" s="58">
        <f t="shared" si="4"/>
        <v>0.52499999999999991</v>
      </c>
      <c r="N13" s="59">
        <f t="shared" si="1"/>
        <v>0.53611111111111098</v>
      </c>
      <c r="O13" s="223">
        <f t="shared" si="5"/>
        <v>1.111111111111111E-2</v>
      </c>
      <c r="P13" s="289"/>
      <c r="Q13" s="286"/>
      <c r="R13" s="286"/>
      <c r="S13" s="286"/>
      <c r="T13" s="286"/>
    </row>
    <row r="14" spans="2:20" ht="30" customHeight="1" thickBot="1" x14ac:dyDescent="0.25">
      <c r="B14" s="213">
        <v>10</v>
      </c>
      <c r="C14" s="214" t="s">
        <v>67</v>
      </c>
      <c r="D14" s="215">
        <f t="shared" si="2"/>
        <v>0.53611111111111098</v>
      </c>
      <c r="E14" s="214" t="s">
        <v>21</v>
      </c>
      <c r="F14" s="214" t="s">
        <v>39</v>
      </c>
      <c r="G14" s="214">
        <v>14</v>
      </c>
      <c r="H14" s="214">
        <v>2004</v>
      </c>
      <c r="I14" s="216" t="s">
        <v>8</v>
      </c>
      <c r="K14" s="69">
        <v>16</v>
      </c>
      <c r="L14" s="35" t="s">
        <v>63</v>
      </c>
      <c r="M14" s="58">
        <f t="shared" si="4"/>
        <v>0.53611111111111098</v>
      </c>
      <c r="N14" s="59">
        <f t="shared" si="1"/>
        <v>0.54722222222222205</v>
      </c>
      <c r="O14" s="223">
        <f t="shared" si="5"/>
        <v>1.111111111111111E-2</v>
      </c>
      <c r="P14" s="288"/>
      <c r="Q14" s="286"/>
      <c r="R14" s="286"/>
      <c r="S14" s="286"/>
      <c r="T14" s="286"/>
    </row>
    <row r="15" spans="2:20" ht="30" customHeight="1" thickBot="1" x14ac:dyDescent="0.25">
      <c r="B15" s="220">
        <f>M15</f>
        <v>0.54722222222222205</v>
      </c>
      <c r="C15" s="221" t="s">
        <v>65</v>
      </c>
      <c r="D15" s="221">
        <f>N15</f>
        <v>0.56805555555555542</v>
      </c>
      <c r="E15" s="397" t="s">
        <v>92</v>
      </c>
      <c r="F15" s="397"/>
      <c r="G15" s="397"/>
      <c r="H15" s="397"/>
      <c r="I15" s="398"/>
      <c r="K15" s="70">
        <v>30</v>
      </c>
      <c r="L15" s="60" t="s">
        <v>63</v>
      </c>
      <c r="M15" s="61">
        <f>N14</f>
        <v>0.54722222222222205</v>
      </c>
      <c r="N15" s="62">
        <f t="shared" ref="N15" si="6">M15+O15</f>
        <v>0.56805555555555542</v>
      </c>
      <c r="O15" s="223">
        <f t="shared" ref="O15" si="7">K15/24/60</f>
        <v>2.0833333333333332E-2</v>
      </c>
    </row>
    <row r="16" spans="2:20" ht="39.9" customHeight="1" thickBot="1" x14ac:dyDescent="0.25">
      <c r="B16" s="217" t="s">
        <v>0</v>
      </c>
      <c r="C16" s="218" t="s">
        <v>66</v>
      </c>
      <c r="D16" s="218" t="s">
        <v>15</v>
      </c>
      <c r="E16" s="218" t="s">
        <v>16</v>
      </c>
      <c r="F16" s="218" t="s">
        <v>54</v>
      </c>
      <c r="G16" s="218" t="s">
        <v>56</v>
      </c>
      <c r="H16" s="218" t="s">
        <v>4</v>
      </c>
      <c r="I16" s="219" t="s">
        <v>5</v>
      </c>
      <c r="K16" s="395" t="s">
        <v>62</v>
      </c>
      <c r="L16" s="396"/>
      <c r="M16" s="63" t="s">
        <v>64</v>
      </c>
      <c r="N16" s="64" t="s">
        <v>65</v>
      </c>
      <c r="O16" s="224"/>
      <c r="P16" s="225"/>
    </row>
    <row r="17" spans="2:20" ht="30" customHeight="1" x14ac:dyDescent="0.2">
      <c r="B17" s="213">
        <v>11</v>
      </c>
      <c r="C17" s="214" t="s">
        <v>67</v>
      </c>
      <c r="D17" s="215">
        <f>M17</f>
        <v>0.56805555555555542</v>
      </c>
      <c r="E17" s="214" t="s">
        <v>23</v>
      </c>
      <c r="F17" s="214" t="s">
        <v>46</v>
      </c>
      <c r="G17" s="214" t="s">
        <v>40</v>
      </c>
      <c r="H17" s="214" t="s">
        <v>70</v>
      </c>
      <c r="I17" s="216" t="s">
        <v>9</v>
      </c>
      <c r="K17" s="69">
        <v>12</v>
      </c>
      <c r="L17" s="35" t="s">
        <v>63</v>
      </c>
      <c r="M17" s="58">
        <f>N15</f>
        <v>0.56805555555555542</v>
      </c>
      <c r="N17" s="59">
        <f t="shared" si="1"/>
        <v>0.57638888888888873</v>
      </c>
      <c r="O17" s="223">
        <f t="shared" si="5"/>
        <v>8.3333333333333332E-3</v>
      </c>
      <c r="P17" s="288"/>
      <c r="Q17" s="286"/>
      <c r="R17" s="286"/>
      <c r="S17" s="286"/>
      <c r="T17" s="286"/>
    </row>
    <row r="18" spans="2:20" ht="30" customHeight="1" x14ac:dyDescent="0.25">
      <c r="B18" s="213">
        <v>12</v>
      </c>
      <c r="C18" s="214" t="s">
        <v>67</v>
      </c>
      <c r="D18" s="215">
        <f t="shared" si="2"/>
        <v>0.57638888888888873</v>
      </c>
      <c r="E18" s="214" t="s">
        <v>23</v>
      </c>
      <c r="F18" s="214" t="s">
        <v>39</v>
      </c>
      <c r="G18" s="214" t="s">
        <v>40</v>
      </c>
      <c r="H18" s="214" t="s">
        <v>70</v>
      </c>
      <c r="I18" s="216" t="s">
        <v>9</v>
      </c>
      <c r="K18" s="69">
        <v>24</v>
      </c>
      <c r="L18" s="35" t="s">
        <v>63</v>
      </c>
      <c r="M18" s="58">
        <f t="shared" si="4"/>
        <v>0.57638888888888873</v>
      </c>
      <c r="N18" s="59">
        <f t="shared" si="1"/>
        <v>0.59305555555555545</v>
      </c>
      <c r="O18" s="223">
        <f t="shared" si="5"/>
        <v>1.6666666666666666E-2</v>
      </c>
      <c r="P18" s="290"/>
      <c r="Q18" s="286"/>
      <c r="R18" s="286"/>
      <c r="S18" s="286"/>
      <c r="T18" s="286"/>
    </row>
    <row r="19" spans="2:20" ht="30" customHeight="1" x14ac:dyDescent="0.2">
      <c r="B19" s="213">
        <v>13</v>
      </c>
      <c r="C19" s="214" t="s">
        <v>67</v>
      </c>
      <c r="D19" s="215">
        <f t="shared" si="2"/>
        <v>0.59305555555555545</v>
      </c>
      <c r="E19" s="214" t="s">
        <v>24</v>
      </c>
      <c r="F19" s="214" t="s">
        <v>41</v>
      </c>
      <c r="G19" s="214" t="s">
        <v>40</v>
      </c>
      <c r="H19" s="214" t="s">
        <v>70</v>
      </c>
      <c r="I19" s="216" t="s">
        <v>9</v>
      </c>
      <c r="K19" s="69">
        <v>24</v>
      </c>
      <c r="L19" s="35" t="s">
        <v>63</v>
      </c>
      <c r="M19" s="58">
        <f t="shared" si="4"/>
        <v>0.59305555555555545</v>
      </c>
      <c r="N19" s="59">
        <f t="shared" si="1"/>
        <v>0.60972222222222217</v>
      </c>
      <c r="O19" s="223">
        <f t="shared" si="5"/>
        <v>1.6666666666666666E-2</v>
      </c>
      <c r="P19" s="288"/>
      <c r="Q19" s="286"/>
      <c r="R19" s="286"/>
      <c r="S19" s="286"/>
      <c r="T19" s="286"/>
    </row>
    <row r="20" spans="2:20" ht="32.25" customHeight="1" x14ac:dyDescent="0.2">
      <c r="B20" s="213">
        <v>14</v>
      </c>
      <c r="C20" s="214" t="s">
        <v>67</v>
      </c>
      <c r="D20" s="215">
        <f t="shared" si="2"/>
        <v>0.60972222222222217</v>
      </c>
      <c r="E20" s="214" t="s">
        <v>24</v>
      </c>
      <c r="F20" s="214" t="s">
        <v>39</v>
      </c>
      <c r="G20" s="214" t="s">
        <v>40</v>
      </c>
      <c r="H20" s="214" t="s">
        <v>70</v>
      </c>
      <c r="I20" s="216" t="s">
        <v>9</v>
      </c>
      <c r="K20" s="69">
        <v>12</v>
      </c>
      <c r="L20" s="35" t="s">
        <v>63</v>
      </c>
      <c r="M20" s="58">
        <f t="shared" si="4"/>
        <v>0.60972222222222217</v>
      </c>
      <c r="N20" s="59">
        <f t="shared" si="1"/>
        <v>0.61805555555555547</v>
      </c>
      <c r="O20" s="223">
        <f t="shared" si="5"/>
        <v>8.3333333333333332E-3</v>
      </c>
      <c r="P20" s="288"/>
      <c r="Q20" s="286"/>
      <c r="R20" s="286"/>
      <c r="S20" s="291"/>
      <c r="T20" s="286"/>
    </row>
    <row r="21" spans="2:20" ht="30" customHeight="1" x14ac:dyDescent="0.2">
      <c r="B21" s="213">
        <v>15</v>
      </c>
      <c r="C21" s="214" t="s">
        <v>67</v>
      </c>
      <c r="D21" s="215">
        <f t="shared" si="2"/>
        <v>0.61805555555555547</v>
      </c>
      <c r="E21" s="214" t="s">
        <v>25</v>
      </c>
      <c r="F21" s="214" t="s">
        <v>39</v>
      </c>
      <c r="G21" s="214" t="s">
        <v>26</v>
      </c>
      <c r="H21" s="214" t="s">
        <v>26</v>
      </c>
      <c r="I21" s="216" t="s">
        <v>10</v>
      </c>
      <c r="K21" s="69">
        <v>0</v>
      </c>
      <c r="L21" s="35" t="s">
        <v>63</v>
      </c>
      <c r="M21" s="58">
        <f t="shared" si="4"/>
        <v>0.61805555555555547</v>
      </c>
      <c r="N21" s="59">
        <f t="shared" si="1"/>
        <v>0.61805555555555547</v>
      </c>
      <c r="O21" s="223">
        <f t="shared" si="5"/>
        <v>0</v>
      </c>
      <c r="P21" s="287"/>
      <c r="Q21" s="286"/>
      <c r="R21" s="286"/>
      <c r="S21" s="286"/>
      <c r="T21" s="286"/>
    </row>
    <row r="22" spans="2:20" ht="30" customHeight="1" x14ac:dyDescent="0.2">
      <c r="B22" s="213">
        <v>16</v>
      </c>
      <c r="C22" s="214" t="s">
        <v>67</v>
      </c>
      <c r="D22" s="215">
        <f t="shared" si="2"/>
        <v>0.61805555555555547</v>
      </c>
      <c r="E22" s="214" t="s">
        <v>27</v>
      </c>
      <c r="F22" s="214" t="s">
        <v>39</v>
      </c>
      <c r="G22" s="214" t="s">
        <v>26</v>
      </c>
      <c r="H22" s="214" t="s">
        <v>26</v>
      </c>
      <c r="I22" s="216" t="s">
        <v>10</v>
      </c>
      <c r="K22" s="69">
        <v>4</v>
      </c>
      <c r="L22" s="35" t="s">
        <v>63</v>
      </c>
      <c r="M22" s="58">
        <f t="shared" si="4"/>
        <v>0.61805555555555547</v>
      </c>
      <c r="N22" s="59">
        <f t="shared" si="1"/>
        <v>0.62083333333333324</v>
      </c>
      <c r="O22" s="223">
        <f t="shared" si="5"/>
        <v>2.7777777777777775E-3</v>
      </c>
      <c r="P22" s="286"/>
      <c r="Q22" s="286"/>
      <c r="R22" s="286"/>
      <c r="S22" s="286"/>
      <c r="T22" s="286"/>
    </row>
    <row r="23" spans="2:20" ht="30" customHeight="1" x14ac:dyDescent="0.2">
      <c r="B23" s="213">
        <v>17</v>
      </c>
      <c r="C23" s="214" t="s">
        <v>67</v>
      </c>
      <c r="D23" s="215">
        <f t="shared" ref="D23:D32" si="8">M23</f>
        <v>0.62083333333333324</v>
      </c>
      <c r="E23" s="214" t="s">
        <v>28</v>
      </c>
      <c r="F23" s="214" t="s">
        <v>42</v>
      </c>
      <c r="G23" s="214" t="s">
        <v>43</v>
      </c>
      <c r="H23" s="214" t="s">
        <v>71</v>
      </c>
      <c r="I23" s="216" t="s">
        <v>11</v>
      </c>
      <c r="K23" s="69">
        <v>0</v>
      </c>
      <c r="L23" s="35" t="s">
        <v>63</v>
      </c>
      <c r="M23" s="58">
        <f t="shared" si="4"/>
        <v>0.62083333333333324</v>
      </c>
      <c r="N23" s="59">
        <f t="shared" ref="N23:N32" si="9">M23+O23</f>
        <v>0.62083333333333324</v>
      </c>
      <c r="O23" s="223">
        <f t="shared" ref="O23:O32" si="10">K23/24/60</f>
        <v>0</v>
      </c>
      <c r="P23" s="225"/>
    </row>
    <row r="24" spans="2:20" ht="30" customHeight="1" x14ac:dyDescent="0.2">
      <c r="B24" s="213">
        <f t="shared" ref="B24:B33" si="11">B23+1</f>
        <v>18</v>
      </c>
      <c r="C24" s="214" t="s">
        <v>67</v>
      </c>
      <c r="D24" s="215">
        <f t="shared" si="8"/>
        <v>0.62083333333333324</v>
      </c>
      <c r="E24" s="214" t="s">
        <v>28</v>
      </c>
      <c r="F24" s="214" t="s">
        <v>39</v>
      </c>
      <c r="G24" s="214" t="s">
        <v>43</v>
      </c>
      <c r="H24" s="214" t="s">
        <v>71</v>
      </c>
      <c r="I24" s="216" t="s">
        <v>11</v>
      </c>
      <c r="K24" s="69">
        <v>15</v>
      </c>
      <c r="L24" s="35" t="s">
        <v>63</v>
      </c>
      <c r="M24" s="58">
        <f t="shared" ref="M24:M33" si="12">N23</f>
        <v>0.62083333333333324</v>
      </c>
      <c r="N24" s="59">
        <f t="shared" si="9"/>
        <v>0.63124999999999987</v>
      </c>
      <c r="O24" s="223">
        <f t="shared" si="10"/>
        <v>1.0416666666666666E-2</v>
      </c>
    </row>
    <row r="25" spans="2:20" ht="30" customHeight="1" x14ac:dyDescent="0.2">
      <c r="B25" s="213">
        <f t="shared" si="11"/>
        <v>19</v>
      </c>
      <c r="C25" s="214" t="s">
        <v>67</v>
      </c>
      <c r="D25" s="215">
        <f t="shared" si="8"/>
        <v>0.63124999999999987</v>
      </c>
      <c r="E25" s="214" t="s">
        <v>29</v>
      </c>
      <c r="F25" s="214" t="s">
        <v>45</v>
      </c>
      <c r="G25" s="214" t="s">
        <v>43</v>
      </c>
      <c r="H25" s="214" t="s">
        <v>71</v>
      </c>
      <c r="I25" s="216" t="s">
        <v>11</v>
      </c>
      <c r="K25" s="69">
        <v>0</v>
      </c>
      <c r="L25" s="35" t="s">
        <v>63</v>
      </c>
      <c r="M25" s="58">
        <f t="shared" si="12"/>
        <v>0.63124999999999987</v>
      </c>
      <c r="N25" s="59">
        <f t="shared" si="9"/>
        <v>0.63124999999999987</v>
      </c>
      <c r="O25" s="223">
        <f t="shared" si="10"/>
        <v>0</v>
      </c>
      <c r="P25" s="227"/>
    </row>
    <row r="26" spans="2:20" ht="30" customHeight="1" x14ac:dyDescent="0.2">
      <c r="B26" s="213">
        <f t="shared" si="11"/>
        <v>20</v>
      </c>
      <c r="C26" s="214" t="s">
        <v>67</v>
      </c>
      <c r="D26" s="215">
        <f t="shared" si="8"/>
        <v>0.63124999999999987</v>
      </c>
      <c r="E26" s="214" t="s">
        <v>29</v>
      </c>
      <c r="F26" s="214" t="s">
        <v>39</v>
      </c>
      <c r="G26" s="214" t="s">
        <v>43</v>
      </c>
      <c r="H26" s="214" t="s">
        <v>71</v>
      </c>
      <c r="I26" s="216" t="s">
        <v>11</v>
      </c>
      <c r="K26" s="69">
        <v>15</v>
      </c>
      <c r="L26" s="35" t="s">
        <v>63</v>
      </c>
      <c r="M26" s="58">
        <f t="shared" si="12"/>
        <v>0.63124999999999987</v>
      </c>
      <c r="N26" s="59">
        <f t="shared" si="9"/>
        <v>0.6416666666666665</v>
      </c>
      <c r="O26" s="223">
        <f t="shared" si="10"/>
        <v>1.0416666666666666E-2</v>
      </c>
    </row>
    <row r="27" spans="2:20" ht="30" customHeight="1" x14ac:dyDescent="0.2">
      <c r="B27" s="213">
        <f t="shared" si="11"/>
        <v>21</v>
      </c>
      <c r="C27" s="214" t="s">
        <v>67</v>
      </c>
      <c r="D27" s="215">
        <f t="shared" si="8"/>
        <v>0.6416666666666665</v>
      </c>
      <c r="E27" s="214" t="s">
        <v>12</v>
      </c>
      <c r="F27" s="214" t="s">
        <v>48</v>
      </c>
      <c r="G27" s="214" t="s">
        <v>36</v>
      </c>
      <c r="H27" s="214" t="s">
        <v>72</v>
      </c>
      <c r="I27" s="216" t="s">
        <v>11</v>
      </c>
      <c r="K27" s="69">
        <v>0</v>
      </c>
      <c r="L27" s="35" t="s">
        <v>63</v>
      </c>
      <c r="M27" s="58">
        <f t="shared" si="12"/>
        <v>0.6416666666666665</v>
      </c>
      <c r="N27" s="59">
        <f t="shared" si="9"/>
        <v>0.6416666666666665</v>
      </c>
      <c r="O27" s="223">
        <f t="shared" si="10"/>
        <v>0</v>
      </c>
      <c r="P27" s="228"/>
    </row>
    <row r="28" spans="2:20" ht="30" customHeight="1" x14ac:dyDescent="0.2">
      <c r="B28" s="213">
        <f t="shared" si="11"/>
        <v>22</v>
      </c>
      <c r="C28" s="214" t="s">
        <v>67</v>
      </c>
      <c r="D28" s="215">
        <f t="shared" si="8"/>
        <v>0.6416666666666665</v>
      </c>
      <c r="E28" s="214" t="s">
        <v>12</v>
      </c>
      <c r="F28" s="214" t="s">
        <v>39</v>
      </c>
      <c r="G28" s="214" t="s">
        <v>36</v>
      </c>
      <c r="H28" s="214" t="s">
        <v>72</v>
      </c>
      <c r="I28" s="216" t="s">
        <v>11</v>
      </c>
      <c r="K28" s="69">
        <v>15</v>
      </c>
      <c r="L28" s="35" t="s">
        <v>63</v>
      </c>
      <c r="M28" s="58">
        <f t="shared" si="12"/>
        <v>0.6416666666666665</v>
      </c>
      <c r="N28" s="59">
        <f t="shared" si="9"/>
        <v>0.65208333333333313</v>
      </c>
      <c r="O28" s="223">
        <f t="shared" si="10"/>
        <v>1.0416666666666666E-2</v>
      </c>
    </row>
    <row r="29" spans="2:20" ht="30" customHeight="1" x14ac:dyDescent="0.2">
      <c r="B29" s="213">
        <f t="shared" si="11"/>
        <v>23</v>
      </c>
      <c r="C29" s="214" t="s">
        <v>67</v>
      </c>
      <c r="D29" s="215">
        <f t="shared" si="8"/>
        <v>0.65208333333333313</v>
      </c>
      <c r="E29" s="214" t="s">
        <v>13</v>
      </c>
      <c r="F29" s="214" t="s">
        <v>35</v>
      </c>
      <c r="G29" s="214" t="s">
        <v>36</v>
      </c>
      <c r="H29" s="214" t="s">
        <v>72</v>
      </c>
      <c r="I29" s="216" t="s">
        <v>11</v>
      </c>
      <c r="K29" s="69">
        <v>0</v>
      </c>
      <c r="L29" s="35" t="s">
        <v>63</v>
      </c>
      <c r="M29" s="58">
        <f t="shared" si="12"/>
        <v>0.65208333333333313</v>
      </c>
      <c r="N29" s="59">
        <f t="shared" si="9"/>
        <v>0.65208333333333313</v>
      </c>
      <c r="O29" s="223">
        <f t="shared" si="10"/>
        <v>0</v>
      </c>
    </row>
    <row r="30" spans="2:20" ht="30" customHeight="1" x14ac:dyDescent="0.2">
      <c r="B30" s="213">
        <f t="shared" si="11"/>
        <v>24</v>
      </c>
      <c r="C30" s="214" t="s">
        <v>67</v>
      </c>
      <c r="D30" s="215">
        <f t="shared" si="8"/>
        <v>0.65208333333333313</v>
      </c>
      <c r="E30" s="214" t="s">
        <v>13</v>
      </c>
      <c r="F30" s="214" t="s">
        <v>39</v>
      </c>
      <c r="G30" s="214" t="s">
        <v>36</v>
      </c>
      <c r="H30" s="214" t="s">
        <v>72</v>
      </c>
      <c r="I30" s="216" t="s">
        <v>11</v>
      </c>
      <c r="K30" s="69">
        <v>15</v>
      </c>
      <c r="L30" s="35" t="s">
        <v>63</v>
      </c>
      <c r="M30" s="58">
        <f t="shared" si="12"/>
        <v>0.65208333333333313</v>
      </c>
      <c r="N30" s="59">
        <f t="shared" si="9"/>
        <v>0.66249999999999976</v>
      </c>
      <c r="O30" s="223">
        <f t="shared" si="10"/>
        <v>1.0416666666666666E-2</v>
      </c>
      <c r="P30" s="226"/>
    </row>
    <row r="31" spans="2:20" ht="30" customHeight="1" x14ac:dyDescent="0.2">
      <c r="B31" s="213">
        <f t="shared" si="11"/>
        <v>25</v>
      </c>
      <c r="C31" s="214" t="s">
        <v>67</v>
      </c>
      <c r="D31" s="215">
        <f t="shared" si="8"/>
        <v>0.66249999999999976</v>
      </c>
      <c r="E31" s="214" t="s">
        <v>7</v>
      </c>
      <c r="F31" s="214" t="s">
        <v>39</v>
      </c>
      <c r="G31" s="214" t="s">
        <v>34</v>
      </c>
      <c r="H31" s="214" t="s">
        <v>73</v>
      </c>
      <c r="I31" s="216" t="s">
        <v>11</v>
      </c>
      <c r="K31" s="69">
        <v>15</v>
      </c>
      <c r="L31" s="35" t="s">
        <v>63</v>
      </c>
      <c r="M31" s="58">
        <f t="shared" si="12"/>
        <v>0.66249999999999976</v>
      </c>
      <c r="N31" s="59">
        <f t="shared" si="9"/>
        <v>0.67291666666666639</v>
      </c>
      <c r="O31" s="223">
        <f t="shared" si="10"/>
        <v>1.0416666666666666E-2</v>
      </c>
      <c r="P31" s="225"/>
    </row>
    <row r="32" spans="2:20" ht="30" customHeight="1" x14ac:dyDescent="0.2">
      <c r="B32" s="213">
        <f t="shared" si="11"/>
        <v>26</v>
      </c>
      <c r="C32" s="214" t="s">
        <v>67</v>
      </c>
      <c r="D32" s="215">
        <f t="shared" si="8"/>
        <v>0.67291666666666639</v>
      </c>
      <c r="E32" s="214" t="s">
        <v>6</v>
      </c>
      <c r="F32" s="214" t="s">
        <v>39</v>
      </c>
      <c r="G32" s="214" t="s">
        <v>34</v>
      </c>
      <c r="H32" s="214" t="s">
        <v>73</v>
      </c>
      <c r="I32" s="216" t="s">
        <v>11</v>
      </c>
      <c r="K32" s="69">
        <v>0</v>
      </c>
      <c r="L32" s="35" t="s">
        <v>63</v>
      </c>
      <c r="M32" s="58">
        <f t="shared" si="12"/>
        <v>0.67291666666666639</v>
      </c>
      <c r="N32" s="59">
        <f t="shared" si="9"/>
        <v>0.67291666666666639</v>
      </c>
      <c r="O32" s="223">
        <f t="shared" si="10"/>
        <v>0</v>
      </c>
    </row>
    <row r="33" spans="2:16" ht="27.75" customHeight="1" x14ac:dyDescent="0.2">
      <c r="B33" s="213">
        <f t="shared" si="11"/>
        <v>27</v>
      </c>
      <c r="C33" s="214" t="s">
        <v>67</v>
      </c>
      <c r="D33" s="215">
        <f t="shared" ref="D33:D35" si="13">M33</f>
        <v>0.67291666666666639</v>
      </c>
      <c r="E33" s="214" t="s">
        <v>7</v>
      </c>
      <c r="F33" s="214" t="s">
        <v>39</v>
      </c>
      <c r="G33" s="214" t="s">
        <v>34</v>
      </c>
      <c r="H33" s="214" t="s">
        <v>73</v>
      </c>
      <c r="I33" s="216" t="s">
        <v>8</v>
      </c>
      <c r="K33" s="69">
        <v>0</v>
      </c>
      <c r="L33" s="35" t="s">
        <v>63</v>
      </c>
      <c r="M33" s="58">
        <f t="shared" si="12"/>
        <v>0.67291666666666639</v>
      </c>
      <c r="N33" s="59">
        <f>M33+O39</f>
        <v>0.67291666666666639</v>
      </c>
    </row>
    <row r="34" spans="2:16" ht="32.25" customHeight="1" x14ac:dyDescent="0.2">
      <c r="B34" s="213">
        <f t="shared" ref="B34:B35" si="14">B33+1</f>
        <v>28</v>
      </c>
      <c r="C34" s="214" t="s">
        <v>67</v>
      </c>
      <c r="D34" s="215">
        <f t="shared" si="13"/>
        <v>0.67291666666666639</v>
      </c>
      <c r="E34" s="214" t="s">
        <v>6</v>
      </c>
      <c r="F34" s="214" t="s">
        <v>39</v>
      </c>
      <c r="G34" s="214" t="s">
        <v>34</v>
      </c>
      <c r="H34" s="214" t="s">
        <v>73</v>
      </c>
      <c r="I34" s="216" t="s">
        <v>8</v>
      </c>
      <c r="K34" s="69">
        <v>10</v>
      </c>
      <c r="L34" s="35" t="s">
        <v>63</v>
      </c>
      <c r="M34" s="58">
        <f t="shared" ref="M34:M35" si="15">N33</f>
        <v>0.67291666666666639</v>
      </c>
      <c r="N34" s="59">
        <f>M34+O40</f>
        <v>0.67986111111111081</v>
      </c>
    </row>
    <row r="35" spans="2:16" ht="27" customHeight="1" thickBot="1" x14ac:dyDescent="0.25">
      <c r="B35" s="213">
        <f t="shared" si="14"/>
        <v>29</v>
      </c>
      <c r="C35" s="214" t="s">
        <v>67</v>
      </c>
      <c r="D35" s="215">
        <f t="shared" si="13"/>
        <v>0.67986111111111081</v>
      </c>
      <c r="E35" s="214" t="s">
        <v>78</v>
      </c>
      <c r="F35" s="214" t="s">
        <v>39</v>
      </c>
      <c r="G35" s="214" t="s">
        <v>26</v>
      </c>
      <c r="H35" s="214" t="s">
        <v>26</v>
      </c>
      <c r="I35" s="216" t="s">
        <v>14</v>
      </c>
      <c r="K35" s="69">
        <v>25</v>
      </c>
      <c r="L35" s="35" t="s">
        <v>63</v>
      </c>
      <c r="M35" s="58">
        <f t="shared" si="15"/>
        <v>0.67986111111111081</v>
      </c>
      <c r="N35" s="59">
        <f>M35+O41</f>
        <v>0.69722222222222197</v>
      </c>
    </row>
    <row r="36" spans="2:16" ht="36.75" customHeight="1" thickBot="1" x14ac:dyDescent="0.25">
      <c r="B36" s="220">
        <f>N35</f>
        <v>0.69722222222222197</v>
      </c>
      <c r="C36" s="221" t="s">
        <v>65</v>
      </c>
      <c r="D36" s="221">
        <f>N36</f>
        <v>0.71805555555555534</v>
      </c>
      <c r="E36" s="418" t="s">
        <v>111</v>
      </c>
      <c r="F36" s="418"/>
      <c r="G36" s="418"/>
      <c r="H36" s="418"/>
      <c r="I36" s="419"/>
      <c r="K36" s="70">
        <v>30</v>
      </c>
      <c r="L36" s="60" t="s">
        <v>63</v>
      </c>
      <c r="M36" s="61">
        <f>N35</f>
        <v>0.69722222222222197</v>
      </c>
      <c r="N36" s="62">
        <f>M36+O42</f>
        <v>0.71805555555555534</v>
      </c>
    </row>
    <row r="39" spans="2:16" ht="30" customHeight="1" x14ac:dyDescent="0.2">
      <c r="O39" s="223">
        <f>K33/24/60</f>
        <v>0</v>
      </c>
      <c r="P39" s="225"/>
    </row>
    <row r="40" spans="2:16" ht="30" customHeight="1" x14ac:dyDescent="0.2">
      <c r="O40" s="223">
        <f>K34/24/60</f>
        <v>6.9444444444444449E-3</v>
      </c>
      <c r="P40" s="225"/>
    </row>
    <row r="41" spans="2:16" ht="30" customHeight="1" x14ac:dyDescent="0.2">
      <c r="O41" s="223">
        <f>K35/24/60</f>
        <v>1.7361111111111112E-2</v>
      </c>
      <c r="P41" s="37"/>
    </row>
    <row r="42" spans="2:16" ht="30" customHeight="1" x14ac:dyDescent="0.2">
      <c r="L42" s="35"/>
      <c r="O42" s="223">
        <f>K36/24/60</f>
        <v>2.0833333333333332E-2</v>
      </c>
    </row>
    <row r="43" spans="2:16" x14ac:dyDescent="0.2">
      <c r="L43" s="35"/>
    </row>
    <row r="44" spans="2:16" x14ac:dyDescent="0.2">
      <c r="L44" s="35"/>
    </row>
    <row r="45" spans="2:16" x14ac:dyDescent="0.2">
      <c r="B45" s="36"/>
      <c r="C45" s="36"/>
      <c r="H45" s="36"/>
      <c r="I45" s="36"/>
      <c r="L45" s="37"/>
      <c r="M45" s="38"/>
      <c r="N45" s="38"/>
      <c r="O45" s="38"/>
      <c r="P45" s="38"/>
    </row>
    <row r="46" spans="2:16" x14ac:dyDescent="0.2">
      <c r="B46" s="36"/>
      <c r="C46" s="36"/>
      <c r="H46" s="36"/>
      <c r="I46" s="36"/>
      <c r="L46" s="37"/>
      <c r="M46" s="38"/>
      <c r="N46" s="38"/>
      <c r="O46" s="38"/>
      <c r="P46" s="38"/>
    </row>
    <row r="47" spans="2:16" x14ac:dyDescent="0.2">
      <c r="B47" s="36"/>
      <c r="C47" s="36"/>
      <c r="H47" s="36"/>
      <c r="I47" s="36"/>
    </row>
    <row r="48" spans="2:16" x14ac:dyDescent="0.2">
      <c r="L48" s="35"/>
    </row>
    <row r="49" spans="2:12" x14ac:dyDescent="0.2">
      <c r="L49" s="35"/>
    </row>
    <row r="50" spans="2:12" x14ac:dyDescent="0.2">
      <c r="B50" s="36"/>
      <c r="C50" s="36"/>
      <c r="H50" s="36"/>
      <c r="I50" s="36"/>
      <c r="L50" s="35"/>
    </row>
    <row r="51" spans="2:12" x14ac:dyDescent="0.2">
      <c r="L51" s="35"/>
    </row>
    <row r="52" spans="2:12" x14ac:dyDescent="0.2">
      <c r="L52" s="35"/>
    </row>
    <row r="53" spans="2:12" x14ac:dyDescent="0.2">
      <c r="L53" s="35"/>
    </row>
    <row r="54" spans="2:12" x14ac:dyDescent="0.2">
      <c r="L54" s="35"/>
    </row>
    <row r="55" spans="2:12" x14ac:dyDescent="0.2">
      <c r="L55" s="35"/>
    </row>
    <row r="56" spans="2:12" x14ac:dyDescent="0.2">
      <c r="L56" s="35"/>
    </row>
  </sheetData>
  <customSheetViews>
    <customSheetView guid="{391ED413-B519-42B5-B0F8-A9E49CD8514B}" scale="80" topLeftCell="A4">
      <selection activeCell="K57" sqref="K49:P57"/>
      <pageMargins left="0" right="0" top="0" bottom="0" header="0" footer="0"/>
      <pageSetup paperSize="9" scale="50" orientation="landscape" r:id="rId1"/>
    </customSheetView>
  </customSheetViews>
  <mergeCells count="4">
    <mergeCell ref="B2:I2"/>
    <mergeCell ref="K4:L4"/>
    <mergeCell ref="E36:I36"/>
    <mergeCell ref="B3:I3"/>
  </mergeCells>
  <printOptions horizontalCentered="1" verticalCentered="1"/>
  <pageMargins left="0.39370078740157483" right="0.39370078740157483" top="0" bottom="0" header="0" footer="0"/>
  <pageSetup paperSize="9" scale="6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>
    <tabColor theme="3" tint="0.59999389629810485"/>
  </sheetPr>
  <dimension ref="A1:M1059"/>
  <sheetViews>
    <sheetView zoomScaleNormal="100" workbookViewId="0">
      <pane ySplit="1" topLeftCell="A12" activePane="bottomLeft" state="frozen"/>
      <selection pane="bottomLeft" activeCell="B20" sqref="B20"/>
    </sheetView>
  </sheetViews>
  <sheetFormatPr baseColWidth="10" defaultColWidth="11" defaultRowHeight="12.6" x14ac:dyDescent="0.2"/>
  <cols>
    <col min="1" max="1" width="9.6328125" style="242" customWidth="1"/>
    <col min="2" max="2" width="14.08984375" style="246" hidden="1" customWidth="1"/>
    <col min="3" max="3" width="14.90625" style="239" bestFit="1" customWidth="1"/>
    <col min="4" max="4" width="15.26953125" style="239" customWidth="1"/>
    <col min="5" max="5" width="27" style="246" customWidth="1"/>
    <col min="6" max="6" width="13.90625" style="246" customWidth="1"/>
    <col min="7" max="7" width="16.7265625" style="246" bestFit="1" customWidth="1"/>
    <col min="8" max="8" width="11.36328125" style="242" customWidth="1"/>
    <col min="9" max="9" width="13.36328125" style="246" customWidth="1"/>
    <col min="10" max="10" width="30.453125" style="242" bestFit="1" customWidth="1"/>
    <col min="11" max="11" width="13.453125" style="233" bestFit="1" customWidth="1"/>
    <col min="12" max="16384" width="11" style="233"/>
  </cols>
  <sheetData>
    <row r="1" spans="1:13" ht="18" customHeight="1" x14ac:dyDescent="0.2">
      <c r="A1" s="229" t="s">
        <v>0</v>
      </c>
      <c r="B1" s="244" t="s">
        <v>74</v>
      </c>
      <c r="C1" s="231" t="s">
        <v>1</v>
      </c>
      <c r="D1" s="231" t="s">
        <v>2</v>
      </c>
      <c r="E1" s="244" t="s">
        <v>3</v>
      </c>
      <c r="F1" s="244" t="s">
        <v>16</v>
      </c>
      <c r="G1" s="244" t="s">
        <v>33</v>
      </c>
      <c r="H1" s="230" t="s">
        <v>4</v>
      </c>
      <c r="I1" s="244" t="s">
        <v>5</v>
      </c>
      <c r="J1" s="230" t="s">
        <v>17</v>
      </c>
      <c r="K1" s="232" t="s">
        <v>53</v>
      </c>
    </row>
    <row r="2" spans="1:13" x14ac:dyDescent="0.2">
      <c r="A2" s="238">
        <v>2</v>
      </c>
      <c r="B2" s="245"/>
      <c r="C2" s="234" t="s">
        <v>124</v>
      </c>
      <c r="D2" s="234" t="s">
        <v>125</v>
      </c>
      <c r="E2" s="243" t="str">
        <f>VLOOKUP(A2,Ausschreibung!$B$4:$I$35,4,FALSE)</f>
        <v>Masters A-H, männlich</v>
      </c>
      <c r="F2" s="245" t="s">
        <v>126</v>
      </c>
      <c r="G2" s="243" t="str">
        <f>VLOOKUP(A2,Ausschreibung!$B$4:$I$35,6,FALSE)</f>
        <v>27 und älter</v>
      </c>
      <c r="H2" s="235">
        <v>1940</v>
      </c>
      <c r="I2" s="243" t="str">
        <f>VLOOKUP(A2,Ausschreibung!$B$4:$I$35,8,FALSE)</f>
        <v>30 min.</v>
      </c>
      <c r="J2" s="235" t="s">
        <v>127</v>
      </c>
      <c r="K2" s="235"/>
      <c r="L2" s="233">
        <f>2020-H2</f>
        <v>80</v>
      </c>
    </row>
    <row r="3" spans="1:13" x14ac:dyDescent="0.2">
      <c r="A3" s="238">
        <v>28</v>
      </c>
      <c r="B3" s="245"/>
      <c r="C3" s="234" t="s">
        <v>124</v>
      </c>
      <c r="D3" s="234" t="s">
        <v>125</v>
      </c>
      <c r="E3" s="243" t="str">
        <f>VLOOKUP(A3,Ausschreibung!$B$4:$I$35,4,FALSE)</f>
        <v>Masters A-H, weiblich</v>
      </c>
      <c r="F3" s="245" t="s">
        <v>126</v>
      </c>
      <c r="G3" s="243" t="str">
        <f>VLOOKUP(A3,Ausschreibung!$B$4:$I$35,6,FALSE)</f>
        <v>27 und älter</v>
      </c>
      <c r="H3" s="235">
        <v>1940</v>
      </c>
      <c r="I3" s="243" t="str">
        <f>VLOOKUP(A3,Ausschreibung!$B$4:$I$35,8,FALSE)</f>
        <v>1000 m</v>
      </c>
      <c r="J3" s="235" t="s">
        <v>127</v>
      </c>
      <c r="K3" s="235"/>
      <c r="L3" s="233">
        <f t="shared" ref="L3:L66" si="0">2020-H3</f>
        <v>80</v>
      </c>
      <c r="M3" s="307"/>
    </row>
    <row r="4" spans="1:13" x14ac:dyDescent="0.2">
      <c r="A4" s="399">
        <v>25</v>
      </c>
      <c r="B4" s="400"/>
      <c r="C4" s="400" t="s">
        <v>140</v>
      </c>
      <c r="D4" s="400" t="s">
        <v>135</v>
      </c>
      <c r="E4" s="243" t="str">
        <f>VLOOKUP(A4,Ausschreibung!$B$4:$I$35,4,FALSE)</f>
        <v>Masters A-H, männlich</v>
      </c>
      <c r="F4" s="245" t="s">
        <v>453</v>
      </c>
      <c r="G4" s="243" t="str">
        <f>VLOOKUP(A4,Ausschreibung!$B$4:$I$35,6,FALSE)</f>
        <v>27 und älter</v>
      </c>
      <c r="H4" s="235">
        <v>1942</v>
      </c>
      <c r="I4" s="243" t="str">
        <f>VLOOKUP(A4,Ausschreibung!$B$4:$I$35,8,FALSE)</f>
        <v>2000 m</v>
      </c>
      <c r="J4" s="235" t="s">
        <v>141</v>
      </c>
      <c r="K4" s="235"/>
      <c r="L4" s="233">
        <f t="shared" si="0"/>
        <v>78</v>
      </c>
      <c r="M4" s="236"/>
    </row>
    <row r="5" spans="1:13" x14ac:dyDescent="0.2">
      <c r="A5" s="238">
        <v>2</v>
      </c>
      <c r="B5" s="234"/>
      <c r="C5" s="234" t="s">
        <v>152</v>
      </c>
      <c r="D5" s="234" t="s">
        <v>153</v>
      </c>
      <c r="E5" s="243" t="str">
        <f>VLOOKUP(A5,Ausschreibung!$B$4:$I$35,4,FALSE)</f>
        <v>Masters A-H, männlich</v>
      </c>
      <c r="F5" s="245" t="s">
        <v>126</v>
      </c>
      <c r="G5" s="243" t="str">
        <f>VLOOKUP(A5,Ausschreibung!$B$4:$I$35,6,FALSE)</f>
        <v>27 und älter</v>
      </c>
      <c r="H5" s="235">
        <v>1942</v>
      </c>
      <c r="I5" s="243" t="str">
        <f>VLOOKUP(A5,Ausschreibung!$B$4:$I$35,8,FALSE)</f>
        <v>30 min.</v>
      </c>
      <c r="J5" s="235" t="s">
        <v>127</v>
      </c>
      <c r="K5" s="235"/>
      <c r="L5" s="233">
        <f t="shared" si="0"/>
        <v>78</v>
      </c>
      <c r="M5" s="236"/>
    </row>
    <row r="6" spans="1:13" x14ac:dyDescent="0.2">
      <c r="A6" s="238">
        <v>2</v>
      </c>
      <c r="B6" s="245"/>
      <c r="C6" s="234" t="s">
        <v>128</v>
      </c>
      <c r="D6" s="234" t="s">
        <v>129</v>
      </c>
      <c r="E6" s="243" t="str">
        <f>VLOOKUP(A6,Ausschreibung!$B$4:$I$35,4,FALSE)</f>
        <v>Masters A-H, männlich</v>
      </c>
      <c r="F6" s="245" t="s">
        <v>447</v>
      </c>
      <c r="G6" s="243" t="str">
        <f>VLOOKUP(A6,Ausschreibung!$B$4:$I$35,6,FALSE)</f>
        <v>27 und älter</v>
      </c>
      <c r="H6" s="235">
        <v>1943</v>
      </c>
      <c r="I6" s="243" t="str">
        <f>VLOOKUP(A6,Ausschreibung!$B$4:$I$35,8,FALSE)</f>
        <v>30 min.</v>
      </c>
      <c r="J6" s="235" t="s">
        <v>127</v>
      </c>
      <c r="K6" s="235"/>
      <c r="L6" s="233">
        <f t="shared" si="0"/>
        <v>77</v>
      </c>
      <c r="M6" s="236"/>
    </row>
    <row r="7" spans="1:13" x14ac:dyDescent="0.2">
      <c r="A7" s="238">
        <v>2</v>
      </c>
      <c r="B7" s="234"/>
      <c r="C7" s="234" t="s">
        <v>139</v>
      </c>
      <c r="D7" s="234" t="s">
        <v>136</v>
      </c>
      <c r="E7" s="243" t="str">
        <f>VLOOKUP(A7,Ausschreibung!$B$4:$I$35,4,FALSE)</f>
        <v>Masters A-H, männlich</v>
      </c>
      <c r="F7" s="245" t="s">
        <v>447</v>
      </c>
      <c r="G7" s="243" t="str">
        <f>VLOOKUP(A7,Ausschreibung!$B$4:$I$35,6,FALSE)</f>
        <v>27 und älter</v>
      </c>
      <c r="H7" s="235">
        <v>1947</v>
      </c>
      <c r="I7" s="243" t="str">
        <f>VLOOKUP(A7,Ausschreibung!$B$4:$I$35,8,FALSE)</f>
        <v>30 min.</v>
      </c>
      <c r="J7" s="235" t="s">
        <v>133</v>
      </c>
      <c r="K7" s="235"/>
      <c r="L7" s="233">
        <f t="shared" si="0"/>
        <v>73</v>
      </c>
      <c r="M7" s="236"/>
    </row>
    <row r="8" spans="1:13" x14ac:dyDescent="0.2">
      <c r="A8" s="238">
        <v>28</v>
      </c>
      <c r="B8" s="234"/>
      <c r="C8" s="234" t="s">
        <v>139</v>
      </c>
      <c r="D8" s="234" t="s">
        <v>136</v>
      </c>
      <c r="E8" s="243" t="str">
        <f>VLOOKUP(A8,Ausschreibung!$B$4:$I$35,4,FALSE)</f>
        <v>Masters A-H, weiblich</v>
      </c>
      <c r="F8" s="245" t="s">
        <v>447</v>
      </c>
      <c r="G8" s="243" t="str">
        <f>VLOOKUP(A8,Ausschreibung!$B$4:$I$35,6,FALSE)</f>
        <v>27 und älter</v>
      </c>
      <c r="H8" s="235">
        <v>1947</v>
      </c>
      <c r="I8" s="243" t="str">
        <f>VLOOKUP(A8,Ausschreibung!$B$4:$I$35,8,FALSE)</f>
        <v>1000 m</v>
      </c>
      <c r="J8" s="235" t="s">
        <v>133</v>
      </c>
      <c r="K8" s="235"/>
      <c r="L8" s="233">
        <f t="shared" si="0"/>
        <v>73</v>
      </c>
      <c r="M8" s="236"/>
    </row>
    <row r="9" spans="1:13" x14ac:dyDescent="0.2">
      <c r="A9" s="238">
        <v>2</v>
      </c>
      <c r="B9" s="234"/>
      <c r="C9" s="234" t="s">
        <v>437</v>
      </c>
      <c r="D9" s="234" t="s">
        <v>422</v>
      </c>
      <c r="E9" s="243" t="str">
        <f>VLOOKUP(A9,Ausschreibung!$B$4:$I$35,4,FALSE)</f>
        <v>Masters A-H, männlich</v>
      </c>
      <c r="F9" s="245" t="s">
        <v>447</v>
      </c>
      <c r="G9" s="243" t="str">
        <f>VLOOKUP(A9,Ausschreibung!$B$4:$I$35,6,FALSE)</f>
        <v>27 und älter</v>
      </c>
      <c r="H9" s="235">
        <v>1948</v>
      </c>
      <c r="I9" s="243" t="str">
        <f>VLOOKUP(A9,Ausschreibung!$B$4:$I$35,8,FALSE)</f>
        <v>30 min.</v>
      </c>
      <c r="J9" s="235" t="s">
        <v>449</v>
      </c>
      <c r="K9" s="235"/>
      <c r="L9" s="233">
        <f t="shared" si="0"/>
        <v>72</v>
      </c>
      <c r="M9" s="236"/>
    </row>
    <row r="10" spans="1:13" x14ac:dyDescent="0.2">
      <c r="A10" s="238">
        <v>2</v>
      </c>
      <c r="B10" s="234"/>
      <c r="C10" s="234" t="s">
        <v>297</v>
      </c>
      <c r="D10" s="234" t="s">
        <v>323</v>
      </c>
      <c r="E10" s="243" t="str">
        <f>VLOOKUP(A10,Ausschreibung!$B$4:$I$35,4,FALSE)</f>
        <v>Masters A-H, männlich</v>
      </c>
      <c r="F10" s="245" t="s">
        <v>447</v>
      </c>
      <c r="G10" s="243" t="str">
        <f>VLOOKUP(A10,Ausschreibung!$B$4:$I$35,6,FALSE)</f>
        <v>27 und älter</v>
      </c>
      <c r="H10" s="235">
        <v>1950</v>
      </c>
      <c r="I10" s="243" t="str">
        <f>VLOOKUP(A10,Ausschreibung!$B$4:$I$35,8,FALSE)</f>
        <v>30 min.</v>
      </c>
      <c r="J10" s="235" t="s">
        <v>345</v>
      </c>
      <c r="K10" s="235"/>
      <c r="L10" s="233">
        <f t="shared" si="0"/>
        <v>70</v>
      </c>
      <c r="M10" s="236"/>
    </row>
    <row r="11" spans="1:13" x14ac:dyDescent="0.2">
      <c r="A11" s="238">
        <v>2</v>
      </c>
      <c r="B11" s="234"/>
      <c r="C11" s="234" t="s">
        <v>299</v>
      </c>
      <c r="D11" s="234" t="s">
        <v>324</v>
      </c>
      <c r="E11" s="243" t="str">
        <f>VLOOKUP(A11,Ausschreibung!$B$4:$I$35,4,FALSE)</f>
        <v>Masters A-H, männlich</v>
      </c>
      <c r="F11" s="245" t="s">
        <v>452</v>
      </c>
      <c r="G11" s="243" t="str">
        <f>VLOOKUP(A11,Ausschreibung!$B$4:$I$35,6,FALSE)</f>
        <v>27 und älter</v>
      </c>
      <c r="H11" s="235">
        <v>1955</v>
      </c>
      <c r="I11" s="243" t="str">
        <f>VLOOKUP(A11,Ausschreibung!$B$4:$I$35,8,FALSE)</f>
        <v>30 min.</v>
      </c>
      <c r="J11" s="235" t="s">
        <v>345</v>
      </c>
      <c r="K11" s="235"/>
      <c r="L11" s="233">
        <f t="shared" si="0"/>
        <v>65</v>
      </c>
      <c r="M11" s="236"/>
    </row>
    <row r="12" spans="1:13" x14ac:dyDescent="0.2">
      <c r="A12" s="238">
        <v>2</v>
      </c>
      <c r="B12" s="234"/>
      <c r="C12" s="234" t="s">
        <v>245</v>
      </c>
      <c r="D12" s="234" t="s">
        <v>246</v>
      </c>
      <c r="E12" s="243" t="str">
        <f>VLOOKUP(A12,Ausschreibung!$B$4:$I$35,4,FALSE)</f>
        <v>Masters A-H, männlich</v>
      </c>
      <c r="F12" s="245" t="s">
        <v>445</v>
      </c>
      <c r="G12" s="243" t="str">
        <f>VLOOKUP(A12,Ausschreibung!$B$4:$I$35,6,FALSE)</f>
        <v>27 und älter</v>
      </c>
      <c r="H12" s="235">
        <v>1957</v>
      </c>
      <c r="I12" s="243" t="str">
        <f>VLOOKUP(A12,Ausschreibung!$B$4:$I$35,8,FALSE)</f>
        <v>30 min.</v>
      </c>
      <c r="J12" s="235" t="s">
        <v>247</v>
      </c>
      <c r="K12" s="235"/>
      <c r="L12" s="233">
        <f t="shared" si="0"/>
        <v>63</v>
      </c>
    </row>
    <row r="13" spans="1:13" x14ac:dyDescent="0.2">
      <c r="A13" s="238">
        <v>2</v>
      </c>
      <c r="B13" s="234"/>
      <c r="C13" s="234" t="s">
        <v>242</v>
      </c>
      <c r="D13" s="234" t="s">
        <v>243</v>
      </c>
      <c r="E13" s="243" t="str">
        <f>VLOOKUP(A13,Ausschreibung!$B$4:$I$35,4,FALSE)</f>
        <v>Masters A-H, männlich</v>
      </c>
      <c r="F13" s="245" t="s">
        <v>445</v>
      </c>
      <c r="G13" s="243" t="str">
        <f>VLOOKUP(A13,Ausschreibung!$B$4:$I$35,6,FALSE)</f>
        <v>27 und älter</v>
      </c>
      <c r="H13" s="235">
        <v>1958</v>
      </c>
      <c r="I13" s="243" t="str">
        <f>VLOOKUP(A13,Ausschreibung!$B$4:$I$35,8,FALSE)</f>
        <v>30 min.</v>
      </c>
      <c r="J13" s="235" t="s">
        <v>244</v>
      </c>
      <c r="K13" s="235"/>
      <c r="L13" s="233">
        <f t="shared" si="0"/>
        <v>62</v>
      </c>
    </row>
    <row r="14" spans="1:13" x14ac:dyDescent="0.2">
      <c r="A14" s="238">
        <v>25</v>
      </c>
      <c r="B14" s="234"/>
      <c r="C14" s="234" t="s">
        <v>242</v>
      </c>
      <c r="D14" s="234" t="s">
        <v>243</v>
      </c>
      <c r="E14" s="243" t="str">
        <f>VLOOKUP(A14,Ausschreibung!$B$4:$I$35,4,FALSE)</f>
        <v>Masters A-H, männlich</v>
      </c>
      <c r="F14" s="245" t="s">
        <v>445</v>
      </c>
      <c r="G14" s="243" t="str">
        <f>VLOOKUP(A14,Ausschreibung!$B$4:$I$35,6,FALSE)</f>
        <v>27 und älter</v>
      </c>
      <c r="H14" s="235">
        <v>1958</v>
      </c>
      <c r="I14" s="243" t="str">
        <f>VLOOKUP(A14,Ausschreibung!$B$4:$I$35,8,FALSE)</f>
        <v>2000 m</v>
      </c>
      <c r="J14" s="235" t="s">
        <v>244</v>
      </c>
      <c r="K14" s="235"/>
      <c r="L14" s="233">
        <f t="shared" si="0"/>
        <v>62</v>
      </c>
    </row>
    <row r="15" spans="1:13" x14ac:dyDescent="0.2">
      <c r="A15" s="238">
        <v>27</v>
      </c>
      <c r="B15" s="234"/>
      <c r="C15" s="234" t="s">
        <v>242</v>
      </c>
      <c r="D15" s="234" t="s">
        <v>243</v>
      </c>
      <c r="E15" s="243" t="str">
        <f>VLOOKUP(A15,Ausschreibung!$B$4:$I$35,4,FALSE)</f>
        <v>Masters A-H, männlich</v>
      </c>
      <c r="F15" s="245" t="s">
        <v>448</v>
      </c>
      <c r="G15" s="243" t="str">
        <f>VLOOKUP(A15,Ausschreibung!$B$4:$I$35,6,FALSE)</f>
        <v>27 und älter</v>
      </c>
      <c r="H15" s="235">
        <v>1958</v>
      </c>
      <c r="I15" s="243" t="str">
        <f>VLOOKUP(A15,Ausschreibung!$B$4:$I$35,8,FALSE)</f>
        <v>1000 m</v>
      </c>
      <c r="J15" s="235" t="s">
        <v>244</v>
      </c>
      <c r="K15" s="235"/>
      <c r="L15" s="233">
        <f t="shared" si="0"/>
        <v>62</v>
      </c>
    </row>
    <row r="16" spans="1:13" x14ac:dyDescent="0.2">
      <c r="A16" s="238">
        <v>2</v>
      </c>
      <c r="B16" s="245"/>
      <c r="C16" s="234" t="s">
        <v>130</v>
      </c>
      <c r="D16" s="234" t="s">
        <v>131</v>
      </c>
      <c r="E16" s="243" t="str">
        <f>VLOOKUP(A16,Ausschreibung!$B$4:$I$35,4,FALSE)</f>
        <v>Masters A-H, männlich</v>
      </c>
      <c r="F16" s="245" t="s">
        <v>445</v>
      </c>
      <c r="G16" s="243" t="str">
        <f>VLOOKUP(A16,Ausschreibung!$B$4:$I$35,6,FALSE)</f>
        <v>27 und älter</v>
      </c>
      <c r="H16" s="235">
        <v>1959</v>
      </c>
      <c r="I16" s="243" t="str">
        <f>VLOOKUP(A16,Ausschreibung!$B$4:$I$35,8,FALSE)</f>
        <v>30 min.</v>
      </c>
      <c r="J16" s="235" t="s">
        <v>132</v>
      </c>
      <c r="K16" s="235"/>
      <c r="L16" s="233">
        <f t="shared" si="0"/>
        <v>61</v>
      </c>
    </row>
    <row r="17" spans="1:12" x14ac:dyDescent="0.2">
      <c r="A17" s="238">
        <v>28</v>
      </c>
      <c r="B17" s="234"/>
      <c r="C17" s="234" t="s">
        <v>442</v>
      </c>
      <c r="D17" s="234" t="s">
        <v>243</v>
      </c>
      <c r="E17" s="243" t="str">
        <f>VLOOKUP(A17,Ausschreibung!$B$4:$I$35,4,FALSE)</f>
        <v>Masters A-H, weiblich</v>
      </c>
      <c r="F17" s="245" t="s">
        <v>445</v>
      </c>
      <c r="G17" s="243" t="str">
        <f>VLOOKUP(A17,Ausschreibung!$B$4:$I$35,6,FALSE)</f>
        <v>27 und älter</v>
      </c>
      <c r="H17" s="235">
        <v>1960</v>
      </c>
      <c r="I17" s="243" t="str">
        <f>VLOOKUP(A17,Ausschreibung!$B$4:$I$35,8,FALSE)</f>
        <v>1000 m</v>
      </c>
      <c r="J17" s="235" t="s">
        <v>449</v>
      </c>
      <c r="K17" s="235"/>
      <c r="L17" s="233">
        <f t="shared" si="0"/>
        <v>60</v>
      </c>
    </row>
    <row r="18" spans="1:12" x14ac:dyDescent="0.2">
      <c r="A18" s="238">
        <v>1</v>
      </c>
      <c r="B18" s="234"/>
      <c r="C18" s="234" t="s">
        <v>432</v>
      </c>
      <c r="D18" s="234" t="s">
        <v>418</v>
      </c>
      <c r="E18" s="243" t="str">
        <f>VLOOKUP(A18,Ausschreibung!$B$4:$I$35,4,FALSE)</f>
        <v>Masters A-H, weiblich  </v>
      </c>
      <c r="F18" s="245" t="s">
        <v>445</v>
      </c>
      <c r="G18" s="243" t="str">
        <f>VLOOKUP(A18,Ausschreibung!$B$4:$I$35,6,FALSE)</f>
        <v>27 und älter  </v>
      </c>
      <c r="H18" s="235">
        <v>1960</v>
      </c>
      <c r="I18" s="243" t="str">
        <f>VLOOKUP(A18,Ausschreibung!$B$4:$I$35,8,FALSE)</f>
        <v>30 min.</v>
      </c>
      <c r="J18" s="235" t="s">
        <v>449</v>
      </c>
      <c r="K18" s="235"/>
      <c r="L18" s="233">
        <f t="shared" si="0"/>
        <v>60</v>
      </c>
    </row>
    <row r="19" spans="1:12" x14ac:dyDescent="0.2">
      <c r="A19" s="399">
        <v>28</v>
      </c>
      <c r="B19" s="400"/>
      <c r="C19" s="400" t="s">
        <v>142</v>
      </c>
      <c r="D19" s="400" t="s">
        <v>143</v>
      </c>
      <c r="E19" s="243" t="str">
        <f>VLOOKUP(A19,Ausschreibung!$B$4:$I$35,4,FALSE)</f>
        <v>Masters A-H, weiblich</v>
      </c>
      <c r="F19" s="245" t="s">
        <v>126</v>
      </c>
      <c r="G19" s="243" t="str">
        <f>VLOOKUP(A19,Ausschreibung!$B$4:$I$35,6,FALSE)</f>
        <v>27 und älter</v>
      </c>
      <c r="H19" s="235">
        <v>1940</v>
      </c>
      <c r="I19" s="243" t="str">
        <f>VLOOKUP(A19,Ausschreibung!$B$4:$I$35,8,FALSE)</f>
        <v>1000 m</v>
      </c>
      <c r="J19" s="235" t="s">
        <v>141</v>
      </c>
      <c r="K19" s="235"/>
      <c r="L19" s="233">
        <f t="shared" si="0"/>
        <v>80</v>
      </c>
    </row>
    <row r="20" spans="1:12" x14ac:dyDescent="0.2">
      <c r="A20" s="399">
        <v>2</v>
      </c>
      <c r="B20" s="401" t="str">
        <f>VLOOKUP(A20,[1]Ausschreibung!$B$4:$I$35,2,FALSE)</f>
        <v>Ergocup</v>
      </c>
      <c r="C20" s="400" t="s">
        <v>144</v>
      </c>
      <c r="D20" s="400" t="s">
        <v>145</v>
      </c>
      <c r="E20" s="243" t="str">
        <f>VLOOKUP(A20,Ausschreibung!$B$4:$I$35,4,FALSE)</f>
        <v>Masters A-H, männlich</v>
      </c>
      <c r="F20" s="245" t="s">
        <v>146</v>
      </c>
      <c r="G20" s="243" t="str">
        <f>VLOOKUP(A20,Ausschreibung!$B$4:$I$35,6,FALSE)</f>
        <v>27 und älter</v>
      </c>
      <c r="H20" s="235">
        <v>1962</v>
      </c>
      <c r="I20" s="243" t="str">
        <f>VLOOKUP(A20,Ausschreibung!$B$4:$I$35,8,FALSE)</f>
        <v>30 min.</v>
      </c>
      <c r="J20" s="235" t="s">
        <v>127</v>
      </c>
      <c r="K20" s="235"/>
      <c r="L20" s="233">
        <f t="shared" si="0"/>
        <v>58</v>
      </c>
    </row>
    <row r="21" spans="1:12" x14ac:dyDescent="0.2">
      <c r="A21" s="238">
        <v>2</v>
      </c>
      <c r="B21" s="234"/>
      <c r="C21" s="234" t="s">
        <v>432</v>
      </c>
      <c r="D21" s="234" t="s">
        <v>422</v>
      </c>
      <c r="E21" s="243" t="str">
        <f>VLOOKUP(A21,Ausschreibung!$B$4:$I$35,4,FALSE)</f>
        <v>Masters A-H, männlich</v>
      </c>
      <c r="F21" s="245" t="s">
        <v>146</v>
      </c>
      <c r="G21" s="243" t="str">
        <f>VLOOKUP(A21,Ausschreibung!$B$4:$I$35,6,FALSE)</f>
        <v>27 und älter</v>
      </c>
      <c r="H21" s="235">
        <v>1964</v>
      </c>
      <c r="I21" s="243" t="str">
        <f>VLOOKUP(A21,Ausschreibung!$B$4:$I$35,8,FALSE)</f>
        <v>30 min.</v>
      </c>
      <c r="J21" s="235" t="s">
        <v>449</v>
      </c>
      <c r="K21" s="235"/>
      <c r="L21" s="233">
        <f t="shared" si="0"/>
        <v>56</v>
      </c>
    </row>
    <row r="22" spans="1:12" x14ac:dyDescent="0.2">
      <c r="A22" s="238">
        <v>1</v>
      </c>
      <c r="B22" s="234"/>
      <c r="C22" s="234" t="s">
        <v>297</v>
      </c>
      <c r="D22" s="234" t="s">
        <v>320</v>
      </c>
      <c r="E22" s="243" t="str">
        <f>VLOOKUP(A22,Ausschreibung!$B$4:$I$35,4,FALSE)</f>
        <v>Masters A-H, weiblich  </v>
      </c>
      <c r="F22" s="245" t="s">
        <v>446</v>
      </c>
      <c r="G22" s="243" t="str">
        <f>VLOOKUP(A22,Ausschreibung!$B$4:$I$35,6,FALSE)</f>
        <v>27 und älter  </v>
      </c>
      <c r="H22" s="235">
        <v>1965</v>
      </c>
      <c r="I22" s="243" t="str">
        <f>VLOOKUP(A22,Ausschreibung!$B$4:$I$35,8,FALSE)</f>
        <v>30 min.</v>
      </c>
      <c r="J22" s="235" t="s">
        <v>345</v>
      </c>
      <c r="K22" s="235"/>
      <c r="L22" s="233">
        <f t="shared" si="0"/>
        <v>55</v>
      </c>
    </row>
    <row r="23" spans="1:12" x14ac:dyDescent="0.2">
      <c r="A23" s="238">
        <v>1</v>
      </c>
      <c r="B23" s="245"/>
      <c r="C23" s="234" t="s">
        <v>118</v>
      </c>
      <c r="D23" s="234" t="s">
        <v>119</v>
      </c>
      <c r="E23" s="243" t="str">
        <f>VLOOKUP(A23,Ausschreibung!$B$4:$I$35,4,FALSE)</f>
        <v>Masters A-H, weiblich  </v>
      </c>
      <c r="F23" s="245" t="s">
        <v>446</v>
      </c>
      <c r="G23" s="243" t="str">
        <f>VLOOKUP(A23,Ausschreibung!$B$4:$I$35,6,FALSE)</f>
        <v>27 und älter  </v>
      </c>
      <c r="H23" s="235">
        <v>1965</v>
      </c>
      <c r="I23" s="243" t="str">
        <f>VLOOKUP(A23,Ausschreibung!$B$4:$I$35,8,FALSE)</f>
        <v>30 min.</v>
      </c>
      <c r="J23" s="235" t="s">
        <v>120</v>
      </c>
      <c r="K23" s="235"/>
      <c r="L23" s="233">
        <f t="shared" si="0"/>
        <v>55</v>
      </c>
    </row>
    <row r="24" spans="1:12" x14ac:dyDescent="0.2">
      <c r="A24" s="238">
        <v>2</v>
      </c>
      <c r="B24" s="234"/>
      <c r="C24" s="234" t="s">
        <v>154</v>
      </c>
      <c r="D24" s="234" t="s">
        <v>155</v>
      </c>
      <c r="E24" s="243" t="str">
        <f>VLOOKUP(A24,Ausschreibung!$B$4:$I$35,4,FALSE)</f>
        <v>Masters A-H, männlich</v>
      </c>
      <c r="F24" s="245" t="s">
        <v>446</v>
      </c>
      <c r="G24" s="243" t="str">
        <f>VLOOKUP(A24,Ausschreibung!$B$4:$I$35,6,FALSE)</f>
        <v>27 und älter</v>
      </c>
      <c r="H24" s="235">
        <v>1966</v>
      </c>
      <c r="I24" s="243" t="str">
        <f>VLOOKUP(A24,Ausschreibung!$B$4:$I$35,8,FALSE)</f>
        <v>30 min.</v>
      </c>
      <c r="J24" s="235" t="s">
        <v>132</v>
      </c>
      <c r="K24" s="235"/>
      <c r="L24" s="233">
        <f t="shared" si="0"/>
        <v>54</v>
      </c>
    </row>
    <row r="25" spans="1:12" x14ac:dyDescent="0.2">
      <c r="A25" s="238">
        <v>1</v>
      </c>
      <c r="B25" s="234"/>
      <c r="C25" s="234" t="s">
        <v>298</v>
      </c>
      <c r="D25" s="234" t="s">
        <v>321</v>
      </c>
      <c r="E25" s="243" t="str">
        <f>VLOOKUP(A25,Ausschreibung!$B$4:$I$35,4,FALSE)</f>
        <v>Masters A-H, weiblich  </v>
      </c>
      <c r="F25" s="245" t="s">
        <v>446</v>
      </c>
      <c r="G25" s="243" t="str">
        <f>VLOOKUP(A25,Ausschreibung!$B$4:$I$35,6,FALSE)</f>
        <v>27 und älter  </v>
      </c>
      <c r="H25" s="235">
        <v>1967</v>
      </c>
      <c r="I25" s="243" t="str">
        <f>VLOOKUP(A25,Ausschreibung!$B$4:$I$35,8,FALSE)</f>
        <v>30 min.</v>
      </c>
      <c r="J25" s="235" t="s">
        <v>345</v>
      </c>
      <c r="K25" s="235"/>
      <c r="L25" s="233">
        <f t="shared" si="0"/>
        <v>53</v>
      </c>
    </row>
    <row r="26" spans="1:12" x14ac:dyDescent="0.2">
      <c r="A26" s="238">
        <v>28</v>
      </c>
      <c r="B26" s="234"/>
      <c r="C26" s="234" t="s">
        <v>443</v>
      </c>
      <c r="D26" s="234" t="s">
        <v>430</v>
      </c>
      <c r="E26" s="243" t="str">
        <f>VLOOKUP(A26,Ausschreibung!$B$4:$I$35,4,FALSE)</f>
        <v>Masters A-H, weiblich</v>
      </c>
      <c r="F26" s="245" t="s">
        <v>446</v>
      </c>
      <c r="G26" s="243" t="str">
        <f>VLOOKUP(A26,Ausschreibung!$B$4:$I$35,6,FALSE)</f>
        <v>27 und älter</v>
      </c>
      <c r="H26" s="235">
        <v>1967</v>
      </c>
      <c r="I26" s="243" t="str">
        <f>VLOOKUP(A26,Ausschreibung!$B$4:$I$35,8,FALSE)</f>
        <v>1000 m</v>
      </c>
      <c r="J26" s="235" t="s">
        <v>449</v>
      </c>
      <c r="K26" s="235"/>
      <c r="L26" s="233">
        <f t="shared" si="0"/>
        <v>53</v>
      </c>
    </row>
    <row r="27" spans="1:12" x14ac:dyDescent="0.2">
      <c r="A27" s="238">
        <v>28</v>
      </c>
      <c r="B27" s="234"/>
      <c r="C27" s="234" t="s">
        <v>216</v>
      </c>
      <c r="D27" s="234" t="s">
        <v>131</v>
      </c>
      <c r="E27" s="243" t="str">
        <f>VLOOKUP(A27,Ausschreibung!$B$4:$I$35,4,FALSE)</f>
        <v>Masters A-H, weiblich</v>
      </c>
      <c r="F27" s="245" t="s">
        <v>446</v>
      </c>
      <c r="G27" s="243" t="str">
        <f>VLOOKUP(A27,Ausschreibung!$B$4:$I$35,6,FALSE)</f>
        <v>27 und älter</v>
      </c>
      <c r="H27" s="235">
        <v>1967</v>
      </c>
      <c r="I27" s="243" t="str">
        <f>VLOOKUP(A27,Ausschreibung!$B$4:$I$35,8,FALSE)</f>
        <v>1000 m</v>
      </c>
      <c r="J27" s="235" t="s">
        <v>241</v>
      </c>
      <c r="K27" s="235"/>
      <c r="L27" s="233">
        <f t="shared" si="0"/>
        <v>53</v>
      </c>
    </row>
    <row r="28" spans="1:12" x14ac:dyDescent="0.2">
      <c r="A28" s="238">
        <v>2</v>
      </c>
      <c r="B28" s="234"/>
      <c r="C28" s="234" t="s">
        <v>301</v>
      </c>
      <c r="D28" s="234" t="s">
        <v>326</v>
      </c>
      <c r="E28" s="243" t="str">
        <f>VLOOKUP(A28,Ausschreibung!$B$4:$I$35,4,FALSE)</f>
        <v>Masters A-H, männlich</v>
      </c>
      <c r="F28" s="245" t="s">
        <v>446</v>
      </c>
      <c r="G28" s="243" t="str">
        <f>VLOOKUP(A28,Ausschreibung!$B$4:$I$35,6,FALSE)</f>
        <v>27 und älter</v>
      </c>
      <c r="H28" s="235">
        <v>1968</v>
      </c>
      <c r="I28" s="243" t="str">
        <f>VLOOKUP(A28,Ausschreibung!$B$4:$I$35,8,FALSE)</f>
        <v>30 min.</v>
      </c>
      <c r="J28" s="235" t="s">
        <v>345</v>
      </c>
      <c r="K28" s="235"/>
      <c r="L28" s="233">
        <f t="shared" si="0"/>
        <v>52</v>
      </c>
    </row>
    <row r="29" spans="1:12" x14ac:dyDescent="0.2">
      <c r="A29" s="238">
        <v>2</v>
      </c>
      <c r="B29" s="234"/>
      <c r="C29" s="234" t="s">
        <v>433</v>
      </c>
      <c r="D29" s="234" t="s">
        <v>326</v>
      </c>
      <c r="E29" s="243" t="str">
        <f>VLOOKUP(A29,Ausschreibung!$B$4:$I$35,4,FALSE)</f>
        <v>Masters A-H, männlich</v>
      </c>
      <c r="F29" s="245" t="s">
        <v>446</v>
      </c>
      <c r="G29" s="243" t="str">
        <f>VLOOKUP(A29,Ausschreibung!$B$4:$I$35,6,FALSE)</f>
        <v>27 und älter</v>
      </c>
      <c r="H29" s="235">
        <v>1968</v>
      </c>
      <c r="I29" s="243" t="str">
        <f>VLOOKUP(A29,Ausschreibung!$B$4:$I$35,8,FALSE)</f>
        <v>30 min.</v>
      </c>
      <c r="J29" s="235" t="s">
        <v>449</v>
      </c>
      <c r="K29" s="235"/>
      <c r="L29" s="233">
        <f t="shared" si="0"/>
        <v>52</v>
      </c>
    </row>
    <row r="30" spans="1:12" x14ac:dyDescent="0.2">
      <c r="A30" s="238">
        <v>2</v>
      </c>
      <c r="B30" s="234"/>
      <c r="C30" s="234" t="s">
        <v>436</v>
      </c>
      <c r="D30" s="234" t="s">
        <v>344</v>
      </c>
      <c r="E30" s="243" t="str">
        <f>VLOOKUP(A30,Ausschreibung!$B$4:$I$35,4,FALSE)</f>
        <v>Masters A-H, männlich</v>
      </c>
      <c r="F30" s="245" t="s">
        <v>446</v>
      </c>
      <c r="G30" s="243" t="str">
        <f>VLOOKUP(A30,Ausschreibung!$B$4:$I$35,6,FALSE)</f>
        <v>27 und älter</v>
      </c>
      <c r="H30" s="235">
        <v>1968</v>
      </c>
      <c r="I30" s="243" t="str">
        <f>VLOOKUP(A30,Ausschreibung!$B$4:$I$35,8,FALSE)</f>
        <v>30 min.</v>
      </c>
      <c r="J30" s="235" t="s">
        <v>449</v>
      </c>
      <c r="K30" s="235"/>
      <c r="L30" s="233">
        <f t="shared" si="0"/>
        <v>52</v>
      </c>
    </row>
    <row r="31" spans="1:12" x14ac:dyDescent="0.2">
      <c r="A31" s="238">
        <v>25</v>
      </c>
      <c r="B31" s="234"/>
      <c r="C31" s="234" t="s">
        <v>436</v>
      </c>
      <c r="D31" s="234" t="s">
        <v>344</v>
      </c>
      <c r="E31" s="243" t="str">
        <f>VLOOKUP(A31,Ausschreibung!$B$4:$I$35,4,FALSE)</f>
        <v>Masters A-H, männlich</v>
      </c>
      <c r="F31" s="245" t="s">
        <v>446</v>
      </c>
      <c r="G31" s="243" t="str">
        <f>VLOOKUP(A31,Ausschreibung!$B$4:$I$35,6,FALSE)</f>
        <v>27 und älter</v>
      </c>
      <c r="H31" s="235">
        <v>1968</v>
      </c>
      <c r="I31" s="243" t="str">
        <f>VLOOKUP(A31,Ausschreibung!$B$4:$I$35,8,FALSE)</f>
        <v>2000 m</v>
      </c>
      <c r="J31" s="235" t="s">
        <v>449</v>
      </c>
      <c r="K31" s="235"/>
      <c r="L31" s="233">
        <f t="shared" si="0"/>
        <v>52</v>
      </c>
    </row>
    <row r="32" spans="1:12" x14ac:dyDescent="0.2">
      <c r="A32" s="238">
        <v>2</v>
      </c>
      <c r="B32" s="234"/>
      <c r="C32" s="234" t="s">
        <v>435</v>
      </c>
      <c r="D32" s="234" t="s">
        <v>421</v>
      </c>
      <c r="E32" s="243" t="str">
        <f>VLOOKUP(A32,Ausschreibung!$B$4:$I$35,4,FALSE)</f>
        <v>Masters A-H, männlich</v>
      </c>
      <c r="F32" s="245" t="s">
        <v>446</v>
      </c>
      <c r="G32" s="243" t="str">
        <f>VLOOKUP(A32,Ausschreibung!$B$4:$I$35,6,FALSE)</f>
        <v>27 und älter</v>
      </c>
      <c r="H32" s="235">
        <v>1969</v>
      </c>
      <c r="I32" s="243" t="str">
        <f>VLOOKUP(A32,Ausschreibung!$B$4:$I$35,8,FALSE)</f>
        <v>30 min.</v>
      </c>
      <c r="J32" s="235" t="s">
        <v>449</v>
      </c>
      <c r="K32" s="235"/>
      <c r="L32" s="233">
        <f t="shared" si="0"/>
        <v>51</v>
      </c>
    </row>
    <row r="33" spans="1:12" x14ac:dyDescent="0.2">
      <c r="A33" s="238">
        <v>2</v>
      </c>
      <c r="B33" s="234"/>
      <c r="C33" s="234" t="s">
        <v>434</v>
      </c>
      <c r="D33" s="234" t="s">
        <v>420</v>
      </c>
      <c r="E33" s="243" t="str">
        <f>VLOOKUP(A33,Ausschreibung!$B$4:$I$35,4,FALSE)</f>
        <v>Masters A-H, männlich</v>
      </c>
      <c r="F33" s="245" t="s">
        <v>446</v>
      </c>
      <c r="G33" s="243" t="str">
        <f>VLOOKUP(A33,Ausschreibung!$B$4:$I$35,6,FALSE)</f>
        <v>27 und älter</v>
      </c>
      <c r="H33" s="235">
        <v>1969</v>
      </c>
      <c r="I33" s="243" t="str">
        <f>VLOOKUP(A33,Ausschreibung!$B$4:$I$35,8,FALSE)</f>
        <v>30 min.</v>
      </c>
      <c r="J33" s="235" t="s">
        <v>449</v>
      </c>
      <c r="K33" s="235"/>
      <c r="L33" s="233">
        <f t="shared" si="0"/>
        <v>51</v>
      </c>
    </row>
    <row r="34" spans="1:12" x14ac:dyDescent="0.2">
      <c r="A34" s="238">
        <v>2</v>
      </c>
      <c r="B34" s="234"/>
      <c r="C34" s="234" t="s">
        <v>300</v>
      </c>
      <c r="D34" s="234" t="s">
        <v>325</v>
      </c>
      <c r="E34" s="243" t="str">
        <f>VLOOKUP(A34,Ausschreibung!$B$4:$I$35,4,FALSE)</f>
        <v>Masters A-H, männlich</v>
      </c>
      <c r="F34" s="245" t="s">
        <v>446</v>
      </c>
      <c r="G34" s="243" t="str">
        <f>VLOOKUP(A34,Ausschreibung!$B$4:$I$35,6,FALSE)</f>
        <v>27 und älter</v>
      </c>
      <c r="H34" s="235">
        <v>1969</v>
      </c>
      <c r="I34" s="243" t="str">
        <f>VLOOKUP(A34,Ausschreibung!$B$4:$I$35,8,FALSE)</f>
        <v>30 min.</v>
      </c>
      <c r="J34" s="235" t="s">
        <v>345</v>
      </c>
      <c r="K34" s="235"/>
      <c r="L34" s="233">
        <f t="shared" si="0"/>
        <v>51</v>
      </c>
    </row>
    <row r="35" spans="1:12" x14ac:dyDescent="0.2">
      <c r="A35" s="238">
        <v>25</v>
      </c>
      <c r="B35" s="234"/>
      <c r="C35" s="234" t="s">
        <v>319</v>
      </c>
      <c r="D35" s="234" t="s">
        <v>287</v>
      </c>
      <c r="E35" s="243" t="str">
        <f>VLOOKUP(A35,Ausschreibung!$B$4:$I$35,4,FALSE)</f>
        <v>Masters A-H, männlich</v>
      </c>
      <c r="F35" s="245" t="s">
        <v>446</v>
      </c>
      <c r="G35" s="243" t="str">
        <f>VLOOKUP(A35,Ausschreibung!$B$4:$I$35,6,FALSE)</f>
        <v>27 und älter</v>
      </c>
      <c r="H35" s="235">
        <v>1970</v>
      </c>
      <c r="I35" s="243" t="str">
        <f>VLOOKUP(A35,Ausschreibung!$B$4:$I$35,8,FALSE)</f>
        <v>2000 m</v>
      </c>
      <c r="J35" s="235" t="s">
        <v>345</v>
      </c>
      <c r="K35" s="235"/>
      <c r="L35" s="233">
        <f t="shared" si="0"/>
        <v>50</v>
      </c>
    </row>
    <row r="36" spans="1:12" x14ac:dyDescent="0.2">
      <c r="A36" s="238">
        <v>2</v>
      </c>
      <c r="B36" s="234"/>
      <c r="C36" s="234" t="s">
        <v>156</v>
      </c>
      <c r="D36" s="234" t="s">
        <v>157</v>
      </c>
      <c r="E36" s="243" t="str">
        <f>VLOOKUP(A36,Ausschreibung!$B$4:$I$35,4,FALSE)</f>
        <v>Masters A-H, männlich</v>
      </c>
      <c r="F36" s="245" t="s">
        <v>444</v>
      </c>
      <c r="G36" s="243" t="str">
        <f>VLOOKUP(A36,Ausschreibung!$B$4:$I$35,6,FALSE)</f>
        <v>27 und älter</v>
      </c>
      <c r="H36" s="235">
        <v>1971</v>
      </c>
      <c r="I36" s="243" t="str">
        <f>VLOOKUP(A36,Ausschreibung!$B$4:$I$35,8,FALSE)</f>
        <v>30 min.</v>
      </c>
      <c r="J36" s="235" t="s">
        <v>158</v>
      </c>
      <c r="K36" s="235"/>
      <c r="L36" s="233">
        <f t="shared" si="0"/>
        <v>49</v>
      </c>
    </row>
    <row r="37" spans="1:12" x14ac:dyDescent="0.2">
      <c r="A37" s="238">
        <v>2</v>
      </c>
      <c r="B37" s="234"/>
      <c r="C37" s="234" t="s">
        <v>193</v>
      </c>
      <c r="D37" s="234" t="s">
        <v>218</v>
      </c>
      <c r="E37" s="243" t="str">
        <f>VLOOKUP(A37,Ausschreibung!$B$4:$I$35,4,FALSE)</f>
        <v>Masters A-H, männlich</v>
      </c>
      <c r="F37" s="245" t="s">
        <v>444</v>
      </c>
      <c r="G37" s="243" t="str">
        <f>VLOOKUP(A37,Ausschreibung!$B$4:$I$35,6,FALSE)</f>
        <v>27 und älter</v>
      </c>
      <c r="H37" s="235">
        <v>1971</v>
      </c>
      <c r="I37" s="243" t="str">
        <f>VLOOKUP(A37,Ausschreibung!$B$4:$I$35,8,FALSE)</f>
        <v>30 min.</v>
      </c>
      <c r="J37" s="235" t="s">
        <v>241</v>
      </c>
      <c r="K37" s="235"/>
      <c r="L37" s="233">
        <f t="shared" si="0"/>
        <v>49</v>
      </c>
    </row>
    <row r="38" spans="1:12" x14ac:dyDescent="0.2">
      <c r="A38" s="238">
        <v>1</v>
      </c>
      <c r="B38" s="234"/>
      <c r="C38" s="234" t="s">
        <v>297</v>
      </c>
      <c r="D38" s="234" t="s">
        <v>322</v>
      </c>
      <c r="E38" s="243" t="str">
        <f>VLOOKUP(A38,Ausschreibung!$B$4:$I$35,4,FALSE)</f>
        <v>Masters A-H, weiblich  </v>
      </c>
      <c r="F38" s="245" t="s">
        <v>444</v>
      </c>
      <c r="G38" s="243" t="str">
        <f>VLOOKUP(A38,Ausschreibung!$B$4:$I$35,6,FALSE)</f>
        <v>27 und älter  </v>
      </c>
      <c r="H38" s="235">
        <v>1972</v>
      </c>
      <c r="I38" s="243" t="str">
        <f>VLOOKUP(A38,Ausschreibung!$B$4:$I$35,8,FALSE)</f>
        <v>30 min.</v>
      </c>
      <c r="J38" s="235" t="s">
        <v>345</v>
      </c>
      <c r="K38" s="235"/>
      <c r="L38" s="233">
        <f t="shared" si="0"/>
        <v>48</v>
      </c>
    </row>
    <row r="39" spans="1:12" x14ac:dyDescent="0.2">
      <c r="A39" s="238">
        <v>28</v>
      </c>
      <c r="B39" s="245"/>
      <c r="C39" s="234" t="s">
        <v>122</v>
      </c>
      <c r="D39" s="234" t="s">
        <v>123</v>
      </c>
      <c r="E39" s="243" t="str">
        <f>VLOOKUP(A39,Ausschreibung!$B$4:$I$35,4,FALSE)</f>
        <v>Masters A-H, weiblich</v>
      </c>
      <c r="F39" s="245" t="s">
        <v>444</v>
      </c>
      <c r="G39" s="243" t="str">
        <f>VLOOKUP(A39,Ausschreibung!$B$4:$I$35,6,FALSE)</f>
        <v>27 und älter</v>
      </c>
      <c r="H39" s="235">
        <v>1973</v>
      </c>
      <c r="I39" s="243" t="str">
        <f>VLOOKUP(A39,Ausschreibung!$B$4:$I$35,8,FALSE)</f>
        <v>1000 m</v>
      </c>
      <c r="J39" s="235" t="s">
        <v>121</v>
      </c>
      <c r="K39" s="235"/>
      <c r="L39" s="233">
        <f t="shared" si="0"/>
        <v>47</v>
      </c>
    </row>
    <row r="40" spans="1:12" x14ac:dyDescent="0.2">
      <c r="A40" s="238">
        <v>1</v>
      </c>
      <c r="B40" s="234"/>
      <c r="C40" s="234" t="s">
        <v>431</v>
      </c>
      <c r="D40" s="234" t="s">
        <v>419</v>
      </c>
      <c r="E40" s="243" t="str">
        <f>VLOOKUP(A40,Ausschreibung!$B$4:$I$35,4,FALSE)</f>
        <v>Masters A-H, weiblich  </v>
      </c>
      <c r="F40" s="245" t="s">
        <v>444</v>
      </c>
      <c r="G40" s="243" t="str">
        <f>VLOOKUP(A40,Ausschreibung!$B$4:$I$35,6,FALSE)</f>
        <v>27 und älter  </v>
      </c>
      <c r="H40" s="235">
        <v>1975</v>
      </c>
      <c r="I40" s="243" t="str">
        <f>VLOOKUP(A40,Ausschreibung!$B$4:$I$35,8,FALSE)</f>
        <v>30 min.</v>
      </c>
      <c r="J40" s="235" t="s">
        <v>449</v>
      </c>
      <c r="K40" s="235"/>
      <c r="L40" s="233">
        <f t="shared" si="0"/>
        <v>45</v>
      </c>
    </row>
    <row r="41" spans="1:12" x14ac:dyDescent="0.2">
      <c r="A41" s="238">
        <v>2</v>
      </c>
      <c r="B41" s="234"/>
      <c r="C41" s="234" t="s">
        <v>362</v>
      </c>
      <c r="D41" s="234" t="s">
        <v>226</v>
      </c>
      <c r="E41" s="243" t="str">
        <f>VLOOKUP(A41,Ausschreibung!$B$4:$I$35,4,FALSE)</f>
        <v>Masters A-H, männlich</v>
      </c>
      <c r="F41" s="245" t="s">
        <v>444</v>
      </c>
      <c r="G41" s="243" t="str">
        <f>VLOOKUP(A41,Ausschreibung!$B$4:$I$35,6,FALSE)</f>
        <v>27 und älter</v>
      </c>
      <c r="H41" s="235">
        <v>1975</v>
      </c>
      <c r="I41" s="243" t="str">
        <f>VLOOKUP(A41,Ausschreibung!$B$4:$I$35,8,FALSE)</f>
        <v>30 min.</v>
      </c>
      <c r="J41" s="235" t="s">
        <v>178</v>
      </c>
      <c r="K41" s="235"/>
      <c r="L41" s="233">
        <f t="shared" si="0"/>
        <v>45</v>
      </c>
    </row>
    <row r="42" spans="1:12" x14ac:dyDescent="0.2">
      <c r="A42" s="238">
        <v>16</v>
      </c>
      <c r="B42" s="234"/>
      <c r="C42" s="234" t="s">
        <v>302</v>
      </c>
      <c r="D42" s="234" t="s">
        <v>337</v>
      </c>
      <c r="E42" s="243" t="str">
        <f>VLOOKUP(A42,Ausschreibung!$B$4:$I$35,4,FALSE)</f>
        <v>Sprint männlich</v>
      </c>
      <c r="F42" s="245" t="s">
        <v>444</v>
      </c>
      <c r="G42" s="243" t="str">
        <f>VLOOKUP(A42,Ausschreibung!$B$4:$I$35,6,FALSE)</f>
        <v>offen</v>
      </c>
      <c r="H42" s="235">
        <v>1976</v>
      </c>
      <c r="I42" s="243" t="str">
        <f>VLOOKUP(A42,Ausschreibung!$B$4:$I$35,8,FALSE)</f>
        <v>350 m</v>
      </c>
      <c r="J42" s="235" t="s">
        <v>345</v>
      </c>
      <c r="K42" s="235"/>
      <c r="L42" s="233">
        <f t="shared" si="0"/>
        <v>44</v>
      </c>
    </row>
    <row r="43" spans="1:12" x14ac:dyDescent="0.2">
      <c r="A43" s="238">
        <v>28</v>
      </c>
      <c r="B43" s="234"/>
      <c r="C43" s="234" t="s">
        <v>302</v>
      </c>
      <c r="D43" s="234" t="s">
        <v>337</v>
      </c>
      <c r="E43" s="243" t="str">
        <f>VLOOKUP(A43,Ausschreibung!$B$4:$I$35,4,FALSE)</f>
        <v>Masters A-H, weiblich</v>
      </c>
      <c r="F43" s="245" t="s">
        <v>444</v>
      </c>
      <c r="G43" s="243" t="str">
        <f>VLOOKUP(A43,Ausschreibung!$B$4:$I$35,6,FALSE)</f>
        <v>27 und älter</v>
      </c>
      <c r="H43" s="235">
        <v>1976</v>
      </c>
      <c r="I43" s="243" t="str">
        <f>VLOOKUP(A43,Ausschreibung!$B$4:$I$35,8,FALSE)</f>
        <v>1000 m</v>
      </c>
      <c r="J43" s="235" t="s">
        <v>345</v>
      </c>
      <c r="K43" s="235"/>
      <c r="L43" s="233">
        <f t="shared" si="0"/>
        <v>44</v>
      </c>
    </row>
    <row r="44" spans="1:12" x14ac:dyDescent="0.2">
      <c r="A44" s="238">
        <v>25</v>
      </c>
      <c r="B44" s="234" t="str">
        <f>VLOOKUP(A44,[1]Ausschreibung!$B$4:$I$35,2,FALSE)</f>
        <v>Ergocup</v>
      </c>
      <c r="C44" s="234" t="s">
        <v>144</v>
      </c>
      <c r="D44" s="234" t="s">
        <v>145</v>
      </c>
      <c r="E44" s="243" t="str">
        <f>VLOOKUP(A44,Ausschreibung!$B$4:$I$35,4,FALSE)</f>
        <v>Masters A-H, männlich</v>
      </c>
      <c r="F44" s="245" t="s">
        <v>146</v>
      </c>
      <c r="G44" s="243" t="str">
        <f>VLOOKUP(A44,Ausschreibung!$B$4:$I$35,6,FALSE)</f>
        <v>27 und älter</v>
      </c>
      <c r="H44" s="235">
        <v>1979</v>
      </c>
      <c r="I44" s="243" t="str">
        <f>VLOOKUP(A44,Ausschreibung!$B$4:$I$35,8,FALSE)</f>
        <v>2000 m</v>
      </c>
      <c r="J44" s="235" t="s">
        <v>127</v>
      </c>
      <c r="K44" s="235"/>
      <c r="L44" s="233">
        <f t="shared" si="0"/>
        <v>41</v>
      </c>
    </row>
    <row r="45" spans="1:12" x14ac:dyDescent="0.2">
      <c r="A45" s="238">
        <v>2</v>
      </c>
      <c r="B45" s="234"/>
      <c r="C45" s="234" t="s">
        <v>148</v>
      </c>
      <c r="D45" s="234" t="s">
        <v>147</v>
      </c>
      <c r="E45" s="243" t="str">
        <f>VLOOKUP(A45,Ausschreibung!$B$4:$I$35,4,FALSE)</f>
        <v>Masters A-H, männlich</v>
      </c>
      <c r="F45" s="245" t="s">
        <v>149</v>
      </c>
      <c r="G45" s="243" t="str">
        <f>VLOOKUP(A45,Ausschreibung!$B$4:$I$35,6,FALSE)</f>
        <v>27 und älter</v>
      </c>
      <c r="H45" s="235">
        <v>1979</v>
      </c>
      <c r="I45" s="243" t="str">
        <f>VLOOKUP(A45,Ausschreibung!$B$4:$I$35,8,FALSE)</f>
        <v>30 min.</v>
      </c>
      <c r="J45" s="235" t="s">
        <v>127</v>
      </c>
      <c r="K45" s="235"/>
      <c r="L45" s="233">
        <f t="shared" si="0"/>
        <v>41</v>
      </c>
    </row>
    <row r="46" spans="1:12" x14ac:dyDescent="0.2">
      <c r="A46" s="238">
        <v>25</v>
      </c>
      <c r="B46" s="234"/>
      <c r="C46" s="234" t="s">
        <v>148</v>
      </c>
      <c r="D46" s="234" t="s">
        <v>147</v>
      </c>
      <c r="E46" s="243" t="str">
        <f>VLOOKUP(A46,Ausschreibung!$B$4:$I$35,4,FALSE)</f>
        <v>Masters A-H, männlich</v>
      </c>
      <c r="F46" s="245" t="s">
        <v>149</v>
      </c>
      <c r="G46" s="243" t="str">
        <f>VLOOKUP(A46,Ausschreibung!$B$4:$I$35,6,FALSE)</f>
        <v>27 und älter</v>
      </c>
      <c r="H46" s="235">
        <v>1979</v>
      </c>
      <c r="I46" s="243" t="str">
        <f>VLOOKUP(A46,Ausschreibung!$B$4:$I$35,8,FALSE)</f>
        <v>2000 m</v>
      </c>
      <c r="J46" s="235" t="s">
        <v>127</v>
      </c>
      <c r="K46" s="235"/>
      <c r="L46" s="233">
        <f t="shared" si="0"/>
        <v>41</v>
      </c>
    </row>
    <row r="47" spans="1:12" x14ac:dyDescent="0.2">
      <c r="A47" s="238">
        <v>23</v>
      </c>
      <c r="B47" s="234"/>
      <c r="C47" s="234" t="s">
        <v>364</v>
      </c>
      <c r="D47" s="234" t="s">
        <v>366</v>
      </c>
      <c r="E47" s="243" t="str">
        <f>VLOOKUP(A47,Ausschreibung!$B$4:$I$35,4,FALSE)</f>
        <v>Senioren A</v>
      </c>
      <c r="F47" s="245" t="str">
        <f>VLOOKUP(A47,Ausschreibung!$B$4:$I$35,5,FALSE)</f>
        <v>LGW. bis 75 kg</v>
      </c>
      <c r="G47" s="243" t="str">
        <f>VLOOKUP(A47,Ausschreibung!$B$4:$I$35,6,FALSE)</f>
        <v>19 und älter</v>
      </c>
      <c r="H47" s="235">
        <v>1986</v>
      </c>
      <c r="I47" s="243" t="str">
        <f>VLOOKUP(A47,Ausschreibung!$B$4:$I$35,8,FALSE)</f>
        <v>2000 m</v>
      </c>
      <c r="J47" s="235" t="s">
        <v>367</v>
      </c>
      <c r="K47" s="235"/>
      <c r="L47" s="233">
        <f t="shared" si="0"/>
        <v>34</v>
      </c>
    </row>
    <row r="48" spans="1:12" x14ac:dyDescent="0.2">
      <c r="A48" s="238">
        <v>28</v>
      </c>
      <c r="B48" s="234"/>
      <c r="C48" s="234" t="s">
        <v>217</v>
      </c>
      <c r="D48" s="234" t="s">
        <v>240</v>
      </c>
      <c r="E48" s="243" t="str">
        <f>VLOOKUP(A48,Ausschreibung!$B$4:$I$35,4,FALSE)</f>
        <v>Masters A-H, weiblich</v>
      </c>
      <c r="F48" s="245" t="s">
        <v>448</v>
      </c>
      <c r="G48" s="243" t="str">
        <f>VLOOKUP(A48,Ausschreibung!$B$4:$I$35,6,FALSE)</f>
        <v>27 und älter</v>
      </c>
      <c r="H48" s="235">
        <v>1989</v>
      </c>
      <c r="I48" s="243" t="str">
        <f>VLOOKUP(A48,Ausschreibung!$B$4:$I$35,8,FALSE)</f>
        <v>1000 m</v>
      </c>
      <c r="J48" s="235" t="s">
        <v>241</v>
      </c>
      <c r="K48" s="235"/>
      <c r="L48" s="233">
        <f t="shared" si="0"/>
        <v>31</v>
      </c>
    </row>
    <row r="49" spans="1:12" x14ac:dyDescent="0.2">
      <c r="A49" s="238">
        <v>25</v>
      </c>
      <c r="B49" s="234"/>
      <c r="C49" s="234" t="s">
        <v>138</v>
      </c>
      <c r="D49" s="234" t="s">
        <v>135</v>
      </c>
      <c r="E49" s="243" t="str">
        <f>VLOOKUP(A49,Ausschreibung!$B$4:$I$35,4,FALSE)</f>
        <v>Masters A-H, männlich</v>
      </c>
      <c r="F49" s="245" t="s">
        <v>448</v>
      </c>
      <c r="G49" s="243" t="str">
        <f>VLOOKUP(A49,Ausschreibung!$B$4:$I$35,6,FALSE)</f>
        <v>27 und älter</v>
      </c>
      <c r="H49" s="235">
        <v>1990</v>
      </c>
      <c r="I49" s="243" t="str">
        <f>VLOOKUP(A49,Ausschreibung!$B$4:$I$35,8,FALSE)</f>
        <v>2000 m</v>
      </c>
      <c r="J49" s="235" t="s">
        <v>133</v>
      </c>
      <c r="K49" s="235"/>
      <c r="L49" s="233">
        <f t="shared" si="0"/>
        <v>30</v>
      </c>
    </row>
    <row r="50" spans="1:12" x14ac:dyDescent="0.2">
      <c r="A50" s="238">
        <v>16</v>
      </c>
      <c r="B50" s="234"/>
      <c r="C50" s="234" t="s">
        <v>245</v>
      </c>
      <c r="D50" s="234" t="s">
        <v>428</v>
      </c>
      <c r="E50" s="243" t="str">
        <f>VLOOKUP(A50,Ausschreibung!$B$4:$I$35,4,FALSE)</f>
        <v>Sprint männlich</v>
      </c>
      <c r="F50" s="245" t="s">
        <v>448</v>
      </c>
      <c r="G50" s="243" t="str">
        <f>VLOOKUP(A50,Ausschreibung!$B$4:$I$35,6,FALSE)</f>
        <v>offen</v>
      </c>
      <c r="H50" s="235">
        <v>1990</v>
      </c>
      <c r="I50" s="243" t="str">
        <f>VLOOKUP(A50,Ausschreibung!$B$4:$I$35,8,FALSE)</f>
        <v>350 m</v>
      </c>
      <c r="J50" s="235" t="s">
        <v>449</v>
      </c>
      <c r="K50" s="235"/>
      <c r="L50" s="233">
        <f t="shared" si="0"/>
        <v>30</v>
      </c>
    </row>
    <row r="51" spans="1:12" x14ac:dyDescent="0.2">
      <c r="A51" s="238">
        <v>24</v>
      </c>
      <c r="B51" s="234"/>
      <c r="C51" s="234" t="s">
        <v>318</v>
      </c>
      <c r="D51" s="234" t="s">
        <v>342</v>
      </c>
      <c r="E51" s="243" t="str">
        <f>VLOOKUP(A51,Ausschreibung!$B$4:$I$35,4,FALSE)</f>
        <v>Senioren A</v>
      </c>
      <c r="F51" s="245" t="str">
        <f>VLOOKUP(A51,Ausschreibung!$B$4:$I$35,5,FALSE)</f>
        <v>-</v>
      </c>
      <c r="G51" s="243" t="str">
        <f>VLOOKUP(A51,Ausschreibung!$B$4:$I$35,6,FALSE)</f>
        <v>19 und älter</v>
      </c>
      <c r="H51" s="235">
        <v>1992</v>
      </c>
      <c r="I51" s="243" t="str">
        <f>VLOOKUP(A51,Ausschreibung!$B$4:$I$35,8,FALSE)</f>
        <v>2000 m</v>
      </c>
      <c r="J51" s="235" t="s">
        <v>345</v>
      </c>
      <c r="K51" s="235"/>
      <c r="L51" s="233">
        <f t="shared" si="0"/>
        <v>28</v>
      </c>
    </row>
    <row r="52" spans="1:12" x14ac:dyDescent="0.2">
      <c r="A52" s="238">
        <v>29</v>
      </c>
      <c r="B52" s="234"/>
      <c r="C52" s="234" t="s">
        <v>318</v>
      </c>
      <c r="D52" s="234" t="s">
        <v>343</v>
      </c>
      <c r="E52" s="243" t="str">
        <f>VLOOKUP(A52,Ausschreibung!$B$4:$I$35,4,FALSE)</f>
        <v>Mannschaft offen - 2 Personen</v>
      </c>
      <c r="F52" s="245" t="str">
        <f>VLOOKUP(A52,Ausschreibung!$B$4:$I$35,5,FALSE)</f>
        <v>-</v>
      </c>
      <c r="G52" s="243" t="str">
        <f>VLOOKUP(A52,Ausschreibung!$B$4:$I$35,6,FALSE)</f>
        <v>offen</v>
      </c>
      <c r="H52" s="235">
        <v>1992</v>
      </c>
      <c r="I52" s="243" t="str">
        <f>VLOOKUP(A52,Ausschreibung!$B$4:$I$35,8,FALSE)</f>
        <v>5000 m</v>
      </c>
      <c r="J52" s="235" t="s">
        <v>345</v>
      </c>
      <c r="K52" s="235"/>
      <c r="L52" s="233">
        <f t="shared" si="0"/>
        <v>28</v>
      </c>
    </row>
    <row r="53" spans="1:12" x14ac:dyDescent="0.2">
      <c r="A53" s="238">
        <v>16</v>
      </c>
      <c r="B53" s="234"/>
      <c r="C53" s="234" t="s">
        <v>198</v>
      </c>
      <c r="D53" s="234" t="s">
        <v>427</v>
      </c>
      <c r="E53" s="243" t="str">
        <f>VLOOKUP(A53,Ausschreibung!$B$4:$I$35,4,FALSE)</f>
        <v>Sprint männlich</v>
      </c>
      <c r="F53" s="245" t="s">
        <v>448</v>
      </c>
      <c r="G53" s="243" t="str">
        <f>VLOOKUP(A53,Ausschreibung!$B$4:$I$35,6,FALSE)</f>
        <v>offen</v>
      </c>
      <c r="H53" s="235">
        <v>1992</v>
      </c>
      <c r="I53" s="243" t="str">
        <f>VLOOKUP(A53,Ausschreibung!$B$4:$I$35,8,FALSE)</f>
        <v>350 m</v>
      </c>
      <c r="J53" s="235" t="s">
        <v>449</v>
      </c>
      <c r="K53" s="235"/>
      <c r="L53" s="233">
        <f t="shared" si="0"/>
        <v>28</v>
      </c>
    </row>
    <row r="54" spans="1:12" x14ac:dyDescent="0.2">
      <c r="A54" s="238">
        <v>25</v>
      </c>
      <c r="B54" s="234"/>
      <c r="C54" s="234" t="s">
        <v>198</v>
      </c>
      <c r="D54" s="234" t="s">
        <v>427</v>
      </c>
      <c r="E54" s="243" t="str">
        <f>VLOOKUP(A54,Ausschreibung!$B$4:$I$35,4,FALSE)</f>
        <v>Masters A-H, männlich</v>
      </c>
      <c r="F54" s="245" t="s">
        <v>448</v>
      </c>
      <c r="G54" s="243" t="str">
        <f>VLOOKUP(A54,Ausschreibung!$B$4:$I$35,6,FALSE)</f>
        <v>27 und älter</v>
      </c>
      <c r="H54" s="235">
        <v>1992</v>
      </c>
      <c r="I54" s="243" t="str">
        <f>VLOOKUP(A54,Ausschreibung!$B$4:$I$35,8,FALSE)</f>
        <v>2000 m</v>
      </c>
      <c r="J54" s="235" t="s">
        <v>449</v>
      </c>
      <c r="K54" s="235"/>
      <c r="L54" s="233">
        <f t="shared" si="0"/>
        <v>28</v>
      </c>
    </row>
    <row r="55" spans="1:12" x14ac:dyDescent="0.2">
      <c r="A55" s="238">
        <v>22</v>
      </c>
      <c r="B55" s="234"/>
      <c r="C55" s="234" t="s">
        <v>137</v>
      </c>
      <c r="D55" s="234" t="s">
        <v>134</v>
      </c>
      <c r="E55" s="243" t="str">
        <f>VLOOKUP(A55,Ausschreibung!$B$4:$I$35,4,FALSE)</f>
        <v>Seniorinnen A</v>
      </c>
      <c r="F55" s="245" t="str">
        <f>VLOOKUP(A55,Ausschreibung!$B$4:$I$35,5,FALSE)</f>
        <v>-</v>
      </c>
      <c r="G55" s="243" t="str">
        <f>VLOOKUP(A55,Ausschreibung!$B$4:$I$35,6,FALSE)</f>
        <v>19 und älter</v>
      </c>
      <c r="H55" s="235">
        <v>1995</v>
      </c>
      <c r="I55" s="243" t="str">
        <f>VLOOKUP(A55,Ausschreibung!$B$4:$I$35,8,FALSE)</f>
        <v>2000 m</v>
      </c>
      <c r="J55" s="235" t="s">
        <v>133</v>
      </c>
      <c r="K55" s="235"/>
      <c r="L55" s="233">
        <f t="shared" si="0"/>
        <v>25</v>
      </c>
    </row>
    <row r="56" spans="1:12" x14ac:dyDescent="0.2">
      <c r="A56" s="238">
        <v>21</v>
      </c>
      <c r="B56" s="234"/>
      <c r="C56" s="234" t="s">
        <v>402</v>
      </c>
      <c r="D56" s="234" t="s">
        <v>415</v>
      </c>
      <c r="E56" s="243" t="str">
        <f>VLOOKUP(A56,Ausschreibung!$B$4:$I$35,4,FALSE)</f>
        <v>Seniorinnen A</v>
      </c>
      <c r="F56" s="245" t="str">
        <f>VLOOKUP(A56,Ausschreibung!$B$4:$I$35,5,FALSE)</f>
        <v>LGW. bis 61 kg</v>
      </c>
      <c r="G56" s="243" t="str">
        <f>VLOOKUP(A56,Ausschreibung!$B$4:$I$35,6,FALSE)</f>
        <v>19 und älter</v>
      </c>
      <c r="H56" s="235">
        <v>1995</v>
      </c>
      <c r="I56" s="243" t="str">
        <f>VLOOKUP(A56,Ausschreibung!$B$4:$I$35,8,FALSE)</f>
        <v>2000 m</v>
      </c>
      <c r="J56" s="235" t="s">
        <v>387</v>
      </c>
      <c r="K56" s="235"/>
      <c r="L56" s="233">
        <f t="shared" si="0"/>
        <v>25</v>
      </c>
    </row>
    <row r="57" spans="1:12" x14ac:dyDescent="0.2">
      <c r="A57" s="238">
        <v>29</v>
      </c>
      <c r="B57" s="234"/>
      <c r="C57" s="234" t="s">
        <v>298</v>
      </c>
      <c r="D57" s="234" t="s">
        <v>344</v>
      </c>
      <c r="E57" s="243" t="str">
        <f>VLOOKUP(A57,Ausschreibung!$B$4:$I$35,4,FALSE)</f>
        <v>Mannschaft offen - 2 Personen</v>
      </c>
      <c r="F57" s="245" t="str">
        <f>VLOOKUP(A57,Ausschreibung!$B$4:$I$35,5,FALSE)</f>
        <v>-</v>
      </c>
      <c r="G57" s="243" t="str">
        <f>VLOOKUP(A57,Ausschreibung!$B$4:$I$35,6,FALSE)</f>
        <v>offen</v>
      </c>
      <c r="H57" s="235">
        <v>1996</v>
      </c>
      <c r="I57" s="243" t="str">
        <f>VLOOKUP(A57,Ausschreibung!$B$4:$I$35,8,FALSE)</f>
        <v>5000 m</v>
      </c>
      <c r="J57" s="235" t="s">
        <v>345</v>
      </c>
      <c r="K57" s="235"/>
      <c r="L57" s="233">
        <f t="shared" si="0"/>
        <v>24</v>
      </c>
    </row>
    <row r="58" spans="1:12" x14ac:dyDescent="0.2">
      <c r="A58" s="238">
        <v>24</v>
      </c>
      <c r="B58" s="234"/>
      <c r="C58" s="234" t="s">
        <v>297</v>
      </c>
      <c r="D58" s="234" t="s">
        <v>341</v>
      </c>
      <c r="E58" s="243" t="str">
        <f>VLOOKUP(A58,Ausschreibung!$B$4:$I$35,4,FALSE)</f>
        <v>Senioren A</v>
      </c>
      <c r="F58" s="245" t="str">
        <f>VLOOKUP(A58,Ausschreibung!$B$4:$I$35,5,FALSE)</f>
        <v>-</v>
      </c>
      <c r="G58" s="243" t="str">
        <f>VLOOKUP(A58,Ausschreibung!$B$4:$I$35,6,FALSE)</f>
        <v>19 und älter</v>
      </c>
      <c r="H58" s="235">
        <v>1997</v>
      </c>
      <c r="I58" s="243" t="str">
        <f>VLOOKUP(A58,Ausschreibung!$B$4:$I$35,8,FALSE)</f>
        <v>2000 m</v>
      </c>
      <c r="J58" s="235" t="s">
        <v>345</v>
      </c>
      <c r="K58" s="235"/>
      <c r="L58" s="233">
        <f t="shared" si="0"/>
        <v>23</v>
      </c>
    </row>
    <row r="59" spans="1:12" x14ac:dyDescent="0.2">
      <c r="A59" s="238">
        <v>22</v>
      </c>
      <c r="B59" s="234"/>
      <c r="C59" s="234" t="s">
        <v>502</v>
      </c>
      <c r="D59" s="234" t="s">
        <v>365</v>
      </c>
      <c r="E59" s="243" t="str">
        <f>VLOOKUP(A59,Ausschreibung!$B$4:$I$35,4,FALSE)</f>
        <v>Seniorinnen A</v>
      </c>
      <c r="F59" s="245" t="str">
        <f>VLOOKUP(A59,Ausschreibung!$B$4:$I$35,5,FALSE)</f>
        <v>-</v>
      </c>
      <c r="G59" s="243" t="str">
        <f>VLOOKUP(A59,Ausschreibung!$B$4:$I$35,6,FALSE)</f>
        <v>19 und älter</v>
      </c>
      <c r="H59" s="235">
        <v>1998</v>
      </c>
      <c r="I59" s="243" t="str">
        <f>VLOOKUP(A59,Ausschreibung!$B$4:$I$35,8,FALSE)</f>
        <v>2000 m</v>
      </c>
      <c r="J59" s="235" t="s">
        <v>367</v>
      </c>
      <c r="K59" s="235"/>
      <c r="L59" s="233">
        <f t="shared" si="0"/>
        <v>22</v>
      </c>
    </row>
    <row r="60" spans="1:12" x14ac:dyDescent="0.2">
      <c r="A60" s="238">
        <v>23</v>
      </c>
      <c r="B60" s="234"/>
      <c r="C60" s="234" t="s">
        <v>363</v>
      </c>
      <c r="D60" s="234" t="s">
        <v>219</v>
      </c>
      <c r="E60" s="243" t="str">
        <f>VLOOKUP(A60,Ausschreibung!$B$4:$I$35,4,FALSE)</f>
        <v>Senioren A</v>
      </c>
      <c r="F60" s="245" t="str">
        <f>VLOOKUP(A60,Ausschreibung!$B$4:$I$35,5,FALSE)</f>
        <v>LGW. bis 75 kg</v>
      </c>
      <c r="G60" s="243" t="str">
        <f>VLOOKUP(A60,Ausschreibung!$B$4:$I$35,6,FALSE)</f>
        <v>19 und älter</v>
      </c>
      <c r="H60" s="235">
        <v>2000</v>
      </c>
      <c r="I60" s="243" t="str">
        <f>VLOOKUP(A60,Ausschreibung!$B$4:$I$35,8,FALSE)</f>
        <v>2000 m</v>
      </c>
      <c r="J60" s="235" t="s">
        <v>241</v>
      </c>
      <c r="K60" s="235"/>
      <c r="L60" s="233">
        <f t="shared" si="0"/>
        <v>20</v>
      </c>
    </row>
    <row r="61" spans="1:12" x14ac:dyDescent="0.2">
      <c r="A61" s="238">
        <v>21</v>
      </c>
      <c r="B61" s="234"/>
      <c r="C61" s="234" t="s">
        <v>401</v>
      </c>
      <c r="D61" s="234" t="s">
        <v>414</v>
      </c>
      <c r="E61" s="243" t="str">
        <f>VLOOKUP(A61,Ausschreibung!$B$4:$I$35,4,FALSE)</f>
        <v>Seniorinnen A</v>
      </c>
      <c r="F61" s="245" t="str">
        <f>VLOOKUP(A61,Ausschreibung!$B$4:$I$35,5,FALSE)</f>
        <v>LGW. bis 61 kg</v>
      </c>
      <c r="G61" s="243" t="str">
        <f>VLOOKUP(A61,Ausschreibung!$B$4:$I$35,6,FALSE)</f>
        <v>19 und älter</v>
      </c>
      <c r="H61" s="235">
        <v>2001</v>
      </c>
      <c r="I61" s="243" t="str">
        <f>VLOOKUP(A61,Ausschreibung!$B$4:$I$35,8,FALSE)</f>
        <v>2000 m</v>
      </c>
      <c r="J61" s="235" t="s">
        <v>387</v>
      </c>
      <c r="K61" s="235"/>
      <c r="L61" s="233">
        <f t="shared" si="0"/>
        <v>19</v>
      </c>
    </row>
    <row r="62" spans="1:12" x14ac:dyDescent="0.2">
      <c r="A62" s="238">
        <v>23</v>
      </c>
      <c r="B62" s="234"/>
      <c r="C62" s="234" t="s">
        <v>352</v>
      </c>
      <c r="D62" s="234" t="s">
        <v>360</v>
      </c>
      <c r="E62" s="243" t="str">
        <f>VLOOKUP(A62,Ausschreibung!$B$4:$I$35,4,FALSE)</f>
        <v>Senioren A</v>
      </c>
      <c r="F62" s="245" t="str">
        <f>VLOOKUP(A62,Ausschreibung!$B$4:$I$35,5,FALSE)</f>
        <v>LGW. bis 75 kg</v>
      </c>
      <c r="G62" s="243" t="str">
        <f>VLOOKUP(A62,Ausschreibung!$B$4:$I$35,6,FALSE)</f>
        <v>19 und älter</v>
      </c>
      <c r="H62" s="235">
        <v>2001</v>
      </c>
      <c r="I62" s="243" t="str">
        <f>VLOOKUP(A62,Ausschreibung!$B$4:$I$35,8,FALSE)</f>
        <v>2000 m</v>
      </c>
      <c r="J62" s="235" t="s">
        <v>361</v>
      </c>
      <c r="K62" s="235"/>
      <c r="L62" s="233">
        <f t="shared" si="0"/>
        <v>19</v>
      </c>
    </row>
    <row r="63" spans="1:12" x14ac:dyDescent="0.2">
      <c r="A63" s="238">
        <v>21</v>
      </c>
      <c r="B63" s="234"/>
      <c r="C63" s="234" t="s">
        <v>168</v>
      </c>
      <c r="D63" s="234" t="s">
        <v>177</v>
      </c>
      <c r="E63" s="243" t="str">
        <f>VLOOKUP(A63,Ausschreibung!$B$4:$I$35,4,FALSE)</f>
        <v>Seniorinnen A</v>
      </c>
      <c r="F63" s="245" t="str">
        <f>VLOOKUP(A63,Ausschreibung!$B$4:$I$35,5,FALSE)</f>
        <v>LGW. bis 61 kg</v>
      </c>
      <c r="G63" s="243" t="str">
        <f>VLOOKUP(A63,Ausschreibung!$B$4:$I$35,6,FALSE)</f>
        <v>19 und älter</v>
      </c>
      <c r="H63" s="235">
        <v>2001</v>
      </c>
      <c r="I63" s="243" t="str">
        <f>VLOOKUP(A63,Ausschreibung!$B$4:$I$35,8,FALSE)</f>
        <v>2000 m</v>
      </c>
      <c r="J63" s="235" t="s">
        <v>77</v>
      </c>
      <c r="K63" s="235"/>
      <c r="L63" s="233">
        <f t="shared" si="0"/>
        <v>19</v>
      </c>
    </row>
    <row r="64" spans="1:12" x14ac:dyDescent="0.2">
      <c r="A64" s="238">
        <v>23</v>
      </c>
      <c r="B64" s="234"/>
      <c r="C64" s="234" t="s">
        <v>417</v>
      </c>
      <c r="D64" s="234" t="s">
        <v>341</v>
      </c>
      <c r="E64" s="243" t="str">
        <f>VLOOKUP(A64,Ausschreibung!$B$4:$I$35,4,FALSE)</f>
        <v>Senioren A</v>
      </c>
      <c r="F64" s="245" t="str">
        <f>VLOOKUP(A64,Ausschreibung!$B$4:$I$35,5,FALSE)</f>
        <v>LGW. bis 75 kg</v>
      </c>
      <c r="G64" s="243" t="str">
        <f>VLOOKUP(A64,Ausschreibung!$B$4:$I$35,6,FALSE)</f>
        <v>19 und älter</v>
      </c>
      <c r="H64" s="235">
        <v>2001</v>
      </c>
      <c r="I64" s="243" t="str">
        <f>VLOOKUP(A64,Ausschreibung!$B$4:$I$35,8,FALSE)</f>
        <v>2000 m</v>
      </c>
      <c r="J64" s="235" t="s">
        <v>345</v>
      </c>
      <c r="K64" s="235"/>
      <c r="L64" s="233">
        <f t="shared" si="0"/>
        <v>19</v>
      </c>
    </row>
    <row r="65" spans="1:12" x14ac:dyDescent="0.2">
      <c r="A65" s="238">
        <v>22</v>
      </c>
      <c r="B65" s="234"/>
      <c r="C65" s="234" t="s">
        <v>163</v>
      </c>
      <c r="D65" s="234" t="s">
        <v>170</v>
      </c>
      <c r="E65" s="243" t="str">
        <f>VLOOKUP(A65,Ausschreibung!$B$4:$I$35,4,FALSE)</f>
        <v>Seniorinnen A</v>
      </c>
      <c r="F65" s="245" t="str">
        <f>VLOOKUP(A65,Ausschreibung!$B$4:$I$35,5,FALSE)</f>
        <v>-</v>
      </c>
      <c r="G65" s="243" t="str">
        <f>VLOOKUP(A65,Ausschreibung!$B$4:$I$35,6,FALSE)</f>
        <v>19 und älter</v>
      </c>
      <c r="H65" s="235">
        <v>2001</v>
      </c>
      <c r="I65" s="243" t="str">
        <f>VLOOKUP(A65,Ausschreibung!$B$4:$I$35,8,FALSE)</f>
        <v>2000 m</v>
      </c>
      <c r="J65" s="235" t="s">
        <v>77</v>
      </c>
      <c r="K65" s="235"/>
      <c r="L65" s="233">
        <f t="shared" si="0"/>
        <v>19</v>
      </c>
    </row>
    <row r="66" spans="1:12" x14ac:dyDescent="0.2">
      <c r="A66" s="238">
        <v>20</v>
      </c>
      <c r="B66" s="234"/>
      <c r="C66" s="234" t="s">
        <v>441</v>
      </c>
      <c r="D66" s="234" t="s">
        <v>429</v>
      </c>
      <c r="E66" s="243" t="str">
        <f>VLOOKUP(A66,Ausschreibung!$B$4:$I$35,4,FALSE)</f>
        <v>Junioren A U19</v>
      </c>
      <c r="F66" s="245" t="str">
        <f>VLOOKUP(A66,Ausschreibung!$B$4:$I$35,5,FALSE)</f>
        <v>-</v>
      </c>
      <c r="G66" s="243" t="str">
        <f>VLOOKUP(A66,Ausschreibung!$B$4:$I$35,6,FALSE)</f>
        <v>17-18</v>
      </c>
      <c r="H66" s="235">
        <v>2002</v>
      </c>
      <c r="I66" s="243" t="str">
        <f>VLOOKUP(A66,Ausschreibung!$B$4:$I$35,8,FALSE)</f>
        <v>2000 m</v>
      </c>
      <c r="J66" s="235" t="s">
        <v>449</v>
      </c>
      <c r="K66" s="235"/>
      <c r="L66" s="233">
        <f t="shared" si="0"/>
        <v>18</v>
      </c>
    </row>
    <row r="67" spans="1:12" x14ac:dyDescent="0.2">
      <c r="A67" s="238">
        <v>18</v>
      </c>
      <c r="B67" s="234"/>
      <c r="C67" s="234" t="s">
        <v>313</v>
      </c>
      <c r="D67" s="234" t="s">
        <v>338</v>
      </c>
      <c r="E67" s="243" t="str">
        <f>VLOOKUP(A67,Ausschreibung!$B$4:$I$35,4,FALSE)</f>
        <v>Juniorinnen A U19</v>
      </c>
      <c r="F67" s="245" t="str">
        <f>VLOOKUP(A67,Ausschreibung!$B$4:$I$35,5,FALSE)</f>
        <v>-</v>
      </c>
      <c r="G67" s="243" t="str">
        <f>VLOOKUP(A67,Ausschreibung!$B$4:$I$35,6,FALSE)</f>
        <v>17-18</v>
      </c>
      <c r="H67" s="235">
        <v>2002</v>
      </c>
      <c r="I67" s="243" t="str">
        <f>VLOOKUP(A67,Ausschreibung!$B$4:$I$35,8,FALSE)</f>
        <v>2000 m</v>
      </c>
      <c r="J67" s="235" t="s">
        <v>345</v>
      </c>
      <c r="K67" s="235"/>
      <c r="L67" s="233">
        <f t="shared" ref="L67:L129" si="1">2020-H67</f>
        <v>18</v>
      </c>
    </row>
    <row r="68" spans="1:12" x14ac:dyDescent="0.2">
      <c r="A68" s="238">
        <v>18</v>
      </c>
      <c r="B68" s="234"/>
      <c r="C68" s="234" t="s">
        <v>312</v>
      </c>
      <c r="D68" s="234" t="s">
        <v>220</v>
      </c>
      <c r="E68" s="243" t="str">
        <f>VLOOKUP(A68,Ausschreibung!$B$4:$I$35,4,FALSE)</f>
        <v>Juniorinnen A U19</v>
      </c>
      <c r="F68" s="245" t="str">
        <f>VLOOKUP(A68,Ausschreibung!$B$4:$I$35,5,FALSE)</f>
        <v>-</v>
      </c>
      <c r="G68" s="243" t="str">
        <f>VLOOKUP(A68,Ausschreibung!$B$4:$I$35,6,FALSE)</f>
        <v>17-18</v>
      </c>
      <c r="H68" s="235">
        <v>2003</v>
      </c>
      <c r="I68" s="243" t="str">
        <f>VLOOKUP(A68,Ausschreibung!$B$4:$I$35,8,FALSE)</f>
        <v>2000 m</v>
      </c>
      <c r="J68" s="235" t="s">
        <v>345</v>
      </c>
      <c r="K68" s="235"/>
      <c r="L68" s="233">
        <f t="shared" si="1"/>
        <v>17</v>
      </c>
    </row>
    <row r="69" spans="1:12" x14ac:dyDescent="0.2">
      <c r="A69" s="238">
        <v>18</v>
      </c>
      <c r="B69" s="234"/>
      <c r="C69" s="234" t="s">
        <v>215</v>
      </c>
      <c r="D69" s="234" t="s">
        <v>239</v>
      </c>
      <c r="E69" s="243" t="str">
        <f>VLOOKUP(A69,Ausschreibung!$B$4:$I$35,4,FALSE)</f>
        <v>Juniorinnen A U19</v>
      </c>
      <c r="F69" s="245" t="str">
        <f>VLOOKUP(A69,Ausschreibung!$B$4:$I$35,5,FALSE)</f>
        <v>-</v>
      </c>
      <c r="G69" s="243" t="str">
        <f>VLOOKUP(A69,Ausschreibung!$B$4:$I$35,6,FALSE)</f>
        <v>17-18</v>
      </c>
      <c r="H69" s="235">
        <v>2003</v>
      </c>
      <c r="I69" s="243" t="str">
        <f>VLOOKUP(A69,Ausschreibung!$B$4:$I$35,8,FALSE)</f>
        <v>2000 m</v>
      </c>
      <c r="J69" s="235" t="s">
        <v>241</v>
      </c>
      <c r="K69" s="235"/>
      <c r="L69" s="233">
        <f t="shared" si="1"/>
        <v>17</v>
      </c>
    </row>
    <row r="70" spans="1:12" x14ac:dyDescent="0.2">
      <c r="A70" s="238">
        <v>19</v>
      </c>
      <c r="B70" s="234"/>
      <c r="C70" s="234" t="s">
        <v>201</v>
      </c>
      <c r="D70" s="234" t="s">
        <v>296</v>
      </c>
      <c r="E70" s="243" t="str">
        <f>VLOOKUP(A70,Ausschreibung!$B$4:$I$35,4,FALSE)</f>
        <v>Junioren A U19</v>
      </c>
      <c r="F70" s="245" t="str">
        <f>VLOOKUP(A70,Ausschreibung!$B$4:$I$35,5,FALSE)</f>
        <v>LGW. bis 70 kg</v>
      </c>
      <c r="G70" s="243" t="str">
        <f>VLOOKUP(A70,Ausschreibung!$B$4:$I$35,6,FALSE)</f>
        <v>17-18</v>
      </c>
      <c r="H70" s="235">
        <v>2003</v>
      </c>
      <c r="I70" s="243" t="str">
        <f>VLOOKUP(A70,Ausschreibung!$B$4:$I$35,8,FALSE)</f>
        <v>2000 m</v>
      </c>
      <c r="J70" s="235" t="s">
        <v>241</v>
      </c>
      <c r="K70" s="235"/>
      <c r="L70" s="233">
        <f t="shared" si="1"/>
        <v>17</v>
      </c>
    </row>
    <row r="71" spans="1:12" x14ac:dyDescent="0.2">
      <c r="A71" s="238">
        <v>18</v>
      </c>
      <c r="B71" s="234"/>
      <c r="C71" s="234" t="s">
        <v>450</v>
      </c>
      <c r="D71" s="234" t="s">
        <v>451</v>
      </c>
      <c r="E71" s="243" t="str">
        <f>VLOOKUP(A71,Ausschreibung!$B$4:$I$35,4,FALSE)</f>
        <v>Juniorinnen A U19</v>
      </c>
      <c r="F71" s="245" t="str">
        <f>VLOOKUP(A71,Ausschreibung!$B$4:$I$35,5,FALSE)</f>
        <v>-</v>
      </c>
      <c r="G71" s="243" t="str">
        <f>VLOOKUP(A71,Ausschreibung!$B$4:$I$35,6,FALSE)</f>
        <v>17-18</v>
      </c>
      <c r="H71" s="235">
        <v>2003</v>
      </c>
      <c r="I71" s="243" t="str">
        <f>VLOOKUP(A71,Ausschreibung!$B$4:$I$35,8,FALSE)</f>
        <v>2000 m</v>
      </c>
      <c r="J71" s="235" t="s">
        <v>133</v>
      </c>
      <c r="K71" s="235"/>
      <c r="L71" s="233">
        <f t="shared" si="1"/>
        <v>17</v>
      </c>
    </row>
    <row r="72" spans="1:12" x14ac:dyDescent="0.2">
      <c r="A72" s="238">
        <v>20</v>
      </c>
      <c r="B72" s="234"/>
      <c r="C72" s="234" t="s">
        <v>161</v>
      </c>
      <c r="D72" s="234" t="s">
        <v>171</v>
      </c>
      <c r="E72" s="243" t="str">
        <f>VLOOKUP(A72,Ausschreibung!$B$4:$I$35,4,FALSE)</f>
        <v>Junioren A U19</v>
      </c>
      <c r="F72" s="245" t="str">
        <f>VLOOKUP(A72,Ausschreibung!$B$4:$I$35,5,FALSE)</f>
        <v>-</v>
      </c>
      <c r="G72" s="243" t="str">
        <f>VLOOKUP(A72,Ausschreibung!$B$4:$I$35,6,FALSE)</f>
        <v>17-18</v>
      </c>
      <c r="H72" s="235">
        <v>2003</v>
      </c>
      <c r="I72" s="243" t="str">
        <f>VLOOKUP(A72,Ausschreibung!$B$4:$I$35,8,FALSE)</f>
        <v>2000 m</v>
      </c>
      <c r="J72" s="235" t="s">
        <v>77</v>
      </c>
      <c r="K72" s="235"/>
      <c r="L72" s="233">
        <f t="shared" si="1"/>
        <v>17</v>
      </c>
    </row>
    <row r="73" spans="1:12" x14ac:dyDescent="0.2">
      <c r="A73" s="238">
        <v>20</v>
      </c>
      <c r="B73" s="234"/>
      <c r="C73" s="234" t="s">
        <v>317</v>
      </c>
      <c r="D73" s="234" t="s">
        <v>187</v>
      </c>
      <c r="E73" s="243" t="str">
        <f>VLOOKUP(A73,Ausschreibung!$B$4:$I$35,4,FALSE)</f>
        <v>Junioren A U19</v>
      </c>
      <c r="F73" s="245" t="str">
        <f>VLOOKUP(A73,Ausschreibung!$B$4:$I$35,5,FALSE)</f>
        <v>-</v>
      </c>
      <c r="G73" s="243" t="str">
        <f>VLOOKUP(A73,Ausschreibung!$B$4:$I$35,6,FALSE)</f>
        <v>17-18</v>
      </c>
      <c r="H73" s="235">
        <v>2003</v>
      </c>
      <c r="I73" s="243" t="str">
        <f>VLOOKUP(A73,Ausschreibung!$B$4:$I$35,8,FALSE)</f>
        <v>2000 m</v>
      </c>
      <c r="J73" s="235" t="s">
        <v>345</v>
      </c>
      <c r="K73" s="235"/>
      <c r="L73" s="233">
        <f t="shared" si="1"/>
        <v>17</v>
      </c>
    </row>
    <row r="74" spans="1:12" x14ac:dyDescent="0.2">
      <c r="A74" s="238">
        <v>20</v>
      </c>
      <c r="B74" s="234"/>
      <c r="C74" s="234" t="s">
        <v>162</v>
      </c>
      <c r="D74" s="234" t="s">
        <v>172</v>
      </c>
      <c r="E74" s="243" t="str">
        <f>VLOOKUP(A74,Ausschreibung!$B$4:$I$35,4,FALSE)</f>
        <v>Junioren A U19</v>
      </c>
      <c r="F74" s="245" t="str">
        <f>VLOOKUP(A74,Ausschreibung!$B$4:$I$35,5,FALSE)</f>
        <v>-</v>
      </c>
      <c r="G74" s="243" t="str">
        <f>VLOOKUP(A74,Ausschreibung!$B$4:$I$35,6,FALSE)</f>
        <v>17-18</v>
      </c>
      <c r="H74" s="235">
        <v>2003</v>
      </c>
      <c r="I74" s="243" t="str">
        <f>VLOOKUP(A74,Ausschreibung!$B$4:$I$35,8,FALSE)</f>
        <v>2000 m</v>
      </c>
      <c r="J74" s="235" t="s">
        <v>77</v>
      </c>
      <c r="K74" s="235"/>
      <c r="L74" s="233">
        <f t="shared" si="1"/>
        <v>17</v>
      </c>
    </row>
    <row r="75" spans="1:12" x14ac:dyDescent="0.2">
      <c r="A75" s="238">
        <v>20</v>
      </c>
      <c r="B75" s="234"/>
      <c r="C75" s="234" t="s">
        <v>315</v>
      </c>
      <c r="D75" s="234" t="s">
        <v>328</v>
      </c>
      <c r="E75" s="243" t="str">
        <f>VLOOKUP(A75,Ausschreibung!$B$4:$I$35,4,FALSE)</f>
        <v>Junioren A U19</v>
      </c>
      <c r="F75" s="245" t="str">
        <f>VLOOKUP(A75,Ausschreibung!$B$4:$I$35,5,FALSE)</f>
        <v>-</v>
      </c>
      <c r="G75" s="243" t="str">
        <f>VLOOKUP(A75,Ausschreibung!$B$4:$I$35,6,FALSE)</f>
        <v>17-18</v>
      </c>
      <c r="H75" s="235">
        <v>2003</v>
      </c>
      <c r="I75" s="243" t="str">
        <f>VLOOKUP(A75,Ausschreibung!$B$4:$I$35,8,FALSE)</f>
        <v>2000 m</v>
      </c>
      <c r="J75" s="235" t="s">
        <v>345</v>
      </c>
      <c r="K75" s="235"/>
      <c r="L75" s="233">
        <f t="shared" si="1"/>
        <v>17</v>
      </c>
    </row>
    <row r="76" spans="1:12" x14ac:dyDescent="0.2">
      <c r="A76" s="238">
        <v>20</v>
      </c>
      <c r="B76" s="234"/>
      <c r="C76" s="234" t="s">
        <v>316</v>
      </c>
      <c r="D76" s="234" t="s">
        <v>340</v>
      </c>
      <c r="E76" s="243" t="str">
        <f>VLOOKUP(A76,Ausschreibung!$B$4:$I$35,4,FALSE)</f>
        <v>Junioren A U19</v>
      </c>
      <c r="F76" s="245" t="str">
        <f>VLOOKUP(A76,Ausschreibung!$B$4:$I$35,5,FALSE)</f>
        <v>-</v>
      </c>
      <c r="G76" s="243" t="str">
        <f>VLOOKUP(A76,Ausschreibung!$B$4:$I$35,6,FALSE)</f>
        <v>17-18</v>
      </c>
      <c r="H76" s="235">
        <v>2003</v>
      </c>
      <c r="I76" s="243" t="str">
        <f>VLOOKUP(A76,Ausschreibung!$B$4:$I$35,8,FALSE)</f>
        <v>2000 m</v>
      </c>
      <c r="J76" s="235" t="s">
        <v>345</v>
      </c>
      <c r="K76" s="235"/>
      <c r="L76" s="233">
        <f t="shared" si="1"/>
        <v>17</v>
      </c>
    </row>
    <row r="77" spans="1:12" x14ac:dyDescent="0.2">
      <c r="A77" s="238">
        <v>20</v>
      </c>
      <c r="B77" s="234"/>
      <c r="C77" s="234" t="s">
        <v>314</v>
      </c>
      <c r="D77" s="234" t="s">
        <v>339</v>
      </c>
      <c r="E77" s="243" t="str">
        <f>VLOOKUP(A77,Ausschreibung!$B$4:$I$35,4,FALSE)</f>
        <v>Junioren A U19</v>
      </c>
      <c r="F77" s="245" t="str">
        <f>VLOOKUP(A77,Ausschreibung!$B$4:$I$35,5,FALSE)</f>
        <v>-</v>
      </c>
      <c r="G77" s="243" t="str">
        <f>VLOOKUP(A77,Ausschreibung!$B$4:$I$35,6,FALSE)</f>
        <v>17-18</v>
      </c>
      <c r="H77" s="235">
        <v>2003</v>
      </c>
      <c r="I77" s="243" t="str">
        <f>VLOOKUP(A77,Ausschreibung!$B$4:$I$35,8,FALSE)</f>
        <v>2000 m</v>
      </c>
      <c r="J77" s="235" t="s">
        <v>345</v>
      </c>
      <c r="K77" s="235"/>
      <c r="L77" s="233">
        <f t="shared" si="1"/>
        <v>17</v>
      </c>
    </row>
    <row r="78" spans="1:12" x14ac:dyDescent="0.2">
      <c r="A78" s="238">
        <v>19</v>
      </c>
      <c r="B78" s="234"/>
      <c r="C78" s="234" t="s">
        <v>160</v>
      </c>
      <c r="D78" s="234" t="s">
        <v>170</v>
      </c>
      <c r="E78" s="243" t="str">
        <f>VLOOKUP(A78,Ausschreibung!$B$4:$I$35,4,FALSE)</f>
        <v>Junioren A U19</v>
      </c>
      <c r="F78" s="245" t="str">
        <f>VLOOKUP(A78,Ausschreibung!$B$4:$I$35,5,FALSE)</f>
        <v>LGW. bis 70 kg</v>
      </c>
      <c r="G78" s="243" t="str">
        <f>VLOOKUP(A78,Ausschreibung!$B$4:$I$35,6,FALSE)</f>
        <v>17-18</v>
      </c>
      <c r="H78" s="235">
        <v>2003</v>
      </c>
      <c r="I78" s="243" t="str">
        <f>VLOOKUP(A78,Ausschreibung!$B$4:$I$35,8,FALSE)</f>
        <v>2000 m</v>
      </c>
      <c r="J78" s="235" t="s">
        <v>77</v>
      </c>
      <c r="K78" s="235"/>
      <c r="L78" s="233">
        <f t="shared" si="1"/>
        <v>17</v>
      </c>
    </row>
    <row r="79" spans="1:12" x14ac:dyDescent="0.2">
      <c r="A79" s="238">
        <v>17</v>
      </c>
      <c r="B79" s="234"/>
      <c r="C79" s="234" t="s">
        <v>167</v>
      </c>
      <c r="D79" s="234" t="s">
        <v>176</v>
      </c>
      <c r="E79" s="243" t="str">
        <f>VLOOKUP(A79,Ausschreibung!$B$4:$I$35,4,FALSE)</f>
        <v>Juniorinnen A U19</v>
      </c>
      <c r="F79" s="245" t="str">
        <f>VLOOKUP(A79,Ausschreibung!$B$4:$I$35,5,FALSE)</f>
        <v>LGW. bis 60 kg</v>
      </c>
      <c r="G79" s="243" t="str">
        <f>VLOOKUP(A79,Ausschreibung!$B$4:$I$35,6,FALSE)</f>
        <v>17-18</v>
      </c>
      <c r="H79" s="235">
        <v>2003</v>
      </c>
      <c r="I79" s="243" t="str">
        <f>VLOOKUP(A79,Ausschreibung!$B$4:$I$35,8,FALSE)</f>
        <v>2000 m</v>
      </c>
      <c r="J79" s="235" t="s">
        <v>77</v>
      </c>
      <c r="K79" s="235"/>
      <c r="L79" s="233">
        <f t="shared" si="1"/>
        <v>17</v>
      </c>
    </row>
    <row r="80" spans="1:12" x14ac:dyDescent="0.2">
      <c r="A80" s="238">
        <v>12</v>
      </c>
      <c r="B80" s="234"/>
      <c r="C80" s="234" t="s">
        <v>303</v>
      </c>
      <c r="D80" s="234" t="s">
        <v>220</v>
      </c>
      <c r="E80" s="243" t="str">
        <f>VLOOKUP(A80,Ausschreibung!$B$4:$I$35,4,FALSE)</f>
        <v>Juniorinnen B U17</v>
      </c>
      <c r="F80" s="245" t="str">
        <f>VLOOKUP(A80,Ausschreibung!$B$4:$I$35,5,FALSE)</f>
        <v>-</v>
      </c>
      <c r="G80" s="243" t="str">
        <f>VLOOKUP(A80,Ausschreibung!$B$4:$I$35,6,FALSE)</f>
        <v>15-16</v>
      </c>
      <c r="H80" s="235">
        <v>2004</v>
      </c>
      <c r="I80" s="243" t="str">
        <f>VLOOKUP(A80,Ausschreibung!$B$4:$I$35,8,FALSE)</f>
        <v>1500 m</v>
      </c>
      <c r="J80" s="235" t="s">
        <v>345</v>
      </c>
      <c r="K80" s="235"/>
      <c r="L80" s="233">
        <f t="shared" si="1"/>
        <v>16</v>
      </c>
    </row>
    <row r="81" spans="1:12" x14ac:dyDescent="0.2">
      <c r="A81" s="238">
        <v>11</v>
      </c>
      <c r="B81" s="234"/>
      <c r="C81" s="234" t="s">
        <v>376</v>
      </c>
      <c r="D81" s="234" t="s">
        <v>383</v>
      </c>
      <c r="E81" s="243" t="str">
        <f>VLOOKUP(A81,Ausschreibung!$B$4:$I$35,4,FALSE)</f>
        <v>Juniorinnen B U17</v>
      </c>
      <c r="F81" s="245" t="str">
        <f>VLOOKUP(A81,Ausschreibung!$B$4:$I$35,5,FALSE)</f>
        <v>Lgw. bis 57,5kg</v>
      </c>
      <c r="G81" s="243" t="str">
        <f>VLOOKUP(A81,Ausschreibung!$B$4:$I$35,6,FALSE)</f>
        <v>15-16</v>
      </c>
      <c r="H81" s="235">
        <v>2004</v>
      </c>
      <c r="I81" s="243" t="str">
        <f>VLOOKUP(A81,Ausschreibung!$B$4:$I$35,8,FALSE)</f>
        <v>1500 m</v>
      </c>
      <c r="J81" s="235" t="s">
        <v>386</v>
      </c>
      <c r="K81" s="235"/>
      <c r="L81" s="233">
        <f t="shared" si="1"/>
        <v>16</v>
      </c>
    </row>
    <row r="82" spans="1:12" x14ac:dyDescent="0.2">
      <c r="A82" s="238">
        <v>13</v>
      </c>
      <c r="B82" s="234"/>
      <c r="C82" s="234" t="s">
        <v>209</v>
      </c>
      <c r="D82" s="234" t="s">
        <v>233</v>
      </c>
      <c r="E82" s="243" t="str">
        <f>VLOOKUP(A82,Ausschreibung!$B$4:$I$35,4,FALSE)</f>
        <v>Junioren B U17</v>
      </c>
      <c r="F82" s="245" t="str">
        <f>VLOOKUP(A82,Ausschreibung!$B$4:$I$35,5,FALSE)</f>
        <v>Lgw. bis 67,5kg</v>
      </c>
      <c r="G82" s="243" t="str">
        <f>VLOOKUP(A82,Ausschreibung!$B$4:$I$35,6,FALSE)</f>
        <v>15-16</v>
      </c>
      <c r="H82" s="235">
        <v>2004</v>
      </c>
      <c r="I82" s="243" t="str">
        <f>VLOOKUP(A82,Ausschreibung!$B$4:$I$35,8,FALSE)</f>
        <v>1500 m</v>
      </c>
      <c r="J82" s="235" t="s">
        <v>241</v>
      </c>
      <c r="K82" s="235"/>
      <c r="L82" s="233">
        <f t="shared" si="1"/>
        <v>16</v>
      </c>
    </row>
    <row r="83" spans="1:12" x14ac:dyDescent="0.2">
      <c r="A83" s="238">
        <v>11</v>
      </c>
      <c r="B83" s="234"/>
      <c r="C83" s="234" t="s">
        <v>439</v>
      </c>
      <c r="D83" s="234" t="s">
        <v>424</v>
      </c>
      <c r="E83" s="243" t="str">
        <f>VLOOKUP(A83,Ausschreibung!$B$4:$I$35,4,FALSE)</f>
        <v>Juniorinnen B U17</v>
      </c>
      <c r="F83" s="245" t="str">
        <f>VLOOKUP(A83,Ausschreibung!$B$4:$I$35,5,FALSE)</f>
        <v>Lgw. bis 57,5kg</v>
      </c>
      <c r="G83" s="243" t="str">
        <f>VLOOKUP(A83,Ausschreibung!$B$4:$I$35,6,FALSE)</f>
        <v>15-16</v>
      </c>
      <c r="H83" s="235">
        <v>2004</v>
      </c>
      <c r="I83" s="243" t="str">
        <f>VLOOKUP(A83,Ausschreibung!$B$4:$I$35,8,FALSE)</f>
        <v>1500 m</v>
      </c>
      <c r="J83" s="235" t="s">
        <v>449</v>
      </c>
      <c r="K83" s="235"/>
      <c r="L83" s="233">
        <f t="shared" si="1"/>
        <v>16</v>
      </c>
    </row>
    <row r="84" spans="1:12" x14ac:dyDescent="0.2">
      <c r="A84" s="238">
        <v>12</v>
      </c>
      <c r="B84" s="234"/>
      <c r="C84" s="234" t="s">
        <v>348</v>
      </c>
      <c r="D84" s="234" t="s">
        <v>355</v>
      </c>
      <c r="E84" s="243" t="str">
        <f>VLOOKUP(A84,Ausschreibung!$B$4:$I$35,4,FALSE)</f>
        <v>Juniorinnen B U17</v>
      </c>
      <c r="F84" s="245" t="str">
        <f>VLOOKUP(A84,Ausschreibung!$B$4:$I$35,5,FALSE)</f>
        <v>-</v>
      </c>
      <c r="G84" s="243" t="str">
        <f>VLOOKUP(A84,Ausschreibung!$B$4:$I$35,6,FALSE)</f>
        <v>15-16</v>
      </c>
      <c r="H84" s="235">
        <v>2004</v>
      </c>
      <c r="I84" s="243" t="str">
        <f>VLOOKUP(A84,Ausschreibung!$B$4:$I$35,8,FALSE)</f>
        <v>1500 m</v>
      </c>
      <c r="J84" s="235" t="s">
        <v>361</v>
      </c>
      <c r="K84" s="235"/>
      <c r="L84" s="233">
        <f t="shared" si="1"/>
        <v>16</v>
      </c>
    </row>
    <row r="85" spans="1:12" x14ac:dyDescent="0.2">
      <c r="A85" s="238">
        <v>13</v>
      </c>
      <c r="B85" s="234"/>
      <c r="C85" s="234" t="s">
        <v>301</v>
      </c>
      <c r="D85" s="234" t="s">
        <v>336</v>
      </c>
      <c r="E85" s="243" t="str">
        <f>VLOOKUP(A85,Ausschreibung!$B$4:$I$35,4,FALSE)</f>
        <v>Junioren B U17</v>
      </c>
      <c r="F85" s="245" t="str">
        <f>VLOOKUP(A85,Ausschreibung!$B$4:$I$35,5,FALSE)</f>
        <v>Lgw. bis 67,5kg</v>
      </c>
      <c r="G85" s="243" t="str">
        <f>VLOOKUP(A85,Ausschreibung!$B$4:$I$35,6,FALSE)</f>
        <v>15-16</v>
      </c>
      <c r="H85" s="235">
        <v>2004</v>
      </c>
      <c r="I85" s="243" t="str">
        <f>VLOOKUP(A85,Ausschreibung!$B$4:$I$35,8,FALSE)</f>
        <v>1500 m</v>
      </c>
      <c r="J85" s="235" t="s">
        <v>345</v>
      </c>
      <c r="K85" s="235"/>
      <c r="L85" s="233">
        <f t="shared" si="1"/>
        <v>16</v>
      </c>
    </row>
    <row r="86" spans="1:12" x14ac:dyDescent="0.2">
      <c r="A86" s="238">
        <v>12</v>
      </c>
      <c r="B86" s="234"/>
      <c r="C86" s="234" t="s">
        <v>297</v>
      </c>
      <c r="D86" s="234" t="s">
        <v>288</v>
      </c>
      <c r="E86" s="243" t="str">
        <f>VLOOKUP(A86,Ausschreibung!$B$4:$I$35,4,FALSE)</f>
        <v>Juniorinnen B U17</v>
      </c>
      <c r="F86" s="245" t="str">
        <f>VLOOKUP(A86,Ausschreibung!$B$4:$I$35,5,FALSE)</f>
        <v>-</v>
      </c>
      <c r="G86" s="243" t="str">
        <f>VLOOKUP(A86,Ausschreibung!$B$4:$I$35,6,FALSE)</f>
        <v>15-16</v>
      </c>
      <c r="H86" s="235">
        <v>2004</v>
      </c>
      <c r="I86" s="243" t="str">
        <f>VLOOKUP(A86,Ausschreibung!$B$4:$I$35,8,FALSE)</f>
        <v>1500 m</v>
      </c>
      <c r="J86" s="235" t="s">
        <v>345</v>
      </c>
      <c r="K86" s="235"/>
      <c r="L86" s="233">
        <f t="shared" si="1"/>
        <v>16</v>
      </c>
    </row>
    <row r="87" spans="1:12" x14ac:dyDescent="0.2">
      <c r="A87" s="238">
        <v>12</v>
      </c>
      <c r="B87" s="234"/>
      <c r="C87" s="234" t="s">
        <v>164</v>
      </c>
      <c r="D87" s="234" t="s">
        <v>173</v>
      </c>
      <c r="E87" s="243" t="str">
        <f>VLOOKUP(A87,Ausschreibung!$B$4:$I$35,4,FALSE)</f>
        <v>Juniorinnen B U17</v>
      </c>
      <c r="F87" s="245" t="str">
        <f>VLOOKUP(A87,Ausschreibung!$B$4:$I$35,5,FALSE)</f>
        <v>-</v>
      </c>
      <c r="G87" s="243" t="str">
        <f>VLOOKUP(A87,Ausschreibung!$B$4:$I$35,6,FALSE)</f>
        <v>15-16</v>
      </c>
      <c r="H87" s="235">
        <v>2004</v>
      </c>
      <c r="I87" s="243" t="str">
        <f>VLOOKUP(A87,Ausschreibung!$B$4:$I$35,8,FALSE)</f>
        <v>1500 m</v>
      </c>
      <c r="J87" s="235" t="s">
        <v>77</v>
      </c>
      <c r="K87" s="235"/>
      <c r="L87" s="233">
        <f t="shared" si="1"/>
        <v>16</v>
      </c>
    </row>
    <row r="88" spans="1:12" x14ac:dyDescent="0.2">
      <c r="A88" s="238">
        <v>11</v>
      </c>
      <c r="B88" s="234"/>
      <c r="C88" s="234" t="s">
        <v>308</v>
      </c>
      <c r="D88" s="234" t="s">
        <v>333</v>
      </c>
      <c r="E88" s="243" t="str">
        <f>VLOOKUP(A88,Ausschreibung!$B$4:$I$35,4,FALSE)</f>
        <v>Juniorinnen B U17</v>
      </c>
      <c r="F88" s="245" t="str">
        <f>VLOOKUP(A88,Ausschreibung!$B$4:$I$35,5,FALSE)</f>
        <v>Lgw. bis 57,5kg</v>
      </c>
      <c r="G88" s="243" t="str">
        <f>VLOOKUP(A88,Ausschreibung!$B$4:$I$35,6,FALSE)</f>
        <v>15-16</v>
      </c>
      <c r="H88" s="235">
        <v>2004</v>
      </c>
      <c r="I88" s="243" t="str">
        <f>VLOOKUP(A88,Ausschreibung!$B$4:$I$35,8,FALSE)</f>
        <v>1500 m</v>
      </c>
      <c r="J88" s="235" t="s">
        <v>345</v>
      </c>
      <c r="K88" s="235"/>
      <c r="L88" s="233">
        <f t="shared" si="1"/>
        <v>16</v>
      </c>
    </row>
    <row r="89" spans="1:12" x14ac:dyDescent="0.2">
      <c r="A89" s="238">
        <v>12</v>
      </c>
      <c r="B89" s="234"/>
      <c r="C89" s="234" t="s">
        <v>309</v>
      </c>
      <c r="D89" s="234" t="s">
        <v>334</v>
      </c>
      <c r="E89" s="243" t="str">
        <f>VLOOKUP(A89,Ausschreibung!$B$4:$I$35,4,FALSE)</f>
        <v>Juniorinnen B U17</v>
      </c>
      <c r="F89" s="245" t="str">
        <f>VLOOKUP(A89,Ausschreibung!$B$4:$I$35,5,FALSE)</f>
        <v>-</v>
      </c>
      <c r="G89" s="243" t="str">
        <f>VLOOKUP(A89,Ausschreibung!$B$4:$I$35,6,FALSE)</f>
        <v>15-16</v>
      </c>
      <c r="H89" s="235">
        <v>2004</v>
      </c>
      <c r="I89" s="243" t="str">
        <f>VLOOKUP(A89,Ausschreibung!$B$4:$I$35,8,FALSE)</f>
        <v>1500 m</v>
      </c>
      <c r="J89" s="235" t="s">
        <v>345</v>
      </c>
      <c r="K89" s="235"/>
      <c r="L89" s="233">
        <f t="shared" si="1"/>
        <v>16</v>
      </c>
    </row>
    <row r="90" spans="1:12" x14ac:dyDescent="0.2">
      <c r="A90" s="238">
        <v>13</v>
      </c>
      <c r="B90" s="234"/>
      <c r="C90" s="234" t="s">
        <v>208</v>
      </c>
      <c r="D90" s="234" t="s">
        <v>232</v>
      </c>
      <c r="E90" s="243" t="str">
        <f>VLOOKUP(A90,Ausschreibung!$B$4:$I$35,4,FALSE)</f>
        <v>Junioren B U17</v>
      </c>
      <c r="F90" s="245" t="str">
        <f>VLOOKUP(A90,Ausschreibung!$B$4:$I$35,5,FALSE)</f>
        <v>Lgw. bis 67,5kg</v>
      </c>
      <c r="G90" s="243" t="str">
        <f>VLOOKUP(A90,Ausschreibung!$B$4:$I$35,6,FALSE)</f>
        <v>15-16</v>
      </c>
      <c r="H90" s="235">
        <v>2004</v>
      </c>
      <c r="I90" s="243" t="str">
        <f>VLOOKUP(A90,Ausschreibung!$B$4:$I$35,8,FALSE)</f>
        <v>1500 m</v>
      </c>
      <c r="J90" s="235" t="s">
        <v>241</v>
      </c>
      <c r="K90" s="235"/>
      <c r="L90" s="233">
        <f t="shared" si="1"/>
        <v>16</v>
      </c>
    </row>
    <row r="91" spans="1:12" x14ac:dyDescent="0.2">
      <c r="A91" s="238">
        <v>13</v>
      </c>
      <c r="B91" s="245"/>
      <c r="C91" s="234" t="s">
        <v>295</v>
      </c>
      <c r="D91" s="234" t="s">
        <v>226</v>
      </c>
      <c r="E91" s="243" t="str">
        <f>VLOOKUP(A91,Ausschreibung!$B$4:$I$35,4,FALSE)</f>
        <v>Junioren B U17</v>
      </c>
      <c r="F91" s="245" t="str">
        <f>VLOOKUP(A91,Ausschreibung!$B$4:$I$35,5,FALSE)</f>
        <v>Lgw. bis 67,5kg</v>
      </c>
      <c r="G91" s="243" t="str">
        <f>VLOOKUP(A91,Ausschreibung!$B$4:$I$35,6,FALSE)</f>
        <v>15-16</v>
      </c>
      <c r="H91" s="235">
        <v>2004</v>
      </c>
      <c r="I91" s="243" t="str">
        <f>VLOOKUP(A91,Ausschreibung!$B$4:$I$35,8,FALSE)</f>
        <v>1500 m</v>
      </c>
      <c r="J91" s="235" t="s">
        <v>241</v>
      </c>
      <c r="K91" s="235"/>
      <c r="L91" s="233">
        <f t="shared" si="1"/>
        <v>16</v>
      </c>
    </row>
    <row r="92" spans="1:12" x14ac:dyDescent="0.2">
      <c r="A92" s="238">
        <v>12</v>
      </c>
      <c r="B92" s="234"/>
      <c r="C92" s="234" t="s">
        <v>436</v>
      </c>
      <c r="D92" s="234" t="s">
        <v>425</v>
      </c>
      <c r="E92" s="243" t="str">
        <f>VLOOKUP(A92,Ausschreibung!$B$4:$I$35,4,FALSE)</f>
        <v>Juniorinnen B U17</v>
      </c>
      <c r="F92" s="245" t="str">
        <f>VLOOKUP(A92,Ausschreibung!$B$4:$I$35,5,FALSE)</f>
        <v>-</v>
      </c>
      <c r="G92" s="243" t="str">
        <f>VLOOKUP(A92,Ausschreibung!$B$4:$I$35,6,FALSE)</f>
        <v>15-16</v>
      </c>
      <c r="H92" s="235">
        <v>2004</v>
      </c>
      <c r="I92" s="243" t="str">
        <f>VLOOKUP(A92,Ausschreibung!$B$4:$I$35,8,FALSE)</f>
        <v>1500 m</v>
      </c>
      <c r="J92" s="235" t="s">
        <v>449</v>
      </c>
      <c r="K92" s="235"/>
      <c r="L92" s="233">
        <f t="shared" si="1"/>
        <v>16</v>
      </c>
    </row>
    <row r="93" spans="1:12" x14ac:dyDescent="0.2">
      <c r="A93" s="238">
        <v>12</v>
      </c>
      <c r="B93" s="234"/>
      <c r="C93" s="234" t="s">
        <v>207</v>
      </c>
      <c r="D93" s="234" t="s">
        <v>231</v>
      </c>
      <c r="E93" s="243" t="str">
        <f>VLOOKUP(A93,Ausschreibung!$B$4:$I$35,4,FALSE)</f>
        <v>Juniorinnen B U17</v>
      </c>
      <c r="F93" s="245" t="str">
        <f>VLOOKUP(A93,Ausschreibung!$B$4:$I$35,5,FALSE)</f>
        <v>-</v>
      </c>
      <c r="G93" s="243" t="str">
        <f>VLOOKUP(A93,Ausschreibung!$B$4:$I$35,6,FALSE)</f>
        <v>15-16</v>
      </c>
      <c r="H93" s="235">
        <v>2004</v>
      </c>
      <c r="I93" s="243" t="str">
        <f>VLOOKUP(A93,Ausschreibung!$B$4:$I$35,8,FALSE)</f>
        <v>1500 m</v>
      </c>
      <c r="J93" s="235" t="s">
        <v>241</v>
      </c>
      <c r="K93" s="235"/>
      <c r="L93" s="233">
        <f t="shared" si="1"/>
        <v>16</v>
      </c>
    </row>
    <row r="94" spans="1:12" x14ac:dyDescent="0.2">
      <c r="A94" s="238">
        <v>12</v>
      </c>
      <c r="B94" s="234"/>
      <c r="C94" s="234" t="s">
        <v>166</v>
      </c>
      <c r="D94" s="234" t="s">
        <v>175</v>
      </c>
      <c r="E94" s="243" t="str">
        <f>VLOOKUP(A94,Ausschreibung!$B$4:$I$35,4,FALSE)</f>
        <v>Juniorinnen B U17</v>
      </c>
      <c r="F94" s="245" t="str">
        <f>VLOOKUP(A94,Ausschreibung!$B$4:$I$35,5,FALSE)</f>
        <v>-</v>
      </c>
      <c r="G94" s="243" t="str">
        <f>VLOOKUP(A94,Ausschreibung!$B$4:$I$35,6,FALSE)</f>
        <v>15-16</v>
      </c>
      <c r="H94" s="235">
        <v>2004</v>
      </c>
      <c r="I94" s="243" t="str">
        <f>VLOOKUP(A94,Ausschreibung!$B$4:$I$35,8,FALSE)</f>
        <v>1500 m</v>
      </c>
      <c r="J94" s="235" t="s">
        <v>77</v>
      </c>
      <c r="K94" s="235"/>
      <c r="L94" s="233">
        <f t="shared" si="1"/>
        <v>16</v>
      </c>
    </row>
    <row r="95" spans="1:12" x14ac:dyDescent="0.2">
      <c r="A95" s="238">
        <v>13</v>
      </c>
      <c r="B95" s="234"/>
      <c r="C95" s="234" t="s">
        <v>311</v>
      </c>
      <c r="D95" s="234" t="s">
        <v>293</v>
      </c>
      <c r="E95" s="243" t="str">
        <f>VLOOKUP(A95,Ausschreibung!$B$4:$I$35,4,FALSE)</f>
        <v>Junioren B U17</v>
      </c>
      <c r="F95" s="245" t="str">
        <f>VLOOKUP(A95,Ausschreibung!$B$4:$I$35,5,FALSE)</f>
        <v>Lgw. bis 67,5kg</v>
      </c>
      <c r="G95" s="243" t="str">
        <f>VLOOKUP(A95,Ausschreibung!$B$4:$I$35,6,FALSE)</f>
        <v>15-16</v>
      </c>
      <c r="H95" s="235">
        <v>2004</v>
      </c>
      <c r="I95" s="243" t="str">
        <f>VLOOKUP(A95,Ausschreibung!$B$4:$I$35,8,FALSE)</f>
        <v>1500 m</v>
      </c>
      <c r="J95" s="235" t="s">
        <v>345</v>
      </c>
      <c r="K95" s="235"/>
      <c r="L95" s="233">
        <f t="shared" si="1"/>
        <v>16</v>
      </c>
    </row>
    <row r="96" spans="1:12" x14ac:dyDescent="0.2">
      <c r="A96" s="238">
        <v>11</v>
      </c>
      <c r="B96" s="234"/>
      <c r="C96" s="234" t="s">
        <v>396</v>
      </c>
      <c r="D96" s="234" t="s">
        <v>410</v>
      </c>
      <c r="E96" s="243" t="str">
        <f>VLOOKUP(A96,Ausschreibung!$B$4:$I$35,4,FALSE)</f>
        <v>Juniorinnen B U17</v>
      </c>
      <c r="F96" s="245" t="str">
        <f>VLOOKUP(A96,Ausschreibung!$B$4:$I$35,5,FALSE)</f>
        <v>Lgw. bis 57,5kg</v>
      </c>
      <c r="G96" s="243" t="str">
        <f>VLOOKUP(A96,Ausschreibung!$B$4:$I$35,6,FALSE)</f>
        <v>15-16</v>
      </c>
      <c r="H96" s="235">
        <v>2004</v>
      </c>
      <c r="I96" s="243" t="str">
        <f>VLOOKUP(A96,Ausschreibung!$B$4:$I$35,8,FALSE)</f>
        <v>1500 m</v>
      </c>
      <c r="J96" s="235" t="s">
        <v>387</v>
      </c>
      <c r="K96" s="235"/>
      <c r="L96" s="233">
        <f t="shared" si="1"/>
        <v>16</v>
      </c>
    </row>
    <row r="97" spans="1:12" x14ac:dyDescent="0.2">
      <c r="A97" s="238">
        <v>14</v>
      </c>
      <c r="B97" s="234"/>
      <c r="C97" s="234" t="s">
        <v>206</v>
      </c>
      <c r="D97" s="234" t="s">
        <v>230</v>
      </c>
      <c r="E97" s="243" t="str">
        <f>VLOOKUP(A97,Ausschreibung!$B$4:$I$35,4,FALSE)</f>
        <v>Junioren B U17</v>
      </c>
      <c r="F97" s="245" t="str">
        <f>VLOOKUP(A97,Ausschreibung!$B$4:$I$35,5,FALSE)</f>
        <v>-</v>
      </c>
      <c r="G97" s="243" t="str">
        <f>VLOOKUP(A97,Ausschreibung!$B$4:$I$35,6,FALSE)</f>
        <v>15-16</v>
      </c>
      <c r="H97" s="235">
        <v>2005</v>
      </c>
      <c r="I97" s="243" t="str">
        <f>VLOOKUP(A97,Ausschreibung!$B$4:$I$35,8,FALSE)</f>
        <v>1500 m</v>
      </c>
      <c r="J97" s="235" t="s">
        <v>241</v>
      </c>
      <c r="K97" s="235"/>
      <c r="L97" s="233">
        <f t="shared" si="1"/>
        <v>15</v>
      </c>
    </row>
    <row r="98" spans="1:12" x14ac:dyDescent="0.2">
      <c r="A98" s="238">
        <v>12</v>
      </c>
      <c r="B98" s="234"/>
      <c r="C98" s="234" t="s">
        <v>397</v>
      </c>
      <c r="D98" s="234" t="s">
        <v>411</v>
      </c>
      <c r="E98" s="243" t="str">
        <f>VLOOKUP(A98,Ausschreibung!$B$4:$I$35,4,FALSE)</f>
        <v>Juniorinnen B U17</v>
      </c>
      <c r="F98" s="245" t="str">
        <f>VLOOKUP(A98,Ausschreibung!$B$4:$I$35,5,FALSE)</f>
        <v>-</v>
      </c>
      <c r="G98" s="243" t="str">
        <f>VLOOKUP(A98,Ausschreibung!$B$4:$I$35,6,FALSE)</f>
        <v>15-16</v>
      </c>
      <c r="H98" s="235">
        <v>2005</v>
      </c>
      <c r="I98" s="243" t="str">
        <f>VLOOKUP(A98,Ausschreibung!$B$4:$I$35,8,FALSE)</f>
        <v>1500 m</v>
      </c>
      <c r="J98" s="235" t="s">
        <v>387</v>
      </c>
      <c r="K98" s="235"/>
      <c r="L98" s="233">
        <f t="shared" si="1"/>
        <v>15</v>
      </c>
    </row>
    <row r="99" spans="1:12" x14ac:dyDescent="0.2">
      <c r="A99" s="238">
        <v>11</v>
      </c>
      <c r="B99" s="234"/>
      <c r="C99" s="234" t="s">
        <v>159</v>
      </c>
      <c r="D99" s="234" t="s">
        <v>169</v>
      </c>
      <c r="E99" s="243" t="str">
        <f>VLOOKUP(A99,Ausschreibung!$B$4:$I$35,4,FALSE)</f>
        <v>Juniorinnen B U17</v>
      </c>
      <c r="F99" s="245" t="str">
        <f>VLOOKUP(A99,Ausschreibung!$B$4:$I$35,5,FALSE)</f>
        <v>Lgw. bis 57,5kg</v>
      </c>
      <c r="G99" s="243" t="str">
        <f>VLOOKUP(A99,Ausschreibung!$B$4:$I$35,6,FALSE)</f>
        <v>15-16</v>
      </c>
      <c r="H99" s="235">
        <v>2005</v>
      </c>
      <c r="I99" s="243" t="str">
        <f>VLOOKUP(A99,Ausschreibung!$B$4:$I$35,8,FALSE)</f>
        <v>1500 m</v>
      </c>
      <c r="J99" s="235" t="s">
        <v>77</v>
      </c>
      <c r="K99" s="235"/>
      <c r="L99" s="233">
        <f t="shared" si="1"/>
        <v>15</v>
      </c>
    </row>
    <row r="100" spans="1:12" x14ac:dyDescent="0.2">
      <c r="A100" s="238">
        <v>13</v>
      </c>
      <c r="B100" s="234"/>
      <c r="C100" s="234" t="s">
        <v>210</v>
      </c>
      <c r="D100" s="234" t="s">
        <v>234</v>
      </c>
      <c r="E100" s="243" t="str">
        <f>VLOOKUP(A100,Ausschreibung!$B$4:$I$35,4,FALSE)</f>
        <v>Junioren B U17</v>
      </c>
      <c r="F100" s="245" t="str">
        <f>VLOOKUP(A100,Ausschreibung!$B$4:$I$35,5,FALSE)</f>
        <v>Lgw. bis 67,5kg</v>
      </c>
      <c r="G100" s="243" t="str">
        <f>VLOOKUP(A100,Ausschreibung!$B$4:$I$35,6,FALSE)</f>
        <v>15-16</v>
      </c>
      <c r="H100" s="235">
        <v>2005</v>
      </c>
      <c r="I100" s="243" t="str">
        <f>VLOOKUP(A100,Ausschreibung!$B$4:$I$35,8,FALSE)</f>
        <v>1500 m</v>
      </c>
      <c r="J100" s="235" t="s">
        <v>241</v>
      </c>
      <c r="K100" s="235"/>
      <c r="L100" s="233">
        <f t="shared" si="1"/>
        <v>15</v>
      </c>
    </row>
    <row r="101" spans="1:12" x14ac:dyDescent="0.2">
      <c r="A101" s="238">
        <v>13</v>
      </c>
      <c r="B101" s="234"/>
      <c r="C101" s="234" t="s">
        <v>205</v>
      </c>
      <c r="D101" s="234" t="s">
        <v>229</v>
      </c>
      <c r="E101" s="243" t="str">
        <f>VLOOKUP(A101,Ausschreibung!$B$4:$I$35,4,FALSE)</f>
        <v>Junioren B U17</v>
      </c>
      <c r="F101" s="245" t="str">
        <f>VLOOKUP(A101,Ausschreibung!$B$4:$I$35,5,FALSE)</f>
        <v>Lgw. bis 67,5kg</v>
      </c>
      <c r="G101" s="243" t="str">
        <f>VLOOKUP(A101,Ausschreibung!$B$4:$I$35,6,FALSE)</f>
        <v>15-16</v>
      </c>
      <c r="H101" s="235">
        <v>2005</v>
      </c>
      <c r="I101" s="243" t="str">
        <f>VLOOKUP(A101,Ausschreibung!$B$4:$I$35,8,FALSE)</f>
        <v>1500 m</v>
      </c>
      <c r="J101" s="235" t="s">
        <v>241</v>
      </c>
      <c r="K101" s="235"/>
      <c r="L101" s="233">
        <f t="shared" si="1"/>
        <v>15</v>
      </c>
    </row>
    <row r="102" spans="1:12" x14ac:dyDescent="0.2">
      <c r="A102" s="238">
        <v>13</v>
      </c>
      <c r="B102" s="234"/>
      <c r="C102" s="234" t="s">
        <v>399</v>
      </c>
      <c r="D102" s="234" t="s">
        <v>413</v>
      </c>
      <c r="E102" s="243" t="str">
        <f>VLOOKUP(A102,Ausschreibung!$B$4:$I$35,4,FALSE)</f>
        <v>Junioren B U17</v>
      </c>
      <c r="F102" s="245" t="str">
        <f>VLOOKUP(A102,Ausschreibung!$B$4:$I$35,5,FALSE)</f>
        <v>Lgw. bis 67,5kg</v>
      </c>
      <c r="G102" s="243" t="str">
        <f>VLOOKUP(A102,Ausschreibung!$B$4:$I$35,6,FALSE)</f>
        <v>15-16</v>
      </c>
      <c r="H102" s="235">
        <v>2005</v>
      </c>
      <c r="I102" s="243" t="str">
        <f>VLOOKUP(A102,Ausschreibung!$B$4:$I$35,8,FALSE)</f>
        <v>1500 m</v>
      </c>
      <c r="J102" s="235" t="s">
        <v>387</v>
      </c>
      <c r="K102" s="235"/>
      <c r="L102" s="233">
        <f t="shared" si="1"/>
        <v>15</v>
      </c>
    </row>
    <row r="103" spans="1:12" x14ac:dyDescent="0.2">
      <c r="A103" s="238">
        <v>13</v>
      </c>
      <c r="B103" s="234"/>
      <c r="C103" s="234" t="s">
        <v>440</v>
      </c>
      <c r="D103" s="234" t="s">
        <v>426</v>
      </c>
      <c r="E103" s="243" t="str">
        <f>VLOOKUP(A103,Ausschreibung!$B$4:$I$35,4,FALSE)</f>
        <v>Junioren B U17</v>
      </c>
      <c r="F103" s="245" t="str">
        <f>VLOOKUP(A103,Ausschreibung!$B$4:$I$35,5,FALSE)</f>
        <v>Lgw. bis 67,5kg</v>
      </c>
      <c r="G103" s="243" t="str">
        <f>VLOOKUP(A103,Ausschreibung!$B$4:$I$35,6,FALSE)</f>
        <v>15-16</v>
      </c>
      <c r="H103" s="235">
        <v>2005</v>
      </c>
      <c r="I103" s="243" t="str">
        <f>VLOOKUP(A103,Ausschreibung!$B$4:$I$35,8,FALSE)</f>
        <v>1500 m</v>
      </c>
      <c r="J103" s="235" t="s">
        <v>449</v>
      </c>
      <c r="K103" s="235"/>
      <c r="L103" s="233">
        <f t="shared" si="1"/>
        <v>15</v>
      </c>
    </row>
    <row r="104" spans="1:12" x14ac:dyDescent="0.2">
      <c r="A104" s="238">
        <v>13</v>
      </c>
      <c r="B104" s="234"/>
      <c r="C104" s="234" t="s">
        <v>193</v>
      </c>
      <c r="D104" s="234" t="s">
        <v>228</v>
      </c>
      <c r="E104" s="243" t="str">
        <f>VLOOKUP(A104,Ausschreibung!$B$4:$I$35,4,FALSE)</f>
        <v>Junioren B U17</v>
      </c>
      <c r="F104" s="245" t="str">
        <f>VLOOKUP(A104,Ausschreibung!$B$4:$I$35,5,FALSE)</f>
        <v>Lgw. bis 67,5kg</v>
      </c>
      <c r="G104" s="243" t="str">
        <f>VLOOKUP(A104,Ausschreibung!$B$4:$I$35,6,FALSE)</f>
        <v>15-16</v>
      </c>
      <c r="H104" s="235">
        <v>2005</v>
      </c>
      <c r="I104" s="243" t="str">
        <f>VLOOKUP(A104,Ausschreibung!$B$4:$I$35,8,FALSE)</f>
        <v>1500 m</v>
      </c>
      <c r="J104" s="235" t="s">
        <v>241</v>
      </c>
      <c r="K104" s="235"/>
      <c r="L104" s="233">
        <f t="shared" si="1"/>
        <v>15</v>
      </c>
    </row>
    <row r="105" spans="1:12" x14ac:dyDescent="0.2">
      <c r="A105" s="238">
        <v>13</v>
      </c>
      <c r="B105" s="234"/>
      <c r="C105" s="234" t="s">
        <v>257</v>
      </c>
      <c r="D105" s="234" t="s">
        <v>267</v>
      </c>
      <c r="E105" s="243" t="str">
        <f>VLOOKUP(A105,Ausschreibung!$B$4:$I$35,4,FALSE)</f>
        <v>Junioren B U17</v>
      </c>
      <c r="F105" s="245" t="str">
        <f>VLOOKUP(A105,Ausschreibung!$B$4:$I$35,5,FALSE)</f>
        <v>Lgw. bis 67,5kg</v>
      </c>
      <c r="G105" s="243" t="str">
        <f>VLOOKUP(A105,Ausschreibung!$B$4:$I$35,6,FALSE)</f>
        <v>15-16</v>
      </c>
      <c r="H105" s="235">
        <v>2005</v>
      </c>
      <c r="I105" s="243" t="str">
        <f>VLOOKUP(A105,Ausschreibung!$B$4:$I$35,8,FALSE)</f>
        <v>1500 m</v>
      </c>
      <c r="J105" s="235" t="s">
        <v>268</v>
      </c>
      <c r="K105" s="235"/>
      <c r="L105" s="233">
        <f t="shared" si="1"/>
        <v>15</v>
      </c>
    </row>
    <row r="106" spans="1:12" x14ac:dyDescent="0.2">
      <c r="A106" s="238">
        <v>13</v>
      </c>
      <c r="B106" s="234"/>
      <c r="C106" s="234" t="s">
        <v>350</v>
      </c>
      <c r="D106" s="234" t="s">
        <v>359</v>
      </c>
      <c r="E106" s="243" t="str">
        <f>VLOOKUP(A106,Ausschreibung!$B$4:$I$35,4,FALSE)</f>
        <v>Junioren B U17</v>
      </c>
      <c r="F106" s="245" t="str">
        <f>VLOOKUP(A106,Ausschreibung!$B$4:$I$35,5,FALSE)</f>
        <v>Lgw. bis 67,5kg</v>
      </c>
      <c r="G106" s="243" t="str">
        <f>VLOOKUP(A106,Ausschreibung!$B$4:$I$35,6,FALSE)</f>
        <v>15-16</v>
      </c>
      <c r="H106" s="235">
        <v>2005</v>
      </c>
      <c r="I106" s="243" t="str">
        <f>VLOOKUP(A106,Ausschreibung!$B$4:$I$35,8,FALSE)</f>
        <v>1500 m</v>
      </c>
      <c r="J106" s="235" t="s">
        <v>361</v>
      </c>
      <c r="K106" s="235"/>
      <c r="L106" s="233">
        <f t="shared" si="1"/>
        <v>15</v>
      </c>
    </row>
    <row r="107" spans="1:12" x14ac:dyDescent="0.2">
      <c r="A107" s="238">
        <v>11</v>
      </c>
      <c r="B107" s="234"/>
      <c r="C107" s="234" t="s">
        <v>204</v>
      </c>
      <c r="D107" s="234" t="s">
        <v>227</v>
      </c>
      <c r="E107" s="243" t="str">
        <f>VLOOKUP(A107,Ausschreibung!$B$4:$I$35,4,FALSE)</f>
        <v>Juniorinnen B U17</v>
      </c>
      <c r="F107" s="245" t="str">
        <f>VLOOKUP(A107,Ausschreibung!$B$4:$I$35,5,FALSE)</f>
        <v>Lgw. bis 57,5kg</v>
      </c>
      <c r="G107" s="243" t="str">
        <f>VLOOKUP(A107,Ausschreibung!$B$4:$I$35,6,FALSE)</f>
        <v>15-16</v>
      </c>
      <c r="H107" s="235">
        <v>2005</v>
      </c>
      <c r="I107" s="243" t="str">
        <f>VLOOKUP(A107,Ausschreibung!$B$4:$I$35,8,FALSE)</f>
        <v>1500 m</v>
      </c>
      <c r="J107" s="235" t="s">
        <v>241</v>
      </c>
      <c r="K107" s="235"/>
      <c r="L107" s="233">
        <f t="shared" si="1"/>
        <v>15</v>
      </c>
    </row>
    <row r="108" spans="1:12" x14ac:dyDescent="0.2">
      <c r="A108" s="238">
        <v>14</v>
      </c>
      <c r="B108" s="234"/>
      <c r="C108" s="234" t="s">
        <v>351</v>
      </c>
      <c r="D108" s="234" t="s">
        <v>225</v>
      </c>
      <c r="E108" s="243" t="str">
        <f>VLOOKUP(A108,Ausschreibung!$B$4:$I$35,4,FALSE)</f>
        <v>Junioren B U17</v>
      </c>
      <c r="F108" s="245" t="str">
        <f>VLOOKUP(A108,Ausschreibung!$B$4:$I$35,5,FALSE)</f>
        <v>-</v>
      </c>
      <c r="G108" s="243" t="str">
        <f>VLOOKUP(A108,Ausschreibung!$B$4:$I$35,6,FALSE)</f>
        <v>15-16</v>
      </c>
      <c r="H108" s="235">
        <v>2005</v>
      </c>
      <c r="I108" s="243" t="str">
        <f>VLOOKUP(A108,Ausschreibung!$B$4:$I$35,8,FALSE)</f>
        <v>1500 m</v>
      </c>
      <c r="J108" s="235" t="s">
        <v>361</v>
      </c>
      <c r="K108" s="235"/>
      <c r="L108" s="233">
        <f t="shared" si="1"/>
        <v>15</v>
      </c>
    </row>
    <row r="109" spans="1:12" x14ac:dyDescent="0.2">
      <c r="A109" s="238">
        <v>14</v>
      </c>
      <c r="B109" s="234"/>
      <c r="C109" s="234" t="s">
        <v>214</v>
      </c>
      <c r="D109" s="234" t="s">
        <v>238</v>
      </c>
      <c r="E109" s="243" t="str">
        <f>VLOOKUP(A109,Ausschreibung!$B$4:$I$35,4,FALSE)</f>
        <v>Junioren B U17</v>
      </c>
      <c r="F109" s="245" t="str">
        <f>VLOOKUP(A109,Ausschreibung!$B$4:$I$35,5,FALSE)</f>
        <v>-</v>
      </c>
      <c r="G109" s="243" t="str">
        <f>VLOOKUP(A109,Ausschreibung!$B$4:$I$35,6,FALSE)</f>
        <v>15-16</v>
      </c>
      <c r="H109" s="235">
        <v>2005</v>
      </c>
      <c r="I109" s="243" t="str">
        <f>VLOOKUP(A109,Ausschreibung!$B$4:$I$35,8,FALSE)</f>
        <v>1500 m</v>
      </c>
      <c r="J109" s="235" t="s">
        <v>241</v>
      </c>
      <c r="K109" s="235"/>
      <c r="L109" s="233">
        <f t="shared" si="1"/>
        <v>15</v>
      </c>
    </row>
    <row r="110" spans="1:12" x14ac:dyDescent="0.2">
      <c r="A110" s="238">
        <v>13</v>
      </c>
      <c r="B110" s="234"/>
      <c r="C110" s="234" t="s">
        <v>349</v>
      </c>
      <c r="D110" s="234" t="s">
        <v>356</v>
      </c>
      <c r="E110" s="243" t="str">
        <f>VLOOKUP(A110,Ausschreibung!$B$4:$I$35,4,FALSE)</f>
        <v>Junioren B U17</v>
      </c>
      <c r="F110" s="245" t="str">
        <f>VLOOKUP(A110,Ausschreibung!$B$4:$I$35,5,FALSE)</f>
        <v>Lgw. bis 67,5kg</v>
      </c>
      <c r="G110" s="243" t="str">
        <f>VLOOKUP(A110,Ausschreibung!$B$4:$I$35,6,FALSE)</f>
        <v>15-16</v>
      </c>
      <c r="H110" s="235">
        <v>2005</v>
      </c>
      <c r="I110" s="243" t="str">
        <f>VLOOKUP(A110,Ausschreibung!$B$4:$I$35,8,FALSE)</f>
        <v>1500 m</v>
      </c>
      <c r="J110" s="235" t="s">
        <v>361</v>
      </c>
      <c r="K110" s="235"/>
      <c r="L110" s="233">
        <f t="shared" si="1"/>
        <v>15</v>
      </c>
    </row>
    <row r="111" spans="1:12" x14ac:dyDescent="0.2">
      <c r="A111" s="238">
        <v>13</v>
      </c>
      <c r="B111" s="234"/>
      <c r="C111" s="234" t="s">
        <v>211</v>
      </c>
      <c r="D111" s="234" t="s">
        <v>235</v>
      </c>
      <c r="E111" s="243" t="str">
        <f>VLOOKUP(A111,Ausschreibung!$B$4:$I$35,4,FALSE)</f>
        <v>Junioren B U17</v>
      </c>
      <c r="F111" s="245" t="str">
        <f>VLOOKUP(A111,Ausschreibung!$B$4:$I$35,5,FALSE)</f>
        <v>Lgw. bis 67,5kg</v>
      </c>
      <c r="G111" s="243" t="str">
        <f>VLOOKUP(A111,Ausschreibung!$B$4:$I$35,6,FALSE)</f>
        <v>15-16</v>
      </c>
      <c r="H111" s="235">
        <v>2005</v>
      </c>
      <c r="I111" s="243" t="str">
        <f>VLOOKUP(A111,Ausschreibung!$B$4:$I$35,8,FALSE)</f>
        <v>1500 m</v>
      </c>
      <c r="J111" s="235" t="s">
        <v>241</v>
      </c>
      <c r="K111" s="235"/>
      <c r="L111" s="233">
        <f t="shared" si="1"/>
        <v>15</v>
      </c>
    </row>
    <row r="112" spans="1:12" x14ac:dyDescent="0.2">
      <c r="A112" s="238">
        <v>11</v>
      </c>
      <c r="B112" s="234"/>
      <c r="C112" s="234" t="s">
        <v>377</v>
      </c>
      <c r="D112" s="234" t="s">
        <v>384</v>
      </c>
      <c r="E112" s="243" t="str">
        <f>VLOOKUP(A112,Ausschreibung!$B$4:$I$35,4,FALSE)</f>
        <v>Juniorinnen B U17</v>
      </c>
      <c r="F112" s="245" t="str">
        <f>VLOOKUP(A112,Ausschreibung!$B$4:$I$35,5,FALSE)</f>
        <v>Lgw. bis 57,5kg</v>
      </c>
      <c r="G112" s="243" t="str">
        <f>VLOOKUP(A112,Ausschreibung!$B$4:$I$35,6,FALSE)</f>
        <v>15-16</v>
      </c>
      <c r="H112" s="235">
        <v>2005</v>
      </c>
      <c r="I112" s="243" t="str">
        <f>VLOOKUP(A112,Ausschreibung!$B$4:$I$35,8,FALSE)</f>
        <v>1500 m</v>
      </c>
      <c r="J112" s="235" t="s">
        <v>386</v>
      </c>
      <c r="K112" s="235"/>
      <c r="L112" s="233">
        <f t="shared" si="1"/>
        <v>15</v>
      </c>
    </row>
    <row r="113" spans="1:12" x14ac:dyDescent="0.2">
      <c r="A113" s="238">
        <v>12</v>
      </c>
      <c r="B113" s="234"/>
      <c r="C113" s="234" t="s">
        <v>165</v>
      </c>
      <c r="D113" s="234" t="s">
        <v>174</v>
      </c>
      <c r="E113" s="243" t="str">
        <f>VLOOKUP(A113,Ausschreibung!$B$4:$I$35,4,FALSE)</f>
        <v>Juniorinnen B U17</v>
      </c>
      <c r="F113" s="245" t="str">
        <f>VLOOKUP(A113,Ausschreibung!$B$4:$I$35,5,FALSE)</f>
        <v>-</v>
      </c>
      <c r="G113" s="243" t="str">
        <f>VLOOKUP(A113,Ausschreibung!$B$4:$I$35,6,FALSE)</f>
        <v>15-16</v>
      </c>
      <c r="H113" s="235">
        <v>2005</v>
      </c>
      <c r="I113" s="243" t="str">
        <f>VLOOKUP(A113,Ausschreibung!$B$4:$I$35,8,FALSE)</f>
        <v>1500 m</v>
      </c>
      <c r="J113" s="235" t="s">
        <v>77</v>
      </c>
      <c r="K113" s="235"/>
      <c r="L113" s="233">
        <f t="shared" si="1"/>
        <v>15</v>
      </c>
    </row>
    <row r="114" spans="1:12" x14ac:dyDescent="0.2">
      <c r="A114" s="238">
        <v>12</v>
      </c>
      <c r="B114" s="234"/>
      <c r="C114" s="234" t="s">
        <v>310</v>
      </c>
      <c r="D114" s="234" t="s">
        <v>335</v>
      </c>
      <c r="E114" s="243" t="str">
        <f>VLOOKUP(A114,Ausschreibung!$B$4:$I$35,4,FALSE)</f>
        <v>Juniorinnen B U17</v>
      </c>
      <c r="F114" s="245" t="str">
        <f>VLOOKUP(A114,Ausschreibung!$B$4:$I$35,5,FALSE)</f>
        <v>-</v>
      </c>
      <c r="G114" s="243" t="str">
        <f>VLOOKUP(A114,Ausschreibung!$B$4:$I$35,6,FALSE)</f>
        <v>15-16</v>
      </c>
      <c r="H114" s="235">
        <v>2005</v>
      </c>
      <c r="I114" s="243" t="str">
        <f>VLOOKUP(A114,Ausschreibung!$B$4:$I$35,8,FALSE)</f>
        <v>1500 m</v>
      </c>
      <c r="J114" s="235" t="s">
        <v>345</v>
      </c>
      <c r="K114" s="235"/>
      <c r="L114" s="233">
        <f t="shared" si="1"/>
        <v>15</v>
      </c>
    </row>
    <row r="115" spans="1:12" x14ac:dyDescent="0.2">
      <c r="A115" s="238">
        <v>13</v>
      </c>
      <c r="B115" s="234"/>
      <c r="C115" s="234" t="s">
        <v>398</v>
      </c>
      <c r="D115" s="234" t="s">
        <v>412</v>
      </c>
      <c r="E115" s="243" t="str">
        <f>VLOOKUP(A115,Ausschreibung!$B$4:$I$35,4,FALSE)</f>
        <v>Junioren B U17</v>
      </c>
      <c r="F115" s="245" t="str">
        <f>VLOOKUP(A115,Ausschreibung!$B$4:$I$35,5,FALSE)</f>
        <v>Lgw. bis 67,5kg</v>
      </c>
      <c r="G115" s="243" t="str">
        <f>VLOOKUP(A115,Ausschreibung!$B$4:$I$35,6,FALSE)</f>
        <v>15-16</v>
      </c>
      <c r="H115" s="235">
        <v>2005</v>
      </c>
      <c r="I115" s="243" t="str">
        <f>VLOOKUP(A115,Ausschreibung!$B$4:$I$35,8,FALSE)</f>
        <v>1500 m</v>
      </c>
      <c r="J115" s="235" t="s">
        <v>387</v>
      </c>
      <c r="K115" s="235"/>
      <c r="L115" s="233">
        <f t="shared" si="1"/>
        <v>15</v>
      </c>
    </row>
    <row r="116" spans="1:12" x14ac:dyDescent="0.2">
      <c r="A116" s="238">
        <v>13</v>
      </c>
      <c r="B116" s="234"/>
      <c r="C116" s="234" t="s">
        <v>189</v>
      </c>
      <c r="D116" s="234" t="s">
        <v>357</v>
      </c>
      <c r="E116" s="243" t="str">
        <f>VLOOKUP(A116,Ausschreibung!$B$4:$I$35,4,FALSE)</f>
        <v>Junioren B U17</v>
      </c>
      <c r="F116" s="245" t="str">
        <f>VLOOKUP(A116,Ausschreibung!$B$4:$I$35,5,FALSE)</f>
        <v>Lgw. bis 67,5kg</v>
      </c>
      <c r="G116" s="243" t="str">
        <f>VLOOKUP(A116,Ausschreibung!$B$4:$I$35,6,FALSE)</f>
        <v>15-16</v>
      </c>
      <c r="H116" s="235">
        <v>2005</v>
      </c>
      <c r="I116" s="243" t="str">
        <f>VLOOKUP(A116,Ausschreibung!$B$4:$I$35,8,FALSE)</f>
        <v>1500 m</v>
      </c>
      <c r="J116" s="235" t="s">
        <v>361</v>
      </c>
      <c r="K116" s="235"/>
      <c r="L116" s="233">
        <f t="shared" si="1"/>
        <v>15</v>
      </c>
    </row>
    <row r="117" spans="1:12" x14ac:dyDescent="0.2">
      <c r="A117" s="238">
        <v>13</v>
      </c>
      <c r="B117" s="234"/>
      <c r="C117" s="234" t="s">
        <v>212</v>
      </c>
      <c r="D117" s="234" t="s">
        <v>236</v>
      </c>
      <c r="E117" s="243" t="str">
        <f>VLOOKUP(A117,Ausschreibung!$B$4:$I$35,4,FALSE)</f>
        <v>Junioren B U17</v>
      </c>
      <c r="F117" s="245" t="str">
        <f>VLOOKUP(A117,Ausschreibung!$B$4:$I$35,5,FALSE)</f>
        <v>Lgw. bis 67,5kg</v>
      </c>
      <c r="G117" s="243" t="str">
        <f>VLOOKUP(A117,Ausschreibung!$B$4:$I$35,6,FALSE)</f>
        <v>15-16</v>
      </c>
      <c r="H117" s="235">
        <v>2005</v>
      </c>
      <c r="I117" s="243" t="str">
        <f>VLOOKUP(A117,Ausschreibung!$B$4:$I$35,8,FALSE)</f>
        <v>1500 m</v>
      </c>
      <c r="J117" s="235" t="s">
        <v>241</v>
      </c>
      <c r="K117" s="235"/>
      <c r="L117" s="233">
        <f t="shared" si="1"/>
        <v>15</v>
      </c>
    </row>
    <row r="118" spans="1:12" x14ac:dyDescent="0.2">
      <c r="A118" s="238">
        <v>13</v>
      </c>
      <c r="B118" s="234"/>
      <c r="C118" s="234" t="s">
        <v>400</v>
      </c>
      <c r="D118" s="234" t="s">
        <v>330</v>
      </c>
      <c r="E118" s="243" t="str">
        <f>VLOOKUP(A118,Ausschreibung!$B$4:$I$35,4,FALSE)</f>
        <v>Junioren B U17</v>
      </c>
      <c r="F118" s="245" t="str">
        <f>VLOOKUP(A118,Ausschreibung!$B$4:$I$35,5,FALSE)</f>
        <v>Lgw. bis 67,5kg</v>
      </c>
      <c r="G118" s="243" t="str">
        <f>VLOOKUP(A118,Ausschreibung!$B$4:$I$35,6,FALSE)</f>
        <v>15-16</v>
      </c>
      <c r="H118" s="235">
        <v>2005</v>
      </c>
      <c r="I118" s="243" t="str">
        <f>VLOOKUP(A118,Ausschreibung!$B$4:$I$35,8,FALSE)</f>
        <v>1500 m</v>
      </c>
      <c r="J118" s="235" t="s">
        <v>387</v>
      </c>
      <c r="K118" s="235"/>
      <c r="L118" s="233">
        <f t="shared" si="1"/>
        <v>15</v>
      </c>
    </row>
    <row r="119" spans="1:12" x14ac:dyDescent="0.2">
      <c r="A119" s="238">
        <v>11</v>
      </c>
      <c r="B119" s="234"/>
      <c r="C119" s="234" t="s">
        <v>431</v>
      </c>
      <c r="D119" s="234" t="s">
        <v>423</v>
      </c>
      <c r="E119" s="243" t="str">
        <f>VLOOKUP(A119,Ausschreibung!$B$4:$I$35,4,FALSE)</f>
        <v>Juniorinnen B U17</v>
      </c>
      <c r="F119" s="245" t="str">
        <f>VLOOKUP(A119,Ausschreibung!$B$4:$I$35,5,FALSE)</f>
        <v>Lgw. bis 57,5kg</v>
      </c>
      <c r="G119" s="243" t="str">
        <f>VLOOKUP(A119,Ausschreibung!$B$4:$I$35,6,FALSE)</f>
        <v>15-16</v>
      </c>
      <c r="H119" s="235">
        <v>2005</v>
      </c>
      <c r="I119" s="243" t="str">
        <f>VLOOKUP(A119,Ausschreibung!$B$4:$I$35,8,FALSE)</f>
        <v>1500 m</v>
      </c>
      <c r="J119" s="235" t="s">
        <v>449</v>
      </c>
      <c r="K119" s="235"/>
      <c r="L119" s="233">
        <f t="shared" si="1"/>
        <v>15</v>
      </c>
    </row>
    <row r="120" spans="1:12" x14ac:dyDescent="0.2">
      <c r="A120" s="238">
        <v>14</v>
      </c>
      <c r="B120" s="234"/>
      <c r="C120" s="234" t="s">
        <v>370</v>
      </c>
      <c r="D120" s="234" t="s">
        <v>385</v>
      </c>
      <c r="E120" s="243" t="str">
        <f>VLOOKUP(A120,Ausschreibung!$B$4:$I$35,4,FALSE)</f>
        <v>Junioren B U17</v>
      </c>
      <c r="F120" s="245" t="str">
        <f>VLOOKUP(A120,Ausschreibung!$B$4:$I$35,5,FALSE)</f>
        <v>-</v>
      </c>
      <c r="G120" s="243" t="str">
        <f>VLOOKUP(A120,Ausschreibung!$B$4:$I$35,6,FALSE)</f>
        <v>15-16</v>
      </c>
      <c r="H120" s="235">
        <v>2005</v>
      </c>
      <c r="I120" s="243" t="str">
        <f>VLOOKUP(A120,Ausschreibung!$B$4:$I$35,8,FALSE)</f>
        <v>1500 m</v>
      </c>
      <c r="J120" s="235" t="s">
        <v>386</v>
      </c>
      <c r="K120" s="235"/>
      <c r="L120" s="233">
        <f t="shared" si="1"/>
        <v>15</v>
      </c>
    </row>
    <row r="121" spans="1:12" x14ac:dyDescent="0.2">
      <c r="A121" s="238">
        <v>13</v>
      </c>
      <c r="B121" s="234"/>
      <c r="C121" s="234" t="s">
        <v>213</v>
      </c>
      <c r="D121" s="234" t="s">
        <v>237</v>
      </c>
      <c r="E121" s="243" t="str">
        <f>VLOOKUP(A121,Ausschreibung!$B$4:$I$35,4,FALSE)</f>
        <v>Junioren B U17</v>
      </c>
      <c r="F121" s="245" t="str">
        <f>VLOOKUP(A121,Ausschreibung!$B$4:$I$35,5,FALSE)</f>
        <v>Lgw. bis 67,5kg</v>
      </c>
      <c r="G121" s="243" t="str">
        <f>VLOOKUP(A121,Ausschreibung!$B$4:$I$35,6,FALSE)</f>
        <v>15-16</v>
      </c>
      <c r="H121" s="235">
        <v>2005</v>
      </c>
      <c r="I121" s="243" t="str">
        <f>VLOOKUP(A121,Ausschreibung!$B$4:$I$35,8,FALSE)</f>
        <v>1500 m</v>
      </c>
      <c r="J121" s="235" t="s">
        <v>241</v>
      </c>
      <c r="K121" s="235"/>
      <c r="L121" s="233">
        <f t="shared" si="1"/>
        <v>15</v>
      </c>
    </row>
    <row r="122" spans="1:12" x14ac:dyDescent="0.2">
      <c r="A122" s="238">
        <v>13</v>
      </c>
      <c r="B122" s="234"/>
      <c r="C122" s="234" t="s">
        <v>198</v>
      </c>
      <c r="D122" s="234" t="s">
        <v>358</v>
      </c>
      <c r="E122" s="243" t="str">
        <f>VLOOKUP(A122,Ausschreibung!$B$4:$I$35,4,FALSE)</f>
        <v>Junioren B U17</v>
      </c>
      <c r="F122" s="245" t="str">
        <f>VLOOKUP(A122,Ausschreibung!$B$4:$I$35,5,FALSE)</f>
        <v>Lgw. bis 67,5kg</v>
      </c>
      <c r="G122" s="243" t="str">
        <f>VLOOKUP(A122,Ausschreibung!$B$4:$I$35,6,FALSE)</f>
        <v>15-16</v>
      </c>
      <c r="H122" s="235">
        <v>2005</v>
      </c>
      <c r="I122" s="243" t="str">
        <f>VLOOKUP(A122,Ausschreibung!$B$4:$I$35,8,FALSE)</f>
        <v>1500 m</v>
      </c>
      <c r="J122" s="235" t="s">
        <v>361</v>
      </c>
      <c r="K122" s="235"/>
      <c r="L122" s="233">
        <f t="shared" si="1"/>
        <v>15</v>
      </c>
    </row>
    <row r="123" spans="1:12" x14ac:dyDescent="0.2">
      <c r="A123" s="238">
        <v>10</v>
      </c>
      <c r="B123" s="234"/>
      <c r="C123" s="234" t="s">
        <v>394</v>
      </c>
      <c r="D123" s="234" t="s">
        <v>408</v>
      </c>
      <c r="E123" s="243" t="str">
        <f>VLOOKUP(A123,Ausschreibung!$B$4:$I$35,4,FALSE)</f>
        <v>Jungen U15</v>
      </c>
      <c r="F123" s="245" t="str">
        <f>VLOOKUP(A123,Ausschreibung!$B$4:$I$35,5,FALSE)</f>
        <v>-</v>
      </c>
      <c r="G123" s="243">
        <f>VLOOKUP(A123,Ausschreibung!$B$4:$I$35,6,FALSE)</f>
        <v>14</v>
      </c>
      <c r="H123" s="235">
        <v>2006</v>
      </c>
      <c r="I123" s="243" t="str">
        <f>VLOOKUP(A123,Ausschreibung!$B$4:$I$35,8,FALSE)</f>
        <v>1000 m</v>
      </c>
      <c r="J123" s="235" t="s">
        <v>387</v>
      </c>
      <c r="K123" s="235"/>
      <c r="L123" s="233">
        <f t="shared" si="1"/>
        <v>14</v>
      </c>
    </row>
    <row r="124" spans="1:12" x14ac:dyDescent="0.2">
      <c r="A124" s="238">
        <v>9</v>
      </c>
      <c r="B124" s="234"/>
      <c r="C124" s="234" t="s">
        <v>393</v>
      </c>
      <c r="D124" s="234" t="s">
        <v>407</v>
      </c>
      <c r="E124" s="243" t="str">
        <f>VLOOKUP(A124,Ausschreibung!$B$4:$I$35,4,FALSE)</f>
        <v>Jungen U15</v>
      </c>
      <c r="F124" s="245" t="str">
        <f>VLOOKUP(A124,Ausschreibung!$B$4:$I$35,5,FALSE)</f>
        <v>Lgw. bis 55 kg</v>
      </c>
      <c r="G124" s="243">
        <f>VLOOKUP(A124,Ausschreibung!$B$4:$I$35,6,FALSE)</f>
        <v>14</v>
      </c>
      <c r="H124" s="235">
        <v>2006</v>
      </c>
      <c r="I124" s="243" t="str">
        <f>VLOOKUP(A124,Ausschreibung!$B$4:$I$35,8,FALSE)</f>
        <v>1000 m</v>
      </c>
      <c r="J124" s="235" t="s">
        <v>387</v>
      </c>
      <c r="K124" s="235"/>
      <c r="L124" s="233">
        <f t="shared" si="1"/>
        <v>14</v>
      </c>
    </row>
    <row r="125" spans="1:12" x14ac:dyDescent="0.2">
      <c r="A125" s="238">
        <v>7</v>
      </c>
      <c r="B125" s="234"/>
      <c r="C125" s="234" t="s">
        <v>373</v>
      </c>
      <c r="D125" s="234" t="s">
        <v>380</v>
      </c>
      <c r="E125" s="243" t="str">
        <f>VLOOKUP(A125,Ausschreibung!$B$4:$I$35,4,FALSE)</f>
        <v>Mädchen U15</v>
      </c>
      <c r="F125" s="245" t="str">
        <f>VLOOKUP(A125,Ausschreibung!$B$4:$I$35,5,FALSE)</f>
        <v>Lgw. bis 52,5 kg</v>
      </c>
      <c r="G125" s="243">
        <f>VLOOKUP(A125,Ausschreibung!$B$4:$I$35,6,FALSE)</f>
        <v>14</v>
      </c>
      <c r="H125" s="235">
        <v>2006</v>
      </c>
      <c r="I125" s="243" t="str">
        <f>VLOOKUP(A125,Ausschreibung!$B$4:$I$35,8,FALSE)</f>
        <v>1000 m</v>
      </c>
      <c r="J125" s="235" t="s">
        <v>386</v>
      </c>
      <c r="K125" s="235"/>
      <c r="L125" s="233">
        <f t="shared" si="1"/>
        <v>14</v>
      </c>
    </row>
    <row r="126" spans="1:12" x14ac:dyDescent="0.2">
      <c r="A126" s="238">
        <v>8</v>
      </c>
      <c r="B126" s="234"/>
      <c r="C126" s="234" t="s">
        <v>198</v>
      </c>
      <c r="D126" s="234" t="s">
        <v>223</v>
      </c>
      <c r="E126" s="243" t="str">
        <f>VLOOKUP(A126,Ausschreibung!$B$4:$I$35,4,FALSE)</f>
        <v>Mädchen U15</v>
      </c>
      <c r="F126" s="245" t="str">
        <f>VLOOKUP(A126,Ausschreibung!$B$4:$I$35,5,FALSE)</f>
        <v>-</v>
      </c>
      <c r="G126" s="243">
        <f>VLOOKUP(A126,Ausschreibung!$B$4:$I$35,6,FALSE)</f>
        <v>14</v>
      </c>
      <c r="H126" s="235">
        <v>2006</v>
      </c>
      <c r="I126" s="243" t="str">
        <f>VLOOKUP(A126,Ausschreibung!$B$4:$I$35,8,FALSE)</f>
        <v>1000 m</v>
      </c>
      <c r="J126" s="235" t="s">
        <v>241</v>
      </c>
      <c r="K126" s="235"/>
      <c r="L126" s="233">
        <f t="shared" si="1"/>
        <v>14</v>
      </c>
    </row>
    <row r="127" spans="1:12" x14ac:dyDescent="0.2">
      <c r="A127" s="238">
        <v>8</v>
      </c>
      <c r="B127" s="234"/>
      <c r="C127" s="234" t="s">
        <v>179</v>
      </c>
      <c r="D127" s="234" t="s">
        <v>186</v>
      </c>
      <c r="E127" s="243" t="str">
        <f>VLOOKUP(A127,Ausschreibung!$B$4:$I$35,4,FALSE)</f>
        <v>Mädchen U15</v>
      </c>
      <c r="F127" s="245" t="str">
        <f>VLOOKUP(A127,Ausschreibung!$B$4:$I$35,5,FALSE)</f>
        <v>-</v>
      </c>
      <c r="G127" s="243">
        <f>VLOOKUP(A127,Ausschreibung!$B$4:$I$35,6,FALSE)</f>
        <v>14</v>
      </c>
      <c r="H127" s="235">
        <v>2006</v>
      </c>
      <c r="I127" s="243" t="str">
        <f>VLOOKUP(A127,Ausschreibung!$B$4:$I$35,8,FALSE)</f>
        <v>1000 m</v>
      </c>
      <c r="J127" s="235" t="s">
        <v>178</v>
      </c>
      <c r="K127" s="235"/>
      <c r="L127" s="233">
        <f t="shared" si="1"/>
        <v>14</v>
      </c>
    </row>
    <row r="128" spans="1:12" x14ac:dyDescent="0.2">
      <c r="A128" s="238">
        <v>9</v>
      </c>
      <c r="B128" s="234"/>
      <c r="C128" s="234" t="s">
        <v>282</v>
      </c>
      <c r="D128" s="234" t="s">
        <v>191</v>
      </c>
      <c r="E128" s="243" t="str">
        <f>VLOOKUP(A128,Ausschreibung!$B$4:$I$35,4,FALSE)</f>
        <v>Jungen U15</v>
      </c>
      <c r="F128" s="245" t="str">
        <f>VLOOKUP(A128,Ausschreibung!$B$4:$I$35,5,FALSE)</f>
        <v>Lgw. bis 55 kg</v>
      </c>
      <c r="G128" s="243">
        <f>VLOOKUP(A128,Ausschreibung!$B$4:$I$35,6,FALSE)</f>
        <v>14</v>
      </c>
      <c r="H128" s="235">
        <v>2006</v>
      </c>
      <c r="I128" s="243" t="str">
        <f>VLOOKUP(A128,Ausschreibung!$B$4:$I$35,8,FALSE)</f>
        <v>1000 m</v>
      </c>
      <c r="J128" s="235" t="s">
        <v>294</v>
      </c>
      <c r="K128" s="235"/>
      <c r="L128" s="233">
        <f t="shared" si="1"/>
        <v>14</v>
      </c>
    </row>
    <row r="129" spans="1:12" x14ac:dyDescent="0.2">
      <c r="A129" s="238">
        <v>10</v>
      </c>
      <c r="B129" s="234"/>
      <c r="C129" s="234" t="s">
        <v>283</v>
      </c>
      <c r="D129" s="234" t="s">
        <v>258</v>
      </c>
      <c r="E129" s="243" t="str">
        <f>VLOOKUP(A129,Ausschreibung!$B$4:$I$35,4,FALSE)</f>
        <v>Jungen U15</v>
      </c>
      <c r="F129" s="245" t="str">
        <f>VLOOKUP(A129,Ausschreibung!$B$4:$I$35,5,FALSE)</f>
        <v>-</v>
      </c>
      <c r="G129" s="243">
        <f>VLOOKUP(A129,Ausschreibung!$B$4:$I$35,6,FALSE)</f>
        <v>14</v>
      </c>
      <c r="H129" s="235">
        <v>2006</v>
      </c>
      <c r="I129" s="243" t="str">
        <f>VLOOKUP(A129,Ausschreibung!$B$4:$I$35,8,FALSE)</f>
        <v>1000 m</v>
      </c>
      <c r="J129" s="235" t="s">
        <v>294</v>
      </c>
      <c r="K129" s="235"/>
      <c r="L129" s="233">
        <f t="shared" si="1"/>
        <v>14</v>
      </c>
    </row>
    <row r="130" spans="1:12" x14ac:dyDescent="0.2">
      <c r="A130" s="238">
        <v>7</v>
      </c>
      <c r="B130" s="234"/>
      <c r="C130" s="234" t="s">
        <v>278</v>
      </c>
      <c r="D130" s="234" t="s">
        <v>239</v>
      </c>
      <c r="E130" s="243" t="str">
        <f>VLOOKUP(A130,Ausschreibung!$B$4:$I$35,4,FALSE)</f>
        <v>Mädchen U15</v>
      </c>
      <c r="F130" s="245" t="str">
        <f>VLOOKUP(A130,Ausschreibung!$B$4:$I$35,5,FALSE)</f>
        <v>Lgw. bis 52,5 kg</v>
      </c>
      <c r="G130" s="243">
        <f>VLOOKUP(A130,Ausschreibung!$B$4:$I$35,6,FALSE)</f>
        <v>14</v>
      </c>
      <c r="H130" s="235">
        <v>2006</v>
      </c>
      <c r="I130" s="243" t="str">
        <f>VLOOKUP(A130,Ausschreibung!$B$4:$I$35,8,FALSE)</f>
        <v>1000 m</v>
      </c>
      <c r="J130" s="235" t="s">
        <v>294</v>
      </c>
      <c r="K130" s="235"/>
      <c r="L130" s="233">
        <f t="shared" ref="L130:L193" si="2">2020-H130</f>
        <v>14</v>
      </c>
    </row>
    <row r="131" spans="1:12" x14ac:dyDescent="0.2">
      <c r="A131" s="238">
        <v>7</v>
      </c>
      <c r="B131" s="234"/>
      <c r="C131" s="234" t="s">
        <v>250</v>
      </c>
      <c r="D131" s="234" t="s">
        <v>260</v>
      </c>
      <c r="E131" s="243" t="str">
        <f>VLOOKUP(A131,Ausschreibung!$B$4:$I$35,4,FALSE)</f>
        <v>Mädchen U15</v>
      </c>
      <c r="F131" s="245" t="str">
        <f>VLOOKUP(A131,Ausschreibung!$B$4:$I$35,5,FALSE)</f>
        <v>Lgw. bis 52,5 kg</v>
      </c>
      <c r="G131" s="243">
        <f>VLOOKUP(A131,Ausschreibung!$B$4:$I$35,6,FALSE)</f>
        <v>14</v>
      </c>
      <c r="H131" s="235">
        <v>2006</v>
      </c>
      <c r="I131" s="243" t="str">
        <f>VLOOKUP(A131,Ausschreibung!$B$4:$I$35,8,FALSE)</f>
        <v>1000 m</v>
      </c>
      <c r="J131" s="235" t="s">
        <v>268</v>
      </c>
      <c r="K131" s="235"/>
      <c r="L131" s="233">
        <f t="shared" si="2"/>
        <v>14</v>
      </c>
    </row>
    <row r="132" spans="1:12" x14ac:dyDescent="0.2">
      <c r="A132" s="238">
        <v>8</v>
      </c>
      <c r="B132" s="234"/>
      <c r="C132" s="234" t="s">
        <v>253</v>
      </c>
      <c r="D132" s="234" t="s">
        <v>263</v>
      </c>
      <c r="E132" s="243" t="str">
        <f>VLOOKUP(A132,Ausschreibung!$B$4:$I$35,4,FALSE)</f>
        <v>Mädchen U15</v>
      </c>
      <c r="F132" s="245" t="str">
        <f>VLOOKUP(A132,Ausschreibung!$B$4:$I$35,5,FALSE)</f>
        <v>-</v>
      </c>
      <c r="G132" s="243">
        <f>VLOOKUP(A132,Ausschreibung!$B$4:$I$35,6,FALSE)</f>
        <v>14</v>
      </c>
      <c r="H132" s="235">
        <v>2006</v>
      </c>
      <c r="I132" s="243" t="str">
        <f>VLOOKUP(A132,Ausschreibung!$B$4:$I$35,8,FALSE)</f>
        <v>1000 m</v>
      </c>
      <c r="J132" s="235" t="s">
        <v>268</v>
      </c>
      <c r="K132" s="235"/>
      <c r="L132" s="233">
        <f t="shared" si="2"/>
        <v>14</v>
      </c>
    </row>
    <row r="133" spans="1:12" x14ac:dyDescent="0.2">
      <c r="A133" s="238">
        <v>8</v>
      </c>
      <c r="B133" s="234"/>
      <c r="C133" s="234" t="s">
        <v>254</v>
      </c>
      <c r="D133" s="234" t="s">
        <v>264</v>
      </c>
      <c r="E133" s="243" t="str">
        <f>VLOOKUP(A133,Ausschreibung!$B$4:$I$35,4,FALSE)</f>
        <v>Mädchen U15</v>
      </c>
      <c r="F133" s="245" t="str">
        <f>VLOOKUP(A133,Ausschreibung!$B$4:$I$35,5,FALSE)</f>
        <v>-</v>
      </c>
      <c r="G133" s="243">
        <f>VLOOKUP(A133,Ausschreibung!$B$4:$I$35,6,FALSE)</f>
        <v>14</v>
      </c>
      <c r="H133" s="235">
        <v>2006</v>
      </c>
      <c r="I133" s="243" t="str">
        <f>VLOOKUP(A133,Ausschreibung!$B$4:$I$35,8,FALSE)</f>
        <v>1000 m</v>
      </c>
      <c r="J133" s="235" t="s">
        <v>268</v>
      </c>
      <c r="K133" s="235"/>
      <c r="L133" s="233">
        <f t="shared" si="2"/>
        <v>14</v>
      </c>
    </row>
    <row r="134" spans="1:12" x14ac:dyDescent="0.2">
      <c r="A134" s="238">
        <v>8</v>
      </c>
      <c r="B134" s="234"/>
      <c r="C134" s="234" t="s">
        <v>306</v>
      </c>
      <c r="D134" s="234" t="s">
        <v>264</v>
      </c>
      <c r="E134" s="243" t="str">
        <f>VLOOKUP(A134,Ausschreibung!$B$4:$I$35,4,FALSE)</f>
        <v>Mädchen U15</v>
      </c>
      <c r="F134" s="245" t="str">
        <f>VLOOKUP(A134,Ausschreibung!$B$4:$I$35,5,FALSE)</f>
        <v>-</v>
      </c>
      <c r="G134" s="243">
        <f>VLOOKUP(A134,Ausschreibung!$B$4:$I$35,6,FALSE)</f>
        <v>14</v>
      </c>
      <c r="H134" s="235">
        <v>2006</v>
      </c>
      <c r="I134" s="243" t="str">
        <f>VLOOKUP(A134,Ausschreibung!$B$4:$I$35,8,FALSE)</f>
        <v>1000 m</v>
      </c>
      <c r="J134" s="235" t="s">
        <v>345</v>
      </c>
      <c r="K134" s="235"/>
      <c r="L134" s="233">
        <f t="shared" si="2"/>
        <v>14</v>
      </c>
    </row>
    <row r="135" spans="1:12" x14ac:dyDescent="0.2">
      <c r="A135" s="238">
        <v>7</v>
      </c>
      <c r="B135" s="234"/>
      <c r="C135" s="234" t="s">
        <v>251</v>
      </c>
      <c r="D135" s="234" t="s">
        <v>261</v>
      </c>
      <c r="E135" s="243" t="str">
        <f>VLOOKUP(A135,Ausschreibung!$B$4:$I$35,4,FALSE)</f>
        <v>Mädchen U15</v>
      </c>
      <c r="F135" s="245" t="str">
        <f>VLOOKUP(A135,Ausschreibung!$B$4:$I$35,5,FALSE)</f>
        <v>Lgw. bis 52,5 kg</v>
      </c>
      <c r="G135" s="243">
        <f>VLOOKUP(A135,Ausschreibung!$B$4:$I$35,6,FALSE)</f>
        <v>14</v>
      </c>
      <c r="H135" s="235">
        <v>2006</v>
      </c>
      <c r="I135" s="243" t="str">
        <f>VLOOKUP(A135,Ausschreibung!$B$4:$I$35,8,FALSE)</f>
        <v>1000 m</v>
      </c>
      <c r="J135" s="235" t="s">
        <v>268</v>
      </c>
      <c r="K135" s="235"/>
      <c r="L135" s="233">
        <f t="shared" si="2"/>
        <v>14</v>
      </c>
    </row>
    <row r="136" spans="1:12" x14ac:dyDescent="0.2">
      <c r="A136" s="238">
        <v>7</v>
      </c>
      <c r="B136" s="234"/>
      <c r="C136" s="234" t="s">
        <v>372</v>
      </c>
      <c r="D136" s="234" t="s">
        <v>379</v>
      </c>
      <c r="E136" s="243" t="str">
        <f>VLOOKUP(A136,Ausschreibung!$B$4:$I$35,4,FALSE)</f>
        <v>Mädchen U15</v>
      </c>
      <c r="F136" s="245" t="str">
        <f>VLOOKUP(A136,Ausschreibung!$B$4:$I$35,5,FALSE)</f>
        <v>Lgw. bis 52,5 kg</v>
      </c>
      <c r="G136" s="243">
        <f>VLOOKUP(A136,Ausschreibung!$B$4:$I$35,6,FALSE)</f>
        <v>14</v>
      </c>
      <c r="H136" s="235">
        <v>2006</v>
      </c>
      <c r="I136" s="243" t="str">
        <f>VLOOKUP(A136,Ausschreibung!$B$4:$I$35,8,FALSE)</f>
        <v>1000 m</v>
      </c>
      <c r="J136" s="235" t="s">
        <v>386</v>
      </c>
      <c r="K136" s="235"/>
      <c r="L136" s="233">
        <f t="shared" si="2"/>
        <v>14</v>
      </c>
    </row>
    <row r="137" spans="1:12" x14ac:dyDescent="0.2">
      <c r="A137" s="238">
        <v>10</v>
      </c>
      <c r="B137" s="234"/>
      <c r="C137" s="234" t="s">
        <v>375</v>
      </c>
      <c r="D137" s="234" t="s">
        <v>382</v>
      </c>
      <c r="E137" s="243" t="str">
        <f>VLOOKUP(A137,Ausschreibung!$B$4:$I$35,4,FALSE)</f>
        <v>Jungen U15</v>
      </c>
      <c r="F137" s="245" t="str">
        <f>VLOOKUP(A137,Ausschreibung!$B$4:$I$35,5,FALSE)</f>
        <v>-</v>
      </c>
      <c r="G137" s="243">
        <f>VLOOKUP(A137,Ausschreibung!$B$4:$I$35,6,FALSE)</f>
        <v>14</v>
      </c>
      <c r="H137" s="235">
        <v>2006</v>
      </c>
      <c r="I137" s="243" t="str">
        <f>VLOOKUP(A137,Ausschreibung!$B$4:$I$35,8,FALSE)</f>
        <v>1000 m</v>
      </c>
      <c r="J137" s="235" t="s">
        <v>386</v>
      </c>
      <c r="K137" s="235"/>
      <c r="L137" s="233">
        <f t="shared" si="2"/>
        <v>14</v>
      </c>
    </row>
    <row r="138" spans="1:12" x14ac:dyDescent="0.2">
      <c r="A138" s="238">
        <v>10</v>
      </c>
      <c r="B138" s="234"/>
      <c r="C138" s="234" t="s">
        <v>347</v>
      </c>
      <c r="D138" s="234" t="s">
        <v>354</v>
      </c>
      <c r="E138" s="243" t="str">
        <f>VLOOKUP(A138,Ausschreibung!$B$4:$I$35,4,FALSE)</f>
        <v>Jungen U15</v>
      </c>
      <c r="F138" s="245" t="str">
        <f>VLOOKUP(A138,Ausschreibung!$B$4:$I$35,5,FALSE)</f>
        <v>-</v>
      </c>
      <c r="G138" s="243">
        <f>VLOOKUP(A138,Ausschreibung!$B$4:$I$35,6,FALSE)</f>
        <v>14</v>
      </c>
      <c r="H138" s="235">
        <v>2006</v>
      </c>
      <c r="I138" s="243" t="str">
        <f>VLOOKUP(A138,Ausschreibung!$B$4:$I$35,8,FALSE)</f>
        <v>1000 m</v>
      </c>
      <c r="J138" s="235" t="s">
        <v>361</v>
      </c>
      <c r="K138" s="235"/>
      <c r="L138" s="233">
        <f t="shared" si="2"/>
        <v>14</v>
      </c>
    </row>
    <row r="139" spans="1:12" x14ac:dyDescent="0.2">
      <c r="A139" s="238">
        <v>7</v>
      </c>
      <c r="B139" s="234"/>
      <c r="C139" s="234" t="s">
        <v>196</v>
      </c>
      <c r="D139" s="234" t="s">
        <v>221</v>
      </c>
      <c r="E139" s="243" t="str">
        <f>VLOOKUP(A139,Ausschreibung!$B$4:$I$35,4,FALSE)</f>
        <v>Mädchen U15</v>
      </c>
      <c r="F139" s="245" t="str">
        <f>VLOOKUP(A139,Ausschreibung!$B$4:$I$35,5,FALSE)</f>
        <v>Lgw. bis 52,5 kg</v>
      </c>
      <c r="G139" s="243">
        <f>VLOOKUP(A139,Ausschreibung!$B$4:$I$35,6,FALSE)</f>
        <v>14</v>
      </c>
      <c r="H139" s="235">
        <v>2006</v>
      </c>
      <c r="I139" s="243" t="str">
        <f>VLOOKUP(A139,Ausschreibung!$B$4:$I$35,8,FALSE)</f>
        <v>1000 m</v>
      </c>
      <c r="J139" s="235" t="s">
        <v>241</v>
      </c>
      <c r="K139" s="235"/>
      <c r="L139" s="233">
        <f t="shared" si="2"/>
        <v>14</v>
      </c>
    </row>
    <row r="140" spans="1:12" x14ac:dyDescent="0.2">
      <c r="A140" s="238">
        <v>9</v>
      </c>
      <c r="B140" s="234"/>
      <c r="C140" s="234" t="s">
        <v>185</v>
      </c>
      <c r="D140" s="234" t="s">
        <v>192</v>
      </c>
      <c r="E140" s="243" t="str">
        <f>VLOOKUP(A140,Ausschreibung!$B$4:$I$35,4,FALSE)</f>
        <v>Jungen U15</v>
      </c>
      <c r="F140" s="245" t="str">
        <f>VLOOKUP(A140,Ausschreibung!$B$4:$I$35,5,FALSE)</f>
        <v>Lgw. bis 55 kg</v>
      </c>
      <c r="G140" s="243">
        <f>VLOOKUP(A140,Ausschreibung!$B$4:$I$35,6,FALSE)</f>
        <v>14</v>
      </c>
      <c r="H140" s="235">
        <v>2006</v>
      </c>
      <c r="I140" s="243" t="str">
        <f>VLOOKUP(A140,Ausschreibung!$B$4:$I$35,8,FALSE)</f>
        <v>1000 m</v>
      </c>
      <c r="J140" s="235" t="s">
        <v>178</v>
      </c>
      <c r="K140" s="235"/>
      <c r="L140" s="233">
        <f t="shared" si="2"/>
        <v>14</v>
      </c>
    </row>
    <row r="141" spans="1:12" x14ac:dyDescent="0.2">
      <c r="A141" s="238">
        <v>10</v>
      </c>
      <c r="B141" s="234"/>
      <c r="C141" s="234" t="s">
        <v>202</v>
      </c>
      <c r="D141" s="234" t="s">
        <v>225</v>
      </c>
      <c r="E141" s="243" t="str">
        <f>VLOOKUP(A141,Ausschreibung!$B$4:$I$35,4,FALSE)</f>
        <v>Jungen U15</v>
      </c>
      <c r="F141" s="245" t="str">
        <f>VLOOKUP(A141,Ausschreibung!$B$4:$I$35,5,FALSE)</f>
        <v>-</v>
      </c>
      <c r="G141" s="243">
        <f>VLOOKUP(A141,Ausschreibung!$B$4:$I$35,6,FALSE)</f>
        <v>14</v>
      </c>
      <c r="H141" s="235">
        <v>2006</v>
      </c>
      <c r="I141" s="243" t="str">
        <f>VLOOKUP(A141,Ausschreibung!$B$4:$I$35,8,FALSE)</f>
        <v>1000 m</v>
      </c>
      <c r="J141" s="235" t="s">
        <v>241</v>
      </c>
      <c r="K141" s="235"/>
      <c r="L141" s="233">
        <f t="shared" si="2"/>
        <v>14</v>
      </c>
    </row>
    <row r="142" spans="1:12" x14ac:dyDescent="0.2">
      <c r="A142" s="238">
        <v>8</v>
      </c>
      <c r="B142" s="234"/>
      <c r="C142" s="234" t="s">
        <v>252</v>
      </c>
      <c r="D142" s="234" t="s">
        <v>262</v>
      </c>
      <c r="E142" s="243" t="str">
        <f>VLOOKUP(A142,Ausschreibung!$B$4:$I$35,4,FALSE)</f>
        <v>Mädchen U15</v>
      </c>
      <c r="F142" s="245" t="str">
        <f>VLOOKUP(A142,Ausschreibung!$B$4:$I$35,5,FALSE)</f>
        <v>-</v>
      </c>
      <c r="G142" s="243">
        <f>VLOOKUP(A142,Ausschreibung!$B$4:$I$35,6,FALSE)</f>
        <v>14</v>
      </c>
      <c r="H142" s="235">
        <v>2006</v>
      </c>
      <c r="I142" s="243" t="str">
        <f>VLOOKUP(A142,Ausschreibung!$B$4:$I$35,8,FALSE)</f>
        <v>1000 m</v>
      </c>
      <c r="J142" s="235" t="s">
        <v>268</v>
      </c>
      <c r="K142" s="235"/>
      <c r="L142" s="233">
        <f t="shared" si="2"/>
        <v>14</v>
      </c>
    </row>
    <row r="143" spans="1:12" x14ac:dyDescent="0.2">
      <c r="A143" s="238">
        <v>9</v>
      </c>
      <c r="B143" s="234"/>
      <c r="C143" s="234" t="s">
        <v>201</v>
      </c>
      <c r="D143" s="234" t="s">
        <v>224</v>
      </c>
      <c r="E143" s="243" t="str">
        <f>VLOOKUP(A143,Ausschreibung!$B$4:$I$35,4,FALSE)</f>
        <v>Jungen U15</v>
      </c>
      <c r="F143" s="245" t="str">
        <f>VLOOKUP(A143,Ausschreibung!$B$4:$I$35,5,FALSE)</f>
        <v>Lgw. bis 55 kg</v>
      </c>
      <c r="G143" s="243">
        <f>VLOOKUP(A143,Ausschreibung!$B$4:$I$35,6,FALSE)</f>
        <v>14</v>
      </c>
      <c r="H143" s="235">
        <v>2006</v>
      </c>
      <c r="I143" s="243" t="str">
        <f>VLOOKUP(A143,Ausschreibung!$B$4:$I$35,8,FALSE)</f>
        <v>1000 m</v>
      </c>
      <c r="J143" s="235" t="s">
        <v>241</v>
      </c>
      <c r="K143" s="235"/>
      <c r="L143" s="233">
        <f t="shared" si="2"/>
        <v>14</v>
      </c>
    </row>
    <row r="144" spans="1:12" x14ac:dyDescent="0.2">
      <c r="A144" s="238">
        <v>8</v>
      </c>
      <c r="B144" s="234"/>
      <c r="C144" s="234" t="s">
        <v>197</v>
      </c>
      <c r="D144" s="234" t="s">
        <v>222</v>
      </c>
      <c r="E144" s="243" t="str">
        <f>VLOOKUP(A144,Ausschreibung!$B$4:$I$35,4,FALSE)</f>
        <v>Mädchen U15</v>
      </c>
      <c r="F144" s="245" t="str">
        <f>VLOOKUP(A144,Ausschreibung!$B$4:$I$35,5,FALSE)</f>
        <v>-</v>
      </c>
      <c r="G144" s="243">
        <f>VLOOKUP(A144,Ausschreibung!$B$4:$I$35,6,FALSE)</f>
        <v>14</v>
      </c>
      <c r="H144" s="235">
        <v>2006</v>
      </c>
      <c r="I144" s="243" t="str">
        <f>VLOOKUP(A144,Ausschreibung!$B$4:$I$35,8,FALSE)</f>
        <v>1000 m</v>
      </c>
      <c r="J144" s="235" t="s">
        <v>241</v>
      </c>
      <c r="K144" s="235"/>
      <c r="L144" s="233">
        <f t="shared" si="2"/>
        <v>14</v>
      </c>
    </row>
    <row r="145" spans="1:12" x14ac:dyDescent="0.2">
      <c r="A145" s="238">
        <v>7</v>
      </c>
      <c r="B145" s="234"/>
      <c r="C145" s="234" t="s">
        <v>371</v>
      </c>
      <c r="D145" s="234" t="s">
        <v>134</v>
      </c>
      <c r="E145" s="243" t="str">
        <f>VLOOKUP(A145,Ausschreibung!$B$4:$I$35,4,FALSE)</f>
        <v>Mädchen U15</v>
      </c>
      <c r="F145" s="245" t="str">
        <f>VLOOKUP(A145,Ausschreibung!$B$4:$I$35,5,FALSE)</f>
        <v>Lgw. bis 52,5 kg</v>
      </c>
      <c r="G145" s="243">
        <f>VLOOKUP(A145,Ausschreibung!$B$4:$I$35,6,FALSE)</f>
        <v>14</v>
      </c>
      <c r="H145" s="235">
        <v>2006</v>
      </c>
      <c r="I145" s="243" t="str">
        <f>VLOOKUP(A145,Ausschreibung!$B$4:$I$35,8,FALSE)</f>
        <v>1000 m</v>
      </c>
      <c r="J145" s="235" t="s">
        <v>386</v>
      </c>
      <c r="K145" s="235"/>
      <c r="L145" s="233">
        <f t="shared" si="2"/>
        <v>14</v>
      </c>
    </row>
    <row r="146" spans="1:12" x14ac:dyDescent="0.2">
      <c r="A146" s="238">
        <v>8</v>
      </c>
      <c r="B146" s="234"/>
      <c r="C146" s="234" t="s">
        <v>374</v>
      </c>
      <c r="D146" s="234" t="s">
        <v>381</v>
      </c>
      <c r="E146" s="243" t="str">
        <f>VLOOKUP(A146,Ausschreibung!$B$4:$I$35,4,FALSE)</f>
        <v>Mädchen U15</v>
      </c>
      <c r="F146" s="245" t="str">
        <f>VLOOKUP(A146,Ausschreibung!$B$4:$I$35,5,FALSE)</f>
        <v>-</v>
      </c>
      <c r="G146" s="243">
        <f>VLOOKUP(A146,Ausschreibung!$B$4:$I$35,6,FALSE)</f>
        <v>14</v>
      </c>
      <c r="H146" s="235">
        <v>2006</v>
      </c>
      <c r="I146" s="243" t="str">
        <f>VLOOKUP(A146,Ausschreibung!$B$4:$I$35,8,FALSE)</f>
        <v>1000 m</v>
      </c>
      <c r="J146" s="235" t="s">
        <v>386</v>
      </c>
      <c r="K146" s="235"/>
      <c r="L146" s="233">
        <f t="shared" si="2"/>
        <v>14</v>
      </c>
    </row>
    <row r="147" spans="1:12" x14ac:dyDescent="0.2">
      <c r="A147" s="238">
        <v>9</v>
      </c>
      <c r="B147" s="234"/>
      <c r="C147" s="234" t="s">
        <v>280</v>
      </c>
      <c r="D147" s="234" t="s">
        <v>226</v>
      </c>
      <c r="E147" s="243" t="str">
        <f>VLOOKUP(A147,Ausschreibung!$B$4:$I$35,4,FALSE)</f>
        <v>Jungen U15</v>
      </c>
      <c r="F147" s="245" t="str">
        <f>VLOOKUP(A147,Ausschreibung!$B$4:$I$35,5,FALSE)</f>
        <v>Lgw. bis 55 kg</v>
      </c>
      <c r="G147" s="243">
        <f>VLOOKUP(A147,Ausschreibung!$B$4:$I$35,6,FALSE)</f>
        <v>14</v>
      </c>
      <c r="H147" s="235">
        <v>2006</v>
      </c>
      <c r="I147" s="243" t="str">
        <f>VLOOKUP(A147,Ausschreibung!$B$4:$I$35,8,FALSE)</f>
        <v>1000 m</v>
      </c>
      <c r="J147" s="235" t="s">
        <v>294</v>
      </c>
      <c r="K147" s="235"/>
      <c r="L147" s="233">
        <f t="shared" si="2"/>
        <v>14</v>
      </c>
    </row>
    <row r="148" spans="1:12" x14ac:dyDescent="0.2">
      <c r="A148" s="238">
        <v>9</v>
      </c>
      <c r="B148" s="234"/>
      <c r="C148" s="234" t="s">
        <v>281</v>
      </c>
      <c r="D148" s="234" t="s">
        <v>226</v>
      </c>
      <c r="E148" s="243" t="str">
        <f>VLOOKUP(A148,Ausschreibung!$B$4:$I$35,4,FALSE)</f>
        <v>Jungen U15</v>
      </c>
      <c r="F148" s="245" t="str">
        <f>VLOOKUP(A148,Ausschreibung!$B$4:$I$35,5,FALSE)</f>
        <v>Lgw. bis 55 kg</v>
      </c>
      <c r="G148" s="243">
        <f>VLOOKUP(A148,Ausschreibung!$B$4:$I$35,6,FALSE)</f>
        <v>14</v>
      </c>
      <c r="H148" s="235">
        <v>2006</v>
      </c>
      <c r="I148" s="243" t="str">
        <f>VLOOKUP(A148,Ausschreibung!$B$4:$I$35,8,FALSE)</f>
        <v>1000 m</v>
      </c>
      <c r="J148" s="235" t="s">
        <v>294</v>
      </c>
      <c r="K148" s="235"/>
      <c r="L148" s="233">
        <f t="shared" si="2"/>
        <v>14</v>
      </c>
    </row>
    <row r="149" spans="1:12" x14ac:dyDescent="0.2">
      <c r="A149" s="238">
        <v>10</v>
      </c>
      <c r="B149" s="234"/>
      <c r="C149" s="234" t="s">
        <v>203</v>
      </c>
      <c r="D149" s="234" t="s">
        <v>226</v>
      </c>
      <c r="E149" s="243" t="str">
        <f>VLOOKUP(A149,Ausschreibung!$B$4:$I$35,4,FALSE)</f>
        <v>Jungen U15</v>
      </c>
      <c r="F149" s="245" t="str">
        <f>VLOOKUP(A149,Ausschreibung!$B$4:$I$35,5,FALSE)</f>
        <v>-</v>
      </c>
      <c r="G149" s="243">
        <f>VLOOKUP(A149,Ausschreibung!$B$4:$I$35,6,FALSE)</f>
        <v>14</v>
      </c>
      <c r="H149" s="235">
        <v>2006</v>
      </c>
      <c r="I149" s="243" t="str">
        <f>VLOOKUP(A149,Ausschreibung!$B$4:$I$35,8,FALSE)</f>
        <v>1000 m</v>
      </c>
      <c r="J149" s="235" t="s">
        <v>241</v>
      </c>
      <c r="K149" s="235"/>
      <c r="L149" s="233">
        <f t="shared" si="2"/>
        <v>14</v>
      </c>
    </row>
    <row r="150" spans="1:12" x14ac:dyDescent="0.2">
      <c r="A150" s="238">
        <v>9</v>
      </c>
      <c r="B150" s="234"/>
      <c r="C150" s="234" t="s">
        <v>180</v>
      </c>
      <c r="D150" s="234" t="s">
        <v>187</v>
      </c>
      <c r="E150" s="243" t="str">
        <f>VLOOKUP(A150,Ausschreibung!$B$4:$I$35,4,FALSE)</f>
        <v>Jungen U15</v>
      </c>
      <c r="F150" s="245" t="str">
        <f>VLOOKUP(A150,Ausschreibung!$B$4:$I$35,5,FALSE)</f>
        <v>Lgw. bis 55 kg</v>
      </c>
      <c r="G150" s="243">
        <f>VLOOKUP(A150,Ausschreibung!$B$4:$I$35,6,FALSE)</f>
        <v>14</v>
      </c>
      <c r="H150" s="235">
        <v>2006</v>
      </c>
      <c r="I150" s="243" t="str">
        <f>VLOOKUP(A150,Ausschreibung!$B$4:$I$35,8,FALSE)</f>
        <v>1000 m</v>
      </c>
      <c r="J150" s="235" t="s">
        <v>178</v>
      </c>
      <c r="K150" s="235"/>
      <c r="L150" s="233">
        <f t="shared" si="2"/>
        <v>14</v>
      </c>
    </row>
    <row r="151" spans="1:12" x14ac:dyDescent="0.2">
      <c r="A151" s="238">
        <v>8</v>
      </c>
      <c r="B151" s="234"/>
      <c r="C151" s="234" t="s">
        <v>279</v>
      </c>
      <c r="D151" s="234" t="s">
        <v>292</v>
      </c>
      <c r="E151" s="243" t="str">
        <f>VLOOKUP(A151,Ausschreibung!$B$4:$I$35,4,FALSE)</f>
        <v>Mädchen U15</v>
      </c>
      <c r="F151" s="245" t="str">
        <f>VLOOKUP(A151,Ausschreibung!$B$4:$I$35,5,FALSE)</f>
        <v>-</v>
      </c>
      <c r="G151" s="243">
        <f>VLOOKUP(A151,Ausschreibung!$B$4:$I$35,6,FALSE)</f>
        <v>14</v>
      </c>
      <c r="H151" s="235">
        <v>2006</v>
      </c>
      <c r="I151" s="243" t="str">
        <f>VLOOKUP(A151,Ausschreibung!$B$4:$I$35,8,FALSE)</f>
        <v>1000 m</v>
      </c>
      <c r="J151" s="235" t="s">
        <v>294</v>
      </c>
      <c r="K151" s="235"/>
      <c r="L151" s="233">
        <f t="shared" si="2"/>
        <v>14</v>
      </c>
    </row>
    <row r="152" spans="1:12" x14ac:dyDescent="0.2">
      <c r="A152" s="238">
        <v>8</v>
      </c>
      <c r="B152" s="234"/>
      <c r="C152" s="234" t="s">
        <v>255</v>
      </c>
      <c r="D152" s="234" t="s">
        <v>265</v>
      </c>
      <c r="E152" s="243" t="str">
        <f>VLOOKUP(A152,Ausschreibung!$B$4:$I$35,4,FALSE)</f>
        <v>Mädchen U15</v>
      </c>
      <c r="F152" s="245" t="str">
        <f>VLOOKUP(A152,Ausschreibung!$B$4:$I$35,5,FALSE)</f>
        <v>-</v>
      </c>
      <c r="G152" s="243">
        <f>VLOOKUP(A152,Ausschreibung!$B$4:$I$35,6,FALSE)</f>
        <v>14</v>
      </c>
      <c r="H152" s="235">
        <v>2006</v>
      </c>
      <c r="I152" s="243" t="str">
        <f>VLOOKUP(A152,Ausschreibung!$B$4:$I$35,8,FALSE)</f>
        <v>1000 m</v>
      </c>
      <c r="J152" s="235" t="s">
        <v>268</v>
      </c>
      <c r="K152" s="235"/>
      <c r="L152" s="233">
        <f t="shared" si="2"/>
        <v>14</v>
      </c>
    </row>
    <row r="153" spans="1:12" x14ac:dyDescent="0.2">
      <c r="A153" s="238">
        <v>10</v>
      </c>
      <c r="B153" s="234"/>
      <c r="C153" s="234" t="s">
        <v>395</v>
      </c>
      <c r="D153" s="234" t="s">
        <v>409</v>
      </c>
      <c r="E153" s="243" t="str">
        <f>VLOOKUP(A153,Ausschreibung!$B$4:$I$35,4,FALSE)</f>
        <v>Jungen U15</v>
      </c>
      <c r="F153" s="245" t="str">
        <f>VLOOKUP(A153,Ausschreibung!$B$4:$I$35,5,FALSE)</f>
        <v>-</v>
      </c>
      <c r="G153" s="243">
        <f>VLOOKUP(A153,Ausschreibung!$B$4:$I$35,6,FALSE)</f>
        <v>14</v>
      </c>
      <c r="H153" s="235">
        <v>2006</v>
      </c>
      <c r="I153" s="243" t="str">
        <f>VLOOKUP(A153,Ausschreibung!$B$4:$I$35,8,FALSE)</f>
        <v>1000 m</v>
      </c>
      <c r="J153" s="235" t="s">
        <v>387</v>
      </c>
      <c r="K153" s="235"/>
      <c r="L153" s="233">
        <f t="shared" si="2"/>
        <v>14</v>
      </c>
    </row>
    <row r="154" spans="1:12" x14ac:dyDescent="0.2">
      <c r="A154" s="238">
        <v>9</v>
      </c>
      <c r="B154" s="234"/>
      <c r="C154" s="234" t="s">
        <v>438</v>
      </c>
      <c r="D154" s="234" t="s">
        <v>339</v>
      </c>
      <c r="E154" s="243" t="str">
        <f>VLOOKUP(A154,Ausschreibung!$B$4:$I$35,4,FALSE)</f>
        <v>Jungen U15</v>
      </c>
      <c r="F154" s="245" t="str">
        <f>VLOOKUP(A154,Ausschreibung!$B$4:$I$35,5,FALSE)</f>
        <v>Lgw. bis 55 kg</v>
      </c>
      <c r="G154" s="243">
        <f>VLOOKUP(A154,Ausschreibung!$B$4:$I$35,6,FALSE)</f>
        <v>14</v>
      </c>
      <c r="H154" s="235">
        <v>2006</v>
      </c>
      <c r="I154" s="243" t="str">
        <f>VLOOKUP(A154,Ausschreibung!$B$4:$I$35,8,FALSE)</f>
        <v>1000 m</v>
      </c>
      <c r="J154" s="235" t="s">
        <v>449</v>
      </c>
      <c r="K154" s="235"/>
      <c r="L154" s="233">
        <f t="shared" si="2"/>
        <v>14</v>
      </c>
    </row>
    <row r="155" spans="1:12" x14ac:dyDescent="0.2">
      <c r="A155" s="238">
        <v>9</v>
      </c>
      <c r="B155" s="234"/>
      <c r="C155" s="234" t="s">
        <v>199</v>
      </c>
      <c r="D155" s="234" t="s">
        <v>170</v>
      </c>
      <c r="E155" s="243" t="str">
        <f>VLOOKUP(A155,Ausschreibung!$B$4:$I$35,4,FALSE)</f>
        <v>Jungen U15</v>
      </c>
      <c r="F155" s="245" t="str">
        <f>VLOOKUP(A155,Ausschreibung!$B$4:$I$35,5,FALSE)</f>
        <v>Lgw. bis 55 kg</v>
      </c>
      <c r="G155" s="243">
        <f>VLOOKUP(A155,Ausschreibung!$B$4:$I$35,6,FALSE)</f>
        <v>14</v>
      </c>
      <c r="H155" s="235">
        <v>2006</v>
      </c>
      <c r="I155" s="243" t="str">
        <f>VLOOKUP(A155,Ausschreibung!$B$4:$I$35,8,FALSE)</f>
        <v>1000 m</v>
      </c>
      <c r="J155" s="235" t="s">
        <v>241</v>
      </c>
      <c r="K155" s="235"/>
      <c r="L155" s="233">
        <f t="shared" si="2"/>
        <v>14</v>
      </c>
    </row>
    <row r="156" spans="1:12" x14ac:dyDescent="0.2">
      <c r="A156" s="238">
        <v>10</v>
      </c>
      <c r="B156" s="234"/>
      <c r="C156" s="234" t="s">
        <v>256</v>
      </c>
      <c r="D156" s="234" t="s">
        <v>266</v>
      </c>
      <c r="E156" s="243" t="str">
        <f>VLOOKUP(A156,Ausschreibung!$B$4:$I$35,4,FALSE)</f>
        <v>Jungen U15</v>
      </c>
      <c r="F156" s="245" t="str">
        <f>VLOOKUP(A156,Ausschreibung!$B$4:$I$35,5,FALSE)</f>
        <v>-</v>
      </c>
      <c r="G156" s="243">
        <f>VLOOKUP(A156,Ausschreibung!$B$4:$I$35,6,FALSE)</f>
        <v>14</v>
      </c>
      <c r="H156" s="235">
        <v>2006</v>
      </c>
      <c r="I156" s="243" t="str">
        <f>VLOOKUP(A156,Ausschreibung!$B$4:$I$35,8,FALSE)</f>
        <v>1000 m</v>
      </c>
      <c r="J156" s="235" t="s">
        <v>268</v>
      </c>
      <c r="K156" s="235"/>
      <c r="L156" s="233">
        <f t="shared" si="2"/>
        <v>14</v>
      </c>
    </row>
    <row r="157" spans="1:12" x14ac:dyDescent="0.2">
      <c r="A157" s="238">
        <v>9</v>
      </c>
      <c r="B157" s="234"/>
      <c r="C157" s="234" t="s">
        <v>200</v>
      </c>
      <c r="D157" s="234" t="s">
        <v>189</v>
      </c>
      <c r="E157" s="243" t="str">
        <f>VLOOKUP(A157,Ausschreibung!$B$4:$I$35,4,FALSE)</f>
        <v>Jungen U15</v>
      </c>
      <c r="F157" s="245" t="str">
        <f>VLOOKUP(A157,Ausschreibung!$B$4:$I$35,5,FALSE)</f>
        <v>Lgw. bis 55 kg</v>
      </c>
      <c r="G157" s="243">
        <f>VLOOKUP(A157,Ausschreibung!$B$4:$I$35,6,FALSE)</f>
        <v>14</v>
      </c>
      <c r="H157" s="235">
        <v>2006</v>
      </c>
      <c r="I157" s="243" t="str">
        <f>VLOOKUP(A157,Ausschreibung!$B$4:$I$35,8,FALSE)</f>
        <v>1000 m</v>
      </c>
      <c r="J157" s="235" t="s">
        <v>241</v>
      </c>
      <c r="K157" s="235"/>
      <c r="L157" s="233">
        <f t="shared" si="2"/>
        <v>14</v>
      </c>
    </row>
    <row r="158" spans="1:12" x14ac:dyDescent="0.2">
      <c r="A158" s="238">
        <v>10</v>
      </c>
      <c r="B158" s="234"/>
      <c r="C158" s="234" t="s">
        <v>307</v>
      </c>
      <c r="D158" s="234" t="s">
        <v>293</v>
      </c>
      <c r="E158" s="243" t="str">
        <f>VLOOKUP(A158,Ausschreibung!$B$4:$I$35,4,FALSE)</f>
        <v>Jungen U15</v>
      </c>
      <c r="F158" s="245" t="str">
        <f>VLOOKUP(A158,Ausschreibung!$B$4:$I$35,5,FALSE)</f>
        <v>-</v>
      </c>
      <c r="G158" s="243">
        <f>VLOOKUP(A158,Ausschreibung!$B$4:$I$35,6,FALSE)</f>
        <v>14</v>
      </c>
      <c r="H158" s="235">
        <v>2006</v>
      </c>
      <c r="I158" s="243" t="str">
        <f>VLOOKUP(A158,Ausschreibung!$B$4:$I$35,8,FALSE)</f>
        <v>1000 m</v>
      </c>
      <c r="J158" s="235" t="s">
        <v>345</v>
      </c>
      <c r="K158" s="235"/>
      <c r="L158" s="233">
        <f t="shared" si="2"/>
        <v>14</v>
      </c>
    </row>
    <row r="159" spans="1:12" x14ac:dyDescent="0.2">
      <c r="A159" s="238">
        <v>10</v>
      </c>
      <c r="B159" s="234"/>
      <c r="C159" s="234" t="s">
        <v>284</v>
      </c>
      <c r="D159" s="234" t="s">
        <v>293</v>
      </c>
      <c r="E159" s="243" t="str">
        <f>VLOOKUP(A159,Ausschreibung!$B$4:$I$35,4,FALSE)</f>
        <v>Jungen U15</v>
      </c>
      <c r="F159" s="245" t="str">
        <f>VLOOKUP(A159,Ausschreibung!$B$4:$I$35,5,FALSE)</f>
        <v>-</v>
      </c>
      <c r="G159" s="243">
        <f>VLOOKUP(A159,Ausschreibung!$B$4:$I$35,6,FALSE)</f>
        <v>14</v>
      </c>
      <c r="H159" s="235">
        <v>2006</v>
      </c>
      <c r="I159" s="243" t="str">
        <f>VLOOKUP(A159,Ausschreibung!$B$4:$I$35,8,FALSE)</f>
        <v>1000 m</v>
      </c>
      <c r="J159" s="235" t="s">
        <v>294</v>
      </c>
      <c r="K159" s="235"/>
      <c r="L159" s="233">
        <f t="shared" si="2"/>
        <v>14</v>
      </c>
    </row>
    <row r="160" spans="1:12" x14ac:dyDescent="0.2">
      <c r="A160" s="238">
        <v>10</v>
      </c>
      <c r="B160" s="234"/>
      <c r="C160" s="234" t="s">
        <v>181</v>
      </c>
      <c r="D160" s="234" t="s">
        <v>188</v>
      </c>
      <c r="E160" s="243" t="str">
        <f>VLOOKUP(A160,Ausschreibung!$B$4:$I$35,4,FALSE)</f>
        <v>Jungen U15</v>
      </c>
      <c r="F160" s="245" t="str">
        <f>VLOOKUP(A160,Ausschreibung!$B$4:$I$35,5,FALSE)</f>
        <v>-</v>
      </c>
      <c r="G160" s="243">
        <f>VLOOKUP(A160,Ausschreibung!$B$4:$I$35,6,FALSE)</f>
        <v>14</v>
      </c>
      <c r="H160" s="235">
        <v>2006</v>
      </c>
      <c r="I160" s="243" t="str">
        <f>VLOOKUP(A160,Ausschreibung!$B$4:$I$35,8,FALSE)</f>
        <v>1000 m</v>
      </c>
      <c r="J160" s="235" t="s">
        <v>178</v>
      </c>
      <c r="K160" s="235"/>
      <c r="L160" s="233">
        <f t="shared" si="2"/>
        <v>14</v>
      </c>
    </row>
    <row r="161" spans="1:12" x14ac:dyDescent="0.2">
      <c r="A161" s="238">
        <v>4</v>
      </c>
      <c r="B161" s="234"/>
      <c r="C161" s="234" t="s">
        <v>304</v>
      </c>
      <c r="D161" s="234" t="s">
        <v>329</v>
      </c>
      <c r="E161" s="243" t="str">
        <f>VLOOKUP(A161,Ausschreibung!$B$4:$I$35,4,FALSE)</f>
        <v>Jungen U14</v>
      </c>
      <c r="F161" s="245" t="str">
        <f>VLOOKUP(A161,Ausschreibung!$B$4:$I$35,5,FALSE)</f>
        <v>-</v>
      </c>
      <c r="G161" s="243" t="str">
        <f>VLOOKUP(A161,Ausschreibung!$B$4:$I$35,6,FALSE)</f>
        <v>13 und jünger</v>
      </c>
      <c r="H161" s="235">
        <v>2007</v>
      </c>
      <c r="I161" s="243" t="str">
        <f>VLOOKUP(A161,Ausschreibung!$B$4:$I$35,8,FALSE)</f>
        <v>1000 m</v>
      </c>
      <c r="J161" s="235" t="s">
        <v>345</v>
      </c>
      <c r="K161" s="235"/>
      <c r="L161" s="233">
        <f t="shared" si="2"/>
        <v>13</v>
      </c>
    </row>
    <row r="162" spans="1:12" x14ac:dyDescent="0.2">
      <c r="A162" s="238">
        <v>5</v>
      </c>
      <c r="B162" s="234"/>
      <c r="C162" s="234" t="s">
        <v>182</v>
      </c>
      <c r="D162" s="234" t="s">
        <v>220</v>
      </c>
      <c r="E162" s="243" t="str">
        <f>VLOOKUP(A162,Ausschreibung!$B$4:$I$35,4,FALSE)</f>
        <v>Mädchen U14</v>
      </c>
      <c r="F162" s="245" t="str">
        <f>VLOOKUP(A162,Ausschreibung!$B$4:$I$35,5,FALSE)</f>
        <v>Lgw. bis 50 kg</v>
      </c>
      <c r="G162" s="243" t="str">
        <f>VLOOKUP(A162,Ausschreibung!$B$4:$I$35,6,FALSE)</f>
        <v>13 und jünger</v>
      </c>
      <c r="H162" s="235">
        <v>2007</v>
      </c>
      <c r="I162" s="243" t="str">
        <f>VLOOKUP(A162,Ausschreibung!$B$4:$I$35,8,FALSE)</f>
        <v>1000 m</v>
      </c>
      <c r="J162" s="235" t="s">
        <v>241</v>
      </c>
      <c r="K162" s="235"/>
      <c r="L162" s="233">
        <f t="shared" si="2"/>
        <v>13</v>
      </c>
    </row>
    <row r="163" spans="1:12" x14ac:dyDescent="0.2">
      <c r="A163" s="238">
        <v>3</v>
      </c>
      <c r="B163" s="234"/>
      <c r="C163" s="234" t="s">
        <v>184</v>
      </c>
      <c r="D163" s="234" t="s">
        <v>191</v>
      </c>
      <c r="E163" s="243" t="str">
        <f>VLOOKUP(A163,Ausschreibung!$B$4:$I$35,4,FALSE)</f>
        <v>Jungen U14</v>
      </c>
      <c r="F163" s="245" t="str">
        <f>VLOOKUP(A163,Ausschreibung!$B$4:$I$35,5,FALSE)</f>
        <v>Lgw. bis 50 kg</v>
      </c>
      <c r="G163" s="243" t="str">
        <f>VLOOKUP(A163,Ausschreibung!$B$4:$I$35,6,FALSE)</f>
        <v>13 und jünger</v>
      </c>
      <c r="H163" s="235">
        <v>2007</v>
      </c>
      <c r="I163" s="243" t="str">
        <f>VLOOKUP(A163,Ausschreibung!$B$4:$I$35,8,FALSE)</f>
        <v>1000 m</v>
      </c>
      <c r="J163" s="235" t="s">
        <v>178</v>
      </c>
      <c r="K163" s="235"/>
      <c r="L163" s="233">
        <f t="shared" si="2"/>
        <v>13</v>
      </c>
    </row>
    <row r="164" spans="1:12" x14ac:dyDescent="0.2">
      <c r="A164" s="238">
        <v>4</v>
      </c>
      <c r="B164" s="234"/>
      <c r="C164" s="234" t="s">
        <v>248</v>
      </c>
      <c r="D164" s="234" t="s">
        <v>258</v>
      </c>
      <c r="E164" s="243" t="str">
        <f>VLOOKUP(A164,Ausschreibung!$B$4:$I$35,4,FALSE)</f>
        <v>Jungen U14</v>
      </c>
      <c r="F164" s="245" t="str">
        <f>VLOOKUP(A164,Ausschreibung!$B$4:$I$35,5,FALSE)</f>
        <v>-</v>
      </c>
      <c r="G164" s="243" t="str">
        <f>VLOOKUP(A164,Ausschreibung!$B$4:$I$35,6,FALSE)</f>
        <v>13 und jünger</v>
      </c>
      <c r="H164" s="235">
        <v>2007</v>
      </c>
      <c r="I164" s="243" t="str">
        <f>VLOOKUP(A164,Ausschreibung!$B$4:$I$35,8,FALSE)</f>
        <v>1000 m</v>
      </c>
      <c r="J164" s="235" t="s">
        <v>268</v>
      </c>
      <c r="K164" s="235"/>
      <c r="L164" s="233">
        <f t="shared" si="2"/>
        <v>13</v>
      </c>
    </row>
    <row r="165" spans="1:12" x14ac:dyDescent="0.2">
      <c r="A165" s="238">
        <v>4</v>
      </c>
      <c r="B165" s="234"/>
      <c r="C165" s="234" t="s">
        <v>273</v>
      </c>
      <c r="D165" s="234" t="s">
        <v>287</v>
      </c>
      <c r="E165" s="243" t="str">
        <f>VLOOKUP(A165,Ausschreibung!$B$4:$I$35,4,FALSE)</f>
        <v>Jungen U14</v>
      </c>
      <c r="F165" s="245" t="str">
        <f>VLOOKUP(A165,Ausschreibung!$B$4:$I$35,5,FALSE)</f>
        <v>-</v>
      </c>
      <c r="G165" s="243" t="str">
        <f>VLOOKUP(A165,Ausschreibung!$B$4:$I$35,6,FALSE)</f>
        <v>13 und jünger</v>
      </c>
      <c r="H165" s="235">
        <v>2007</v>
      </c>
      <c r="I165" s="243" t="str">
        <f>VLOOKUP(A165,Ausschreibung!$B$4:$I$35,8,FALSE)</f>
        <v>1000 m</v>
      </c>
      <c r="J165" s="235" t="s">
        <v>294</v>
      </c>
      <c r="K165" s="235"/>
      <c r="L165" s="233">
        <f t="shared" si="2"/>
        <v>13</v>
      </c>
    </row>
    <row r="166" spans="1:12" x14ac:dyDescent="0.2">
      <c r="A166" s="238">
        <v>4</v>
      </c>
      <c r="B166" s="234"/>
      <c r="C166" s="234" t="s">
        <v>182</v>
      </c>
      <c r="D166" s="234" t="s">
        <v>190</v>
      </c>
      <c r="E166" s="243" t="str">
        <f>VLOOKUP(A166,Ausschreibung!$B$4:$I$35,4,FALSE)</f>
        <v>Jungen U14</v>
      </c>
      <c r="F166" s="245" t="str">
        <f>VLOOKUP(A166,Ausschreibung!$B$4:$I$35,5,FALSE)</f>
        <v>-</v>
      </c>
      <c r="G166" s="243" t="str">
        <f>VLOOKUP(A166,Ausschreibung!$B$4:$I$35,6,FALSE)</f>
        <v>13 und jünger</v>
      </c>
      <c r="H166" s="235">
        <v>2007</v>
      </c>
      <c r="I166" s="243" t="str">
        <f>VLOOKUP(A166,Ausschreibung!$B$4:$I$35,8,FALSE)</f>
        <v>1000 m</v>
      </c>
      <c r="J166" s="235" t="s">
        <v>178</v>
      </c>
      <c r="K166" s="235"/>
      <c r="L166" s="233">
        <f t="shared" si="2"/>
        <v>13</v>
      </c>
    </row>
    <row r="167" spans="1:12" x14ac:dyDescent="0.2">
      <c r="A167" s="238">
        <v>4</v>
      </c>
      <c r="B167" s="234"/>
      <c r="C167" s="234" t="s">
        <v>390</v>
      </c>
      <c r="D167" s="234" t="s">
        <v>404</v>
      </c>
      <c r="E167" s="243" t="str">
        <f>VLOOKUP(A167,Ausschreibung!$B$4:$I$35,4,FALSE)</f>
        <v>Jungen U14</v>
      </c>
      <c r="F167" s="245" t="str">
        <f>VLOOKUP(A167,Ausschreibung!$B$4:$I$35,5,FALSE)</f>
        <v>-</v>
      </c>
      <c r="G167" s="243" t="str">
        <f>VLOOKUP(A167,Ausschreibung!$B$4:$I$35,6,FALSE)</f>
        <v>13 und jünger</v>
      </c>
      <c r="H167" s="235">
        <v>2007</v>
      </c>
      <c r="I167" s="243" t="str">
        <f>VLOOKUP(A167,Ausschreibung!$B$4:$I$35,8,FALSE)</f>
        <v>1000 m</v>
      </c>
      <c r="J167" s="235" t="s">
        <v>387</v>
      </c>
      <c r="K167" s="235"/>
      <c r="L167" s="233">
        <f t="shared" si="2"/>
        <v>13</v>
      </c>
    </row>
    <row r="168" spans="1:12" x14ac:dyDescent="0.2">
      <c r="A168" s="238">
        <v>5</v>
      </c>
      <c r="B168" s="234"/>
      <c r="C168" s="234" t="s">
        <v>274</v>
      </c>
      <c r="D168" s="234" t="s">
        <v>288</v>
      </c>
      <c r="E168" s="243" t="str">
        <f>VLOOKUP(A168,Ausschreibung!$B$4:$I$35,4,FALSE)</f>
        <v>Mädchen U14</v>
      </c>
      <c r="F168" s="245" t="str">
        <f>VLOOKUP(A168,Ausschreibung!$B$4:$I$35,5,FALSE)</f>
        <v>Lgw. bis 50 kg</v>
      </c>
      <c r="G168" s="243" t="str">
        <f>VLOOKUP(A168,Ausschreibung!$B$4:$I$35,6,FALSE)</f>
        <v>13 und jünger</v>
      </c>
      <c r="H168" s="235">
        <v>2007</v>
      </c>
      <c r="I168" s="243" t="str">
        <f>VLOOKUP(A168,Ausschreibung!$B$4:$I$35,8,FALSE)</f>
        <v>1000 m</v>
      </c>
      <c r="J168" s="235" t="s">
        <v>294</v>
      </c>
      <c r="K168" s="235"/>
      <c r="L168" s="233">
        <f t="shared" si="2"/>
        <v>13</v>
      </c>
    </row>
    <row r="169" spans="1:12" x14ac:dyDescent="0.2">
      <c r="A169" s="238">
        <v>6</v>
      </c>
      <c r="B169" s="234"/>
      <c r="C169" s="234" t="s">
        <v>370</v>
      </c>
      <c r="D169" s="234" t="s">
        <v>288</v>
      </c>
      <c r="E169" s="243" t="str">
        <f>VLOOKUP(A169,Ausschreibung!$B$4:$I$35,4,FALSE)</f>
        <v>Mädchen U14</v>
      </c>
      <c r="F169" s="245" t="str">
        <f>VLOOKUP(A169,Ausschreibung!$B$4:$I$35,5,FALSE)</f>
        <v>-</v>
      </c>
      <c r="G169" s="243" t="str">
        <f>VLOOKUP(A169,Ausschreibung!$B$4:$I$35,6,FALSE)</f>
        <v>13 und jünger</v>
      </c>
      <c r="H169" s="235">
        <v>2007</v>
      </c>
      <c r="I169" s="243" t="str">
        <f>VLOOKUP(A169,Ausschreibung!$B$4:$I$35,8,FALSE)</f>
        <v>1000 m</v>
      </c>
      <c r="J169" s="235" t="s">
        <v>386</v>
      </c>
      <c r="K169" s="235"/>
      <c r="L169" s="233">
        <f t="shared" si="2"/>
        <v>13</v>
      </c>
    </row>
    <row r="170" spans="1:12" x14ac:dyDescent="0.2">
      <c r="A170" s="238">
        <v>5</v>
      </c>
      <c r="B170" s="234"/>
      <c r="C170" s="234" t="s">
        <v>369</v>
      </c>
      <c r="D170" s="234" t="s">
        <v>288</v>
      </c>
      <c r="E170" s="243" t="str">
        <f>VLOOKUP(A170,Ausschreibung!$B$4:$I$35,4,FALSE)</f>
        <v>Mädchen U14</v>
      </c>
      <c r="F170" s="245" t="str">
        <f>VLOOKUP(A170,Ausschreibung!$B$4:$I$35,5,FALSE)</f>
        <v>Lgw. bis 50 kg</v>
      </c>
      <c r="G170" s="243" t="str">
        <f>VLOOKUP(A170,Ausschreibung!$B$4:$I$35,6,FALSE)</f>
        <v>13 und jünger</v>
      </c>
      <c r="H170" s="235">
        <v>2007</v>
      </c>
      <c r="I170" s="243" t="str">
        <f>VLOOKUP(A170,Ausschreibung!$B$4:$I$35,8,FALSE)</f>
        <v>1000 m</v>
      </c>
      <c r="J170" s="235" t="s">
        <v>386</v>
      </c>
      <c r="K170" s="235"/>
      <c r="L170" s="233">
        <f t="shared" si="2"/>
        <v>13</v>
      </c>
    </row>
    <row r="171" spans="1:12" x14ac:dyDescent="0.2">
      <c r="A171" s="238">
        <v>4</v>
      </c>
      <c r="B171" s="234"/>
      <c r="C171" s="234" t="s">
        <v>249</v>
      </c>
      <c r="D171" s="234" t="s">
        <v>259</v>
      </c>
      <c r="E171" s="243" t="str">
        <f>VLOOKUP(A171,Ausschreibung!$B$4:$I$35,4,FALSE)</f>
        <v>Jungen U14</v>
      </c>
      <c r="F171" s="245" t="str">
        <f>VLOOKUP(A171,Ausschreibung!$B$4:$I$35,5,FALSE)</f>
        <v>-</v>
      </c>
      <c r="G171" s="243" t="str">
        <f>VLOOKUP(A171,Ausschreibung!$B$4:$I$35,6,FALSE)</f>
        <v>13 und jünger</v>
      </c>
      <c r="H171" s="235">
        <v>2007</v>
      </c>
      <c r="I171" s="243" t="str">
        <f>VLOOKUP(A171,Ausschreibung!$B$4:$I$35,8,FALSE)</f>
        <v>1000 m</v>
      </c>
      <c r="J171" s="235" t="s">
        <v>268</v>
      </c>
      <c r="K171" s="235"/>
      <c r="L171" s="233">
        <f t="shared" si="2"/>
        <v>13</v>
      </c>
    </row>
    <row r="172" spans="1:12" x14ac:dyDescent="0.2">
      <c r="A172" s="238"/>
      <c r="B172" s="234"/>
      <c r="C172" s="234"/>
      <c r="D172" s="234"/>
      <c r="E172" s="243"/>
      <c r="F172" s="245"/>
      <c r="G172" s="243"/>
      <c r="H172" s="235"/>
      <c r="I172" s="243"/>
      <c r="J172" s="235"/>
      <c r="K172" s="235"/>
      <c r="L172" s="233">
        <f t="shared" si="2"/>
        <v>2020</v>
      </c>
    </row>
    <row r="173" spans="1:12" x14ac:dyDescent="0.2">
      <c r="A173" s="238">
        <v>4</v>
      </c>
      <c r="B173" s="234"/>
      <c r="C173" s="234" t="s">
        <v>346</v>
      </c>
      <c r="D173" s="234" t="s">
        <v>353</v>
      </c>
      <c r="E173" s="243" t="str">
        <f>VLOOKUP(A173,Ausschreibung!$B$4:$I$35,4,FALSE)</f>
        <v>Jungen U14</v>
      </c>
      <c r="F173" s="245" t="str">
        <f>VLOOKUP(A173,Ausschreibung!$B$4:$I$35,5,FALSE)</f>
        <v>-</v>
      </c>
      <c r="G173" s="243" t="str">
        <f>VLOOKUP(A173,Ausschreibung!$B$4:$I$35,6,FALSE)</f>
        <v>13 und jünger</v>
      </c>
      <c r="H173" s="235">
        <v>2007</v>
      </c>
      <c r="I173" s="243" t="str">
        <f>VLOOKUP(A173,Ausschreibung!$B$4:$I$35,8,FALSE)</f>
        <v>1000 m</v>
      </c>
      <c r="J173" s="235" t="s">
        <v>416</v>
      </c>
      <c r="K173" s="235"/>
      <c r="L173" s="233">
        <f t="shared" si="2"/>
        <v>13</v>
      </c>
    </row>
    <row r="174" spans="1:12" x14ac:dyDescent="0.2">
      <c r="A174" s="238">
        <v>3</v>
      </c>
      <c r="B174" s="234"/>
      <c r="C174" s="234" t="s">
        <v>389</v>
      </c>
      <c r="D174" s="234" t="s">
        <v>403</v>
      </c>
      <c r="E174" s="243" t="str">
        <f>VLOOKUP(A174,Ausschreibung!$B$4:$I$35,4,FALSE)</f>
        <v>Jungen U14</v>
      </c>
      <c r="F174" s="245" t="str">
        <f>VLOOKUP(A174,Ausschreibung!$B$4:$I$35,5,FALSE)</f>
        <v>Lgw. bis 50 kg</v>
      </c>
      <c r="G174" s="243" t="str">
        <f>VLOOKUP(A174,Ausschreibung!$B$4:$I$35,6,FALSE)</f>
        <v>13 und jünger</v>
      </c>
      <c r="H174" s="235">
        <v>2007</v>
      </c>
      <c r="I174" s="243" t="str">
        <f>VLOOKUP(A174,Ausschreibung!$B$4:$I$35,8,FALSE)</f>
        <v>1000 m</v>
      </c>
      <c r="J174" s="235" t="s">
        <v>387</v>
      </c>
      <c r="K174" s="235"/>
      <c r="L174" s="233">
        <f t="shared" si="2"/>
        <v>13</v>
      </c>
    </row>
    <row r="175" spans="1:12" x14ac:dyDescent="0.2">
      <c r="A175" s="238">
        <v>4</v>
      </c>
      <c r="B175" s="234"/>
      <c r="C175" s="234" t="s">
        <v>368</v>
      </c>
      <c r="D175" s="234" t="s">
        <v>378</v>
      </c>
      <c r="E175" s="243" t="str">
        <f>VLOOKUP(A175,Ausschreibung!$B$4:$I$35,4,FALSE)</f>
        <v>Jungen U14</v>
      </c>
      <c r="F175" s="245" t="str">
        <f>VLOOKUP(A175,Ausschreibung!$B$4:$I$35,5,FALSE)</f>
        <v>-</v>
      </c>
      <c r="G175" s="243" t="str">
        <f>VLOOKUP(A175,Ausschreibung!$B$4:$I$35,6,FALSE)</f>
        <v>13 und jünger</v>
      </c>
      <c r="H175" s="235">
        <v>2007</v>
      </c>
      <c r="I175" s="243" t="str">
        <f>VLOOKUP(A175,Ausschreibung!$B$4:$I$35,8,FALSE)</f>
        <v>1000 m</v>
      </c>
      <c r="J175" s="235" t="s">
        <v>386</v>
      </c>
      <c r="K175" s="235"/>
      <c r="L175" s="233">
        <f t="shared" si="2"/>
        <v>13</v>
      </c>
    </row>
    <row r="176" spans="1:12" x14ac:dyDescent="0.2">
      <c r="A176" s="238">
        <v>3</v>
      </c>
      <c r="B176" s="234"/>
      <c r="C176" s="234" t="s">
        <v>270</v>
      </c>
      <c r="D176" s="234" t="s">
        <v>238</v>
      </c>
      <c r="E176" s="243" t="str">
        <f>VLOOKUP(A176,Ausschreibung!$B$4:$I$35,4,FALSE)</f>
        <v>Jungen U14</v>
      </c>
      <c r="F176" s="245" t="str">
        <f>VLOOKUP(A176,Ausschreibung!$B$4:$I$35,5,FALSE)</f>
        <v>Lgw. bis 50 kg</v>
      </c>
      <c r="G176" s="243" t="str">
        <f>VLOOKUP(A176,Ausschreibung!$B$4:$I$35,6,FALSE)</f>
        <v>13 und jünger</v>
      </c>
      <c r="H176" s="235">
        <v>2007</v>
      </c>
      <c r="I176" s="243" t="str">
        <f>VLOOKUP(A176,Ausschreibung!$B$4:$I$35,8,FALSE)</f>
        <v>1000 m</v>
      </c>
      <c r="J176" s="235" t="s">
        <v>294</v>
      </c>
      <c r="K176" s="235"/>
      <c r="L176" s="233">
        <f t="shared" si="2"/>
        <v>13</v>
      </c>
    </row>
    <row r="177" spans="1:12" x14ac:dyDescent="0.2">
      <c r="A177" s="238">
        <v>6</v>
      </c>
      <c r="B177" s="234"/>
      <c r="C177" s="234" t="s">
        <v>276</v>
      </c>
      <c r="D177" s="234" t="s">
        <v>290</v>
      </c>
      <c r="E177" s="243" t="str">
        <f>VLOOKUP(A177,Ausschreibung!$B$4:$I$35,4,FALSE)</f>
        <v>Mädchen U14</v>
      </c>
      <c r="F177" s="245" t="str">
        <f>VLOOKUP(A177,Ausschreibung!$B$4:$I$35,5,FALSE)</f>
        <v>-</v>
      </c>
      <c r="G177" s="243" t="str">
        <f>VLOOKUP(A177,Ausschreibung!$B$4:$I$35,6,FALSE)</f>
        <v>13 und jünger</v>
      </c>
      <c r="H177" s="235">
        <v>2007</v>
      </c>
      <c r="I177" s="243" t="str">
        <f>VLOOKUP(A177,Ausschreibung!$B$4:$I$35,8,FALSE)</f>
        <v>1000 m</v>
      </c>
      <c r="J177" s="235" t="s">
        <v>294</v>
      </c>
      <c r="K177" s="235"/>
      <c r="L177" s="233">
        <f t="shared" si="2"/>
        <v>13</v>
      </c>
    </row>
    <row r="178" spans="1:12" x14ac:dyDescent="0.2">
      <c r="A178" s="238">
        <v>3</v>
      </c>
      <c r="B178" s="234"/>
      <c r="C178" s="234" t="s">
        <v>272</v>
      </c>
      <c r="D178" s="234" t="s">
        <v>286</v>
      </c>
      <c r="E178" s="243" t="str">
        <f>VLOOKUP(A178,Ausschreibung!$B$4:$I$35,4,FALSE)</f>
        <v>Jungen U14</v>
      </c>
      <c r="F178" s="245" t="str">
        <f>VLOOKUP(A178,Ausschreibung!$B$4:$I$35,5,FALSE)</f>
        <v>Lgw. bis 50 kg</v>
      </c>
      <c r="G178" s="243" t="str">
        <f>VLOOKUP(A178,Ausschreibung!$B$4:$I$35,6,FALSE)</f>
        <v>13 und jünger</v>
      </c>
      <c r="H178" s="235">
        <v>2007</v>
      </c>
      <c r="I178" s="243" t="str">
        <f>VLOOKUP(A178,Ausschreibung!$B$4:$I$35,8,FALSE)</f>
        <v>1000 m</v>
      </c>
      <c r="J178" s="235" t="s">
        <v>294</v>
      </c>
      <c r="K178" s="235"/>
      <c r="L178" s="233">
        <f t="shared" si="2"/>
        <v>13</v>
      </c>
    </row>
    <row r="179" spans="1:12" x14ac:dyDescent="0.2">
      <c r="A179" s="238">
        <v>6</v>
      </c>
      <c r="B179" s="234"/>
      <c r="C179" s="234" t="s">
        <v>392</v>
      </c>
      <c r="D179" s="234" t="s">
        <v>406</v>
      </c>
      <c r="E179" s="243" t="str">
        <f>VLOOKUP(A179,Ausschreibung!$B$4:$I$35,4,FALSE)</f>
        <v>Mädchen U14</v>
      </c>
      <c r="F179" s="245" t="str">
        <f>VLOOKUP(A179,Ausschreibung!$B$4:$I$35,5,FALSE)</f>
        <v>-</v>
      </c>
      <c r="G179" s="243" t="str">
        <f>VLOOKUP(A179,Ausschreibung!$B$4:$I$35,6,FALSE)</f>
        <v>13 und jünger</v>
      </c>
      <c r="H179" s="235">
        <v>2007</v>
      </c>
      <c r="I179" s="243" t="str">
        <f>VLOOKUP(A179,Ausschreibung!$B$4:$I$35,8,FALSE)</f>
        <v>1000 m</v>
      </c>
      <c r="J179" s="235" t="s">
        <v>387</v>
      </c>
      <c r="K179" s="235"/>
      <c r="L179" s="233">
        <f t="shared" si="2"/>
        <v>13</v>
      </c>
    </row>
    <row r="180" spans="1:12" x14ac:dyDescent="0.2">
      <c r="A180" s="238">
        <v>3</v>
      </c>
      <c r="B180" s="234"/>
      <c r="C180" s="234" t="s">
        <v>271</v>
      </c>
      <c r="D180" s="234" t="s">
        <v>285</v>
      </c>
      <c r="E180" s="243" t="str">
        <f>VLOOKUP(A180,Ausschreibung!$B$4:$I$35,4,FALSE)</f>
        <v>Jungen U14</v>
      </c>
      <c r="F180" s="245" t="str">
        <f>VLOOKUP(A180,Ausschreibung!$B$4:$I$35,5,FALSE)</f>
        <v>Lgw. bis 50 kg</v>
      </c>
      <c r="G180" s="243" t="str">
        <f>VLOOKUP(A180,Ausschreibung!$B$4:$I$35,6,FALSE)</f>
        <v>13 und jünger</v>
      </c>
      <c r="H180" s="235">
        <v>2007</v>
      </c>
      <c r="I180" s="243" t="str">
        <f>VLOOKUP(A180,Ausschreibung!$B$4:$I$35,8,FALSE)</f>
        <v>1000 m</v>
      </c>
      <c r="J180" s="235" t="s">
        <v>294</v>
      </c>
      <c r="K180" s="235"/>
      <c r="L180" s="233">
        <f t="shared" si="2"/>
        <v>13</v>
      </c>
    </row>
    <row r="181" spans="1:12" x14ac:dyDescent="0.2">
      <c r="A181" s="238">
        <v>4</v>
      </c>
      <c r="B181" s="234"/>
      <c r="C181" s="234" t="s">
        <v>303</v>
      </c>
      <c r="D181" s="234" t="s">
        <v>328</v>
      </c>
      <c r="E181" s="243" t="str">
        <f>VLOOKUP(A181,Ausschreibung!$B$4:$I$35,4,FALSE)</f>
        <v>Jungen U14</v>
      </c>
      <c r="F181" s="245" t="str">
        <f>VLOOKUP(A181,Ausschreibung!$B$4:$I$35,5,FALSE)</f>
        <v>-</v>
      </c>
      <c r="G181" s="243" t="str">
        <f>VLOOKUP(A181,Ausschreibung!$B$4:$I$35,6,FALSE)</f>
        <v>13 und jünger</v>
      </c>
      <c r="H181" s="235">
        <v>2007</v>
      </c>
      <c r="I181" s="243" t="str">
        <f>VLOOKUP(A181,Ausschreibung!$B$4:$I$35,8,FALSE)</f>
        <v>1000 m</v>
      </c>
      <c r="J181" s="235" t="s">
        <v>345</v>
      </c>
      <c r="K181" s="235"/>
      <c r="L181" s="233">
        <f t="shared" si="2"/>
        <v>13</v>
      </c>
    </row>
    <row r="182" spans="1:12" x14ac:dyDescent="0.2">
      <c r="A182" s="238">
        <v>4</v>
      </c>
      <c r="B182" s="234"/>
      <c r="C182" s="234" t="s">
        <v>183</v>
      </c>
      <c r="D182" s="234" t="s">
        <v>189</v>
      </c>
      <c r="E182" s="243" t="str">
        <f>VLOOKUP(A182,Ausschreibung!$B$4:$I$35,4,FALSE)</f>
        <v>Jungen U14</v>
      </c>
      <c r="F182" s="245" t="str">
        <f>VLOOKUP(A182,Ausschreibung!$B$4:$I$35,5,FALSE)</f>
        <v>-</v>
      </c>
      <c r="G182" s="243" t="str">
        <f>VLOOKUP(A182,Ausschreibung!$B$4:$I$35,6,FALSE)</f>
        <v>13 und jünger</v>
      </c>
      <c r="H182" s="235">
        <v>2007</v>
      </c>
      <c r="I182" s="243" t="str">
        <f>VLOOKUP(A182,Ausschreibung!$B$4:$I$35,8,FALSE)</f>
        <v>1000 m</v>
      </c>
      <c r="J182" s="235" t="s">
        <v>178</v>
      </c>
      <c r="K182" s="235"/>
      <c r="L182" s="233">
        <f t="shared" si="2"/>
        <v>13</v>
      </c>
    </row>
    <row r="183" spans="1:12" x14ac:dyDescent="0.2">
      <c r="A183" s="238">
        <v>4</v>
      </c>
      <c r="B183" s="234"/>
      <c r="C183" s="234" t="s">
        <v>182</v>
      </c>
      <c r="D183" s="234" t="s">
        <v>189</v>
      </c>
      <c r="E183" s="243" t="str">
        <f>VLOOKUP(A183,Ausschreibung!$B$4:$I$35,4,FALSE)</f>
        <v>Jungen U14</v>
      </c>
      <c r="F183" s="245" t="str">
        <f>VLOOKUP(A183,Ausschreibung!$B$4:$I$35,5,FALSE)</f>
        <v>-</v>
      </c>
      <c r="G183" s="243" t="str">
        <f>VLOOKUP(A183,Ausschreibung!$B$4:$I$35,6,FALSE)</f>
        <v>13 und jünger</v>
      </c>
      <c r="H183" s="235">
        <v>2007</v>
      </c>
      <c r="I183" s="243" t="str">
        <f>VLOOKUP(A183,Ausschreibung!$B$4:$I$35,8,FALSE)</f>
        <v>1000 m</v>
      </c>
      <c r="J183" s="235" t="s">
        <v>178</v>
      </c>
      <c r="K183" s="235"/>
      <c r="L183" s="233">
        <f t="shared" si="2"/>
        <v>13</v>
      </c>
    </row>
    <row r="184" spans="1:12" x14ac:dyDescent="0.2">
      <c r="A184" s="238">
        <v>4</v>
      </c>
      <c r="B184" s="234"/>
      <c r="C184" s="234" t="s">
        <v>305</v>
      </c>
      <c r="D184" s="234" t="s">
        <v>330</v>
      </c>
      <c r="E184" s="243" t="str">
        <f>VLOOKUP(A184,Ausschreibung!$B$4:$I$35,4,FALSE)</f>
        <v>Jungen U14</v>
      </c>
      <c r="F184" s="245" t="str">
        <f>VLOOKUP(A184,Ausschreibung!$B$4:$I$35,5,FALSE)</f>
        <v>-</v>
      </c>
      <c r="G184" s="243" t="str">
        <f>VLOOKUP(A184,Ausschreibung!$B$4:$I$35,6,FALSE)</f>
        <v>13 und jünger</v>
      </c>
      <c r="H184" s="235">
        <v>2007</v>
      </c>
      <c r="I184" s="243" t="str">
        <f>VLOOKUP(A184,Ausschreibung!$B$4:$I$35,8,FALSE)</f>
        <v>1000 m</v>
      </c>
      <c r="J184" s="235" t="s">
        <v>345</v>
      </c>
      <c r="K184" s="235"/>
      <c r="L184" s="233">
        <f t="shared" si="2"/>
        <v>13</v>
      </c>
    </row>
    <row r="185" spans="1:12" x14ac:dyDescent="0.2">
      <c r="A185" s="238">
        <v>6</v>
      </c>
      <c r="B185" s="234"/>
      <c r="C185" s="234" t="s">
        <v>277</v>
      </c>
      <c r="D185" s="234" t="s">
        <v>291</v>
      </c>
      <c r="E185" s="243" t="str">
        <f>VLOOKUP(A185,Ausschreibung!$B$4:$I$35,4,FALSE)</f>
        <v>Mädchen U14</v>
      </c>
      <c r="F185" s="245" t="str">
        <f>VLOOKUP(A185,Ausschreibung!$B$4:$I$35,5,FALSE)</f>
        <v>-</v>
      </c>
      <c r="G185" s="243" t="str">
        <f>VLOOKUP(A185,Ausschreibung!$B$4:$I$35,6,FALSE)</f>
        <v>13 und jünger</v>
      </c>
      <c r="H185" s="235">
        <v>2007</v>
      </c>
      <c r="I185" s="243" t="str">
        <f>VLOOKUP(A185,Ausschreibung!$B$4:$I$35,8,FALSE)</f>
        <v>1000 m</v>
      </c>
      <c r="J185" s="235" t="s">
        <v>294</v>
      </c>
      <c r="K185" s="235"/>
      <c r="L185" s="233">
        <f t="shared" si="2"/>
        <v>13</v>
      </c>
    </row>
    <row r="186" spans="1:12" x14ac:dyDescent="0.2">
      <c r="A186" s="238">
        <v>5</v>
      </c>
      <c r="B186" s="234"/>
      <c r="C186" s="234" t="s">
        <v>275</v>
      </c>
      <c r="D186" s="234" t="s">
        <v>289</v>
      </c>
      <c r="E186" s="243" t="str">
        <f>VLOOKUP(A186,Ausschreibung!$B$4:$I$35,4,FALSE)</f>
        <v>Mädchen U14</v>
      </c>
      <c r="F186" s="245" t="str">
        <f>VLOOKUP(A186,Ausschreibung!$B$4:$I$35,5,FALSE)</f>
        <v>Lgw. bis 50 kg</v>
      </c>
      <c r="G186" s="243" t="str">
        <f>VLOOKUP(A186,Ausschreibung!$B$4:$I$35,6,FALSE)</f>
        <v>13 und jünger</v>
      </c>
      <c r="H186" s="235">
        <v>2007</v>
      </c>
      <c r="I186" s="243" t="str">
        <f>VLOOKUP(A186,Ausschreibung!$B$4:$I$35,8,FALSE)</f>
        <v>1000 m</v>
      </c>
      <c r="J186" s="235" t="s">
        <v>294</v>
      </c>
      <c r="K186" s="235"/>
      <c r="L186" s="233">
        <f t="shared" si="2"/>
        <v>13</v>
      </c>
    </row>
    <row r="187" spans="1:12" x14ac:dyDescent="0.2">
      <c r="A187" s="238">
        <v>5</v>
      </c>
      <c r="B187" s="234"/>
      <c r="C187" s="234" t="s">
        <v>301</v>
      </c>
      <c r="D187" s="234" t="s">
        <v>332</v>
      </c>
      <c r="E187" s="243" t="str">
        <f>VLOOKUP(A187,Ausschreibung!$B$4:$I$35,4,FALSE)</f>
        <v>Mädchen U14</v>
      </c>
      <c r="F187" s="245" t="str">
        <f>VLOOKUP(A187,Ausschreibung!$B$4:$I$35,5,FALSE)</f>
        <v>Lgw. bis 50 kg</v>
      </c>
      <c r="G187" s="243" t="str">
        <f>VLOOKUP(A187,Ausschreibung!$B$4:$I$35,6,FALSE)</f>
        <v>13 und jünger</v>
      </c>
      <c r="H187" s="235">
        <v>2008</v>
      </c>
      <c r="I187" s="243" t="str">
        <f>VLOOKUP(A187,Ausschreibung!$B$4:$I$35,8,FALSE)</f>
        <v>1000 m</v>
      </c>
      <c r="J187" s="235" t="s">
        <v>345</v>
      </c>
      <c r="K187" s="235"/>
      <c r="L187" s="233">
        <f t="shared" si="2"/>
        <v>12</v>
      </c>
    </row>
    <row r="188" spans="1:12" x14ac:dyDescent="0.2">
      <c r="A188" s="238">
        <v>3</v>
      </c>
      <c r="B188" s="234"/>
      <c r="C188" s="234" t="s">
        <v>269</v>
      </c>
      <c r="D188" s="234" t="s">
        <v>259</v>
      </c>
      <c r="E188" s="243" t="str">
        <f>VLOOKUP(A188,Ausschreibung!$B$4:$I$35,4,FALSE)</f>
        <v>Jungen U14</v>
      </c>
      <c r="F188" s="245" t="str">
        <f>VLOOKUP(A188,Ausschreibung!$B$4:$I$35,5,FALSE)</f>
        <v>Lgw. bis 50 kg</v>
      </c>
      <c r="G188" s="243" t="str">
        <f>VLOOKUP(A188,Ausschreibung!$B$4:$I$35,6,FALSE)</f>
        <v>13 und jünger</v>
      </c>
      <c r="H188" s="235">
        <v>2008</v>
      </c>
      <c r="I188" s="243" t="str">
        <f>VLOOKUP(A188,Ausschreibung!$B$4:$I$35,8,FALSE)</f>
        <v>1000 m</v>
      </c>
      <c r="J188" s="235" t="s">
        <v>294</v>
      </c>
      <c r="K188" s="235"/>
      <c r="L188" s="233">
        <f t="shared" si="2"/>
        <v>12</v>
      </c>
    </row>
    <row r="189" spans="1:12" x14ac:dyDescent="0.2">
      <c r="A189" s="238">
        <v>3</v>
      </c>
      <c r="B189" s="234"/>
      <c r="C189" s="234" t="s">
        <v>388</v>
      </c>
      <c r="D189" s="234" t="s">
        <v>378</v>
      </c>
      <c r="E189" s="243" t="str">
        <f>VLOOKUP(A189,Ausschreibung!$B$4:$I$35,4,FALSE)</f>
        <v>Jungen U14</v>
      </c>
      <c r="F189" s="245" t="str">
        <f>VLOOKUP(A189,Ausschreibung!$B$4:$I$35,5,FALSE)</f>
        <v>Lgw. bis 50 kg</v>
      </c>
      <c r="G189" s="243" t="str">
        <f>VLOOKUP(A189,Ausschreibung!$B$4:$I$35,6,FALSE)</f>
        <v>13 und jünger</v>
      </c>
      <c r="H189" s="235">
        <v>2008</v>
      </c>
      <c r="I189" s="243" t="str">
        <f>VLOOKUP(A189,Ausschreibung!$B$4:$I$35,8,FALSE)</f>
        <v>1000 m</v>
      </c>
      <c r="J189" s="235" t="s">
        <v>387</v>
      </c>
      <c r="K189" s="235"/>
      <c r="L189" s="233">
        <f t="shared" si="2"/>
        <v>12</v>
      </c>
    </row>
    <row r="190" spans="1:12" x14ac:dyDescent="0.2">
      <c r="A190" s="238">
        <v>3</v>
      </c>
      <c r="B190" s="234"/>
      <c r="C190" s="234" t="s">
        <v>195</v>
      </c>
      <c r="D190" s="234" t="s">
        <v>219</v>
      </c>
      <c r="E190" s="243" t="str">
        <f>VLOOKUP(A190,Ausschreibung!$B$4:$I$35,4,FALSE)</f>
        <v>Jungen U14</v>
      </c>
      <c r="F190" s="245" t="str">
        <f>VLOOKUP(A190,Ausschreibung!$B$4:$I$35,5,FALSE)</f>
        <v>Lgw. bis 50 kg</v>
      </c>
      <c r="G190" s="243" t="str">
        <f>VLOOKUP(A190,Ausschreibung!$B$4:$I$35,6,FALSE)</f>
        <v>13 und jünger</v>
      </c>
      <c r="H190" s="235">
        <v>2008</v>
      </c>
      <c r="I190" s="243" t="str">
        <f>VLOOKUP(A190,Ausschreibung!$B$4:$I$35,8,FALSE)</f>
        <v>1000 m</v>
      </c>
      <c r="J190" s="235" t="s">
        <v>241</v>
      </c>
      <c r="K190" s="235"/>
      <c r="L190" s="233">
        <f t="shared" si="2"/>
        <v>12</v>
      </c>
    </row>
    <row r="191" spans="1:12" x14ac:dyDescent="0.2">
      <c r="A191" s="238">
        <v>6</v>
      </c>
      <c r="B191" s="234"/>
      <c r="C191" s="234" t="s">
        <v>391</v>
      </c>
      <c r="D191" s="234" t="s">
        <v>405</v>
      </c>
      <c r="E191" s="243" t="str">
        <f>VLOOKUP(A191,Ausschreibung!$B$4:$I$35,4,FALSE)</f>
        <v>Mädchen U14</v>
      </c>
      <c r="F191" s="245" t="str">
        <f>VLOOKUP(A191,Ausschreibung!$B$4:$I$35,5,FALSE)</f>
        <v>-</v>
      </c>
      <c r="G191" s="243" t="str">
        <f>VLOOKUP(A191,Ausschreibung!$B$4:$I$35,6,FALSE)</f>
        <v>13 und jünger</v>
      </c>
      <c r="H191" s="235">
        <v>2008</v>
      </c>
      <c r="I191" s="243" t="str">
        <f>VLOOKUP(A191,Ausschreibung!$B$4:$I$35,8,FALSE)</f>
        <v>1000 m</v>
      </c>
      <c r="J191" s="235" t="s">
        <v>387</v>
      </c>
      <c r="K191" s="235"/>
      <c r="L191" s="233">
        <f t="shared" si="2"/>
        <v>12</v>
      </c>
    </row>
    <row r="192" spans="1:12" x14ac:dyDescent="0.2">
      <c r="A192" s="238">
        <v>3</v>
      </c>
      <c r="B192" s="234"/>
      <c r="C192" s="234" t="s">
        <v>194</v>
      </c>
      <c r="D192" s="234" t="s">
        <v>187</v>
      </c>
      <c r="E192" s="243" t="str">
        <f>VLOOKUP(A192,Ausschreibung!$B$4:$I$35,4,FALSE)</f>
        <v>Jungen U14</v>
      </c>
      <c r="F192" s="245" t="str">
        <f>VLOOKUP(A192,Ausschreibung!$B$4:$I$35,5,FALSE)</f>
        <v>Lgw. bis 50 kg</v>
      </c>
      <c r="G192" s="243" t="str">
        <f>VLOOKUP(A192,Ausschreibung!$B$4:$I$35,6,FALSE)</f>
        <v>13 und jünger</v>
      </c>
      <c r="H192" s="235">
        <v>2008</v>
      </c>
      <c r="I192" s="243" t="str">
        <f>VLOOKUP(A192,Ausschreibung!$B$4:$I$35,8,FALSE)</f>
        <v>1000 m</v>
      </c>
      <c r="J192" s="235" t="s">
        <v>241</v>
      </c>
      <c r="K192" s="235"/>
      <c r="L192" s="233">
        <f t="shared" si="2"/>
        <v>12</v>
      </c>
    </row>
    <row r="193" spans="1:12" x14ac:dyDescent="0.2">
      <c r="A193" s="238">
        <v>3</v>
      </c>
      <c r="B193" s="234"/>
      <c r="C193" s="234" t="s">
        <v>302</v>
      </c>
      <c r="D193" s="234" t="s">
        <v>331</v>
      </c>
      <c r="E193" s="243" t="str">
        <f>VLOOKUP(A193,Ausschreibung!$B$4:$I$35,4,FALSE)</f>
        <v>Jungen U14</v>
      </c>
      <c r="F193" s="245" t="str">
        <f>VLOOKUP(A193,Ausschreibung!$B$4:$I$35,5,FALSE)</f>
        <v>Lgw. bis 50 kg</v>
      </c>
      <c r="G193" s="243" t="str">
        <f>VLOOKUP(A193,Ausschreibung!$B$4:$I$35,6,FALSE)</f>
        <v>13 und jünger</v>
      </c>
      <c r="H193" s="235">
        <v>2008</v>
      </c>
      <c r="I193" s="243" t="str">
        <f>VLOOKUP(A193,Ausschreibung!$B$4:$I$35,8,FALSE)</f>
        <v>1000 m</v>
      </c>
      <c r="J193" s="235" t="s">
        <v>345</v>
      </c>
      <c r="K193" s="235"/>
      <c r="L193" s="233">
        <f t="shared" si="2"/>
        <v>12</v>
      </c>
    </row>
    <row r="194" spans="1:12" x14ac:dyDescent="0.2">
      <c r="A194" s="238">
        <v>3</v>
      </c>
      <c r="B194" s="234"/>
      <c r="C194" s="234" t="s">
        <v>302</v>
      </c>
      <c r="D194" s="234" t="s">
        <v>327</v>
      </c>
      <c r="E194" s="243" t="str">
        <f>VLOOKUP(A194,Ausschreibung!$B$4:$I$35,4,FALSE)</f>
        <v>Jungen U14</v>
      </c>
      <c r="F194" s="245" t="str">
        <f>VLOOKUP(A194,Ausschreibung!$B$4:$I$35,5,FALSE)</f>
        <v>Lgw. bis 50 kg</v>
      </c>
      <c r="G194" s="243" t="str">
        <f>VLOOKUP(A194,Ausschreibung!$B$4:$I$35,6,FALSE)</f>
        <v>13 und jünger</v>
      </c>
      <c r="H194" s="235">
        <v>2010</v>
      </c>
      <c r="I194" s="243" t="str">
        <f>VLOOKUP(A194,Ausschreibung!$B$4:$I$35,8,FALSE)</f>
        <v>1000 m</v>
      </c>
      <c r="J194" s="235" t="s">
        <v>345</v>
      </c>
      <c r="K194" s="235"/>
      <c r="L194" s="233">
        <f t="shared" ref="L194:L257" si="3">2020-H194</f>
        <v>10</v>
      </c>
    </row>
    <row r="195" spans="1:12" x14ac:dyDescent="0.2">
      <c r="A195" s="238">
        <v>1</v>
      </c>
      <c r="B195" s="234"/>
      <c r="C195" s="234" t="s">
        <v>480</v>
      </c>
      <c r="D195" s="234" t="s">
        <v>472</v>
      </c>
      <c r="E195" s="243" t="str">
        <f>VLOOKUP(A195,Ausschreibung!$B$4:$I$35,4,FALSE)</f>
        <v>Masters A-H, weiblich  </v>
      </c>
      <c r="F195" s="245" t="s">
        <v>446</v>
      </c>
      <c r="G195" s="243" t="str">
        <f>VLOOKUP(A195,Ausschreibung!$B$4:$I$35,6,FALSE)</f>
        <v>27 und älter  </v>
      </c>
      <c r="H195" s="235">
        <v>1968</v>
      </c>
      <c r="I195" s="243" t="str">
        <f>VLOOKUP(A195,Ausschreibung!$B$4:$I$35,8,FALSE)</f>
        <v>30 min.</v>
      </c>
      <c r="J195" s="235" t="s">
        <v>488</v>
      </c>
      <c r="K195" s="235"/>
      <c r="L195" s="233">
        <f t="shared" si="3"/>
        <v>52</v>
      </c>
    </row>
    <row r="196" spans="1:12" x14ac:dyDescent="0.2">
      <c r="A196" s="238">
        <v>1</v>
      </c>
      <c r="B196" s="234"/>
      <c r="C196" s="234" t="s">
        <v>481</v>
      </c>
      <c r="D196" s="234" t="s">
        <v>473</v>
      </c>
      <c r="E196" s="243" t="str">
        <f>VLOOKUP(A196,Ausschreibung!$B$4:$I$35,4,FALSE)</f>
        <v>Masters A-H, weiblich  </v>
      </c>
      <c r="F196" s="245" t="s">
        <v>444</v>
      </c>
      <c r="G196" s="243" t="str">
        <f>VLOOKUP(A196,Ausschreibung!$B$4:$I$35,6,FALSE)</f>
        <v>27 und älter  </v>
      </c>
      <c r="H196" s="235">
        <v>1971</v>
      </c>
      <c r="I196" s="243" t="str">
        <f>VLOOKUP(A196,Ausschreibung!$B$4:$I$35,8,FALSE)</f>
        <v>30 min.</v>
      </c>
      <c r="J196" s="235" t="s">
        <v>488</v>
      </c>
      <c r="K196" s="235"/>
      <c r="L196" s="233">
        <f t="shared" si="3"/>
        <v>49</v>
      </c>
    </row>
    <row r="197" spans="1:12" x14ac:dyDescent="0.2">
      <c r="A197" s="238">
        <v>2</v>
      </c>
      <c r="B197" s="234"/>
      <c r="C197" s="234" t="s">
        <v>481</v>
      </c>
      <c r="D197" s="234" t="s">
        <v>474</v>
      </c>
      <c r="E197" s="243" t="str">
        <f>VLOOKUP(A197,Ausschreibung!$B$4:$I$35,4,FALSE)</f>
        <v>Masters A-H, männlich</v>
      </c>
      <c r="F197" s="245" t="s">
        <v>446</v>
      </c>
      <c r="G197" s="243" t="str">
        <f>VLOOKUP(A197,Ausschreibung!$B$4:$I$35,6,FALSE)</f>
        <v>27 und älter</v>
      </c>
      <c r="H197" s="235">
        <v>1967</v>
      </c>
      <c r="I197" s="243" t="str">
        <f>VLOOKUP(A197,Ausschreibung!$B$4:$I$35,8,FALSE)</f>
        <v>30 min.</v>
      </c>
      <c r="J197" s="235" t="s">
        <v>488</v>
      </c>
      <c r="K197" s="235"/>
      <c r="L197" s="233">
        <f t="shared" si="3"/>
        <v>53</v>
      </c>
    </row>
    <row r="198" spans="1:12" x14ac:dyDescent="0.2">
      <c r="A198" s="238">
        <v>2</v>
      </c>
      <c r="B198" s="234"/>
      <c r="C198" s="234" t="s">
        <v>482</v>
      </c>
      <c r="D198" s="234" t="s">
        <v>243</v>
      </c>
      <c r="E198" s="243" t="str">
        <f>VLOOKUP(A198,Ausschreibung!$B$4:$I$35,4,FALSE)</f>
        <v>Masters A-H, männlich</v>
      </c>
      <c r="F198" s="245" t="s">
        <v>445</v>
      </c>
      <c r="G198" s="243" t="str">
        <f>VLOOKUP(A198,Ausschreibung!$B$4:$I$35,6,FALSE)</f>
        <v>27 und älter</v>
      </c>
      <c r="H198" s="235">
        <v>1959</v>
      </c>
      <c r="I198" s="243" t="str">
        <f>VLOOKUP(A198,Ausschreibung!$B$4:$I$35,8,FALSE)</f>
        <v>30 min.</v>
      </c>
      <c r="J198" s="235" t="s">
        <v>488</v>
      </c>
      <c r="K198" s="235"/>
      <c r="L198" s="233">
        <f t="shared" si="3"/>
        <v>61</v>
      </c>
    </row>
    <row r="199" spans="1:12" x14ac:dyDescent="0.2">
      <c r="A199" s="238">
        <v>3</v>
      </c>
      <c r="B199" s="234"/>
      <c r="C199" s="234" t="s">
        <v>483</v>
      </c>
      <c r="D199" s="234" t="s">
        <v>475</v>
      </c>
      <c r="E199" s="243" t="str">
        <f>VLOOKUP(A199,Ausschreibung!$B$4:$I$35,4,FALSE)</f>
        <v>Jungen U14</v>
      </c>
      <c r="F199" s="245" t="str">
        <f>VLOOKUP(A199,Ausschreibung!$B$4:$I$35,5,FALSE)</f>
        <v>Lgw. bis 50 kg</v>
      </c>
      <c r="G199" s="243" t="str">
        <f>VLOOKUP(A199,Ausschreibung!$B$4:$I$35,6,FALSE)</f>
        <v>13 und jünger</v>
      </c>
      <c r="H199" s="235">
        <v>2008</v>
      </c>
      <c r="I199" s="243" t="str">
        <f>VLOOKUP(A199,Ausschreibung!$B$4:$I$35,8,FALSE)</f>
        <v>1000 m</v>
      </c>
      <c r="J199" s="235" t="s">
        <v>488</v>
      </c>
      <c r="K199" s="235"/>
      <c r="L199" s="233">
        <f t="shared" si="3"/>
        <v>12</v>
      </c>
    </row>
    <row r="200" spans="1:12" x14ac:dyDescent="0.2">
      <c r="A200" s="238">
        <v>9</v>
      </c>
      <c r="B200" s="234"/>
      <c r="C200" s="234" t="s">
        <v>484</v>
      </c>
      <c r="D200" s="234" t="s">
        <v>476</v>
      </c>
      <c r="E200" s="243" t="str">
        <f>VLOOKUP(A200,Ausschreibung!$B$4:$I$35,4,FALSE)</f>
        <v>Jungen U15</v>
      </c>
      <c r="F200" s="245" t="str">
        <f>VLOOKUP(A200,Ausschreibung!$B$4:$I$35,5,FALSE)</f>
        <v>Lgw. bis 55 kg</v>
      </c>
      <c r="G200" s="243">
        <f>VLOOKUP(A200,Ausschreibung!$B$4:$I$35,6,FALSE)</f>
        <v>14</v>
      </c>
      <c r="H200" s="235">
        <v>2006</v>
      </c>
      <c r="I200" s="243" t="str">
        <f>VLOOKUP(A200,Ausschreibung!$B$4:$I$35,8,FALSE)</f>
        <v>1000 m</v>
      </c>
      <c r="J200" s="235" t="s">
        <v>488</v>
      </c>
      <c r="K200" s="235"/>
      <c r="L200" s="233">
        <f t="shared" si="3"/>
        <v>14</v>
      </c>
    </row>
    <row r="201" spans="1:12" x14ac:dyDescent="0.2">
      <c r="A201" s="238">
        <v>9</v>
      </c>
      <c r="B201" s="234"/>
      <c r="C201" s="234" t="s">
        <v>481</v>
      </c>
      <c r="D201" s="234" t="s">
        <v>477</v>
      </c>
      <c r="E201" s="243" t="str">
        <f>VLOOKUP(A201,Ausschreibung!$B$4:$I$35,4,FALSE)</f>
        <v>Jungen U15</v>
      </c>
      <c r="F201" s="245" t="str">
        <f>VLOOKUP(A201,Ausschreibung!$B$4:$I$35,5,FALSE)</f>
        <v>Lgw. bis 55 kg</v>
      </c>
      <c r="G201" s="243">
        <f>VLOOKUP(A201,Ausschreibung!$B$4:$I$35,6,FALSE)</f>
        <v>14</v>
      </c>
      <c r="H201" s="235">
        <v>2006</v>
      </c>
      <c r="I201" s="243" t="str">
        <f>VLOOKUP(A201,Ausschreibung!$B$4:$I$35,8,FALSE)</f>
        <v>1000 m</v>
      </c>
      <c r="J201" s="235" t="s">
        <v>488</v>
      </c>
      <c r="K201" s="235"/>
      <c r="L201" s="233">
        <f t="shared" si="3"/>
        <v>14</v>
      </c>
    </row>
    <row r="202" spans="1:12" x14ac:dyDescent="0.2">
      <c r="A202" s="238">
        <v>10</v>
      </c>
      <c r="B202" s="234"/>
      <c r="C202" s="234" t="s">
        <v>485</v>
      </c>
      <c r="D202" s="234" t="s">
        <v>478</v>
      </c>
      <c r="E202" s="243" t="str">
        <f>VLOOKUP(A202,Ausschreibung!$B$4:$I$35,4,FALSE)</f>
        <v>Jungen U15</v>
      </c>
      <c r="F202" s="245" t="str">
        <f>VLOOKUP(A202,Ausschreibung!$B$4:$I$35,5,FALSE)</f>
        <v>-</v>
      </c>
      <c r="G202" s="243">
        <f>VLOOKUP(A202,Ausschreibung!$B$4:$I$35,6,FALSE)</f>
        <v>14</v>
      </c>
      <c r="H202" s="235">
        <v>2006</v>
      </c>
      <c r="I202" s="243" t="str">
        <f>VLOOKUP(A202,Ausschreibung!$B$4:$I$35,8,FALSE)</f>
        <v>1000 m</v>
      </c>
      <c r="J202" s="235" t="s">
        <v>488</v>
      </c>
      <c r="K202" s="235"/>
      <c r="L202" s="233">
        <f t="shared" si="3"/>
        <v>14</v>
      </c>
    </row>
    <row r="203" spans="1:12" x14ac:dyDescent="0.2">
      <c r="A203" s="238">
        <v>10</v>
      </c>
      <c r="B203" s="234"/>
      <c r="C203" s="234" t="s">
        <v>486</v>
      </c>
      <c r="D203" s="234" t="s">
        <v>328</v>
      </c>
      <c r="E203" s="243" t="str">
        <f>VLOOKUP(A203,Ausschreibung!$B$4:$I$35,4,FALSE)</f>
        <v>Jungen U15</v>
      </c>
      <c r="F203" s="245" t="str">
        <f>VLOOKUP(A203,Ausschreibung!$B$4:$I$35,5,FALSE)</f>
        <v>-</v>
      </c>
      <c r="G203" s="243">
        <f>VLOOKUP(A203,Ausschreibung!$B$4:$I$35,6,FALSE)</f>
        <v>14</v>
      </c>
      <c r="H203" s="235">
        <v>2006</v>
      </c>
      <c r="I203" s="243" t="str">
        <f>VLOOKUP(A203,Ausschreibung!$B$4:$I$35,8,FALSE)</f>
        <v>1000 m</v>
      </c>
      <c r="J203" s="235" t="s">
        <v>488</v>
      </c>
      <c r="K203" s="235"/>
      <c r="L203" s="233">
        <f t="shared" si="3"/>
        <v>14</v>
      </c>
    </row>
    <row r="204" spans="1:12" x14ac:dyDescent="0.2">
      <c r="A204" s="238">
        <v>13</v>
      </c>
      <c r="B204" s="234"/>
      <c r="C204" s="234" t="s">
        <v>487</v>
      </c>
      <c r="D204" s="234" t="s">
        <v>479</v>
      </c>
      <c r="E204" s="243" t="str">
        <f>VLOOKUP(A204,Ausschreibung!$B$4:$I$35,4,FALSE)</f>
        <v>Junioren B U17</v>
      </c>
      <c r="F204" s="245" t="str">
        <f>VLOOKUP(A204,Ausschreibung!$B$4:$I$35,5,FALSE)</f>
        <v>Lgw. bis 67,5kg</v>
      </c>
      <c r="G204" s="243" t="str">
        <f>VLOOKUP(A204,Ausschreibung!$B$4:$I$35,6,FALSE)</f>
        <v>15-16</v>
      </c>
      <c r="H204" s="235">
        <v>2004</v>
      </c>
      <c r="I204" s="243" t="str">
        <f>VLOOKUP(A204,Ausschreibung!$B$4:$I$35,8,FALSE)</f>
        <v>1500 m</v>
      </c>
      <c r="J204" s="235" t="s">
        <v>488</v>
      </c>
      <c r="K204" s="235"/>
      <c r="L204" s="233">
        <f t="shared" si="3"/>
        <v>16</v>
      </c>
    </row>
    <row r="205" spans="1:12" x14ac:dyDescent="0.2">
      <c r="A205" s="238">
        <v>15</v>
      </c>
      <c r="B205" s="234"/>
      <c r="C205" s="234" t="s">
        <v>480</v>
      </c>
      <c r="D205" s="234" t="s">
        <v>472</v>
      </c>
      <c r="E205" s="243" t="str">
        <f>VLOOKUP(A205,Ausschreibung!$B$4:$I$35,4,FALSE)</f>
        <v>Sprint weiblich</v>
      </c>
      <c r="F205" s="245" t="str">
        <f>VLOOKUP(A205,Ausschreibung!$B$4:$I$35,5,FALSE)</f>
        <v>-</v>
      </c>
      <c r="G205" s="243" t="str">
        <f>VLOOKUP(A205,Ausschreibung!$B$4:$I$35,6,FALSE)</f>
        <v>offen</v>
      </c>
      <c r="H205" s="235">
        <v>1968</v>
      </c>
      <c r="I205" s="243" t="str">
        <f>VLOOKUP(A205,Ausschreibung!$B$4:$I$35,8,FALSE)</f>
        <v>350 m</v>
      </c>
      <c r="J205" s="235" t="s">
        <v>488</v>
      </c>
      <c r="K205" s="235"/>
      <c r="L205" s="233">
        <f t="shared" si="3"/>
        <v>52</v>
      </c>
    </row>
    <row r="206" spans="1:12" x14ac:dyDescent="0.2">
      <c r="A206" s="238">
        <v>15</v>
      </c>
      <c r="B206" s="234"/>
      <c r="C206" s="234" t="s">
        <v>481</v>
      </c>
      <c r="D206" s="234" t="s">
        <v>473</v>
      </c>
      <c r="E206" s="243" t="str">
        <f>VLOOKUP(A206,Ausschreibung!$B$4:$I$35,4,FALSE)</f>
        <v>Sprint weiblich</v>
      </c>
      <c r="F206" s="245" t="str">
        <f>VLOOKUP(A206,Ausschreibung!$B$4:$I$35,5,FALSE)</f>
        <v>-</v>
      </c>
      <c r="G206" s="243" t="str">
        <f>VLOOKUP(A206,Ausschreibung!$B$4:$I$35,6,FALSE)</f>
        <v>offen</v>
      </c>
      <c r="H206" s="235">
        <v>1971</v>
      </c>
      <c r="I206" s="243" t="str">
        <f>VLOOKUP(A206,Ausschreibung!$B$4:$I$35,8,FALSE)</f>
        <v>350 m</v>
      </c>
      <c r="J206" s="235" t="s">
        <v>488</v>
      </c>
      <c r="K206" s="235"/>
      <c r="L206" s="233">
        <f t="shared" si="3"/>
        <v>49</v>
      </c>
    </row>
    <row r="207" spans="1:12" x14ac:dyDescent="0.2">
      <c r="A207" s="238">
        <v>16</v>
      </c>
      <c r="B207" s="234"/>
      <c r="C207" s="234" t="s">
        <v>481</v>
      </c>
      <c r="D207" s="234" t="s">
        <v>474</v>
      </c>
      <c r="E207" s="243" t="str">
        <f>VLOOKUP(A207,Ausschreibung!$B$4:$I$35,4,FALSE)</f>
        <v>Sprint männlich</v>
      </c>
      <c r="F207" s="245" t="str">
        <f>VLOOKUP(A207,Ausschreibung!$B$4:$I$35,5,FALSE)</f>
        <v>-</v>
      </c>
      <c r="G207" s="243" t="str">
        <f>VLOOKUP(A207,Ausschreibung!$B$4:$I$35,6,FALSE)</f>
        <v>offen</v>
      </c>
      <c r="H207" s="235">
        <v>1967</v>
      </c>
      <c r="I207" s="243" t="str">
        <f>VLOOKUP(A207,Ausschreibung!$B$4:$I$35,8,FALSE)</f>
        <v>350 m</v>
      </c>
      <c r="J207" s="235" t="s">
        <v>488</v>
      </c>
      <c r="K207" s="235"/>
      <c r="L207" s="233">
        <f t="shared" si="3"/>
        <v>53</v>
      </c>
    </row>
    <row r="208" spans="1:12" x14ac:dyDescent="0.2">
      <c r="A208" s="238">
        <v>16</v>
      </c>
      <c r="B208" s="234"/>
      <c r="C208" s="234" t="s">
        <v>487</v>
      </c>
      <c r="D208" s="234" t="s">
        <v>479</v>
      </c>
      <c r="E208" s="243" t="str">
        <f>VLOOKUP(A208,Ausschreibung!$B$4:$I$35,4,FALSE)</f>
        <v>Sprint männlich</v>
      </c>
      <c r="F208" s="245" t="str">
        <f>VLOOKUP(A208,Ausschreibung!$B$4:$I$35,5,FALSE)</f>
        <v>-</v>
      </c>
      <c r="G208" s="243" t="str">
        <f>VLOOKUP(A208,Ausschreibung!$B$4:$I$35,6,FALSE)</f>
        <v>offen</v>
      </c>
      <c r="H208" s="235">
        <v>2004</v>
      </c>
      <c r="I208" s="243" t="str">
        <f>VLOOKUP(A208,Ausschreibung!$B$4:$I$35,8,FALSE)</f>
        <v>350 m</v>
      </c>
      <c r="J208" s="235" t="s">
        <v>488</v>
      </c>
      <c r="K208" s="235"/>
      <c r="L208" s="233">
        <f t="shared" si="3"/>
        <v>16</v>
      </c>
    </row>
    <row r="209" spans="1:12" x14ac:dyDescent="0.2">
      <c r="A209" s="238">
        <v>29</v>
      </c>
      <c r="B209" s="234"/>
      <c r="C209" s="234" t="s">
        <v>436</v>
      </c>
      <c r="D209" s="234" t="s">
        <v>344</v>
      </c>
      <c r="E209" s="243" t="str">
        <f>VLOOKUP(A209,Ausschreibung!$B$4:$I$35,4,FALSE)</f>
        <v>Mannschaft offen - 2 Personen</v>
      </c>
      <c r="F209" s="245" t="str">
        <f>VLOOKUP(A209,Ausschreibung!$B$4:$I$35,5,FALSE)</f>
        <v>-</v>
      </c>
      <c r="G209" s="243" t="str">
        <f>VLOOKUP(A209,Ausschreibung!$B$4:$I$35,6,FALSE)</f>
        <v>offen</v>
      </c>
      <c r="H209" s="235">
        <v>1961</v>
      </c>
      <c r="I209" s="243" t="str">
        <f>VLOOKUP(A209,Ausschreibung!$B$4:$I$35,8,FALSE)</f>
        <v>5000 m</v>
      </c>
      <c r="J209" s="235" t="s">
        <v>449</v>
      </c>
      <c r="K209" s="235" t="s">
        <v>503</v>
      </c>
      <c r="L209" s="233">
        <f t="shared" si="3"/>
        <v>59</v>
      </c>
    </row>
    <row r="210" spans="1:12" x14ac:dyDescent="0.2">
      <c r="A210" s="238">
        <v>29</v>
      </c>
      <c r="B210" s="245"/>
      <c r="C210" s="234" t="s">
        <v>504</v>
      </c>
      <c r="D210" s="234" t="s">
        <v>187</v>
      </c>
      <c r="E210" s="243" t="str">
        <f>VLOOKUP(A210,Ausschreibung!$B$4:$I$35,4,FALSE)</f>
        <v>Mannschaft offen - 2 Personen</v>
      </c>
      <c r="F210" s="245" t="str">
        <f>VLOOKUP(A210,Ausschreibung!$B$4:$I$35,5,FALSE)</f>
        <v>-</v>
      </c>
      <c r="G210" s="243" t="str">
        <f>VLOOKUP(A210,Ausschreibung!$B$4:$I$35,6,FALSE)</f>
        <v>offen</v>
      </c>
      <c r="H210" s="235">
        <v>2001</v>
      </c>
      <c r="I210" s="243" t="str">
        <f>VLOOKUP(A210,Ausschreibung!$B$4:$I$35,8,FALSE)</f>
        <v>5000 m</v>
      </c>
      <c r="J210" s="235" t="s">
        <v>449</v>
      </c>
      <c r="K210" s="235" t="s">
        <v>503</v>
      </c>
      <c r="L210" s="233">
        <f t="shared" si="3"/>
        <v>19</v>
      </c>
    </row>
    <row r="211" spans="1:12" x14ac:dyDescent="0.2">
      <c r="A211" s="238">
        <v>13</v>
      </c>
      <c r="B211" s="245"/>
      <c r="C211" s="234" t="s">
        <v>505</v>
      </c>
      <c r="D211" s="234" t="s">
        <v>190</v>
      </c>
      <c r="E211" s="243" t="str">
        <f>VLOOKUP(A211,Ausschreibung!$B$4:$I$35,4,FALSE)</f>
        <v>Junioren B U17</v>
      </c>
      <c r="F211" s="245" t="str">
        <f>VLOOKUP(A211,Ausschreibung!$B$4:$I$35,5,FALSE)</f>
        <v>Lgw. bis 67,5kg</v>
      </c>
      <c r="G211" s="243" t="str">
        <f>VLOOKUP(A211,Ausschreibung!$B$4:$I$35,6,FALSE)</f>
        <v>15-16</v>
      </c>
      <c r="H211" s="235">
        <v>2004</v>
      </c>
      <c r="I211" s="243" t="str">
        <f>VLOOKUP(A211,Ausschreibung!$B$4:$I$35,8,FALSE)</f>
        <v>1500 m</v>
      </c>
      <c r="J211" s="235" t="s">
        <v>345</v>
      </c>
      <c r="K211" s="235" t="s">
        <v>503</v>
      </c>
      <c r="L211" s="233">
        <f t="shared" si="3"/>
        <v>16</v>
      </c>
    </row>
    <row r="212" spans="1:12" x14ac:dyDescent="0.2">
      <c r="A212" s="238"/>
      <c r="B212" s="245"/>
      <c r="C212" s="234"/>
      <c r="D212" s="234"/>
      <c r="E212" s="243" t="e">
        <f>VLOOKUP(A212,Ausschreibung!$B$4:$I$35,4,FALSE)</f>
        <v>#N/A</v>
      </c>
      <c r="F212" s="245" t="e">
        <f>VLOOKUP(A212,Ausschreibung!$B$4:$I$35,5,FALSE)</f>
        <v>#N/A</v>
      </c>
      <c r="G212" s="243" t="e">
        <f>VLOOKUP(A212,Ausschreibung!$B$4:$I$35,6,FALSE)</f>
        <v>#N/A</v>
      </c>
      <c r="H212" s="235"/>
      <c r="I212" s="243" t="e">
        <f>VLOOKUP(A212,Ausschreibung!$B$4:$I$35,8,FALSE)</f>
        <v>#N/A</v>
      </c>
      <c r="J212" s="235"/>
      <c r="K212" s="235"/>
      <c r="L212" s="233">
        <f t="shared" si="3"/>
        <v>2020</v>
      </c>
    </row>
    <row r="213" spans="1:12" x14ac:dyDescent="0.2">
      <c r="A213" s="238"/>
      <c r="B213" s="245"/>
      <c r="C213" s="234"/>
      <c r="D213" s="234"/>
      <c r="E213" s="243" t="e">
        <f>VLOOKUP(A213,Ausschreibung!$B$4:$I$35,4,FALSE)</f>
        <v>#N/A</v>
      </c>
      <c r="F213" s="245" t="e">
        <f>VLOOKUP(A213,Ausschreibung!$B$4:$I$35,5,FALSE)</f>
        <v>#N/A</v>
      </c>
      <c r="G213" s="243" t="e">
        <f>VLOOKUP(A213,Ausschreibung!$B$4:$I$35,6,FALSE)</f>
        <v>#N/A</v>
      </c>
      <c r="H213" s="235"/>
      <c r="I213" s="243" t="e">
        <f>VLOOKUP(A213,Ausschreibung!$B$4:$I$35,8,FALSE)</f>
        <v>#N/A</v>
      </c>
      <c r="J213" s="235"/>
      <c r="K213" s="235"/>
      <c r="L213" s="233">
        <f t="shared" si="3"/>
        <v>2020</v>
      </c>
    </row>
    <row r="214" spans="1:12" x14ac:dyDescent="0.2">
      <c r="A214" s="238"/>
      <c r="B214" s="245"/>
      <c r="C214" s="234"/>
      <c r="D214" s="234"/>
      <c r="E214" s="243" t="e">
        <f>VLOOKUP(A214,Ausschreibung!$B$4:$I$35,4,FALSE)</f>
        <v>#N/A</v>
      </c>
      <c r="F214" s="245" t="e">
        <f>VLOOKUP(A214,Ausschreibung!$B$4:$I$35,5,FALSE)</f>
        <v>#N/A</v>
      </c>
      <c r="G214" s="243" t="e">
        <f>VLOOKUP(A214,Ausschreibung!$B$4:$I$35,6,FALSE)</f>
        <v>#N/A</v>
      </c>
      <c r="H214" s="235"/>
      <c r="I214" s="243" t="e">
        <f>VLOOKUP(A214,Ausschreibung!$B$4:$I$35,8,FALSE)</f>
        <v>#N/A</v>
      </c>
      <c r="J214" s="235"/>
      <c r="K214" s="235"/>
      <c r="L214" s="233">
        <f t="shared" si="3"/>
        <v>2020</v>
      </c>
    </row>
    <row r="215" spans="1:12" x14ac:dyDescent="0.2">
      <c r="A215" s="238"/>
      <c r="B215" s="245"/>
      <c r="C215" s="234"/>
      <c r="D215" s="234"/>
      <c r="E215" s="243" t="e">
        <f>VLOOKUP(A215,Ausschreibung!$B$4:$I$35,4,FALSE)</f>
        <v>#N/A</v>
      </c>
      <c r="F215" s="245" t="e">
        <f>VLOOKUP(A215,Ausschreibung!$B$4:$I$35,5,FALSE)</f>
        <v>#N/A</v>
      </c>
      <c r="G215" s="243" t="e">
        <f>VLOOKUP(A215,Ausschreibung!$B$4:$I$35,6,FALSE)</f>
        <v>#N/A</v>
      </c>
      <c r="H215" s="235"/>
      <c r="I215" s="243" t="e">
        <f>VLOOKUP(A215,Ausschreibung!$B$4:$I$35,8,FALSE)</f>
        <v>#N/A</v>
      </c>
      <c r="J215" s="235"/>
      <c r="K215" s="235"/>
      <c r="L215" s="233">
        <f t="shared" si="3"/>
        <v>2020</v>
      </c>
    </row>
    <row r="216" spans="1:12" x14ac:dyDescent="0.2">
      <c r="A216" s="238"/>
      <c r="B216" s="245"/>
      <c r="C216" s="234"/>
      <c r="D216" s="234"/>
      <c r="E216" s="243" t="e">
        <f>VLOOKUP(A216,Ausschreibung!$B$4:$I$35,4,FALSE)</f>
        <v>#N/A</v>
      </c>
      <c r="F216" s="245" t="e">
        <f>VLOOKUP(A216,Ausschreibung!$B$4:$I$35,5,FALSE)</f>
        <v>#N/A</v>
      </c>
      <c r="G216" s="243" t="e">
        <f>VLOOKUP(A216,Ausschreibung!$B$4:$I$35,6,FALSE)</f>
        <v>#N/A</v>
      </c>
      <c r="H216" s="235"/>
      <c r="I216" s="243" t="e">
        <f>VLOOKUP(A216,Ausschreibung!$B$4:$I$35,8,FALSE)</f>
        <v>#N/A</v>
      </c>
      <c r="J216" s="235"/>
      <c r="K216" s="235"/>
      <c r="L216" s="233">
        <f t="shared" si="3"/>
        <v>2020</v>
      </c>
    </row>
    <row r="217" spans="1:12" x14ac:dyDescent="0.2">
      <c r="A217" s="238"/>
      <c r="B217" s="245"/>
      <c r="C217" s="234"/>
      <c r="D217" s="234"/>
      <c r="E217" s="243" t="e">
        <f>VLOOKUP(A217,Ausschreibung!$B$4:$I$35,4,FALSE)</f>
        <v>#N/A</v>
      </c>
      <c r="F217" s="245" t="e">
        <f>VLOOKUP(A217,Ausschreibung!$B$4:$I$35,5,FALSE)</f>
        <v>#N/A</v>
      </c>
      <c r="G217" s="243" t="e">
        <f>VLOOKUP(A217,Ausschreibung!$B$4:$I$35,6,FALSE)</f>
        <v>#N/A</v>
      </c>
      <c r="H217" s="235"/>
      <c r="I217" s="243" t="e">
        <f>VLOOKUP(A217,Ausschreibung!$B$4:$I$35,8,FALSE)</f>
        <v>#N/A</v>
      </c>
      <c r="J217" s="235"/>
      <c r="K217" s="235"/>
      <c r="L217" s="233">
        <f t="shared" si="3"/>
        <v>2020</v>
      </c>
    </row>
    <row r="218" spans="1:12" x14ac:dyDescent="0.2">
      <c r="A218" s="238"/>
      <c r="B218" s="245"/>
      <c r="C218" s="234"/>
      <c r="D218" s="234"/>
      <c r="E218" s="243" t="e">
        <f>VLOOKUP(A218,Ausschreibung!$B$4:$I$35,4,FALSE)</f>
        <v>#N/A</v>
      </c>
      <c r="F218" s="245" t="e">
        <f>VLOOKUP(A218,Ausschreibung!$B$4:$I$35,5,FALSE)</f>
        <v>#N/A</v>
      </c>
      <c r="G218" s="243" t="e">
        <f>VLOOKUP(A218,Ausschreibung!$B$4:$I$35,6,FALSE)</f>
        <v>#N/A</v>
      </c>
      <c r="H218" s="235"/>
      <c r="I218" s="243" t="e">
        <f>VLOOKUP(A218,Ausschreibung!$B$4:$I$35,8,FALSE)</f>
        <v>#N/A</v>
      </c>
      <c r="J218" s="235"/>
      <c r="K218" s="235"/>
      <c r="L218" s="233">
        <f t="shared" si="3"/>
        <v>2020</v>
      </c>
    </row>
    <row r="219" spans="1:12" x14ac:dyDescent="0.2">
      <c r="A219" s="238"/>
      <c r="B219" s="245"/>
      <c r="C219" s="234"/>
      <c r="D219" s="234"/>
      <c r="E219" s="243" t="e">
        <f>VLOOKUP(A219,Ausschreibung!$B$4:$I$35,4,FALSE)</f>
        <v>#N/A</v>
      </c>
      <c r="F219" s="245" t="e">
        <f>VLOOKUP(A219,Ausschreibung!$B$4:$I$35,5,FALSE)</f>
        <v>#N/A</v>
      </c>
      <c r="G219" s="243" t="e">
        <f>VLOOKUP(A219,Ausschreibung!$B$4:$I$35,6,FALSE)</f>
        <v>#N/A</v>
      </c>
      <c r="H219" s="238"/>
      <c r="I219" s="243" t="e">
        <f>VLOOKUP(A219,Ausschreibung!$B$4:$I$35,8,FALSE)</f>
        <v>#N/A</v>
      </c>
      <c r="J219" s="235"/>
      <c r="K219" s="235"/>
      <c r="L219" s="233">
        <f t="shared" si="3"/>
        <v>2020</v>
      </c>
    </row>
    <row r="220" spans="1:12" x14ac:dyDescent="0.2">
      <c r="A220" s="238"/>
      <c r="B220" s="245"/>
      <c r="C220" s="234"/>
      <c r="D220" s="234"/>
      <c r="E220" s="243" t="e">
        <f>VLOOKUP(A220,Ausschreibung!$B$4:$I$35,4,FALSE)</f>
        <v>#N/A</v>
      </c>
      <c r="F220" s="245" t="e">
        <f>VLOOKUP(A220,Ausschreibung!$B$4:$I$35,5,FALSE)</f>
        <v>#N/A</v>
      </c>
      <c r="G220" s="243" t="e">
        <f>VLOOKUP(A220,Ausschreibung!$B$4:$I$35,6,FALSE)</f>
        <v>#N/A</v>
      </c>
      <c r="H220" s="238"/>
      <c r="I220" s="243" t="e">
        <f>VLOOKUP(A220,Ausschreibung!$B$4:$I$35,8,FALSE)</f>
        <v>#N/A</v>
      </c>
      <c r="J220" s="235"/>
      <c r="K220" s="235"/>
      <c r="L220" s="233">
        <f t="shared" si="3"/>
        <v>2020</v>
      </c>
    </row>
    <row r="221" spans="1:12" x14ac:dyDescent="0.2">
      <c r="A221" s="238"/>
      <c r="B221" s="245"/>
      <c r="C221" s="234"/>
      <c r="D221" s="234"/>
      <c r="E221" s="243" t="e">
        <f>VLOOKUP(A221,Ausschreibung!$B$4:$I$35,4,FALSE)</f>
        <v>#N/A</v>
      </c>
      <c r="F221" s="245" t="e">
        <f>VLOOKUP(A221,Ausschreibung!$B$4:$I$35,5,FALSE)</f>
        <v>#N/A</v>
      </c>
      <c r="G221" s="243" t="e">
        <f>VLOOKUP(A221,Ausschreibung!$B$4:$I$35,6,FALSE)</f>
        <v>#N/A</v>
      </c>
      <c r="H221" s="238"/>
      <c r="I221" s="243" t="e">
        <f>VLOOKUP(A221,Ausschreibung!$B$4:$I$35,8,FALSE)</f>
        <v>#N/A</v>
      </c>
      <c r="J221" s="235"/>
      <c r="K221" s="235"/>
      <c r="L221" s="233">
        <f t="shared" si="3"/>
        <v>2020</v>
      </c>
    </row>
    <row r="222" spans="1:12" x14ac:dyDescent="0.2">
      <c r="A222" s="238"/>
      <c r="B222" s="245"/>
      <c r="C222" s="234"/>
      <c r="D222" s="234"/>
      <c r="E222" s="243" t="e">
        <f>VLOOKUP(A222,Ausschreibung!$B$4:$I$35,4,FALSE)</f>
        <v>#N/A</v>
      </c>
      <c r="F222" s="245" t="e">
        <f>VLOOKUP(A222,Ausschreibung!$B$4:$I$35,5,FALSE)</f>
        <v>#N/A</v>
      </c>
      <c r="G222" s="243" t="e">
        <f>VLOOKUP(A222,Ausschreibung!$B$4:$I$35,6,FALSE)</f>
        <v>#N/A</v>
      </c>
      <c r="H222" s="238"/>
      <c r="I222" s="243" t="e">
        <f>VLOOKUP(A222,Ausschreibung!$B$4:$I$35,8,FALSE)</f>
        <v>#N/A</v>
      </c>
      <c r="J222" s="235"/>
      <c r="K222" s="235"/>
      <c r="L222" s="233">
        <f t="shared" si="3"/>
        <v>2020</v>
      </c>
    </row>
    <row r="223" spans="1:12" x14ac:dyDescent="0.2">
      <c r="A223" s="238"/>
      <c r="B223" s="245"/>
      <c r="C223" s="237"/>
      <c r="D223" s="237"/>
      <c r="E223" s="243" t="e">
        <f>VLOOKUP(A223,Ausschreibung!$B$4:$I$35,4,FALSE)</f>
        <v>#N/A</v>
      </c>
      <c r="F223" s="245" t="e">
        <f>VLOOKUP(A223,Ausschreibung!$B$4:$I$35,5,FALSE)</f>
        <v>#N/A</v>
      </c>
      <c r="G223" s="243" t="e">
        <f>VLOOKUP(A223,Ausschreibung!$B$4:$I$35,6,FALSE)</f>
        <v>#N/A</v>
      </c>
      <c r="H223" s="238"/>
      <c r="I223" s="243" t="e">
        <f>VLOOKUP(A223,Ausschreibung!$B$4:$I$35,8,FALSE)</f>
        <v>#N/A</v>
      </c>
      <c r="J223" s="235"/>
      <c r="K223" s="235"/>
      <c r="L223" s="233">
        <f t="shared" si="3"/>
        <v>2020</v>
      </c>
    </row>
    <row r="224" spans="1:12" x14ac:dyDescent="0.2">
      <c r="A224" s="238"/>
      <c r="B224" s="245"/>
      <c r="C224" s="234"/>
      <c r="D224" s="234"/>
      <c r="E224" s="243" t="e">
        <f>VLOOKUP(A224,Ausschreibung!$B$4:$I$35,4,FALSE)</f>
        <v>#N/A</v>
      </c>
      <c r="F224" s="245" t="e">
        <f>VLOOKUP(A224,Ausschreibung!$B$4:$I$35,5,FALSE)</f>
        <v>#N/A</v>
      </c>
      <c r="G224" s="243" t="e">
        <f>VLOOKUP(A224,Ausschreibung!$B$4:$I$35,6,FALSE)</f>
        <v>#N/A</v>
      </c>
      <c r="H224" s="238"/>
      <c r="I224" s="243" t="e">
        <f>VLOOKUP(A224,Ausschreibung!$B$4:$I$35,8,FALSE)</f>
        <v>#N/A</v>
      </c>
      <c r="J224" s="235"/>
      <c r="K224" s="235"/>
      <c r="L224" s="233">
        <f t="shared" si="3"/>
        <v>2020</v>
      </c>
    </row>
    <row r="225" spans="1:12" x14ac:dyDescent="0.2">
      <c r="A225" s="238"/>
      <c r="B225" s="245"/>
      <c r="C225" s="234"/>
      <c r="D225" s="234"/>
      <c r="E225" s="243" t="e">
        <f>VLOOKUP(A225,Ausschreibung!$B$4:$I$35,4,FALSE)</f>
        <v>#N/A</v>
      </c>
      <c r="F225" s="245" t="e">
        <f>VLOOKUP(A225,Ausschreibung!$B$4:$I$35,5,FALSE)</f>
        <v>#N/A</v>
      </c>
      <c r="G225" s="243" t="e">
        <f>VLOOKUP(A225,Ausschreibung!$B$4:$I$35,6,FALSE)</f>
        <v>#N/A</v>
      </c>
      <c r="H225" s="238"/>
      <c r="I225" s="243" t="e">
        <f>VLOOKUP(A225,Ausschreibung!$B$4:$I$35,8,FALSE)</f>
        <v>#N/A</v>
      </c>
      <c r="J225" s="235"/>
      <c r="K225" s="235"/>
      <c r="L225" s="233">
        <f t="shared" si="3"/>
        <v>2020</v>
      </c>
    </row>
    <row r="226" spans="1:12" x14ac:dyDescent="0.2">
      <c r="A226" s="238"/>
      <c r="B226" s="245"/>
      <c r="C226" s="234"/>
      <c r="D226" s="234"/>
      <c r="E226" s="243" t="e">
        <f>VLOOKUP(A226,Ausschreibung!$B$4:$I$35,4,FALSE)</f>
        <v>#N/A</v>
      </c>
      <c r="F226" s="245" t="e">
        <f>VLOOKUP(A226,Ausschreibung!$B$4:$I$35,5,FALSE)</f>
        <v>#N/A</v>
      </c>
      <c r="G226" s="243" t="e">
        <f>VLOOKUP(A226,Ausschreibung!$B$4:$I$35,6,FALSE)</f>
        <v>#N/A</v>
      </c>
      <c r="H226" s="238"/>
      <c r="I226" s="243" t="e">
        <f>VLOOKUP(A226,Ausschreibung!$B$4:$I$35,8,FALSE)</f>
        <v>#N/A</v>
      </c>
      <c r="J226" s="235"/>
      <c r="K226" s="235"/>
      <c r="L226" s="233">
        <f t="shared" si="3"/>
        <v>2020</v>
      </c>
    </row>
    <row r="227" spans="1:12" x14ac:dyDescent="0.2">
      <c r="A227" s="238"/>
      <c r="B227" s="245"/>
      <c r="C227" s="234"/>
      <c r="D227" s="234"/>
      <c r="E227" s="243" t="e">
        <f>VLOOKUP(A227,Ausschreibung!$B$4:$I$35,4,FALSE)</f>
        <v>#N/A</v>
      </c>
      <c r="F227" s="245" t="e">
        <f>VLOOKUP(A227,Ausschreibung!$B$4:$I$35,5,FALSE)</f>
        <v>#N/A</v>
      </c>
      <c r="G227" s="243" t="e">
        <f>VLOOKUP(A227,Ausschreibung!$B$4:$I$35,6,FALSE)</f>
        <v>#N/A</v>
      </c>
      <c r="H227" s="238"/>
      <c r="I227" s="243" t="e">
        <f>VLOOKUP(A227,Ausschreibung!$B$4:$I$35,8,FALSE)</f>
        <v>#N/A</v>
      </c>
      <c r="J227" s="235"/>
      <c r="K227" s="235"/>
      <c r="L227" s="233">
        <f t="shared" si="3"/>
        <v>2020</v>
      </c>
    </row>
    <row r="228" spans="1:12" x14ac:dyDescent="0.2">
      <c r="A228" s="238"/>
      <c r="B228" s="245"/>
      <c r="C228" s="234"/>
      <c r="D228" s="234"/>
      <c r="E228" s="243" t="e">
        <f>VLOOKUP(A228,Ausschreibung!$B$4:$I$35,4,FALSE)</f>
        <v>#N/A</v>
      </c>
      <c r="F228" s="245" t="e">
        <f>VLOOKUP(A228,Ausschreibung!$B$4:$I$35,5,FALSE)</f>
        <v>#N/A</v>
      </c>
      <c r="G228" s="243" t="e">
        <f>VLOOKUP(A228,Ausschreibung!$B$4:$I$35,6,FALSE)</f>
        <v>#N/A</v>
      </c>
      <c r="H228" s="238"/>
      <c r="I228" s="243" t="e">
        <f>VLOOKUP(A228,Ausschreibung!$B$4:$I$35,8,FALSE)</f>
        <v>#N/A</v>
      </c>
      <c r="J228" s="235"/>
      <c r="K228" s="235"/>
      <c r="L228" s="233">
        <f t="shared" si="3"/>
        <v>2020</v>
      </c>
    </row>
    <row r="229" spans="1:12" x14ac:dyDescent="0.2">
      <c r="A229" s="238"/>
      <c r="B229" s="245"/>
      <c r="C229" s="234"/>
      <c r="D229" s="234"/>
      <c r="E229" s="243" t="e">
        <f>VLOOKUP(A229,Ausschreibung!$B$4:$I$35,4,FALSE)</f>
        <v>#N/A</v>
      </c>
      <c r="F229" s="245" t="e">
        <f>VLOOKUP(A229,Ausschreibung!$B$4:$I$35,5,FALSE)</f>
        <v>#N/A</v>
      </c>
      <c r="G229" s="243" t="e">
        <f>VLOOKUP(A229,Ausschreibung!$B$4:$I$35,6,FALSE)</f>
        <v>#N/A</v>
      </c>
      <c r="H229" s="238"/>
      <c r="I229" s="243" t="e">
        <f>VLOOKUP(A229,Ausschreibung!$B$4:$I$35,8,FALSE)</f>
        <v>#N/A</v>
      </c>
      <c r="J229" s="235"/>
      <c r="K229" s="235"/>
      <c r="L229" s="233">
        <f t="shared" si="3"/>
        <v>2020</v>
      </c>
    </row>
    <row r="230" spans="1:12" x14ac:dyDescent="0.2">
      <c r="A230" s="238"/>
      <c r="B230" s="245"/>
      <c r="C230" s="234"/>
      <c r="D230" s="234"/>
      <c r="E230" s="243" t="e">
        <f>VLOOKUP(A230,Ausschreibung!$B$4:$I$35,4,FALSE)</f>
        <v>#N/A</v>
      </c>
      <c r="F230" s="245" t="e">
        <f>VLOOKUP(A230,Ausschreibung!$B$4:$I$35,5,FALSE)</f>
        <v>#N/A</v>
      </c>
      <c r="G230" s="243" t="e">
        <f>VLOOKUP(A230,Ausschreibung!$B$4:$I$35,6,FALSE)</f>
        <v>#N/A</v>
      </c>
      <c r="H230" s="238"/>
      <c r="I230" s="243" t="e">
        <f>VLOOKUP(A230,Ausschreibung!$B$4:$I$35,8,FALSE)</f>
        <v>#N/A</v>
      </c>
      <c r="J230" s="235"/>
      <c r="K230" s="235"/>
      <c r="L230" s="233">
        <f t="shared" si="3"/>
        <v>2020</v>
      </c>
    </row>
    <row r="231" spans="1:12" x14ac:dyDescent="0.2">
      <c r="A231" s="238"/>
      <c r="B231" s="245"/>
      <c r="C231" s="234"/>
      <c r="D231" s="234"/>
      <c r="E231" s="243" t="e">
        <f>VLOOKUP(A231,Ausschreibung!$B$4:$I$35,4,FALSE)</f>
        <v>#N/A</v>
      </c>
      <c r="F231" s="245" t="e">
        <f>VLOOKUP(A231,Ausschreibung!$B$4:$I$35,5,FALSE)</f>
        <v>#N/A</v>
      </c>
      <c r="G231" s="243" t="e">
        <f>VLOOKUP(A231,Ausschreibung!$B$4:$I$35,6,FALSE)</f>
        <v>#N/A</v>
      </c>
      <c r="H231" s="238"/>
      <c r="I231" s="243" t="e">
        <f>VLOOKUP(A231,Ausschreibung!$B$4:$I$35,8,FALSE)</f>
        <v>#N/A</v>
      </c>
      <c r="J231" s="235"/>
      <c r="K231" s="235"/>
      <c r="L231" s="233">
        <f t="shared" si="3"/>
        <v>2020</v>
      </c>
    </row>
    <row r="232" spans="1:12" x14ac:dyDescent="0.2">
      <c r="A232" s="238"/>
      <c r="B232" s="245"/>
      <c r="C232" s="234"/>
      <c r="D232" s="234"/>
      <c r="E232" s="243" t="e">
        <f>VLOOKUP(A232,Ausschreibung!$B$4:$I$35,4,FALSE)</f>
        <v>#N/A</v>
      </c>
      <c r="F232" s="245" t="e">
        <f>VLOOKUP(A232,Ausschreibung!$B$4:$I$35,5,FALSE)</f>
        <v>#N/A</v>
      </c>
      <c r="G232" s="243" t="e">
        <f>VLOOKUP(A232,Ausschreibung!$B$4:$I$35,6,FALSE)</f>
        <v>#N/A</v>
      </c>
      <c r="H232" s="238"/>
      <c r="I232" s="243" t="e">
        <f>VLOOKUP(A232,Ausschreibung!$B$4:$I$35,8,FALSE)</f>
        <v>#N/A</v>
      </c>
      <c r="J232" s="235"/>
      <c r="K232" s="235"/>
      <c r="L232" s="233">
        <f t="shared" si="3"/>
        <v>2020</v>
      </c>
    </row>
    <row r="233" spans="1:12" x14ac:dyDescent="0.2">
      <c r="A233" s="238"/>
      <c r="B233" s="245"/>
      <c r="C233" s="234"/>
      <c r="D233" s="234"/>
      <c r="E233" s="243" t="e">
        <f>VLOOKUP(A233,Ausschreibung!$B$4:$I$35,4,FALSE)</f>
        <v>#N/A</v>
      </c>
      <c r="F233" s="245" t="e">
        <f>VLOOKUP(A233,Ausschreibung!$B$4:$I$35,5,FALSE)</f>
        <v>#N/A</v>
      </c>
      <c r="G233" s="243" t="e">
        <f>VLOOKUP(A233,Ausschreibung!$B$4:$I$35,6,FALSE)</f>
        <v>#N/A</v>
      </c>
      <c r="H233" s="238"/>
      <c r="I233" s="243" t="e">
        <f>VLOOKUP(A233,Ausschreibung!$B$4:$I$35,8,FALSE)</f>
        <v>#N/A</v>
      </c>
      <c r="J233" s="235"/>
      <c r="K233" s="235"/>
      <c r="L233" s="233">
        <f t="shared" si="3"/>
        <v>2020</v>
      </c>
    </row>
    <row r="234" spans="1:12" x14ac:dyDescent="0.2">
      <c r="A234" s="238"/>
      <c r="B234" s="245"/>
      <c r="C234" s="234"/>
      <c r="D234" s="234"/>
      <c r="E234" s="243" t="e">
        <f>VLOOKUP(A234,Ausschreibung!$B$4:$I$35,4,FALSE)</f>
        <v>#N/A</v>
      </c>
      <c r="F234" s="245" t="e">
        <f>VLOOKUP(A234,Ausschreibung!$B$4:$I$35,5,FALSE)</f>
        <v>#N/A</v>
      </c>
      <c r="G234" s="243" t="e">
        <f>VLOOKUP(A234,Ausschreibung!$B$4:$I$35,6,FALSE)</f>
        <v>#N/A</v>
      </c>
      <c r="H234" s="238"/>
      <c r="I234" s="243" t="e">
        <f>VLOOKUP(A234,Ausschreibung!$B$4:$I$35,8,FALSE)</f>
        <v>#N/A</v>
      </c>
      <c r="J234" s="235"/>
      <c r="K234" s="235"/>
      <c r="L234" s="233">
        <f t="shared" si="3"/>
        <v>2020</v>
      </c>
    </row>
    <row r="235" spans="1:12" x14ac:dyDescent="0.2">
      <c r="A235" s="238"/>
      <c r="B235" s="245"/>
      <c r="C235" s="234"/>
      <c r="D235" s="234"/>
      <c r="E235" s="243" t="e">
        <f>VLOOKUP(A235,Ausschreibung!$B$4:$I$35,4,FALSE)</f>
        <v>#N/A</v>
      </c>
      <c r="F235" s="245" t="e">
        <f>VLOOKUP(A235,Ausschreibung!$B$4:$I$35,5,FALSE)</f>
        <v>#N/A</v>
      </c>
      <c r="G235" s="243" t="e">
        <f>VLOOKUP(A235,Ausschreibung!$B$4:$I$35,6,FALSE)</f>
        <v>#N/A</v>
      </c>
      <c r="H235" s="238"/>
      <c r="I235" s="243" t="e">
        <f>VLOOKUP(A235,Ausschreibung!$B$4:$I$35,8,FALSE)</f>
        <v>#N/A</v>
      </c>
      <c r="J235" s="235"/>
      <c r="K235" s="235"/>
      <c r="L235" s="233">
        <f t="shared" si="3"/>
        <v>2020</v>
      </c>
    </row>
    <row r="236" spans="1:12" x14ac:dyDescent="0.2">
      <c r="A236" s="238"/>
      <c r="B236" s="245"/>
      <c r="C236" s="234"/>
      <c r="D236" s="234"/>
      <c r="E236" s="243" t="e">
        <f>VLOOKUP(A236,Ausschreibung!$B$4:$I$35,4,FALSE)</f>
        <v>#N/A</v>
      </c>
      <c r="F236" s="245" t="e">
        <f>VLOOKUP(A236,Ausschreibung!$B$4:$I$35,5,FALSE)</f>
        <v>#N/A</v>
      </c>
      <c r="G236" s="243" t="e">
        <f>VLOOKUP(A236,Ausschreibung!$B$4:$I$35,6,FALSE)</f>
        <v>#N/A</v>
      </c>
      <c r="H236" s="238"/>
      <c r="I236" s="243" t="e">
        <f>VLOOKUP(A236,Ausschreibung!$B$4:$I$35,8,FALSE)</f>
        <v>#N/A</v>
      </c>
      <c r="J236" s="235"/>
      <c r="K236" s="235"/>
      <c r="L236" s="233">
        <f t="shared" si="3"/>
        <v>2020</v>
      </c>
    </row>
    <row r="237" spans="1:12" x14ac:dyDescent="0.2">
      <c r="A237" s="238"/>
      <c r="B237" s="245"/>
      <c r="C237" s="234"/>
      <c r="D237" s="234"/>
      <c r="E237" s="243" t="e">
        <f>VLOOKUP(A237,Ausschreibung!$B$4:$I$35,4,FALSE)</f>
        <v>#N/A</v>
      </c>
      <c r="F237" s="245" t="e">
        <f>VLOOKUP(A237,Ausschreibung!$B$4:$I$35,5,FALSE)</f>
        <v>#N/A</v>
      </c>
      <c r="G237" s="243" t="e">
        <f>VLOOKUP(A237,Ausschreibung!$B$4:$I$35,6,FALSE)</f>
        <v>#N/A</v>
      </c>
      <c r="H237" s="238"/>
      <c r="I237" s="243" t="e">
        <f>VLOOKUP(A237,Ausschreibung!$B$4:$I$35,8,FALSE)</f>
        <v>#N/A</v>
      </c>
      <c r="J237" s="235"/>
      <c r="K237" s="235"/>
      <c r="L237" s="233">
        <f t="shared" si="3"/>
        <v>2020</v>
      </c>
    </row>
    <row r="238" spans="1:12" x14ac:dyDescent="0.2">
      <c r="A238" s="238"/>
      <c r="B238" s="245"/>
      <c r="C238" s="234"/>
      <c r="D238" s="234"/>
      <c r="E238" s="243" t="e">
        <f>VLOOKUP(A238,Ausschreibung!$B$4:$I$35,4,FALSE)</f>
        <v>#N/A</v>
      </c>
      <c r="F238" s="245" t="e">
        <f>VLOOKUP(A238,Ausschreibung!$B$4:$I$35,5,FALSE)</f>
        <v>#N/A</v>
      </c>
      <c r="G238" s="243" t="e">
        <f>VLOOKUP(A238,Ausschreibung!$B$4:$I$35,6,FALSE)</f>
        <v>#N/A</v>
      </c>
      <c r="H238" s="238"/>
      <c r="I238" s="243" t="e">
        <f>VLOOKUP(A238,Ausschreibung!$B$4:$I$35,8,FALSE)</f>
        <v>#N/A</v>
      </c>
      <c r="J238" s="235"/>
      <c r="K238" s="235"/>
      <c r="L238" s="233">
        <f t="shared" si="3"/>
        <v>2020</v>
      </c>
    </row>
    <row r="239" spans="1:12" x14ac:dyDescent="0.2">
      <c r="A239" s="238"/>
      <c r="B239" s="245"/>
      <c r="C239" s="234"/>
      <c r="D239" s="234"/>
      <c r="E239" s="243" t="e">
        <f>VLOOKUP(A239,Ausschreibung!$B$4:$I$35,4,FALSE)</f>
        <v>#N/A</v>
      </c>
      <c r="F239" s="245" t="e">
        <f>VLOOKUP(A239,Ausschreibung!$B$4:$I$35,5,FALSE)</f>
        <v>#N/A</v>
      </c>
      <c r="G239" s="243" t="e">
        <f>VLOOKUP(A239,Ausschreibung!$B$4:$I$35,6,FALSE)</f>
        <v>#N/A</v>
      </c>
      <c r="H239" s="238"/>
      <c r="I239" s="243" t="e">
        <f>VLOOKUP(A239,Ausschreibung!$B$4:$I$35,8,FALSE)</f>
        <v>#N/A</v>
      </c>
      <c r="J239" s="235"/>
      <c r="K239" s="235"/>
      <c r="L239" s="233">
        <f t="shared" si="3"/>
        <v>2020</v>
      </c>
    </row>
    <row r="240" spans="1:12" x14ac:dyDescent="0.2">
      <c r="A240" s="238"/>
      <c r="B240" s="245"/>
      <c r="C240" s="234"/>
      <c r="D240" s="234"/>
      <c r="E240" s="243" t="e">
        <f>VLOOKUP(A240,Ausschreibung!$B$4:$I$35,4,FALSE)</f>
        <v>#N/A</v>
      </c>
      <c r="F240" s="245" t="e">
        <f>VLOOKUP(A240,Ausschreibung!$B$4:$I$35,5,FALSE)</f>
        <v>#N/A</v>
      </c>
      <c r="G240" s="243" t="e">
        <f>VLOOKUP(A240,Ausschreibung!$B$4:$I$35,6,FALSE)</f>
        <v>#N/A</v>
      </c>
      <c r="H240" s="238"/>
      <c r="I240" s="243" t="e">
        <f>VLOOKUP(A240,Ausschreibung!$B$4:$I$35,8,FALSE)</f>
        <v>#N/A</v>
      </c>
      <c r="J240" s="235"/>
      <c r="K240" s="235"/>
      <c r="L240" s="233">
        <f t="shared" si="3"/>
        <v>2020</v>
      </c>
    </row>
    <row r="241" spans="1:12" x14ac:dyDescent="0.2">
      <c r="A241" s="238"/>
      <c r="B241" s="245"/>
      <c r="C241" s="234"/>
      <c r="D241" s="234"/>
      <c r="E241" s="243" t="e">
        <f>VLOOKUP(A241,Ausschreibung!$B$4:$I$35,4,FALSE)</f>
        <v>#N/A</v>
      </c>
      <c r="F241" s="245" t="e">
        <f>VLOOKUP(A241,Ausschreibung!$B$4:$I$35,5,FALSE)</f>
        <v>#N/A</v>
      </c>
      <c r="G241" s="243" t="e">
        <f>VLOOKUP(A241,Ausschreibung!$B$4:$I$35,6,FALSE)</f>
        <v>#N/A</v>
      </c>
      <c r="H241" s="238"/>
      <c r="I241" s="243" t="e">
        <f>VLOOKUP(A241,Ausschreibung!$B$4:$I$35,8,FALSE)</f>
        <v>#N/A</v>
      </c>
      <c r="J241" s="235"/>
      <c r="K241" s="235"/>
      <c r="L241" s="233">
        <f t="shared" si="3"/>
        <v>2020</v>
      </c>
    </row>
    <row r="242" spans="1:12" x14ac:dyDescent="0.2">
      <c r="A242" s="238"/>
      <c r="B242" s="245"/>
      <c r="C242" s="234"/>
      <c r="D242" s="234"/>
      <c r="E242" s="243" t="e">
        <f>VLOOKUP(A242,Ausschreibung!$B$4:$I$35,4,FALSE)</f>
        <v>#N/A</v>
      </c>
      <c r="F242" s="245" t="e">
        <f>VLOOKUP(A242,Ausschreibung!$B$4:$I$35,5,FALSE)</f>
        <v>#N/A</v>
      </c>
      <c r="G242" s="243" t="e">
        <f>VLOOKUP(A242,Ausschreibung!$B$4:$I$35,6,FALSE)</f>
        <v>#N/A</v>
      </c>
      <c r="H242" s="238"/>
      <c r="I242" s="243" t="e">
        <f>VLOOKUP(A242,Ausschreibung!$B$4:$I$35,8,FALSE)</f>
        <v>#N/A</v>
      </c>
      <c r="J242" s="235"/>
      <c r="K242" s="235"/>
      <c r="L242" s="233">
        <f t="shared" si="3"/>
        <v>2020</v>
      </c>
    </row>
    <row r="243" spans="1:12" x14ac:dyDescent="0.2">
      <c r="A243" s="238"/>
      <c r="B243" s="245"/>
      <c r="C243" s="234"/>
      <c r="D243" s="234"/>
      <c r="E243" s="243" t="e">
        <f>VLOOKUP(A243,Ausschreibung!$B$4:$I$35,4,FALSE)</f>
        <v>#N/A</v>
      </c>
      <c r="F243" s="245" t="e">
        <f>VLOOKUP(A243,Ausschreibung!$B$4:$I$35,5,FALSE)</f>
        <v>#N/A</v>
      </c>
      <c r="G243" s="243" t="e">
        <f>VLOOKUP(A243,Ausschreibung!$B$4:$I$35,6,FALSE)</f>
        <v>#N/A</v>
      </c>
      <c r="H243" s="238"/>
      <c r="I243" s="243" t="e">
        <f>VLOOKUP(A243,Ausschreibung!$B$4:$I$35,8,FALSE)</f>
        <v>#N/A</v>
      </c>
      <c r="J243" s="235"/>
      <c r="K243" s="235"/>
      <c r="L243" s="233">
        <f t="shared" si="3"/>
        <v>2020</v>
      </c>
    </row>
    <row r="244" spans="1:12" x14ac:dyDescent="0.2">
      <c r="A244" s="238"/>
      <c r="B244" s="245"/>
      <c r="C244" s="234"/>
      <c r="D244" s="234"/>
      <c r="E244" s="243" t="e">
        <f>VLOOKUP(A244,Ausschreibung!$B$4:$I$35,4,FALSE)</f>
        <v>#N/A</v>
      </c>
      <c r="F244" s="245" t="e">
        <f>VLOOKUP(A244,Ausschreibung!$B$4:$I$35,5,FALSE)</f>
        <v>#N/A</v>
      </c>
      <c r="G244" s="243" t="e">
        <f>VLOOKUP(A244,Ausschreibung!$B$4:$I$35,6,FALSE)</f>
        <v>#N/A</v>
      </c>
      <c r="H244" s="238"/>
      <c r="I244" s="243" t="e">
        <f>VLOOKUP(A244,Ausschreibung!$B$4:$I$35,8,FALSE)</f>
        <v>#N/A</v>
      </c>
      <c r="J244" s="235"/>
      <c r="K244" s="235"/>
      <c r="L244" s="233">
        <f t="shared" si="3"/>
        <v>2020</v>
      </c>
    </row>
    <row r="245" spans="1:12" x14ac:dyDescent="0.2">
      <c r="A245" s="238"/>
      <c r="B245" s="245"/>
      <c r="C245" s="234"/>
      <c r="D245" s="234"/>
      <c r="E245" s="243" t="e">
        <f>VLOOKUP(A245,Ausschreibung!$B$4:$I$35,4,FALSE)</f>
        <v>#N/A</v>
      </c>
      <c r="F245" s="245" t="e">
        <f>VLOOKUP(A245,Ausschreibung!$B$4:$I$35,5,FALSE)</f>
        <v>#N/A</v>
      </c>
      <c r="G245" s="243" t="e">
        <f>VLOOKUP(A245,Ausschreibung!$B$4:$I$35,6,FALSE)</f>
        <v>#N/A</v>
      </c>
      <c r="H245" s="238"/>
      <c r="I245" s="243" t="e">
        <f>VLOOKUP(A245,Ausschreibung!$B$4:$I$35,8,FALSE)</f>
        <v>#N/A</v>
      </c>
      <c r="J245" s="235"/>
      <c r="K245" s="235"/>
      <c r="L245" s="233">
        <f t="shared" si="3"/>
        <v>2020</v>
      </c>
    </row>
    <row r="246" spans="1:12" x14ac:dyDescent="0.2">
      <c r="A246" s="238"/>
      <c r="B246" s="245"/>
      <c r="C246" s="234"/>
      <c r="D246" s="234"/>
      <c r="E246" s="243" t="e">
        <f>VLOOKUP(A246,Ausschreibung!$B$4:$I$35,4,FALSE)</f>
        <v>#N/A</v>
      </c>
      <c r="F246" s="245" t="e">
        <f>VLOOKUP(A246,Ausschreibung!$B$4:$I$35,5,FALSE)</f>
        <v>#N/A</v>
      </c>
      <c r="G246" s="243" t="e">
        <f>VLOOKUP(A246,Ausschreibung!$B$4:$I$35,6,FALSE)</f>
        <v>#N/A</v>
      </c>
      <c r="H246" s="238"/>
      <c r="I246" s="243" t="e">
        <f>VLOOKUP(A246,Ausschreibung!$B$4:$I$35,8,FALSE)</f>
        <v>#N/A</v>
      </c>
      <c r="J246" s="235"/>
      <c r="K246" s="235"/>
      <c r="L246" s="233">
        <f t="shared" si="3"/>
        <v>2020</v>
      </c>
    </row>
    <row r="247" spans="1:12" x14ac:dyDescent="0.2">
      <c r="A247" s="238"/>
      <c r="B247" s="245"/>
      <c r="C247" s="234"/>
      <c r="D247" s="234"/>
      <c r="E247" s="243" t="e">
        <f>VLOOKUP(A247,Ausschreibung!$B$4:$I$35,4,FALSE)</f>
        <v>#N/A</v>
      </c>
      <c r="F247" s="245" t="e">
        <f>VLOOKUP(A247,Ausschreibung!$B$4:$I$35,5,FALSE)</f>
        <v>#N/A</v>
      </c>
      <c r="G247" s="243" t="e">
        <f>VLOOKUP(A247,Ausschreibung!$B$4:$I$35,6,FALSE)</f>
        <v>#N/A</v>
      </c>
      <c r="H247" s="238"/>
      <c r="I247" s="243" t="e">
        <f>VLOOKUP(A247,Ausschreibung!$B$4:$I$35,8,FALSE)</f>
        <v>#N/A</v>
      </c>
      <c r="J247" s="235"/>
      <c r="K247" s="235"/>
      <c r="L247" s="233">
        <f t="shared" si="3"/>
        <v>2020</v>
      </c>
    </row>
    <row r="248" spans="1:12" x14ac:dyDescent="0.2">
      <c r="A248" s="238"/>
      <c r="B248" s="245"/>
      <c r="C248" s="234"/>
      <c r="D248" s="234"/>
      <c r="E248" s="243" t="e">
        <f>VLOOKUP(A248,Ausschreibung!$B$4:$I$35,4,FALSE)</f>
        <v>#N/A</v>
      </c>
      <c r="F248" s="245" t="e">
        <f>VLOOKUP(A248,Ausschreibung!$B$4:$I$35,5,FALSE)</f>
        <v>#N/A</v>
      </c>
      <c r="G248" s="243" t="e">
        <f>VLOOKUP(A248,Ausschreibung!$B$4:$I$35,6,FALSE)</f>
        <v>#N/A</v>
      </c>
      <c r="H248" s="238"/>
      <c r="I248" s="243" t="e">
        <f>VLOOKUP(A248,Ausschreibung!$B$4:$I$35,8,FALSE)</f>
        <v>#N/A</v>
      </c>
      <c r="J248" s="235"/>
      <c r="K248" s="235"/>
      <c r="L248" s="233">
        <f t="shared" si="3"/>
        <v>2020</v>
      </c>
    </row>
    <row r="249" spans="1:12" x14ac:dyDescent="0.2">
      <c r="A249" s="238"/>
      <c r="B249" s="245"/>
      <c r="C249" s="234"/>
      <c r="D249" s="234"/>
      <c r="E249" s="243" t="e">
        <f>VLOOKUP(A249,Ausschreibung!$B$4:$I$35,4,FALSE)</f>
        <v>#N/A</v>
      </c>
      <c r="F249" s="245" t="e">
        <f>VLOOKUP(A249,Ausschreibung!$B$4:$I$35,5,FALSE)</f>
        <v>#N/A</v>
      </c>
      <c r="G249" s="243" t="e">
        <f>VLOOKUP(A249,Ausschreibung!$B$4:$I$35,6,FALSE)</f>
        <v>#N/A</v>
      </c>
      <c r="H249" s="238"/>
      <c r="I249" s="243" t="e">
        <f>VLOOKUP(A249,Ausschreibung!$B$4:$I$35,8,FALSE)</f>
        <v>#N/A</v>
      </c>
      <c r="J249" s="235"/>
      <c r="K249" s="235"/>
      <c r="L249" s="233">
        <f t="shared" si="3"/>
        <v>2020</v>
      </c>
    </row>
    <row r="250" spans="1:12" x14ac:dyDescent="0.2">
      <c r="A250" s="238"/>
      <c r="B250" s="245"/>
      <c r="C250" s="234"/>
      <c r="D250" s="234"/>
      <c r="E250" s="243" t="e">
        <f>VLOOKUP(A250,Ausschreibung!$B$4:$I$35,4,FALSE)</f>
        <v>#N/A</v>
      </c>
      <c r="F250" s="245" t="e">
        <f>VLOOKUP(A250,Ausschreibung!$B$4:$I$35,5,FALSE)</f>
        <v>#N/A</v>
      </c>
      <c r="G250" s="243" t="e">
        <f>VLOOKUP(A250,Ausschreibung!$B$4:$I$35,6,FALSE)</f>
        <v>#N/A</v>
      </c>
      <c r="H250" s="238"/>
      <c r="I250" s="243" t="e">
        <f>VLOOKUP(A250,Ausschreibung!$B$4:$I$35,8,FALSE)</f>
        <v>#N/A</v>
      </c>
      <c r="J250" s="235"/>
      <c r="K250" s="235"/>
      <c r="L250" s="233">
        <f t="shared" si="3"/>
        <v>2020</v>
      </c>
    </row>
    <row r="251" spans="1:12" x14ac:dyDescent="0.2">
      <c r="A251" s="238"/>
      <c r="B251" s="245"/>
      <c r="C251" s="234"/>
      <c r="D251" s="234"/>
      <c r="E251" s="243" t="e">
        <f>VLOOKUP(A251,Ausschreibung!$B$4:$I$35,4,FALSE)</f>
        <v>#N/A</v>
      </c>
      <c r="F251" s="245" t="e">
        <f>VLOOKUP(A251,Ausschreibung!$B$4:$I$35,5,FALSE)</f>
        <v>#N/A</v>
      </c>
      <c r="G251" s="243" t="e">
        <f>VLOOKUP(A251,Ausschreibung!$B$4:$I$35,6,FALSE)</f>
        <v>#N/A</v>
      </c>
      <c r="H251" s="238"/>
      <c r="I251" s="243" t="e">
        <f>VLOOKUP(A251,Ausschreibung!$B$4:$I$35,8,FALSE)</f>
        <v>#N/A</v>
      </c>
      <c r="J251" s="235"/>
      <c r="K251" s="235"/>
      <c r="L251" s="233">
        <f t="shared" si="3"/>
        <v>2020</v>
      </c>
    </row>
    <row r="252" spans="1:12" x14ac:dyDescent="0.2">
      <c r="A252" s="238"/>
      <c r="B252" s="245"/>
      <c r="C252" s="234"/>
      <c r="D252" s="234"/>
      <c r="E252" s="243" t="e">
        <f>VLOOKUP(A252,Ausschreibung!$B$4:$I$35,4,FALSE)</f>
        <v>#N/A</v>
      </c>
      <c r="F252" s="245" t="e">
        <f>VLOOKUP(A252,Ausschreibung!$B$4:$I$35,5,FALSE)</f>
        <v>#N/A</v>
      </c>
      <c r="G252" s="243" t="e">
        <f>VLOOKUP(A252,Ausschreibung!$B$4:$I$35,6,FALSE)</f>
        <v>#N/A</v>
      </c>
      <c r="H252" s="238"/>
      <c r="I252" s="243" t="e">
        <f>VLOOKUP(A252,Ausschreibung!$B$4:$I$35,8,FALSE)</f>
        <v>#N/A</v>
      </c>
      <c r="J252" s="235"/>
      <c r="K252" s="235"/>
      <c r="L252" s="233">
        <f t="shared" si="3"/>
        <v>2020</v>
      </c>
    </row>
    <row r="253" spans="1:12" x14ac:dyDescent="0.2">
      <c r="A253" s="238"/>
      <c r="B253" s="245"/>
      <c r="C253" s="237"/>
      <c r="D253" s="237"/>
      <c r="E253" s="243" t="e">
        <f>VLOOKUP(A253,Ausschreibung!$B$4:$I$35,4,FALSE)</f>
        <v>#N/A</v>
      </c>
      <c r="F253" s="245" t="e">
        <f>VLOOKUP(A253,Ausschreibung!$B$4:$I$35,5,FALSE)</f>
        <v>#N/A</v>
      </c>
      <c r="G253" s="243" t="e">
        <f>VLOOKUP(A253,Ausschreibung!$B$4:$I$35,6,FALSE)</f>
        <v>#N/A</v>
      </c>
      <c r="H253" s="238"/>
      <c r="I253" s="243" t="e">
        <f>VLOOKUP(A253,Ausschreibung!$B$4:$I$35,8,FALSE)</f>
        <v>#N/A</v>
      </c>
      <c r="J253" s="235"/>
      <c r="K253" s="235"/>
      <c r="L253" s="233">
        <f t="shared" si="3"/>
        <v>2020</v>
      </c>
    </row>
    <row r="254" spans="1:12" x14ac:dyDescent="0.2">
      <c r="A254" s="238"/>
      <c r="B254" s="245"/>
      <c r="C254" s="237"/>
      <c r="D254" s="237"/>
      <c r="E254" s="243" t="e">
        <f>VLOOKUP(A254,Ausschreibung!$B$4:$I$35,4,FALSE)</f>
        <v>#N/A</v>
      </c>
      <c r="F254" s="245" t="e">
        <f>VLOOKUP(A254,Ausschreibung!$B$4:$I$35,5,FALSE)</f>
        <v>#N/A</v>
      </c>
      <c r="G254" s="243" t="e">
        <f>VLOOKUP(A254,Ausschreibung!$B$4:$I$35,6,FALSE)</f>
        <v>#N/A</v>
      </c>
      <c r="H254" s="238"/>
      <c r="I254" s="243" t="e">
        <f>VLOOKUP(A254,Ausschreibung!$B$4:$I$35,8,FALSE)</f>
        <v>#N/A</v>
      </c>
      <c r="J254" s="235"/>
      <c r="K254" s="235"/>
      <c r="L254" s="233">
        <f t="shared" si="3"/>
        <v>2020</v>
      </c>
    </row>
    <row r="255" spans="1:12" x14ac:dyDescent="0.2">
      <c r="A255" s="238"/>
      <c r="B255" s="245"/>
      <c r="C255" s="234"/>
      <c r="D255" s="234"/>
      <c r="E255" s="243" t="e">
        <f>VLOOKUP(A255,Ausschreibung!$B$4:$I$35,4,FALSE)</f>
        <v>#N/A</v>
      </c>
      <c r="F255" s="245" t="e">
        <f>VLOOKUP(A255,Ausschreibung!$B$4:$I$35,5,FALSE)</f>
        <v>#N/A</v>
      </c>
      <c r="G255" s="243" t="e">
        <f>VLOOKUP(A255,Ausschreibung!$B$4:$I$35,6,FALSE)</f>
        <v>#N/A</v>
      </c>
      <c r="H255" s="238"/>
      <c r="I255" s="243" t="e">
        <f>VLOOKUP(A255,Ausschreibung!$B$4:$I$35,8,FALSE)</f>
        <v>#N/A</v>
      </c>
      <c r="J255" s="235"/>
      <c r="K255" s="235"/>
      <c r="L255" s="233">
        <f t="shared" si="3"/>
        <v>2020</v>
      </c>
    </row>
    <row r="256" spans="1:12" x14ac:dyDescent="0.2">
      <c r="A256" s="238"/>
      <c r="B256" s="245"/>
      <c r="C256" s="234"/>
      <c r="D256" s="234"/>
      <c r="E256" s="243" t="e">
        <f>VLOOKUP(A256,Ausschreibung!$B$4:$I$35,4,FALSE)</f>
        <v>#N/A</v>
      </c>
      <c r="F256" s="245" t="e">
        <f>VLOOKUP(A256,Ausschreibung!$B$4:$I$35,5,FALSE)</f>
        <v>#N/A</v>
      </c>
      <c r="G256" s="243" t="e">
        <f>VLOOKUP(A256,Ausschreibung!$B$4:$I$35,6,FALSE)</f>
        <v>#N/A</v>
      </c>
      <c r="H256" s="238"/>
      <c r="I256" s="243" t="e">
        <f>VLOOKUP(A256,Ausschreibung!$B$4:$I$35,8,FALSE)</f>
        <v>#N/A</v>
      </c>
      <c r="J256" s="235"/>
      <c r="K256" s="235"/>
      <c r="L256" s="233">
        <f t="shared" si="3"/>
        <v>2020</v>
      </c>
    </row>
    <row r="257" spans="1:12" x14ac:dyDescent="0.2">
      <c r="A257" s="238"/>
      <c r="B257" s="245"/>
      <c r="C257" s="234"/>
      <c r="D257" s="234"/>
      <c r="E257" s="243" t="e">
        <f>VLOOKUP(A257,Ausschreibung!$B$4:$I$35,4,FALSE)</f>
        <v>#N/A</v>
      </c>
      <c r="F257" s="245" t="e">
        <f>VLOOKUP(A257,Ausschreibung!$B$4:$I$35,5,FALSE)</f>
        <v>#N/A</v>
      </c>
      <c r="G257" s="243" t="e">
        <f>VLOOKUP(A257,Ausschreibung!$B$4:$I$35,6,FALSE)</f>
        <v>#N/A</v>
      </c>
      <c r="H257" s="238"/>
      <c r="I257" s="243" t="e">
        <f>VLOOKUP(A257,Ausschreibung!$B$4:$I$35,8,FALSE)</f>
        <v>#N/A</v>
      </c>
      <c r="J257" s="235"/>
      <c r="K257" s="235"/>
      <c r="L257" s="233">
        <f t="shared" si="3"/>
        <v>2020</v>
      </c>
    </row>
    <row r="258" spans="1:12" x14ac:dyDescent="0.2">
      <c r="A258" s="238"/>
      <c r="B258" s="245"/>
      <c r="C258" s="234"/>
      <c r="D258" s="234"/>
      <c r="E258" s="243" t="e">
        <f>VLOOKUP(A258,Ausschreibung!$B$4:$I$35,4,FALSE)</f>
        <v>#N/A</v>
      </c>
      <c r="F258" s="245" t="e">
        <f>VLOOKUP(A258,Ausschreibung!$B$4:$I$35,5,FALSE)</f>
        <v>#N/A</v>
      </c>
      <c r="G258" s="243" t="e">
        <f>VLOOKUP(A258,Ausschreibung!$B$4:$I$35,6,FALSE)</f>
        <v>#N/A</v>
      </c>
      <c r="H258" s="238"/>
      <c r="I258" s="243" t="e">
        <f>VLOOKUP(A258,Ausschreibung!$B$4:$I$35,8,FALSE)</f>
        <v>#N/A</v>
      </c>
      <c r="J258" s="235"/>
      <c r="K258" s="235"/>
      <c r="L258" s="233">
        <f t="shared" ref="L258:L321" si="4">2020-H258</f>
        <v>2020</v>
      </c>
    </row>
    <row r="259" spans="1:12" x14ac:dyDescent="0.2">
      <c r="A259" s="238"/>
      <c r="B259" s="245"/>
      <c r="C259" s="234"/>
      <c r="D259" s="234"/>
      <c r="E259" s="243" t="e">
        <f>VLOOKUP(A259,Ausschreibung!$B$4:$I$35,4,FALSE)</f>
        <v>#N/A</v>
      </c>
      <c r="F259" s="245" t="e">
        <f>VLOOKUP(A259,Ausschreibung!$B$4:$I$35,5,FALSE)</f>
        <v>#N/A</v>
      </c>
      <c r="G259" s="243" t="e">
        <f>VLOOKUP(A259,Ausschreibung!$B$4:$I$35,6,FALSE)</f>
        <v>#N/A</v>
      </c>
      <c r="H259" s="238"/>
      <c r="I259" s="243" t="e">
        <f>VLOOKUP(A259,Ausschreibung!$B$4:$I$35,8,FALSE)</f>
        <v>#N/A</v>
      </c>
      <c r="J259" s="235"/>
      <c r="K259" s="235"/>
      <c r="L259" s="233">
        <f t="shared" si="4"/>
        <v>2020</v>
      </c>
    </row>
    <row r="260" spans="1:12" x14ac:dyDescent="0.2">
      <c r="A260" s="238"/>
      <c r="B260" s="245"/>
      <c r="C260" s="234"/>
      <c r="D260" s="234"/>
      <c r="E260" s="243" t="e">
        <f>VLOOKUP(A260,Ausschreibung!$B$4:$I$35,4,FALSE)</f>
        <v>#N/A</v>
      </c>
      <c r="F260" s="245" t="e">
        <f>VLOOKUP(A260,Ausschreibung!$B$4:$I$35,5,FALSE)</f>
        <v>#N/A</v>
      </c>
      <c r="G260" s="243" t="e">
        <f>VLOOKUP(A260,Ausschreibung!$B$4:$I$35,6,FALSE)</f>
        <v>#N/A</v>
      </c>
      <c r="H260" s="238"/>
      <c r="I260" s="243" t="e">
        <f>VLOOKUP(A260,Ausschreibung!$B$4:$I$35,8,FALSE)</f>
        <v>#N/A</v>
      </c>
      <c r="J260" s="235"/>
      <c r="K260" s="235"/>
      <c r="L260" s="233">
        <f t="shared" si="4"/>
        <v>2020</v>
      </c>
    </row>
    <row r="261" spans="1:12" x14ac:dyDescent="0.2">
      <c r="A261" s="238"/>
      <c r="B261" s="245"/>
      <c r="C261" s="234"/>
      <c r="D261" s="234"/>
      <c r="E261" s="243" t="e">
        <f>VLOOKUP(A261,Ausschreibung!$B$4:$I$35,4,FALSE)</f>
        <v>#N/A</v>
      </c>
      <c r="F261" s="245" t="e">
        <f>VLOOKUP(A261,Ausschreibung!$B$4:$I$35,5,FALSE)</f>
        <v>#N/A</v>
      </c>
      <c r="G261" s="243" t="e">
        <f>VLOOKUP(A261,Ausschreibung!$B$4:$I$35,6,FALSE)</f>
        <v>#N/A</v>
      </c>
      <c r="H261" s="238"/>
      <c r="I261" s="243" t="e">
        <f>VLOOKUP(A261,Ausschreibung!$B$4:$I$35,8,FALSE)</f>
        <v>#N/A</v>
      </c>
      <c r="J261" s="235"/>
      <c r="K261" s="235"/>
      <c r="L261" s="233">
        <f t="shared" si="4"/>
        <v>2020</v>
      </c>
    </row>
    <row r="262" spans="1:12" x14ac:dyDescent="0.2">
      <c r="A262" s="238"/>
      <c r="B262" s="245"/>
      <c r="C262" s="234"/>
      <c r="D262" s="234"/>
      <c r="E262" s="243" t="e">
        <f>VLOOKUP(A262,Ausschreibung!$B$4:$I$35,4,FALSE)</f>
        <v>#N/A</v>
      </c>
      <c r="F262" s="245" t="e">
        <f>VLOOKUP(A262,Ausschreibung!$B$4:$I$35,5,FALSE)</f>
        <v>#N/A</v>
      </c>
      <c r="G262" s="243" t="e">
        <f>VLOOKUP(A262,Ausschreibung!$B$4:$I$35,6,FALSE)</f>
        <v>#N/A</v>
      </c>
      <c r="H262" s="238"/>
      <c r="I262" s="243" t="e">
        <f>VLOOKUP(A262,Ausschreibung!$B$4:$I$35,8,FALSE)</f>
        <v>#N/A</v>
      </c>
      <c r="J262" s="235"/>
      <c r="K262" s="235"/>
      <c r="L262" s="233">
        <f t="shared" si="4"/>
        <v>2020</v>
      </c>
    </row>
    <row r="263" spans="1:12" x14ac:dyDescent="0.2">
      <c r="A263" s="238"/>
      <c r="B263" s="245"/>
      <c r="C263" s="234"/>
      <c r="D263" s="234"/>
      <c r="E263" s="243" t="e">
        <f>VLOOKUP(A263,Ausschreibung!$B$4:$I$35,4,FALSE)</f>
        <v>#N/A</v>
      </c>
      <c r="F263" s="245" t="e">
        <f>VLOOKUP(A263,Ausschreibung!$B$4:$I$35,5,FALSE)</f>
        <v>#N/A</v>
      </c>
      <c r="G263" s="243" t="e">
        <f>VLOOKUP(A263,Ausschreibung!$B$4:$I$35,6,FALSE)</f>
        <v>#N/A</v>
      </c>
      <c r="H263" s="238"/>
      <c r="I263" s="243" t="e">
        <f>VLOOKUP(A263,Ausschreibung!$B$4:$I$35,8,FALSE)</f>
        <v>#N/A</v>
      </c>
      <c r="J263" s="235"/>
      <c r="K263" s="235"/>
      <c r="L263" s="233">
        <f t="shared" si="4"/>
        <v>2020</v>
      </c>
    </row>
    <row r="264" spans="1:12" x14ac:dyDescent="0.2">
      <c r="A264" s="238"/>
      <c r="B264" s="245"/>
      <c r="C264" s="234"/>
      <c r="D264" s="234"/>
      <c r="E264" s="243" t="e">
        <f>VLOOKUP(A264,Ausschreibung!$B$4:$I$35,4,FALSE)</f>
        <v>#N/A</v>
      </c>
      <c r="F264" s="245" t="e">
        <f>VLOOKUP(A264,Ausschreibung!$B$4:$I$35,5,FALSE)</f>
        <v>#N/A</v>
      </c>
      <c r="G264" s="243" t="e">
        <f>VLOOKUP(A264,Ausschreibung!$B$4:$I$35,6,FALSE)</f>
        <v>#N/A</v>
      </c>
      <c r="H264" s="238"/>
      <c r="I264" s="243" t="e">
        <f>VLOOKUP(A264,Ausschreibung!$B$4:$I$35,8,FALSE)</f>
        <v>#N/A</v>
      </c>
      <c r="J264" s="235"/>
      <c r="K264" s="235"/>
      <c r="L264" s="233">
        <f t="shared" si="4"/>
        <v>2020</v>
      </c>
    </row>
    <row r="265" spans="1:12" x14ac:dyDescent="0.2">
      <c r="A265" s="238"/>
      <c r="B265" s="245"/>
      <c r="C265" s="234"/>
      <c r="D265" s="234"/>
      <c r="E265" s="243" t="e">
        <f>VLOOKUP(A265,Ausschreibung!$B$4:$I$35,4,FALSE)</f>
        <v>#N/A</v>
      </c>
      <c r="F265" s="245" t="e">
        <f>VLOOKUP(A265,Ausschreibung!$B$4:$I$35,5,FALSE)</f>
        <v>#N/A</v>
      </c>
      <c r="G265" s="243" t="e">
        <f>VLOOKUP(A265,Ausschreibung!$B$4:$I$35,6,FALSE)</f>
        <v>#N/A</v>
      </c>
      <c r="H265" s="238"/>
      <c r="I265" s="243" t="e">
        <f>VLOOKUP(A265,Ausschreibung!$B$4:$I$35,8,FALSE)</f>
        <v>#N/A</v>
      </c>
      <c r="J265" s="235"/>
      <c r="K265" s="235"/>
      <c r="L265" s="233">
        <f t="shared" si="4"/>
        <v>2020</v>
      </c>
    </row>
    <row r="266" spans="1:12" x14ac:dyDescent="0.2">
      <c r="A266" s="238"/>
      <c r="B266" s="245"/>
      <c r="C266" s="234"/>
      <c r="D266" s="234"/>
      <c r="E266" s="243" t="e">
        <f>VLOOKUP(A266,Ausschreibung!$B$4:$I$35,4,FALSE)</f>
        <v>#N/A</v>
      </c>
      <c r="F266" s="245" t="e">
        <f>VLOOKUP(A266,Ausschreibung!$B$4:$I$35,5,FALSE)</f>
        <v>#N/A</v>
      </c>
      <c r="G266" s="243" t="e">
        <f>VLOOKUP(A266,Ausschreibung!$B$4:$I$35,6,FALSE)</f>
        <v>#N/A</v>
      </c>
      <c r="H266" s="238"/>
      <c r="I266" s="243" t="e">
        <f>VLOOKUP(A266,Ausschreibung!$B$4:$I$35,8,FALSE)</f>
        <v>#N/A</v>
      </c>
      <c r="J266" s="235"/>
      <c r="K266" s="235"/>
      <c r="L266" s="233">
        <f t="shared" si="4"/>
        <v>2020</v>
      </c>
    </row>
    <row r="267" spans="1:12" x14ac:dyDescent="0.2">
      <c r="A267" s="238"/>
      <c r="B267" s="245"/>
      <c r="C267" s="234"/>
      <c r="D267" s="234"/>
      <c r="E267" s="243" t="e">
        <f>VLOOKUP(A267,Ausschreibung!$B$4:$I$35,4,FALSE)</f>
        <v>#N/A</v>
      </c>
      <c r="F267" s="245" t="e">
        <f>VLOOKUP(A267,Ausschreibung!$B$4:$I$35,5,FALSE)</f>
        <v>#N/A</v>
      </c>
      <c r="G267" s="243" t="e">
        <f>VLOOKUP(A267,Ausschreibung!$B$4:$I$35,6,FALSE)</f>
        <v>#N/A</v>
      </c>
      <c r="H267" s="238"/>
      <c r="I267" s="243" t="e">
        <f>VLOOKUP(A267,Ausschreibung!$B$4:$I$35,8,FALSE)</f>
        <v>#N/A</v>
      </c>
      <c r="J267" s="235"/>
      <c r="K267" s="235"/>
      <c r="L267" s="233">
        <f t="shared" si="4"/>
        <v>2020</v>
      </c>
    </row>
    <row r="268" spans="1:12" x14ac:dyDescent="0.2">
      <c r="A268" s="238"/>
      <c r="B268" s="245"/>
      <c r="C268" s="234"/>
      <c r="D268" s="234"/>
      <c r="E268" s="243" t="e">
        <f>VLOOKUP(A268,Ausschreibung!$B$4:$I$35,4,FALSE)</f>
        <v>#N/A</v>
      </c>
      <c r="F268" s="245" t="e">
        <f>VLOOKUP(A268,Ausschreibung!$B$4:$I$35,5,FALSE)</f>
        <v>#N/A</v>
      </c>
      <c r="G268" s="243" t="e">
        <f>VLOOKUP(A268,Ausschreibung!$B$4:$I$35,6,FALSE)</f>
        <v>#N/A</v>
      </c>
      <c r="H268" s="238"/>
      <c r="I268" s="243" t="e">
        <f>VLOOKUP(A268,Ausschreibung!$B$4:$I$35,8,FALSE)</f>
        <v>#N/A</v>
      </c>
      <c r="J268" s="235"/>
      <c r="K268" s="235"/>
      <c r="L268" s="233">
        <f t="shared" si="4"/>
        <v>2020</v>
      </c>
    </row>
    <row r="269" spans="1:12" x14ac:dyDescent="0.2">
      <c r="A269" s="238"/>
      <c r="B269" s="245"/>
      <c r="C269" s="234"/>
      <c r="D269" s="234"/>
      <c r="E269" s="243" t="e">
        <f>VLOOKUP(A269,Ausschreibung!$B$4:$I$35,4,FALSE)</f>
        <v>#N/A</v>
      </c>
      <c r="F269" s="245" t="e">
        <f>VLOOKUP(A269,Ausschreibung!$B$4:$I$35,5,FALSE)</f>
        <v>#N/A</v>
      </c>
      <c r="G269" s="243" t="e">
        <f>VLOOKUP(A269,Ausschreibung!$B$4:$I$35,6,FALSE)</f>
        <v>#N/A</v>
      </c>
      <c r="H269" s="238"/>
      <c r="I269" s="243" t="e">
        <f>VLOOKUP(A269,Ausschreibung!$B$4:$I$35,8,FALSE)</f>
        <v>#N/A</v>
      </c>
      <c r="J269" s="235"/>
      <c r="K269" s="235"/>
      <c r="L269" s="233">
        <f t="shared" si="4"/>
        <v>2020</v>
      </c>
    </row>
    <row r="270" spans="1:12" x14ac:dyDescent="0.2">
      <c r="A270" s="238"/>
      <c r="B270" s="245"/>
      <c r="C270" s="234"/>
      <c r="D270" s="234"/>
      <c r="E270" s="243" t="e">
        <f>VLOOKUP(A270,Ausschreibung!$B$4:$I$35,4,FALSE)</f>
        <v>#N/A</v>
      </c>
      <c r="F270" s="245" t="e">
        <f>VLOOKUP(A270,Ausschreibung!$B$4:$I$35,5,FALSE)</f>
        <v>#N/A</v>
      </c>
      <c r="G270" s="243" t="e">
        <f>VLOOKUP(A270,Ausschreibung!$B$4:$I$35,6,FALSE)</f>
        <v>#N/A</v>
      </c>
      <c r="H270" s="238"/>
      <c r="I270" s="243" t="e">
        <f>VLOOKUP(A270,Ausschreibung!$B$4:$I$35,8,FALSE)</f>
        <v>#N/A</v>
      </c>
      <c r="J270" s="235"/>
      <c r="K270" s="235"/>
      <c r="L270" s="233">
        <f t="shared" si="4"/>
        <v>2020</v>
      </c>
    </row>
    <row r="271" spans="1:12" x14ac:dyDescent="0.2">
      <c r="A271" s="238"/>
      <c r="B271" s="245"/>
      <c r="C271" s="234"/>
      <c r="D271" s="234"/>
      <c r="E271" s="243" t="e">
        <f>VLOOKUP(A271,Ausschreibung!$B$4:$I$35,4,FALSE)</f>
        <v>#N/A</v>
      </c>
      <c r="F271" s="245" t="e">
        <f>VLOOKUP(A271,Ausschreibung!$B$4:$I$35,5,FALSE)</f>
        <v>#N/A</v>
      </c>
      <c r="G271" s="243" t="e">
        <f>VLOOKUP(A271,Ausschreibung!$B$4:$I$35,6,FALSE)</f>
        <v>#N/A</v>
      </c>
      <c r="H271" s="238"/>
      <c r="I271" s="243" t="e">
        <f>VLOOKUP(A271,Ausschreibung!$B$4:$I$35,8,FALSE)</f>
        <v>#N/A</v>
      </c>
      <c r="J271" s="235"/>
      <c r="K271" s="235"/>
      <c r="L271" s="233">
        <f t="shared" si="4"/>
        <v>2020</v>
      </c>
    </row>
    <row r="272" spans="1:12" x14ac:dyDescent="0.2">
      <c r="A272" s="238"/>
      <c r="B272" s="245"/>
      <c r="C272" s="234"/>
      <c r="D272" s="234"/>
      <c r="E272" s="243" t="e">
        <f>VLOOKUP(A272,Ausschreibung!$B$4:$I$35,4,FALSE)</f>
        <v>#N/A</v>
      </c>
      <c r="F272" s="245" t="e">
        <f>VLOOKUP(A272,Ausschreibung!$B$4:$I$35,5,FALSE)</f>
        <v>#N/A</v>
      </c>
      <c r="G272" s="243" t="e">
        <f>VLOOKUP(A272,Ausschreibung!$B$4:$I$35,6,FALSE)</f>
        <v>#N/A</v>
      </c>
      <c r="H272" s="238"/>
      <c r="I272" s="243" t="e">
        <f>VLOOKUP(A272,Ausschreibung!$B$4:$I$35,8,FALSE)</f>
        <v>#N/A</v>
      </c>
      <c r="J272" s="235"/>
      <c r="K272" s="235"/>
      <c r="L272" s="233">
        <f t="shared" si="4"/>
        <v>2020</v>
      </c>
    </row>
    <row r="273" spans="1:12" x14ac:dyDescent="0.2">
      <c r="A273" s="238"/>
      <c r="B273" s="245"/>
      <c r="C273" s="234"/>
      <c r="D273" s="234"/>
      <c r="E273" s="243" t="e">
        <f>VLOOKUP(A273,Ausschreibung!$B$4:$I$35,4,FALSE)</f>
        <v>#N/A</v>
      </c>
      <c r="F273" s="245" t="e">
        <f>VLOOKUP(A273,Ausschreibung!$B$4:$I$35,5,FALSE)</f>
        <v>#N/A</v>
      </c>
      <c r="G273" s="243" t="e">
        <f>VLOOKUP(A273,Ausschreibung!$B$4:$I$35,6,FALSE)</f>
        <v>#N/A</v>
      </c>
      <c r="H273" s="238"/>
      <c r="I273" s="243" t="e">
        <f>VLOOKUP(A273,Ausschreibung!$B$4:$I$35,8,FALSE)</f>
        <v>#N/A</v>
      </c>
      <c r="J273" s="235"/>
      <c r="K273" s="235"/>
      <c r="L273" s="233">
        <f t="shared" si="4"/>
        <v>2020</v>
      </c>
    </row>
    <row r="274" spans="1:12" x14ac:dyDescent="0.2">
      <c r="A274" s="238"/>
      <c r="B274" s="245"/>
      <c r="C274" s="234"/>
      <c r="D274" s="234"/>
      <c r="E274" s="243" t="e">
        <f>VLOOKUP(A274,Ausschreibung!$B$4:$I$35,4,FALSE)</f>
        <v>#N/A</v>
      </c>
      <c r="F274" s="245" t="e">
        <f>VLOOKUP(A274,Ausschreibung!$B$4:$I$35,5,FALSE)</f>
        <v>#N/A</v>
      </c>
      <c r="G274" s="243" t="e">
        <f>VLOOKUP(A274,Ausschreibung!$B$4:$I$35,6,FALSE)</f>
        <v>#N/A</v>
      </c>
      <c r="H274" s="238"/>
      <c r="I274" s="243" t="e">
        <f>VLOOKUP(A274,Ausschreibung!$B$4:$I$35,8,FALSE)</f>
        <v>#N/A</v>
      </c>
      <c r="J274" s="235"/>
      <c r="K274" s="235"/>
      <c r="L274" s="233">
        <f t="shared" si="4"/>
        <v>2020</v>
      </c>
    </row>
    <row r="275" spans="1:12" x14ac:dyDescent="0.2">
      <c r="A275" s="238"/>
      <c r="B275" s="245"/>
      <c r="C275" s="234"/>
      <c r="D275" s="234"/>
      <c r="E275" s="243" t="e">
        <f>VLOOKUP(A275,Ausschreibung!$B$4:$I$35,4,FALSE)</f>
        <v>#N/A</v>
      </c>
      <c r="F275" s="245" t="e">
        <f>VLOOKUP(A275,Ausschreibung!$B$4:$I$35,5,FALSE)</f>
        <v>#N/A</v>
      </c>
      <c r="G275" s="243" t="e">
        <f>VLOOKUP(A275,Ausschreibung!$B$4:$I$35,6,FALSE)</f>
        <v>#N/A</v>
      </c>
      <c r="H275" s="238"/>
      <c r="I275" s="243" t="e">
        <f>VLOOKUP(A275,Ausschreibung!$B$4:$I$35,8,FALSE)</f>
        <v>#N/A</v>
      </c>
      <c r="J275" s="235"/>
      <c r="K275" s="235"/>
      <c r="L275" s="233">
        <f t="shared" si="4"/>
        <v>2020</v>
      </c>
    </row>
    <row r="276" spans="1:12" x14ac:dyDescent="0.2">
      <c r="A276" s="238"/>
      <c r="B276" s="245"/>
      <c r="C276" s="234"/>
      <c r="D276" s="234"/>
      <c r="E276" s="243" t="e">
        <f>VLOOKUP(A276,Ausschreibung!$B$4:$I$35,4,FALSE)</f>
        <v>#N/A</v>
      </c>
      <c r="F276" s="245" t="e">
        <f>VLOOKUP(A276,Ausschreibung!$B$4:$I$35,5,FALSE)</f>
        <v>#N/A</v>
      </c>
      <c r="G276" s="243" t="e">
        <f>VLOOKUP(A276,Ausschreibung!$B$4:$I$35,6,FALSE)</f>
        <v>#N/A</v>
      </c>
      <c r="H276" s="238"/>
      <c r="I276" s="243" t="e">
        <f>VLOOKUP(A276,Ausschreibung!$B$4:$I$35,8,FALSE)</f>
        <v>#N/A</v>
      </c>
      <c r="J276" s="235"/>
      <c r="K276" s="235"/>
      <c r="L276" s="233">
        <f t="shared" si="4"/>
        <v>2020</v>
      </c>
    </row>
    <row r="277" spans="1:12" x14ac:dyDescent="0.2">
      <c r="A277" s="238"/>
      <c r="B277" s="245"/>
      <c r="C277" s="234"/>
      <c r="D277" s="234"/>
      <c r="E277" s="243" t="e">
        <f>VLOOKUP(A277,Ausschreibung!$B$4:$I$35,4,FALSE)</f>
        <v>#N/A</v>
      </c>
      <c r="F277" s="245" t="e">
        <f>VLOOKUP(A277,Ausschreibung!$B$4:$I$35,5,FALSE)</f>
        <v>#N/A</v>
      </c>
      <c r="G277" s="243" t="e">
        <f>VLOOKUP(A277,Ausschreibung!$B$4:$I$35,6,FALSE)</f>
        <v>#N/A</v>
      </c>
      <c r="H277" s="238"/>
      <c r="I277" s="243" t="e">
        <f>VLOOKUP(A277,Ausschreibung!$B$4:$I$35,8,FALSE)</f>
        <v>#N/A</v>
      </c>
      <c r="J277" s="235"/>
      <c r="K277" s="235"/>
      <c r="L277" s="233">
        <f t="shared" si="4"/>
        <v>2020</v>
      </c>
    </row>
    <row r="278" spans="1:12" x14ac:dyDescent="0.2">
      <c r="A278" s="238"/>
      <c r="B278" s="245"/>
      <c r="C278" s="234"/>
      <c r="D278" s="234"/>
      <c r="E278" s="243" t="e">
        <f>VLOOKUP(A278,Ausschreibung!$B$4:$I$35,4,FALSE)</f>
        <v>#N/A</v>
      </c>
      <c r="F278" s="245" t="e">
        <f>VLOOKUP(A278,Ausschreibung!$B$4:$I$35,5,FALSE)</f>
        <v>#N/A</v>
      </c>
      <c r="G278" s="243" t="e">
        <f>VLOOKUP(A278,Ausschreibung!$B$4:$I$35,6,FALSE)</f>
        <v>#N/A</v>
      </c>
      <c r="H278" s="238"/>
      <c r="I278" s="243" t="e">
        <f>VLOOKUP(A278,Ausschreibung!$B$4:$I$35,8,FALSE)</f>
        <v>#N/A</v>
      </c>
      <c r="J278" s="235"/>
      <c r="K278" s="235"/>
      <c r="L278" s="233">
        <f t="shared" si="4"/>
        <v>2020</v>
      </c>
    </row>
    <row r="279" spans="1:12" x14ac:dyDescent="0.2">
      <c r="A279" s="238"/>
      <c r="B279" s="245"/>
      <c r="C279" s="234"/>
      <c r="D279" s="234"/>
      <c r="E279" s="243" t="e">
        <f>VLOOKUP(A279,Ausschreibung!$B$4:$I$35,4,FALSE)</f>
        <v>#N/A</v>
      </c>
      <c r="F279" s="245" t="e">
        <f>VLOOKUP(A279,Ausschreibung!$B$4:$I$35,5,FALSE)</f>
        <v>#N/A</v>
      </c>
      <c r="G279" s="243" t="e">
        <f>VLOOKUP(A279,Ausschreibung!$B$4:$I$35,6,FALSE)</f>
        <v>#N/A</v>
      </c>
      <c r="H279" s="238"/>
      <c r="I279" s="243" t="e">
        <f>VLOOKUP(A279,Ausschreibung!$B$4:$I$35,8,FALSE)</f>
        <v>#N/A</v>
      </c>
      <c r="J279" s="235"/>
      <c r="K279" s="235"/>
      <c r="L279" s="233">
        <f t="shared" si="4"/>
        <v>2020</v>
      </c>
    </row>
    <row r="280" spans="1:12" x14ac:dyDescent="0.2">
      <c r="A280" s="238"/>
      <c r="B280" s="245"/>
      <c r="C280" s="234"/>
      <c r="D280" s="234"/>
      <c r="E280" s="243" t="e">
        <f>VLOOKUP(A280,Ausschreibung!$B$4:$I$35,4,FALSE)</f>
        <v>#N/A</v>
      </c>
      <c r="F280" s="245" t="e">
        <f>VLOOKUP(A280,Ausschreibung!$B$4:$I$35,5,FALSE)</f>
        <v>#N/A</v>
      </c>
      <c r="G280" s="243" t="e">
        <f>VLOOKUP(A280,Ausschreibung!$B$4:$I$35,6,FALSE)</f>
        <v>#N/A</v>
      </c>
      <c r="H280" s="238"/>
      <c r="I280" s="243" t="e">
        <f>VLOOKUP(A280,Ausschreibung!$B$4:$I$35,8,FALSE)</f>
        <v>#N/A</v>
      </c>
      <c r="J280" s="235"/>
      <c r="K280" s="235"/>
      <c r="L280" s="233">
        <f t="shared" si="4"/>
        <v>2020</v>
      </c>
    </row>
    <row r="281" spans="1:12" x14ac:dyDescent="0.2">
      <c r="A281" s="238"/>
      <c r="B281" s="245"/>
      <c r="C281" s="234"/>
      <c r="D281" s="234"/>
      <c r="E281" s="243" t="e">
        <f>VLOOKUP(A281,Ausschreibung!$B$4:$I$35,4,FALSE)</f>
        <v>#N/A</v>
      </c>
      <c r="F281" s="245" t="e">
        <f>VLOOKUP(A281,Ausschreibung!$B$4:$I$35,5,FALSE)</f>
        <v>#N/A</v>
      </c>
      <c r="G281" s="243" t="e">
        <f>VLOOKUP(A281,Ausschreibung!$B$4:$I$35,6,FALSE)</f>
        <v>#N/A</v>
      </c>
      <c r="H281" s="238"/>
      <c r="I281" s="243" t="e">
        <f>VLOOKUP(A281,Ausschreibung!$B$4:$I$35,8,FALSE)</f>
        <v>#N/A</v>
      </c>
      <c r="J281" s="235"/>
      <c r="K281" s="235"/>
      <c r="L281" s="233">
        <f t="shared" si="4"/>
        <v>2020</v>
      </c>
    </row>
    <row r="282" spans="1:12" x14ac:dyDescent="0.2">
      <c r="A282" s="238"/>
      <c r="B282" s="245"/>
      <c r="C282" s="234"/>
      <c r="D282" s="234"/>
      <c r="E282" s="243" t="e">
        <f>VLOOKUP(A282,Ausschreibung!$B$4:$I$35,4,FALSE)</f>
        <v>#N/A</v>
      </c>
      <c r="F282" s="245" t="e">
        <f>VLOOKUP(A282,Ausschreibung!$B$4:$I$35,5,FALSE)</f>
        <v>#N/A</v>
      </c>
      <c r="G282" s="243" t="e">
        <f>VLOOKUP(A282,Ausschreibung!$B$4:$I$35,6,FALSE)</f>
        <v>#N/A</v>
      </c>
      <c r="H282" s="238"/>
      <c r="I282" s="243" t="e">
        <f>VLOOKUP(A282,Ausschreibung!$B$4:$I$35,8,FALSE)</f>
        <v>#N/A</v>
      </c>
      <c r="J282" s="235"/>
      <c r="K282" s="235"/>
      <c r="L282" s="233">
        <f t="shared" si="4"/>
        <v>2020</v>
      </c>
    </row>
    <row r="283" spans="1:12" x14ac:dyDescent="0.2">
      <c r="A283" s="238"/>
      <c r="B283" s="245"/>
      <c r="C283" s="234"/>
      <c r="D283" s="234"/>
      <c r="E283" s="243" t="e">
        <f>VLOOKUP(A283,Ausschreibung!$B$4:$I$35,4,FALSE)</f>
        <v>#N/A</v>
      </c>
      <c r="F283" s="245" t="e">
        <f>VLOOKUP(A283,Ausschreibung!$B$4:$I$35,5,FALSE)</f>
        <v>#N/A</v>
      </c>
      <c r="G283" s="243" t="e">
        <f>VLOOKUP(A283,Ausschreibung!$B$4:$I$35,6,FALSE)</f>
        <v>#N/A</v>
      </c>
      <c r="H283" s="238"/>
      <c r="I283" s="243" t="e">
        <f>VLOOKUP(A283,Ausschreibung!$B$4:$I$35,8,FALSE)</f>
        <v>#N/A</v>
      </c>
      <c r="J283" s="235"/>
      <c r="K283" s="235"/>
      <c r="L283" s="233">
        <f t="shared" si="4"/>
        <v>2020</v>
      </c>
    </row>
    <row r="284" spans="1:12" x14ac:dyDescent="0.2">
      <c r="A284" s="238"/>
      <c r="B284" s="245"/>
      <c r="C284" s="237"/>
      <c r="D284" s="237"/>
      <c r="E284" s="243" t="e">
        <f>VLOOKUP(A284,Ausschreibung!$B$4:$I$35,4,FALSE)</f>
        <v>#N/A</v>
      </c>
      <c r="F284" s="245" t="e">
        <f>VLOOKUP(A284,Ausschreibung!$B$4:$I$35,5,FALSE)</f>
        <v>#N/A</v>
      </c>
      <c r="G284" s="243" t="e">
        <f>VLOOKUP(A284,Ausschreibung!$B$4:$I$35,6,FALSE)</f>
        <v>#N/A</v>
      </c>
      <c r="H284" s="238"/>
      <c r="I284" s="243" t="e">
        <f>VLOOKUP(A284,Ausschreibung!$B$4:$I$35,8,FALSE)</f>
        <v>#N/A</v>
      </c>
      <c r="J284" s="235"/>
      <c r="K284" s="235"/>
      <c r="L284" s="233">
        <f t="shared" si="4"/>
        <v>2020</v>
      </c>
    </row>
    <row r="285" spans="1:12" x14ac:dyDescent="0.2">
      <c r="A285" s="238"/>
      <c r="B285" s="245"/>
      <c r="C285" s="234"/>
      <c r="D285" s="234"/>
      <c r="E285" s="243" t="e">
        <f>VLOOKUP(A285,Ausschreibung!$B$4:$I$35,4,FALSE)</f>
        <v>#N/A</v>
      </c>
      <c r="F285" s="245" t="e">
        <f>VLOOKUP(A285,Ausschreibung!$B$4:$I$35,5,FALSE)</f>
        <v>#N/A</v>
      </c>
      <c r="G285" s="243" t="e">
        <f>VLOOKUP(A285,Ausschreibung!$B$4:$I$35,6,FALSE)</f>
        <v>#N/A</v>
      </c>
      <c r="H285" s="238"/>
      <c r="I285" s="243" t="e">
        <f>VLOOKUP(A285,Ausschreibung!$B$4:$I$35,8,FALSE)</f>
        <v>#N/A</v>
      </c>
      <c r="J285" s="235"/>
      <c r="K285" s="235"/>
      <c r="L285" s="233">
        <f t="shared" si="4"/>
        <v>2020</v>
      </c>
    </row>
    <row r="286" spans="1:12" x14ac:dyDescent="0.2">
      <c r="A286" s="238"/>
      <c r="B286" s="245"/>
      <c r="C286" s="234"/>
      <c r="D286" s="234"/>
      <c r="E286" s="243" t="e">
        <f>VLOOKUP(A286,Ausschreibung!$B$4:$I$35,4,FALSE)</f>
        <v>#N/A</v>
      </c>
      <c r="F286" s="245" t="e">
        <f>VLOOKUP(A286,Ausschreibung!$B$4:$I$35,5,FALSE)</f>
        <v>#N/A</v>
      </c>
      <c r="G286" s="243" t="e">
        <f>VLOOKUP(A286,Ausschreibung!$B$4:$I$35,6,FALSE)</f>
        <v>#N/A</v>
      </c>
      <c r="H286" s="238"/>
      <c r="I286" s="243" t="e">
        <f>VLOOKUP(A286,Ausschreibung!$B$4:$I$35,8,FALSE)</f>
        <v>#N/A</v>
      </c>
      <c r="J286" s="235"/>
      <c r="K286" s="235"/>
      <c r="L286" s="233">
        <f t="shared" si="4"/>
        <v>2020</v>
      </c>
    </row>
    <row r="287" spans="1:12" x14ac:dyDescent="0.2">
      <c r="A287" s="238"/>
      <c r="B287" s="245"/>
      <c r="C287" s="234"/>
      <c r="D287" s="234"/>
      <c r="E287" s="243" t="e">
        <f>VLOOKUP(A287,Ausschreibung!$B$4:$I$35,4,FALSE)</f>
        <v>#N/A</v>
      </c>
      <c r="F287" s="245" t="e">
        <f>VLOOKUP(A287,Ausschreibung!$B$4:$I$35,5,FALSE)</f>
        <v>#N/A</v>
      </c>
      <c r="G287" s="243" t="e">
        <f>VLOOKUP(A287,Ausschreibung!$B$4:$I$35,6,FALSE)</f>
        <v>#N/A</v>
      </c>
      <c r="H287" s="238"/>
      <c r="I287" s="243" t="e">
        <f>VLOOKUP(A287,Ausschreibung!$B$4:$I$35,8,FALSE)</f>
        <v>#N/A</v>
      </c>
      <c r="J287" s="235"/>
      <c r="K287" s="235"/>
      <c r="L287" s="233">
        <f t="shared" si="4"/>
        <v>2020</v>
      </c>
    </row>
    <row r="288" spans="1:12" x14ac:dyDescent="0.2">
      <c r="A288" s="238"/>
      <c r="B288" s="245"/>
      <c r="C288" s="234"/>
      <c r="D288" s="234"/>
      <c r="E288" s="243" t="e">
        <f>VLOOKUP(A288,Ausschreibung!$B$4:$I$35,4,FALSE)</f>
        <v>#N/A</v>
      </c>
      <c r="F288" s="245" t="e">
        <f>VLOOKUP(A288,Ausschreibung!$B$4:$I$35,5,FALSE)</f>
        <v>#N/A</v>
      </c>
      <c r="G288" s="243" t="e">
        <f>VLOOKUP(A288,Ausschreibung!$B$4:$I$35,6,FALSE)</f>
        <v>#N/A</v>
      </c>
      <c r="H288" s="238"/>
      <c r="I288" s="243" t="e">
        <f>VLOOKUP(A288,Ausschreibung!$B$4:$I$35,8,FALSE)</f>
        <v>#N/A</v>
      </c>
      <c r="J288" s="235"/>
      <c r="K288" s="235"/>
      <c r="L288" s="233">
        <f t="shared" si="4"/>
        <v>2020</v>
      </c>
    </row>
    <row r="289" spans="1:12" x14ac:dyDescent="0.2">
      <c r="A289" s="238"/>
      <c r="B289" s="245"/>
      <c r="C289" s="234"/>
      <c r="D289" s="234"/>
      <c r="E289" s="243" t="e">
        <f>VLOOKUP(A289,Ausschreibung!$B$4:$I$35,4,FALSE)</f>
        <v>#N/A</v>
      </c>
      <c r="F289" s="245" t="e">
        <f>VLOOKUP(A289,Ausschreibung!$B$4:$I$35,5,FALSE)</f>
        <v>#N/A</v>
      </c>
      <c r="G289" s="243" t="e">
        <f>VLOOKUP(A289,Ausschreibung!$B$4:$I$35,6,FALSE)</f>
        <v>#N/A</v>
      </c>
      <c r="H289" s="238"/>
      <c r="I289" s="243" t="e">
        <f>VLOOKUP(A289,Ausschreibung!$B$4:$I$35,8,FALSE)</f>
        <v>#N/A</v>
      </c>
      <c r="J289" s="235"/>
      <c r="K289" s="235"/>
      <c r="L289" s="233">
        <f t="shared" si="4"/>
        <v>2020</v>
      </c>
    </row>
    <row r="290" spans="1:12" x14ac:dyDescent="0.2">
      <c r="A290" s="238"/>
      <c r="B290" s="245"/>
      <c r="C290" s="234"/>
      <c r="D290" s="234"/>
      <c r="E290" s="243" t="e">
        <f>VLOOKUP(A290,Ausschreibung!$B$4:$I$35,4,FALSE)</f>
        <v>#N/A</v>
      </c>
      <c r="F290" s="245" t="e">
        <f>VLOOKUP(A290,Ausschreibung!$B$4:$I$35,5,FALSE)</f>
        <v>#N/A</v>
      </c>
      <c r="G290" s="243" t="e">
        <f>VLOOKUP(A290,Ausschreibung!$B$4:$I$35,6,FALSE)</f>
        <v>#N/A</v>
      </c>
      <c r="H290" s="238"/>
      <c r="I290" s="243" t="e">
        <f>VLOOKUP(A290,Ausschreibung!$B$4:$I$35,8,FALSE)</f>
        <v>#N/A</v>
      </c>
      <c r="J290" s="235"/>
      <c r="K290" s="235"/>
      <c r="L290" s="233">
        <f t="shared" si="4"/>
        <v>2020</v>
      </c>
    </row>
    <row r="291" spans="1:12" x14ac:dyDescent="0.2">
      <c r="A291" s="238"/>
      <c r="B291" s="245"/>
      <c r="C291" s="234"/>
      <c r="D291" s="234"/>
      <c r="E291" s="243" t="e">
        <f>VLOOKUP(A291,Ausschreibung!$B$4:$I$35,4,FALSE)</f>
        <v>#N/A</v>
      </c>
      <c r="F291" s="245" t="e">
        <f>VLOOKUP(A291,Ausschreibung!$B$4:$I$35,5,FALSE)</f>
        <v>#N/A</v>
      </c>
      <c r="G291" s="243" t="e">
        <f>VLOOKUP(A291,Ausschreibung!$B$4:$I$35,6,FALSE)</f>
        <v>#N/A</v>
      </c>
      <c r="H291" s="238"/>
      <c r="I291" s="243" t="e">
        <f>VLOOKUP(A291,Ausschreibung!$B$4:$I$35,8,FALSE)</f>
        <v>#N/A</v>
      </c>
      <c r="J291" s="235"/>
      <c r="K291" s="235"/>
      <c r="L291" s="233">
        <f t="shared" si="4"/>
        <v>2020</v>
      </c>
    </row>
    <row r="292" spans="1:12" x14ac:dyDescent="0.2">
      <c r="A292" s="238"/>
      <c r="B292" s="245"/>
      <c r="C292" s="234"/>
      <c r="D292" s="234"/>
      <c r="E292" s="243" t="e">
        <f>VLOOKUP(A292,Ausschreibung!$B$4:$I$35,4,FALSE)</f>
        <v>#N/A</v>
      </c>
      <c r="F292" s="245" t="e">
        <f>VLOOKUP(A292,Ausschreibung!$B$4:$I$35,5,FALSE)</f>
        <v>#N/A</v>
      </c>
      <c r="G292" s="243" t="e">
        <f>VLOOKUP(A292,Ausschreibung!$B$4:$I$35,6,FALSE)</f>
        <v>#N/A</v>
      </c>
      <c r="H292" s="238"/>
      <c r="I292" s="243" t="e">
        <f>VLOOKUP(A292,Ausschreibung!$B$4:$I$35,8,FALSE)</f>
        <v>#N/A</v>
      </c>
      <c r="J292" s="235"/>
      <c r="K292" s="235"/>
      <c r="L292" s="233">
        <f t="shared" si="4"/>
        <v>2020</v>
      </c>
    </row>
    <row r="293" spans="1:12" x14ac:dyDescent="0.2">
      <c r="A293" s="238"/>
      <c r="B293" s="245"/>
      <c r="C293" s="234"/>
      <c r="D293" s="234"/>
      <c r="E293" s="243" t="e">
        <f>VLOOKUP(A293,Ausschreibung!$B$4:$I$35,4,FALSE)</f>
        <v>#N/A</v>
      </c>
      <c r="F293" s="245" t="e">
        <f>VLOOKUP(A293,Ausschreibung!$B$4:$I$35,5,FALSE)</f>
        <v>#N/A</v>
      </c>
      <c r="G293" s="243" t="e">
        <f>VLOOKUP(A293,Ausschreibung!$B$4:$I$35,6,FALSE)</f>
        <v>#N/A</v>
      </c>
      <c r="H293" s="238"/>
      <c r="I293" s="243" t="e">
        <f>VLOOKUP(A293,Ausschreibung!$B$4:$I$35,8,FALSE)</f>
        <v>#N/A</v>
      </c>
      <c r="J293" s="235"/>
      <c r="K293" s="235"/>
      <c r="L293" s="233">
        <f t="shared" si="4"/>
        <v>2020</v>
      </c>
    </row>
    <row r="294" spans="1:12" x14ac:dyDescent="0.2">
      <c r="A294" s="238"/>
      <c r="B294" s="245"/>
      <c r="C294" s="234"/>
      <c r="D294" s="234"/>
      <c r="E294" s="243" t="e">
        <f>VLOOKUP(A294,Ausschreibung!$B$4:$I$35,4,FALSE)</f>
        <v>#N/A</v>
      </c>
      <c r="F294" s="245" t="e">
        <f>VLOOKUP(A294,Ausschreibung!$B$4:$I$35,5,FALSE)</f>
        <v>#N/A</v>
      </c>
      <c r="G294" s="243" t="e">
        <f>VLOOKUP(A294,Ausschreibung!$B$4:$I$35,6,FALSE)</f>
        <v>#N/A</v>
      </c>
      <c r="H294" s="238"/>
      <c r="I294" s="243" t="e">
        <f>VLOOKUP(A294,Ausschreibung!$B$4:$I$35,8,FALSE)</f>
        <v>#N/A</v>
      </c>
      <c r="J294" s="235"/>
      <c r="K294" s="235"/>
      <c r="L294" s="233">
        <f t="shared" si="4"/>
        <v>2020</v>
      </c>
    </row>
    <row r="295" spans="1:12" x14ac:dyDescent="0.2">
      <c r="A295" s="238"/>
      <c r="B295" s="245"/>
      <c r="C295" s="234"/>
      <c r="D295" s="234"/>
      <c r="E295" s="243" t="e">
        <f>VLOOKUP(A295,Ausschreibung!$B$4:$I$35,4,FALSE)</f>
        <v>#N/A</v>
      </c>
      <c r="F295" s="245" t="e">
        <f>VLOOKUP(A295,Ausschreibung!$B$4:$I$35,5,FALSE)</f>
        <v>#N/A</v>
      </c>
      <c r="G295" s="243" t="e">
        <f>VLOOKUP(A295,Ausschreibung!$B$4:$I$35,6,FALSE)</f>
        <v>#N/A</v>
      </c>
      <c r="H295" s="238"/>
      <c r="I295" s="243" t="e">
        <f>VLOOKUP(A295,Ausschreibung!$B$4:$I$35,8,FALSE)</f>
        <v>#N/A</v>
      </c>
      <c r="J295" s="235"/>
      <c r="K295" s="235"/>
      <c r="L295" s="233">
        <f t="shared" si="4"/>
        <v>2020</v>
      </c>
    </row>
    <row r="296" spans="1:12" x14ac:dyDescent="0.2">
      <c r="A296" s="238"/>
      <c r="B296" s="245"/>
      <c r="C296" s="234"/>
      <c r="D296" s="234"/>
      <c r="E296" s="243" t="e">
        <f>VLOOKUP(A296,Ausschreibung!$B$4:$I$35,4,FALSE)</f>
        <v>#N/A</v>
      </c>
      <c r="F296" s="245" t="e">
        <f>VLOOKUP(A296,Ausschreibung!$B$4:$I$35,5,FALSE)</f>
        <v>#N/A</v>
      </c>
      <c r="G296" s="243" t="e">
        <f>VLOOKUP(A296,Ausschreibung!$B$4:$I$35,6,FALSE)</f>
        <v>#N/A</v>
      </c>
      <c r="H296" s="238"/>
      <c r="I296" s="243" t="e">
        <f>VLOOKUP(A296,Ausschreibung!$B$4:$I$35,8,FALSE)</f>
        <v>#N/A</v>
      </c>
      <c r="J296" s="235"/>
      <c r="K296" s="235"/>
      <c r="L296" s="233">
        <f t="shared" si="4"/>
        <v>2020</v>
      </c>
    </row>
    <row r="297" spans="1:12" x14ac:dyDescent="0.2">
      <c r="A297" s="238"/>
      <c r="B297" s="245"/>
      <c r="C297" s="234"/>
      <c r="D297" s="234"/>
      <c r="E297" s="243" t="e">
        <f>VLOOKUP(A297,Ausschreibung!$B$4:$I$35,4,FALSE)</f>
        <v>#N/A</v>
      </c>
      <c r="F297" s="245" t="e">
        <f>VLOOKUP(A297,Ausschreibung!$B$4:$I$35,5,FALSE)</f>
        <v>#N/A</v>
      </c>
      <c r="G297" s="243" t="e">
        <f>VLOOKUP(A297,Ausschreibung!$B$4:$I$35,6,FALSE)</f>
        <v>#N/A</v>
      </c>
      <c r="H297" s="238"/>
      <c r="I297" s="243" t="e">
        <f>VLOOKUP(A297,Ausschreibung!$B$4:$I$35,8,FALSE)</f>
        <v>#N/A</v>
      </c>
      <c r="J297" s="235"/>
      <c r="K297" s="235"/>
      <c r="L297" s="233">
        <f t="shared" si="4"/>
        <v>2020</v>
      </c>
    </row>
    <row r="298" spans="1:12" x14ac:dyDescent="0.2">
      <c r="A298" s="238"/>
      <c r="B298" s="245"/>
      <c r="C298" s="234"/>
      <c r="D298" s="234"/>
      <c r="E298" s="243" t="e">
        <f>VLOOKUP(A298,Ausschreibung!$B$4:$I$35,4,FALSE)</f>
        <v>#N/A</v>
      </c>
      <c r="F298" s="245" t="e">
        <f>VLOOKUP(A298,Ausschreibung!$B$4:$I$35,5,FALSE)</f>
        <v>#N/A</v>
      </c>
      <c r="G298" s="243" t="e">
        <f>VLOOKUP(A298,Ausschreibung!$B$4:$I$35,6,FALSE)</f>
        <v>#N/A</v>
      </c>
      <c r="H298" s="238"/>
      <c r="I298" s="243" t="e">
        <f>VLOOKUP(A298,Ausschreibung!$B$4:$I$35,8,FALSE)</f>
        <v>#N/A</v>
      </c>
      <c r="J298" s="235"/>
      <c r="K298" s="235"/>
      <c r="L298" s="233">
        <f t="shared" si="4"/>
        <v>2020</v>
      </c>
    </row>
    <row r="299" spans="1:12" x14ac:dyDescent="0.2">
      <c r="A299" s="238"/>
      <c r="B299" s="245"/>
      <c r="C299" s="234"/>
      <c r="D299" s="234"/>
      <c r="E299" s="243" t="e">
        <f>VLOOKUP(A299,Ausschreibung!$B$4:$I$35,4,FALSE)</f>
        <v>#N/A</v>
      </c>
      <c r="F299" s="245" t="e">
        <f>VLOOKUP(A299,Ausschreibung!$B$4:$I$35,5,FALSE)</f>
        <v>#N/A</v>
      </c>
      <c r="G299" s="243" t="e">
        <f>VLOOKUP(A299,Ausschreibung!$B$4:$I$35,6,FALSE)</f>
        <v>#N/A</v>
      </c>
      <c r="H299" s="238"/>
      <c r="I299" s="243" t="e">
        <f>VLOOKUP(A299,Ausschreibung!$B$4:$I$35,8,FALSE)</f>
        <v>#N/A</v>
      </c>
      <c r="J299" s="235"/>
      <c r="K299" s="235"/>
      <c r="L299" s="233">
        <f t="shared" si="4"/>
        <v>2020</v>
      </c>
    </row>
    <row r="300" spans="1:12" x14ac:dyDescent="0.2">
      <c r="A300" s="238"/>
      <c r="B300" s="245"/>
      <c r="C300" s="234"/>
      <c r="D300" s="234"/>
      <c r="E300" s="243" t="e">
        <f>VLOOKUP(A300,Ausschreibung!$B$4:$I$35,4,FALSE)</f>
        <v>#N/A</v>
      </c>
      <c r="F300" s="245" t="e">
        <f>VLOOKUP(A300,Ausschreibung!$B$4:$I$35,5,FALSE)</f>
        <v>#N/A</v>
      </c>
      <c r="G300" s="243" t="e">
        <f>VLOOKUP(A300,Ausschreibung!$B$4:$I$35,6,FALSE)</f>
        <v>#N/A</v>
      </c>
      <c r="H300" s="238"/>
      <c r="I300" s="243" t="e">
        <f>VLOOKUP(A300,Ausschreibung!$B$4:$I$35,8,FALSE)</f>
        <v>#N/A</v>
      </c>
      <c r="J300" s="235"/>
      <c r="K300" s="235"/>
      <c r="L300" s="233">
        <f t="shared" si="4"/>
        <v>2020</v>
      </c>
    </row>
    <row r="301" spans="1:12" x14ac:dyDescent="0.2">
      <c r="A301" s="238"/>
      <c r="B301" s="245"/>
      <c r="C301" s="234"/>
      <c r="D301" s="234"/>
      <c r="E301" s="243" t="e">
        <f>VLOOKUP(A301,Ausschreibung!$B$4:$I$35,4,FALSE)</f>
        <v>#N/A</v>
      </c>
      <c r="F301" s="245" t="e">
        <f>VLOOKUP(A301,Ausschreibung!$B$4:$I$35,5,FALSE)</f>
        <v>#N/A</v>
      </c>
      <c r="G301" s="243" t="e">
        <f>VLOOKUP(A301,Ausschreibung!$B$4:$I$35,6,FALSE)</f>
        <v>#N/A</v>
      </c>
      <c r="H301" s="238"/>
      <c r="I301" s="243" t="e">
        <f>VLOOKUP(A301,Ausschreibung!$B$4:$I$35,8,FALSE)</f>
        <v>#N/A</v>
      </c>
      <c r="J301" s="235"/>
      <c r="K301" s="235"/>
      <c r="L301" s="233">
        <f t="shared" si="4"/>
        <v>2020</v>
      </c>
    </row>
    <row r="302" spans="1:12" x14ac:dyDescent="0.2">
      <c r="A302" s="238"/>
      <c r="B302" s="245"/>
      <c r="C302" s="234"/>
      <c r="D302" s="234"/>
      <c r="E302" s="243" t="e">
        <f>VLOOKUP(A302,Ausschreibung!$B$4:$I$35,4,FALSE)</f>
        <v>#N/A</v>
      </c>
      <c r="F302" s="245" t="e">
        <f>VLOOKUP(A302,Ausschreibung!$B$4:$I$35,5,FALSE)</f>
        <v>#N/A</v>
      </c>
      <c r="G302" s="243" t="e">
        <f>VLOOKUP(A302,Ausschreibung!$B$4:$I$35,6,FALSE)</f>
        <v>#N/A</v>
      </c>
      <c r="H302" s="238"/>
      <c r="I302" s="243" t="e">
        <f>VLOOKUP(A302,Ausschreibung!$B$4:$I$35,8,FALSE)</f>
        <v>#N/A</v>
      </c>
      <c r="J302" s="235"/>
      <c r="K302" s="235"/>
      <c r="L302" s="233">
        <f t="shared" si="4"/>
        <v>2020</v>
      </c>
    </row>
    <row r="303" spans="1:12" x14ac:dyDescent="0.2">
      <c r="A303" s="238"/>
      <c r="B303" s="245"/>
      <c r="C303" s="234"/>
      <c r="D303" s="234"/>
      <c r="E303" s="243" t="e">
        <f>VLOOKUP(A303,Ausschreibung!$B$4:$I$35,4,FALSE)</f>
        <v>#N/A</v>
      </c>
      <c r="F303" s="245" t="e">
        <f>VLOOKUP(A303,Ausschreibung!$B$4:$I$35,5,FALSE)</f>
        <v>#N/A</v>
      </c>
      <c r="G303" s="243" t="e">
        <f>VLOOKUP(A303,Ausschreibung!$B$4:$I$35,6,FALSE)</f>
        <v>#N/A</v>
      </c>
      <c r="H303" s="238"/>
      <c r="I303" s="243" t="e">
        <f>VLOOKUP(A303,Ausschreibung!$B$4:$I$35,8,FALSE)</f>
        <v>#N/A</v>
      </c>
      <c r="J303" s="235"/>
      <c r="K303" s="235"/>
      <c r="L303" s="233">
        <f t="shared" si="4"/>
        <v>2020</v>
      </c>
    </row>
    <row r="304" spans="1:12" x14ac:dyDescent="0.2">
      <c r="A304" s="238"/>
      <c r="B304" s="245"/>
      <c r="C304" s="234"/>
      <c r="D304" s="234"/>
      <c r="E304" s="243" t="e">
        <f>VLOOKUP(A304,Ausschreibung!$B$4:$I$35,4,FALSE)</f>
        <v>#N/A</v>
      </c>
      <c r="F304" s="245" t="e">
        <f>VLOOKUP(A304,Ausschreibung!$B$4:$I$35,5,FALSE)</f>
        <v>#N/A</v>
      </c>
      <c r="G304" s="243" t="e">
        <f>VLOOKUP(A304,Ausschreibung!$B$4:$I$35,6,FALSE)</f>
        <v>#N/A</v>
      </c>
      <c r="H304" s="238"/>
      <c r="I304" s="243" t="e">
        <f>VLOOKUP(A304,Ausschreibung!$B$4:$I$35,8,FALSE)</f>
        <v>#N/A</v>
      </c>
      <c r="J304" s="235"/>
      <c r="K304" s="235"/>
      <c r="L304" s="233">
        <f t="shared" si="4"/>
        <v>2020</v>
      </c>
    </row>
    <row r="305" spans="1:12" x14ac:dyDescent="0.2">
      <c r="A305" s="238"/>
      <c r="B305" s="245"/>
      <c r="C305" s="234"/>
      <c r="D305" s="234"/>
      <c r="E305" s="243" t="e">
        <f>VLOOKUP(A305,Ausschreibung!$B$4:$I$35,4,FALSE)</f>
        <v>#N/A</v>
      </c>
      <c r="F305" s="245" t="e">
        <f>VLOOKUP(A305,Ausschreibung!$B$4:$I$35,5,FALSE)</f>
        <v>#N/A</v>
      </c>
      <c r="G305" s="243" t="e">
        <f>VLOOKUP(A305,Ausschreibung!$B$4:$I$35,6,FALSE)</f>
        <v>#N/A</v>
      </c>
      <c r="H305" s="238"/>
      <c r="I305" s="243" t="e">
        <f>VLOOKUP(A305,Ausschreibung!$B$4:$I$35,8,FALSE)</f>
        <v>#N/A</v>
      </c>
      <c r="J305" s="235"/>
      <c r="K305" s="235"/>
      <c r="L305" s="233">
        <f t="shared" si="4"/>
        <v>2020</v>
      </c>
    </row>
    <row r="306" spans="1:12" x14ac:dyDescent="0.2">
      <c r="A306" s="238"/>
      <c r="B306" s="245"/>
      <c r="C306" s="234"/>
      <c r="D306" s="234"/>
      <c r="E306" s="243" t="e">
        <f>VLOOKUP(A306,Ausschreibung!$B$4:$I$35,4,FALSE)</f>
        <v>#N/A</v>
      </c>
      <c r="F306" s="245" t="e">
        <f>VLOOKUP(A306,Ausschreibung!$B$4:$I$35,5,FALSE)</f>
        <v>#N/A</v>
      </c>
      <c r="G306" s="243" t="e">
        <f>VLOOKUP(A306,Ausschreibung!$B$4:$I$35,6,FALSE)</f>
        <v>#N/A</v>
      </c>
      <c r="H306" s="238"/>
      <c r="I306" s="243" t="e">
        <f>VLOOKUP(A306,Ausschreibung!$B$4:$I$35,8,FALSE)</f>
        <v>#N/A</v>
      </c>
      <c r="J306" s="235"/>
      <c r="K306" s="235"/>
      <c r="L306" s="233">
        <f t="shared" si="4"/>
        <v>2020</v>
      </c>
    </row>
    <row r="307" spans="1:12" x14ac:dyDescent="0.2">
      <c r="A307" s="238"/>
      <c r="B307" s="245"/>
      <c r="C307" s="234"/>
      <c r="D307" s="234"/>
      <c r="E307" s="243" t="e">
        <f>VLOOKUP(A307,Ausschreibung!$B$4:$I$35,4,FALSE)</f>
        <v>#N/A</v>
      </c>
      <c r="F307" s="245" t="e">
        <f>VLOOKUP(A307,Ausschreibung!$B$4:$I$35,5,FALSE)</f>
        <v>#N/A</v>
      </c>
      <c r="G307" s="243" t="e">
        <f>VLOOKUP(A307,Ausschreibung!$B$4:$I$35,6,FALSE)</f>
        <v>#N/A</v>
      </c>
      <c r="H307" s="238"/>
      <c r="I307" s="243" t="e">
        <f>VLOOKUP(A307,Ausschreibung!$B$4:$I$35,8,FALSE)</f>
        <v>#N/A</v>
      </c>
      <c r="J307" s="235"/>
      <c r="K307" s="235"/>
      <c r="L307" s="233">
        <f t="shared" si="4"/>
        <v>2020</v>
      </c>
    </row>
    <row r="308" spans="1:12" x14ac:dyDescent="0.2">
      <c r="A308" s="238"/>
      <c r="B308" s="245"/>
      <c r="C308" s="234"/>
      <c r="D308" s="234"/>
      <c r="E308" s="243" t="e">
        <f>VLOOKUP(A308,Ausschreibung!$B$4:$I$35,4,FALSE)</f>
        <v>#N/A</v>
      </c>
      <c r="F308" s="245" t="e">
        <f>VLOOKUP(A308,Ausschreibung!$B$4:$I$35,5,FALSE)</f>
        <v>#N/A</v>
      </c>
      <c r="G308" s="243" t="e">
        <f>VLOOKUP(A308,Ausschreibung!$B$4:$I$35,6,FALSE)</f>
        <v>#N/A</v>
      </c>
      <c r="H308" s="238"/>
      <c r="I308" s="243" t="e">
        <f>VLOOKUP(A308,Ausschreibung!$B$4:$I$35,8,FALSE)</f>
        <v>#N/A</v>
      </c>
      <c r="J308" s="235"/>
      <c r="K308" s="235"/>
      <c r="L308" s="233">
        <f t="shared" si="4"/>
        <v>2020</v>
      </c>
    </row>
    <row r="309" spans="1:12" x14ac:dyDescent="0.2">
      <c r="A309" s="238"/>
      <c r="B309" s="245"/>
      <c r="C309" s="234"/>
      <c r="D309" s="234"/>
      <c r="E309" s="243" t="e">
        <f>VLOOKUP(A309,Ausschreibung!$B$4:$I$35,4,FALSE)</f>
        <v>#N/A</v>
      </c>
      <c r="F309" s="245" t="e">
        <f>VLOOKUP(A309,Ausschreibung!$B$4:$I$35,5,FALSE)</f>
        <v>#N/A</v>
      </c>
      <c r="G309" s="243" t="e">
        <f>VLOOKUP(A309,Ausschreibung!$B$4:$I$35,6,FALSE)</f>
        <v>#N/A</v>
      </c>
      <c r="H309" s="238"/>
      <c r="I309" s="243" t="e">
        <f>VLOOKUP(A309,Ausschreibung!$B$4:$I$35,8,FALSE)</f>
        <v>#N/A</v>
      </c>
      <c r="J309" s="235"/>
      <c r="K309" s="235"/>
      <c r="L309" s="233">
        <f t="shared" si="4"/>
        <v>2020</v>
      </c>
    </row>
    <row r="310" spans="1:12" x14ac:dyDescent="0.2">
      <c r="A310" s="238"/>
      <c r="B310" s="245"/>
      <c r="C310" s="234"/>
      <c r="D310" s="234"/>
      <c r="E310" s="243" t="e">
        <f>VLOOKUP(A310,Ausschreibung!$B$4:$I$35,4,FALSE)</f>
        <v>#N/A</v>
      </c>
      <c r="F310" s="245" t="e">
        <f>VLOOKUP(A310,Ausschreibung!$B$4:$I$35,5,FALSE)</f>
        <v>#N/A</v>
      </c>
      <c r="G310" s="243" t="e">
        <f>VLOOKUP(A310,Ausschreibung!$B$4:$I$35,6,FALSE)</f>
        <v>#N/A</v>
      </c>
      <c r="H310" s="238"/>
      <c r="I310" s="243" t="e">
        <f>VLOOKUP(A310,Ausschreibung!$B$4:$I$35,8,FALSE)</f>
        <v>#N/A</v>
      </c>
      <c r="J310" s="235"/>
      <c r="K310" s="235"/>
      <c r="L310" s="233">
        <f t="shared" si="4"/>
        <v>2020</v>
      </c>
    </row>
    <row r="311" spans="1:12" x14ac:dyDescent="0.2">
      <c r="A311" s="238"/>
      <c r="B311" s="245"/>
      <c r="C311" s="234"/>
      <c r="D311" s="234"/>
      <c r="E311" s="243" t="e">
        <f>VLOOKUP(A311,Ausschreibung!$B$4:$I$35,4,FALSE)</f>
        <v>#N/A</v>
      </c>
      <c r="F311" s="245" t="e">
        <f>VLOOKUP(A311,Ausschreibung!$B$4:$I$35,5,FALSE)</f>
        <v>#N/A</v>
      </c>
      <c r="G311" s="243" t="e">
        <f>VLOOKUP(A311,Ausschreibung!$B$4:$I$35,6,FALSE)</f>
        <v>#N/A</v>
      </c>
      <c r="H311" s="238"/>
      <c r="I311" s="243" t="e">
        <f>VLOOKUP(A311,Ausschreibung!$B$4:$I$35,8,FALSE)</f>
        <v>#N/A</v>
      </c>
      <c r="J311" s="235"/>
      <c r="K311" s="235"/>
      <c r="L311" s="233">
        <f t="shared" si="4"/>
        <v>2020</v>
      </c>
    </row>
    <row r="312" spans="1:12" x14ac:dyDescent="0.2">
      <c r="A312" s="238"/>
      <c r="B312" s="245"/>
      <c r="C312" s="234"/>
      <c r="D312" s="234"/>
      <c r="E312" s="243" t="e">
        <f>VLOOKUP(A312,Ausschreibung!$B$4:$I$35,4,FALSE)</f>
        <v>#N/A</v>
      </c>
      <c r="F312" s="245" t="e">
        <f>VLOOKUP(A312,Ausschreibung!$B$4:$I$35,5,FALSE)</f>
        <v>#N/A</v>
      </c>
      <c r="G312" s="243" t="e">
        <f>VLOOKUP(A312,Ausschreibung!$B$4:$I$35,6,FALSE)</f>
        <v>#N/A</v>
      </c>
      <c r="H312" s="238"/>
      <c r="I312" s="243" t="e">
        <f>VLOOKUP(A312,Ausschreibung!$B$4:$I$35,8,FALSE)</f>
        <v>#N/A</v>
      </c>
      <c r="J312" s="235"/>
      <c r="K312" s="235"/>
      <c r="L312" s="233">
        <f t="shared" si="4"/>
        <v>2020</v>
      </c>
    </row>
    <row r="313" spans="1:12" x14ac:dyDescent="0.2">
      <c r="A313" s="238"/>
      <c r="B313" s="245"/>
      <c r="C313" s="234"/>
      <c r="D313" s="234"/>
      <c r="E313" s="243" t="e">
        <f>VLOOKUP(A313,Ausschreibung!$B$4:$I$35,4,FALSE)</f>
        <v>#N/A</v>
      </c>
      <c r="F313" s="245" t="e">
        <f>VLOOKUP(A313,Ausschreibung!$B$4:$I$35,5,FALSE)</f>
        <v>#N/A</v>
      </c>
      <c r="G313" s="243" t="e">
        <f>VLOOKUP(A313,Ausschreibung!$B$4:$I$35,6,FALSE)</f>
        <v>#N/A</v>
      </c>
      <c r="H313" s="238"/>
      <c r="I313" s="243" t="e">
        <f>VLOOKUP(A313,Ausschreibung!$B$4:$I$35,8,FALSE)</f>
        <v>#N/A</v>
      </c>
      <c r="J313" s="235"/>
      <c r="K313" s="235"/>
      <c r="L313" s="233">
        <f t="shared" si="4"/>
        <v>2020</v>
      </c>
    </row>
    <row r="314" spans="1:12" x14ac:dyDescent="0.2">
      <c r="A314" s="238"/>
      <c r="B314" s="245"/>
      <c r="C314" s="237"/>
      <c r="D314" s="237"/>
      <c r="E314" s="243" t="e">
        <f>VLOOKUP(A314,Ausschreibung!$B$4:$I$35,4,FALSE)</f>
        <v>#N/A</v>
      </c>
      <c r="F314" s="245" t="e">
        <f>VLOOKUP(A314,Ausschreibung!$B$4:$I$35,5,FALSE)</f>
        <v>#N/A</v>
      </c>
      <c r="G314" s="243" t="e">
        <f>VLOOKUP(A314,Ausschreibung!$B$4:$I$35,6,FALSE)</f>
        <v>#N/A</v>
      </c>
      <c r="H314" s="238"/>
      <c r="I314" s="243" t="e">
        <f>VLOOKUP(A314,Ausschreibung!$B$4:$I$35,8,FALSE)</f>
        <v>#N/A</v>
      </c>
      <c r="J314" s="235"/>
      <c r="K314" s="235"/>
      <c r="L314" s="233">
        <f t="shared" si="4"/>
        <v>2020</v>
      </c>
    </row>
    <row r="315" spans="1:12" x14ac:dyDescent="0.2">
      <c r="A315" s="238"/>
      <c r="B315" s="245"/>
      <c r="C315" s="237"/>
      <c r="D315" s="237"/>
      <c r="E315" s="243" t="e">
        <f>VLOOKUP(A315,Ausschreibung!$B$4:$I$35,4,FALSE)</f>
        <v>#N/A</v>
      </c>
      <c r="F315" s="245" t="e">
        <f>VLOOKUP(A315,Ausschreibung!$B$4:$I$35,5,FALSE)</f>
        <v>#N/A</v>
      </c>
      <c r="G315" s="243" t="e">
        <f>VLOOKUP(A315,Ausschreibung!$B$4:$I$35,6,FALSE)</f>
        <v>#N/A</v>
      </c>
      <c r="H315" s="238"/>
      <c r="I315" s="243" t="e">
        <f>VLOOKUP(A315,Ausschreibung!$B$4:$I$35,8,FALSE)</f>
        <v>#N/A</v>
      </c>
      <c r="J315" s="235"/>
      <c r="K315" s="235"/>
      <c r="L315" s="233">
        <f t="shared" si="4"/>
        <v>2020</v>
      </c>
    </row>
    <row r="316" spans="1:12" x14ac:dyDescent="0.2">
      <c r="A316" s="238"/>
      <c r="B316" s="245"/>
      <c r="C316" s="234"/>
      <c r="D316" s="234"/>
      <c r="E316" s="243" t="e">
        <f>VLOOKUP(A316,Ausschreibung!$B$4:$I$35,4,FALSE)</f>
        <v>#N/A</v>
      </c>
      <c r="F316" s="245" t="e">
        <f>VLOOKUP(A316,Ausschreibung!$B$4:$I$35,5,FALSE)</f>
        <v>#N/A</v>
      </c>
      <c r="G316" s="243" t="e">
        <f>VLOOKUP(A316,Ausschreibung!$B$4:$I$35,6,FALSE)</f>
        <v>#N/A</v>
      </c>
      <c r="H316" s="238"/>
      <c r="I316" s="243" t="e">
        <f>VLOOKUP(A316,Ausschreibung!$B$4:$I$35,8,FALSE)</f>
        <v>#N/A</v>
      </c>
      <c r="J316" s="235"/>
      <c r="K316" s="235"/>
      <c r="L316" s="233">
        <f t="shared" si="4"/>
        <v>2020</v>
      </c>
    </row>
    <row r="317" spans="1:12" x14ac:dyDescent="0.2">
      <c r="A317" s="238"/>
      <c r="B317" s="245"/>
      <c r="C317" s="234"/>
      <c r="D317" s="234"/>
      <c r="E317" s="243" t="e">
        <f>VLOOKUP(A317,Ausschreibung!$B$4:$I$35,4,FALSE)</f>
        <v>#N/A</v>
      </c>
      <c r="F317" s="245" t="e">
        <f>VLOOKUP(A317,Ausschreibung!$B$4:$I$35,5,FALSE)</f>
        <v>#N/A</v>
      </c>
      <c r="G317" s="243" t="e">
        <f>VLOOKUP(A317,Ausschreibung!$B$4:$I$35,6,FALSE)</f>
        <v>#N/A</v>
      </c>
      <c r="H317" s="238"/>
      <c r="I317" s="243" t="e">
        <f>VLOOKUP(A317,Ausschreibung!$B$4:$I$35,8,FALSE)</f>
        <v>#N/A</v>
      </c>
      <c r="J317" s="235"/>
      <c r="K317" s="235"/>
      <c r="L317" s="233">
        <f t="shared" si="4"/>
        <v>2020</v>
      </c>
    </row>
    <row r="318" spans="1:12" x14ac:dyDescent="0.2">
      <c r="A318" s="238"/>
      <c r="B318" s="245"/>
      <c r="C318" s="234"/>
      <c r="D318" s="234"/>
      <c r="E318" s="243" t="e">
        <f>VLOOKUP(A318,Ausschreibung!$B$4:$I$35,4,FALSE)</f>
        <v>#N/A</v>
      </c>
      <c r="F318" s="245" t="e">
        <f>VLOOKUP(A318,Ausschreibung!$B$4:$I$35,5,FALSE)</f>
        <v>#N/A</v>
      </c>
      <c r="G318" s="243" t="e">
        <f>VLOOKUP(A318,Ausschreibung!$B$4:$I$35,6,FALSE)</f>
        <v>#N/A</v>
      </c>
      <c r="H318" s="238"/>
      <c r="I318" s="243" t="e">
        <f>VLOOKUP(A318,Ausschreibung!$B$4:$I$35,8,FALSE)</f>
        <v>#N/A</v>
      </c>
      <c r="J318" s="235"/>
      <c r="K318" s="235"/>
      <c r="L318" s="233">
        <f t="shared" si="4"/>
        <v>2020</v>
      </c>
    </row>
    <row r="319" spans="1:12" x14ac:dyDescent="0.2">
      <c r="A319" s="238"/>
      <c r="B319" s="245"/>
      <c r="C319" s="234"/>
      <c r="D319" s="234"/>
      <c r="E319" s="243" t="e">
        <f>VLOOKUP(A319,Ausschreibung!$B$4:$I$35,4,FALSE)</f>
        <v>#N/A</v>
      </c>
      <c r="F319" s="245" t="e">
        <f>VLOOKUP(A319,Ausschreibung!$B$4:$I$35,5,FALSE)</f>
        <v>#N/A</v>
      </c>
      <c r="G319" s="243" t="e">
        <f>VLOOKUP(A319,Ausschreibung!$B$4:$I$35,6,FALSE)</f>
        <v>#N/A</v>
      </c>
      <c r="H319" s="238"/>
      <c r="I319" s="243" t="e">
        <f>VLOOKUP(A319,Ausschreibung!$B$4:$I$35,8,FALSE)</f>
        <v>#N/A</v>
      </c>
      <c r="J319" s="235"/>
      <c r="K319" s="235"/>
      <c r="L319" s="233">
        <f t="shared" si="4"/>
        <v>2020</v>
      </c>
    </row>
    <row r="320" spans="1:12" x14ac:dyDescent="0.2">
      <c r="A320" s="238"/>
      <c r="B320" s="245"/>
      <c r="C320" s="234"/>
      <c r="D320" s="234"/>
      <c r="E320" s="243" t="e">
        <f>VLOOKUP(A320,Ausschreibung!$B$4:$I$35,4,FALSE)</f>
        <v>#N/A</v>
      </c>
      <c r="F320" s="245" t="e">
        <f>VLOOKUP(A320,Ausschreibung!$B$4:$I$35,5,FALSE)</f>
        <v>#N/A</v>
      </c>
      <c r="G320" s="243" t="e">
        <f>VLOOKUP(A320,Ausschreibung!$B$4:$I$35,6,FALSE)</f>
        <v>#N/A</v>
      </c>
      <c r="H320" s="238"/>
      <c r="I320" s="243" t="e">
        <f>VLOOKUP(A320,Ausschreibung!$B$4:$I$35,8,FALSE)</f>
        <v>#N/A</v>
      </c>
      <c r="J320" s="235"/>
      <c r="K320" s="235"/>
      <c r="L320" s="233">
        <f t="shared" si="4"/>
        <v>2020</v>
      </c>
    </row>
    <row r="321" spans="1:12" x14ac:dyDescent="0.2">
      <c r="A321" s="238"/>
      <c r="B321" s="245"/>
      <c r="C321" s="234"/>
      <c r="D321" s="234"/>
      <c r="E321" s="243" t="e">
        <f>VLOOKUP(A321,Ausschreibung!$B$4:$I$35,4,FALSE)</f>
        <v>#N/A</v>
      </c>
      <c r="F321" s="245" t="e">
        <f>VLOOKUP(A321,Ausschreibung!$B$4:$I$35,5,FALSE)</f>
        <v>#N/A</v>
      </c>
      <c r="G321" s="243" t="e">
        <f>VLOOKUP(A321,Ausschreibung!$B$4:$I$35,6,FALSE)</f>
        <v>#N/A</v>
      </c>
      <c r="H321" s="238"/>
      <c r="I321" s="243" t="e">
        <f>VLOOKUP(A321,Ausschreibung!$B$4:$I$35,8,FALSE)</f>
        <v>#N/A</v>
      </c>
      <c r="J321" s="235"/>
      <c r="K321" s="235"/>
      <c r="L321" s="233">
        <f t="shared" si="4"/>
        <v>2020</v>
      </c>
    </row>
    <row r="322" spans="1:12" x14ac:dyDescent="0.2">
      <c r="A322" s="238"/>
      <c r="B322" s="245"/>
      <c r="C322" s="234"/>
      <c r="D322" s="234"/>
      <c r="E322" s="243" t="e">
        <f>VLOOKUP(A322,Ausschreibung!$B$4:$I$35,4,FALSE)</f>
        <v>#N/A</v>
      </c>
      <c r="F322" s="245" t="e">
        <f>VLOOKUP(A322,Ausschreibung!$B$4:$I$35,5,FALSE)</f>
        <v>#N/A</v>
      </c>
      <c r="G322" s="243" t="e">
        <f>VLOOKUP(A322,Ausschreibung!$B$4:$I$35,6,FALSE)</f>
        <v>#N/A</v>
      </c>
      <c r="H322" s="238"/>
      <c r="I322" s="243" t="e">
        <f>VLOOKUP(A322,Ausschreibung!$B$4:$I$35,8,FALSE)</f>
        <v>#N/A</v>
      </c>
      <c r="J322" s="235"/>
      <c r="K322" s="235"/>
      <c r="L322" s="233">
        <f t="shared" ref="L322:L385" si="5">2020-H322</f>
        <v>2020</v>
      </c>
    </row>
    <row r="323" spans="1:12" x14ac:dyDescent="0.2">
      <c r="A323" s="238"/>
      <c r="B323" s="245"/>
      <c r="C323" s="234"/>
      <c r="D323" s="234"/>
      <c r="E323" s="243" t="e">
        <f>VLOOKUP(A323,Ausschreibung!$B$4:$I$35,4,FALSE)</f>
        <v>#N/A</v>
      </c>
      <c r="F323" s="245" t="e">
        <f>VLOOKUP(A323,Ausschreibung!$B$4:$I$35,5,FALSE)</f>
        <v>#N/A</v>
      </c>
      <c r="G323" s="243" t="e">
        <f>VLOOKUP(A323,Ausschreibung!$B$4:$I$35,6,FALSE)</f>
        <v>#N/A</v>
      </c>
      <c r="H323" s="238"/>
      <c r="I323" s="243" t="e">
        <f>VLOOKUP(A323,Ausschreibung!$B$4:$I$35,8,FALSE)</f>
        <v>#N/A</v>
      </c>
      <c r="J323" s="235"/>
      <c r="K323" s="235"/>
      <c r="L323" s="233">
        <f t="shared" si="5"/>
        <v>2020</v>
      </c>
    </row>
    <row r="324" spans="1:12" x14ac:dyDescent="0.2">
      <c r="A324" s="238"/>
      <c r="B324" s="245"/>
      <c r="C324" s="234"/>
      <c r="D324" s="234"/>
      <c r="E324" s="243" t="e">
        <f>VLOOKUP(A324,Ausschreibung!$B$4:$I$35,4,FALSE)</f>
        <v>#N/A</v>
      </c>
      <c r="F324" s="245" t="e">
        <f>VLOOKUP(A324,Ausschreibung!$B$4:$I$35,5,FALSE)</f>
        <v>#N/A</v>
      </c>
      <c r="G324" s="243" t="e">
        <f>VLOOKUP(A324,Ausschreibung!$B$4:$I$35,6,FALSE)</f>
        <v>#N/A</v>
      </c>
      <c r="H324" s="238"/>
      <c r="I324" s="243" t="e">
        <f>VLOOKUP(A324,Ausschreibung!$B$4:$I$35,8,FALSE)</f>
        <v>#N/A</v>
      </c>
      <c r="J324" s="235"/>
      <c r="K324" s="235"/>
      <c r="L324" s="233">
        <f t="shared" si="5"/>
        <v>2020</v>
      </c>
    </row>
    <row r="325" spans="1:12" x14ac:dyDescent="0.2">
      <c r="A325" s="238"/>
      <c r="B325" s="245"/>
      <c r="C325" s="234"/>
      <c r="D325" s="234"/>
      <c r="E325" s="243" t="e">
        <f>VLOOKUP(A325,Ausschreibung!$B$4:$I$35,4,FALSE)</f>
        <v>#N/A</v>
      </c>
      <c r="F325" s="245" t="e">
        <f>VLOOKUP(A325,Ausschreibung!$B$4:$I$35,5,FALSE)</f>
        <v>#N/A</v>
      </c>
      <c r="G325" s="243" t="e">
        <f>VLOOKUP(A325,Ausschreibung!$B$4:$I$35,6,FALSE)</f>
        <v>#N/A</v>
      </c>
      <c r="H325" s="238"/>
      <c r="I325" s="243" t="e">
        <f>VLOOKUP(A325,Ausschreibung!$B$4:$I$35,8,FALSE)</f>
        <v>#N/A</v>
      </c>
      <c r="J325" s="235"/>
      <c r="K325" s="235"/>
      <c r="L325" s="233">
        <f t="shared" si="5"/>
        <v>2020</v>
      </c>
    </row>
    <row r="326" spans="1:12" x14ac:dyDescent="0.2">
      <c r="A326" s="238"/>
      <c r="B326" s="245"/>
      <c r="C326" s="234"/>
      <c r="D326" s="234"/>
      <c r="E326" s="243" t="e">
        <f>VLOOKUP(A326,Ausschreibung!$B$4:$I$35,4,FALSE)</f>
        <v>#N/A</v>
      </c>
      <c r="F326" s="245" t="e">
        <f>VLOOKUP(A326,Ausschreibung!$B$4:$I$35,5,FALSE)</f>
        <v>#N/A</v>
      </c>
      <c r="G326" s="243" t="e">
        <f>VLOOKUP(A326,Ausschreibung!$B$4:$I$35,6,FALSE)</f>
        <v>#N/A</v>
      </c>
      <c r="H326" s="238"/>
      <c r="I326" s="243" t="e">
        <f>VLOOKUP(A326,Ausschreibung!$B$4:$I$35,8,FALSE)</f>
        <v>#N/A</v>
      </c>
      <c r="J326" s="235"/>
      <c r="K326" s="235"/>
      <c r="L326" s="233">
        <f t="shared" si="5"/>
        <v>2020</v>
      </c>
    </row>
    <row r="327" spans="1:12" x14ac:dyDescent="0.2">
      <c r="A327" s="238"/>
      <c r="B327" s="245"/>
      <c r="C327" s="234"/>
      <c r="D327" s="234"/>
      <c r="E327" s="243" t="e">
        <f>VLOOKUP(A327,Ausschreibung!$B$4:$I$35,4,FALSE)</f>
        <v>#N/A</v>
      </c>
      <c r="F327" s="245" t="e">
        <f>VLOOKUP(A327,Ausschreibung!$B$4:$I$35,5,FALSE)</f>
        <v>#N/A</v>
      </c>
      <c r="G327" s="243" t="e">
        <f>VLOOKUP(A327,Ausschreibung!$B$4:$I$35,6,FALSE)</f>
        <v>#N/A</v>
      </c>
      <c r="H327" s="238"/>
      <c r="I327" s="243" t="e">
        <f>VLOOKUP(A327,Ausschreibung!$B$4:$I$35,8,FALSE)</f>
        <v>#N/A</v>
      </c>
      <c r="J327" s="235"/>
      <c r="K327" s="235"/>
      <c r="L327" s="233">
        <f t="shared" si="5"/>
        <v>2020</v>
      </c>
    </row>
    <row r="328" spans="1:12" x14ac:dyDescent="0.2">
      <c r="A328" s="238"/>
      <c r="B328" s="245"/>
      <c r="C328" s="234"/>
      <c r="D328" s="234"/>
      <c r="E328" s="243" t="e">
        <f>VLOOKUP(A328,Ausschreibung!$B$4:$I$35,4,FALSE)</f>
        <v>#N/A</v>
      </c>
      <c r="F328" s="245" t="e">
        <f>VLOOKUP(A328,Ausschreibung!$B$4:$I$35,5,FALSE)</f>
        <v>#N/A</v>
      </c>
      <c r="G328" s="243" t="e">
        <f>VLOOKUP(A328,Ausschreibung!$B$4:$I$35,6,FALSE)</f>
        <v>#N/A</v>
      </c>
      <c r="H328" s="238"/>
      <c r="I328" s="243" t="e">
        <f>VLOOKUP(A328,Ausschreibung!$B$4:$I$35,8,FALSE)</f>
        <v>#N/A</v>
      </c>
      <c r="J328" s="235"/>
      <c r="K328" s="235"/>
      <c r="L328" s="233">
        <f t="shared" si="5"/>
        <v>2020</v>
      </c>
    </row>
    <row r="329" spans="1:12" x14ac:dyDescent="0.2">
      <c r="A329" s="238"/>
      <c r="B329" s="245"/>
      <c r="C329" s="234"/>
      <c r="D329" s="234"/>
      <c r="E329" s="243" t="e">
        <f>VLOOKUP(A329,Ausschreibung!$B$4:$I$35,4,FALSE)</f>
        <v>#N/A</v>
      </c>
      <c r="F329" s="245" t="e">
        <f>VLOOKUP(A329,Ausschreibung!$B$4:$I$35,5,FALSE)</f>
        <v>#N/A</v>
      </c>
      <c r="G329" s="243" t="e">
        <f>VLOOKUP(A329,Ausschreibung!$B$4:$I$35,6,FALSE)</f>
        <v>#N/A</v>
      </c>
      <c r="H329" s="238"/>
      <c r="I329" s="243" t="e">
        <f>VLOOKUP(A329,Ausschreibung!$B$4:$I$35,8,FALSE)</f>
        <v>#N/A</v>
      </c>
      <c r="J329" s="235"/>
      <c r="K329" s="235"/>
      <c r="L329" s="233">
        <f t="shared" si="5"/>
        <v>2020</v>
      </c>
    </row>
    <row r="330" spans="1:12" x14ac:dyDescent="0.2">
      <c r="A330" s="238"/>
      <c r="B330" s="245"/>
      <c r="C330" s="234"/>
      <c r="D330" s="234"/>
      <c r="E330" s="243" t="e">
        <f>VLOOKUP(A330,Ausschreibung!$B$4:$I$35,4,FALSE)</f>
        <v>#N/A</v>
      </c>
      <c r="F330" s="245" t="e">
        <f>VLOOKUP(A330,Ausschreibung!$B$4:$I$35,5,FALSE)</f>
        <v>#N/A</v>
      </c>
      <c r="G330" s="243" t="e">
        <f>VLOOKUP(A330,Ausschreibung!$B$4:$I$35,6,FALSE)</f>
        <v>#N/A</v>
      </c>
      <c r="H330" s="238"/>
      <c r="I330" s="243" t="e">
        <f>VLOOKUP(A330,Ausschreibung!$B$4:$I$35,8,FALSE)</f>
        <v>#N/A</v>
      </c>
      <c r="J330" s="235"/>
      <c r="K330" s="235"/>
      <c r="L330" s="233">
        <f t="shared" si="5"/>
        <v>2020</v>
      </c>
    </row>
    <row r="331" spans="1:12" x14ac:dyDescent="0.2">
      <c r="A331" s="238"/>
      <c r="B331" s="245"/>
      <c r="C331" s="234"/>
      <c r="D331" s="234"/>
      <c r="E331" s="243" t="e">
        <f>VLOOKUP(A331,Ausschreibung!$B$4:$I$35,4,FALSE)</f>
        <v>#N/A</v>
      </c>
      <c r="F331" s="245" t="e">
        <f>VLOOKUP(A331,Ausschreibung!$B$4:$I$35,5,FALSE)</f>
        <v>#N/A</v>
      </c>
      <c r="G331" s="243" t="e">
        <f>VLOOKUP(A331,Ausschreibung!$B$4:$I$35,6,FALSE)</f>
        <v>#N/A</v>
      </c>
      <c r="H331" s="238"/>
      <c r="I331" s="243" t="e">
        <f>VLOOKUP(A331,Ausschreibung!$B$4:$I$35,8,FALSE)</f>
        <v>#N/A</v>
      </c>
      <c r="J331" s="235"/>
      <c r="K331" s="235"/>
      <c r="L331" s="233">
        <f t="shared" si="5"/>
        <v>2020</v>
      </c>
    </row>
    <row r="332" spans="1:12" x14ac:dyDescent="0.2">
      <c r="A332" s="238"/>
      <c r="B332" s="245"/>
      <c r="C332" s="234"/>
      <c r="D332" s="234"/>
      <c r="E332" s="243" t="e">
        <f>VLOOKUP(A332,Ausschreibung!$B$4:$I$35,4,FALSE)</f>
        <v>#N/A</v>
      </c>
      <c r="F332" s="245" t="e">
        <f>VLOOKUP(A332,Ausschreibung!$B$4:$I$35,5,FALSE)</f>
        <v>#N/A</v>
      </c>
      <c r="G332" s="243" t="e">
        <f>VLOOKUP(A332,Ausschreibung!$B$4:$I$35,6,FALSE)</f>
        <v>#N/A</v>
      </c>
      <c r="H332" s="238"/>
      <c r="I332" s="243" t="e">
        <f>VLOOKUP(A332,Ausschreibung!$B$4:$I$35,8,FALSE)</f>
        <v>#N/A</v>
      </c>
      <c r="J332" s="235"/>
      <c r="K332" s="235"/>
      <c r="L332" s="233">
        <f t="shared" si="5"/>
        <v>2020</v>
      </c>
    </row>
    <row r="333" spans="1:12" x14ac:dyDescent="0.2">
      <c r="A333" s="238"/>
      <c r="B333" s="245"/>
      <c r="C333" s="234"/>
      <c r="D333" s="234"/>
      <c r="E333" s="243" t="e">
        <f>VLOOKUP(A333,Ausschreibung!$B$4:$I$35,4,FALSE)</f>
        <v>#N/A</v>
      </c>
      <c r="F333" s="245" t="e">
        <f>VLOOKUP(A333,Ausschreibung!$B$4:$I$35,5,FALSE)</f>
        <v>#N/A</v>
      </c>
      <c r="G333" s="243" t="e">
        <f>VLOOKUP(A333,Ausschreibung!$B$4:$I$35,6,FALSE)</f>
        <v>#N/A</v>
      </c>
      <c r="H333" s="238"/>
      <c r="I333" s="243" t="e">
        <f>VLOOKUP(A333,Ausschreibung!$B$4:$I$35,8,FALSE)</f>
        <v>#N/A</v>
      </c>
      <c r="J333" s="235"/>
      <c r="K333" s="235"/>
      <c r="L333" s="233">
        <f t="shared" si="5"/>
        <v>2020</v>
      </c>
    </row>
    <row r="334" spans="1:12" x14ac:dyDescent="0.2">
      <c r="A334" s="238"/>
      <c r="B334" s="245"/>
      <c r="C334" s="234"/>
      <c r="D334" s="234"/>
      <c r="E334" s="243" t="e">
        <f>VLOOKUP(A334,Ausschreibung!$B$4:$I$35,4,FALSE)</f>
        <v>#N/A</v>
      </c>
      <c r="F334" s="245" t="e">
        <f>VLOOKUP(A334,Ausschreibung!$B$4:$I$35,5,FALSE)</f>
        <v>#N/A</v>
      </c>
      <c r="G334" s="243" t="e">
        <f>VLOOKUP(A334,Ausschreibung!$B$4:$I$35,6,FALSE)</f>
        <v>#N/A</v>
      </c>
      <c r="H334" s="238"/>
      <c r="I334" s="243" t="e">
        <f>VLOOKUP(A334,Ausschreibung!$B$4:$I$35,8,FALSE)</f>
        <v>#N/A</v>
      </c>
      <c r="J334" s="235"/>
      <c r="K334" s="235"/>
      <c r="L334" s="233">
        <f t="shared" si="5"/>
        <v>2020</v>
      </c>
    </row>
    <row r="335" spans="1:12" x14ac:dyDescent="0.2">
      <c r="A335" s="238"/>
      <c r="B335" s="245"/>
      <c r="C335" s="234"/>
      <c r="D335" s="234"/>
      <c r="E335" s="243" t="e">
        <f>VLOOKUP(A335,Ausschreibung!$B$4:$I$35,4,FALSE)</f>
        <v>#N/A</v>
      </c>
      <c r="F335" s="245" t="e">
        <f>VLOOKUP(A335,Ausschreibung!$B$4:$I$35,5,FALSE)</f>
        <v>#N/A</v>
      </c>
      <c r="G335" s="243" t="e">
        <f>VLOOKUP(A335,Ausschreibung!$B$4:$I$35,6,FALSE)</f>
        <v>#N/A</v>
      </c>
      <c r="H335" s="238"/>
      <c r="I335" s="243" t="e">
        <f>VLOOKUP(A335,Ausschreibung!$B$4:$I$35,8,FALSE)</f>
        <v>#N/A</v>
      </c>
      <c r="J335" s="235"/>
      <c r="K335" s="235"/>
      <c r="L335" s="233">
        <f t="shared" si="5"/>
        <v>2020</v>
      </c>
    </row>
    <row r="336" spans="1:12" x14ac:dyDescent="0.2">
      <c r="A336" s="238"/>
      <c r="B336" s="245"/>
      <c r="C336" s="234"/>
      <c r="D336" s="234"/>
      <c r="E336" s="243" t="e">
        <f>VLOOKUP(A336,Ausschreibung!$B$4:$I$35,4,FALSE)</f>
        <v>#N/A</v>
      </c>
      <c r="F336" s="245" t="e">
        <f>VLOOKUP(A336,Ausschreibung!$B$4:$I$35,5,FALSE)</f>
        <v>#N/A</v>
      </c>
      <c r="G336" s="243" t="e">
        <f>VLOOKUP(A336,Ausschreibung!$B$4:$I$35,6,FALSE)</f>
        <v>#N/A</v>
      </c>
      <c r="H336" s="238"/>
      <c r="I336" s="243" t="e">
        <f>VLOOKUP(A336,Ausschreibung!$B$4:$I$35,8,FALSE)</f>
        <v>#N/A</v>
      </c>
      <c r="J336" s="235"/>
      <c r="K336" s="235"/>
      <c r="L336" s="233">
        <f t="shared" si="5"/>
        <v>2020</v>
      </c>
    </row>
    <row r="337" spans="1:12" x14ac:dyDescent="0.2">
      <c r="A337" s="238"/>
      <c r="B337" s="245"/>
      <c r="C337" s="234"/>
      <c r="D337" s="234"/>
      <c r="E337" s="243" t="e">
        <f>VLOOKUP(A337,Ausschreibung!$B$4:$I$35,4,FALSE)</f>
        <v>#N/A</v>
      </c>
      <c r="F337" s="245" t="e">
        <f>VLOOKUP(A337,Ausschreibung!$B$4:$I$35,5,FALSE)</f>
        <v>#N/A</v>
      </c>
      <c r="G337" s="243" t="e">
        <f>VLOOKUP(A337,Ausschreibung!$B$4:$I$35,6,FALSE)</f>
        <v>#N/A</v>
      </c>
      <c r="H337" s="238"/>
      <c r="I337" s="243" t="e">
        <f>VLOOKUP(A337,Ausschreibung!$B$4:$I$35,8,FALSE)</f>
        <v>#N/A</v>
      </c>
      <c r="J337" s="235"/>
      <c r="K337" s="235"/>
      <c r="L337" s="233">
        <f t="shared" si="5"/>
        <v>2020</v>
      </c>
    </row>
    <row r="338" spans="1:12" x14ac:dyDescent="0.2">
      <c r="A338" s="238"/>
      <c r="B338" s="245"/>
      <c r="C338" s="234"/>
      <c r="D338" s="234"/>
      <c r="E338" s="243" t="e">
        <f>VLOOKUP(A338,Ausschreibung!$B$4:$I$35,4,FALSE)</f>
        <v>#N/A</v>
      </c>
      <c r="F338" s="245" t="e">
        <f>VLOOKUP(A338,Ausschreibung!$B$4:$I$35,5,FALSE)</f>
        <v>#N/A</v>
      </c>
      <c r="G338" s="243" t="e">
        <f>VLOOKUP(A338,Ausschreibung!$B$4:$I$35,6,FALSE)</f>
        <v>#N/A</v>
      </c>
      <c r="H338" s="238"/>
      <c r="I338" s="243" t="e">
        <f>VLOOKUP(A338,Ausschreibung!$B$4:$I$35,8,FALSE)</f>
        <v>#N/A</v>
      </c>
      <c r="J338" s="235"/>
      <c r="K338" s="235"/>
      <c r="L338" s="233">
        <f t="shared" si="5"/>
        <v>2020</v>
      </c>
    </row>
    <row r="339" spans="1:12" x14ac:dyDescent="0.2">
      <c r="A339" s="238"/>
      <c r="B339" s="245"/>
      <c r="C339" s="234"/>
      <c r="D339" s="234"/>
      <c r="E339" s="243" t="e">
        <f>VLOOKUP(A339,Ausschreibung!$B$4:$I$35,4,FALSE)</f>
        <v>#N/A</v>
      </c>
      <c r="F339" s="245" t="e">
        <f>VLOOKUP(A339,Ausschreibung!$B$4:$I$35,5,FALSE)</f>
        <v>#N/A</v>
      </c>
      <c r="G339" s="243" t="e">
        <f>VLOOKUP(A339,Ausschreibung!$B$4:$I$35,6,FALSE)</f>
        <v>#N/A</v>
      </c>
      <c r="H339" s="238"/>
      <c r="I339" s="243" t="e">
        <f>VLOOKUP(A339,Ausschreibung!$B$4:$I$35,8,FALSE)</f>
        <v>#N/A</v>
      </c>
      <c r="J339" s="238"/>
      <c r="K339" s="235"/>
      <c r="L339" s="233">
        <f t="shared" si="5"/>
        <v>2020</v>
      </c>
    </row>
    <row r="340" spans="1:12" x14ac:dyDescent="0.2">
      <c r="A340" s="238"/>
      <c r="B340" s="245"/>
      <c r="C340" s="234"/>
      <c r="D340" s="234"/>
      <c r="E340" s="243" t="e">
        <f>VLOOKUP(A340,Ausschreibung!$B$4:$I$35,4,FALSE)</f>
        <v>#N/A</v>
      </c>
      <c r="F340" s="245" t="e">
        <f>VLOOKUP(A340,Ausschreibung!$B$4:$I$35,5,FALSE)</f>
        <v>#N/A</v>
      </c>
      <c r="G340" s="243" t="e">
        <f>VLOOKUP(A340,Ausschreibung!$B$4:$I$35,6,FALSE)</f>
        <v>#N/A</v>
      </c>
      <c r="H340" s="238"/>
      <c r="I340" s="243" t="e">
        <f>VLOOKUP(A340,Ausschreibung!$B$4:$I$35,8,FALSE)</f>
        <v>#N/A</v>
      </c>
      <c r="J340" s="238"/>
      <c r="K340" s="235"/>
      <c r="L340" s="233">
        <f t="shared" si="5"/>
        <v>2020</v>
      </c>
    </row>
    <row r="341" spans="1:12" x14ac:dyDescent="0.2">
      <c r="A341" s="238"/>
      <c r="B341" s="245"/>
      <c r="C341" s="234"/>
      <c r="D341" s="234"/>
      <c r="E341" s="243" t="e">
        <f>VLOOKUP(A341,Ausschreibung!$B$4:$I$35,4,FALSE)</f>
        <v>#N/A</v>
      </c>
      <c r="F341" s="245" t="e">
        <f>VLOOKUP(A341,Ausschreibung!$B$4:$I$35,5,FALSE)</f>
        <v>#N/A</v>
      </c>
      <c r="G341" s="243" t="e">
        <f>VLOOKUP(A341,Ausschreibung!$B$4:$I$35,6,FALSE)</f>
        <v>#N/A</v>
      </c>
      <c r="H341" s="238"/>
      <c r="I341" s="243" t="e">
        <f>VLOOKUP(A341,Ausschreibung!$B$4:$I$35,8,FALSE)</f>
        <v>#N/A</v>
      </c>
      <c r="J341" s="238"/>
      <c r="K341" s="235"/>
      <c r="L341" s="233">
        <f t="shared" si="5"/>
        <v>2020</v>
      </c>
    </row>
    <row r="342" spans="1:12" x14ac:dyDescent="0.2">
      <c r="A342" s="238"/>
      <c r="B342" s="245"/>
      <c r="C342" s="234"/>
      <c r="D342" s="234"/>
      <c r="E342" s="243" t="e">
        <f>VLOOKUP(A342,Ausschreibung!$B$4:$I$35,4,FALSE)</f>
        <v>#N/A</v>
      </c>
      <c r="F342" s="245" t="e">
        <f>VLOOKUP(A342,Ausschreibung!$B$4:$I$35,5,FALSE)</f>
        <v>#N/A</v>
      </c>
      <c r="G342" s="243" t="e">
        <f>VLOOKUP(A342,Ausschreibung!$B$4:$I$35,6,FALSE)</f>
        <v>#N/A</v>
      </c>
      <c r="H342" s="238"/>
      <c r="I342" s="243" t="e">
        <f>VLOOKUP(A342,Ausschreibung!$B$4:$I$35,8,FALSE)</f>
        <v>#N/A</v>
      </c>
      <c r="J342" s="238"/>
      <c r="K342" s="235"/>
      <c r="L342" s="233">
        <f t="shared" si="5"/>
        <v>2020</v>
      </c>
    </row>
    <row r="343" spans="1:12" x14ac:dyDescent="0.2">
      <c r="A343" s="238"/>
      <c r="B343" s="245"/>
      <c r="C343" s="234"/>
      <c r="D343" s="234"/>
      <c r="E343" s="243" t="e">
        <f>VLOOKUP(A343,Ausschreibung!$B$4:$I$35,4,FALSE)</f>
        <v>#N/A</v>
      </c>
      <c r="F343" s="245" t="e">
        <f>VLOOKUP(A343,Ausschreibung!$B$4:$I$35,5,FALSE)</f>
        <v>#N/A</v>
      </c>
      <c r="G343" s="243" t="e">
        <f>VLOOKUP(A343,Ausschreibung!$B$4:$I$35,6,FALSE)</f>
        <v>#N/A</v>
      </c>
      <c r="H343" s="238"/>
      <c r="I343" s="243" t="e">
        <f>VLOOKUP(A343,Ausschreibung!$B$4:$I$35,8,FALSE)</f>
        <v>#N/A</v>
      </c>
      <c r="J343" s="238"/>
      <c r="K343" s="235"/>
      <c r="L343" s="233">
        <f t="shared" si="5"/>
        <v>2020</v>
      </c>
    </row>
    <row r="344" spans="1:12" x14ac:dyDescent="0.2">
      <c r="A344" s="238"/>
      <c r="B344" s="245"/>
      <c r="C344" s="234"/>
      <c r="D344" s="234"/>
      <c r="E344" s="243" t="e">
        <f>VLOOKUP(A344,Ausschreibung!$B$4:$I$35,4,FALSE)</f>
        <v>#N/A</v>
      </c>
      <c r="F344" s="245" t="e">
        <f>VLOOKUP(A344,Ausschreibung!$B$4:$I$35,5,FALSE)</f>
        <v>#N/A</v>
      </c>
      <c r="G344" s="243" t="e">
        <f>VLOOKUP(A344,Ausschreibung!$B$4:$I$35,6,FALSE)</f>
        <v>#N/A</v>
      </c>
      <c r="H344" s="238"/>
      <c r="I344" s="243" t="e">
        <f>VLOOKUP(A344,Ausschreibung!$B$4:$I$35,8,FALSE)</f>
        <v>#N/A</v>
      </c>
      <c r="J344" s="238"/>
      <c r="K344" s="235"/>
      <c r="L344" s="233">
        <f t="shared" si="5"/>
        <v>2020</v>
      </c>
    </row>
    <row r="345" spans="1:12" x14ac:dyDescent="0.2">
      <c r="A345" s="238"/>
      <c r="B345" s="245"/>
      <c r="C345" s="237"/>
      <c r="D345" s="237"/>
      <c r="E345" s="243" t="e">
        <f>VLOOKUP(A345,Ausschreibung!$B$4:$I$35,4,FALSE)</f>
        <v>#N/A</v>
      </c>
      <c r="F345" s="245" t="e">
        <f>VLOOKUP(A345,Ausschreibung!$B$4:$I$35,5,FALSE)</f>
        <v>#N/A</v>
      </c>
      <c r="G345" s="243" t="e">
        <f>VLOOKUP(A345,Ausschreibung!$B$4:$I$35,6,FALSE)</f>
        <v>#N/A</v>
      </c>
      <c r="H345" s="238"/>
      <c r="I345" s="243" t="e">
        <f>VLOOKUP(A345,Ausschreibung!$B$4:$I$35,8,FALSE)</f>
        <v>#N/A</v>
      </c>
      <c r="J345" s="238"/>
      <c r="K345" s="235"/>
      <c r="L345" s="233">
        <f t="shared" si="5"/>
        <v>2020</v>
      </c>
    </row>
    <row r="346" spans="1:12" x14ac:dyDescent="0.2">
      <c r="A346" s="238"/>
      <c r="B346" s="245"/>
      <c r="C346" s="237"/>
      <c r="D346" s="237"/>
      <c r="E346" s="243" t="e">
        <f>VLOOKUP(A346,Ausschreibung!$B$4:$I$35,4,FALSE)</f>
        <v>#N/A</v>
      </c>
      <c r="F346" s="245" t="e">
        <f>VLOOKUP(A346,Ausschreibung!$B$4:$I$35,5,FALSE)</f>
        <v>#N/A</v>
      </c>
      <c r="G346" s="243" t="e">
        <f>VLOOKUP(A346,Ausschreibung!$B$4:$I$35,6,FALSE)</f>
        <v>#N/A</v>
      </c>
      <c r="H346" s="238"/>
      <c r="I346" s="243" t="e">
        <f>VLOOKUP(A346,Ausschreibung!$B$4:$I$35,8,FALSE)</f>
        <v>#N/A</v>
      </c>
      <c r="J346" s="238"/>
      <c r="K346" s="235"/>
      <c r="L346" s="233">
        <f t="shared" si="5"/>
        <v>2020</v>
      </c>
    </row>
    <row r="347" spans="1:12" x14ac:dyDescent="0.2">
      <c r="A347" s="238"/>
      <c r="B347" s="245"/>
      <c r="C347" s="237"/>
      <c r="D347" s="237"/>
      <c r="E347" s="243" t="e">
        <f>VLOOKUP(A347,Ausschreibung!$B$4:$I$35,4,FALSE)</f>
        <v>#N/A</v>
      </c>
      <c r="F347" s="245" t="e">
        <f>VLOOKUP(A347,Ausschreibung!$B$4:$I$35,5,FALSE)</f>
        <v>#N/A</v>
      </c>
      <c r="G347" s="243" t="e">
        <f>VLOOKUP(A347,Ausschreibung!$B$4:$I$35,6,FALSE)</f>
        <v>#N/A</v>
      </c>
      <c r="H347" s="238"/>
      <c r="I347" s="243" t="e">
        <f>VLOOKUP(A347,Ausschreibung!$B$4:$I$35,8,FALSE)</f>
        <v>#N/A</v>
      </c>
      <c r="J347" s="238"/>
      <c r="K347" s="235"/>
      <c r="L347" s="233">
        <f t="shared" si="5"/>
        <v>2020</v>
      </c>
    </row>
    <row r="348" spans="1:12" x14ac:dyDescent="0.2">
      <c r="A348" s="238"/>
      <c r="B348" s="245"/>
      <c r="C348" s="237"/>
      <c r="D348" s="237"/>
      <c r="E348" s="243" t="e">
        <f>VLOOKUP(A348,Ausschreibung!$B$4:$I$35,4,FALSE)</f>
        <v>#N/A</v>
      </c>
      <c r="F348" s="245" t="e">
        <f>VLOOKUP(A348,Ausschreibung!$B$4:$I$35,5,FALSE)</f>
        <v>#N/A</v>
      </c>
      <c r="G348" s="243" t="e">
        <f>VLOOKUP(A348,Ausschreibung!$B$4:$I$35,6,FALSE)</f>
        <v>#N/A</v>
      </c>
      <c r="H348" s="238"/>
      <c r="I348" s="243" t="e">
        <f>VLOOKUP(A348,Ausschreibung!$B$4:$I$35,8,FALSE)</f>
        <v>#N/A</v>
      </c>
      <c r="J348" s="238"/>
      <c r="K348" s="235"/>
      <c r="L348" s="233">
        <f t="shared" si="5"/>
        <v>2020</v>
      </c>
    </row>
    <row r="349" spans="1:12" x14ac:dyDescent="0.2">
      <c r="A349" s="238"/>
      <c r="B349" s="245"/>
      <c r="C349" s="237"/>
      <c r="D349" s="237"/>
      <c r="E349" s="243" t="e">
        <f>VLOOKUP(A349,Ausschreibung!$B$4:$I$35,4,FALSE)</f>
        <v>#N/A</v>
      </c>
      <c r="F349" s="245" t="e">
        <f>VLOOKUP(A349,Ausschreibung!$B$4:$I$35,5,FALSE)</f>
        <v>#N/A</v>
      </c>
      <c r="G349" s="243" t="e">
        <f>VLOOKUP(A349,Ausschreibung!$B$4:$I$35,6,FALSE)</f>
        <v>#N/A</v>
      </c>
      <c r="H349" s="238"/>
      <c r="I349" s="243" t="e">
        <f>VLOOKUP(A349,Ausschreibung!$B$4:$I$35,8,FALSE)</f>
        <v>#N/A</v>
      </c>
      <c r="J349" s="238"/>
      <c r="K349" s="235"/>
      <c r="L349" s="233">
        <f t="shared" si="5"/>
        <v>2020</v>
      </c>
    </row>
    <row r="350" spans="1:12" x14ac:dyDescent="0.2">
      <c r="A350" s="238"/>
      <c r="B350" s="245"/>
      <c r="C350" s="237"/>
      <c r="D350" s="237"/>
      <c r="E350" s="243" t="e">
        <f>VLOOKUP(A350,Ausschreibung!$B$4:$I$35,4,FALSE)</f>
        <v>#N/A</v>
      </c>
      <c r="F350" s="245" t="e">
        <f>VLOOKUP(A350,Ausschreibung!$B$4:$I$35,5,FALSE)</f>
        <v>#N/A</v>
      </c>
      <c r="G350" s="243" t="e">
        <f>VLOOKUP(A350,Ausschreibung!$B$4:$I$35,6,FALSE)</f>
        <v>#N/A</v>
      </c>
      <c r="H350" s="238"/>
      <c r="I350" s="243" t="e">
        <f>VLOOKUP(A350,Ausschreibung!$B$4:$I$35,8,FALSE)</f>
        <v>#N/A</v>
      </c>
      <c r="J350" s="238"/>
      <c r="K350" s="235"/>
      <c r="L350" s="233">
        <f t="shared" si="5"/>
        <v>2020</v>
      </c>
    </row>
    <row r="351" spans="1:12" x14ac:dyDescent="0.2">
      <c r="A351" s="238"/>
      <c r="B351" s="245"/>
      <c r="C351" s="237"/>
      <c r="D351" s="237"/>
      <c r="E351" s="243" t="e">
        <f>VLOOKUP(A351,Ausschreibung!$B$4:$I$35,4,FALSE)</f>
        <v>#N/A</v>
      </c>
      <c r="F351" s="245" t="e">
        <f>VLOOKUP(A351,Ausschreibung!$B$4:$I$35,5,FALSE)</f>
        <v>#N/A</v>
      </c>
      <c r="G351" s="243" t="e">
        <f>VLOOKUP(A351,Ausschreibung!$B$4:$I$35,6,FALSE)</f>
        <v>#N/A</v>
      </c>
      <c r="H351" s="238"/>
      <c r="I351" s="243" t="e">
        <f>VLOOKUP(A351,Ausschreibung!$B$4:$I$35,8,FALSE)</f>
        <v>#N/A</v>
      </c>
      <c r="J351" s="238"/>
      <c r="K351" s="235"/>
      <c r="L351" s="233">
        <f t="shared" si="5"/>
        <v>2020</v>
      </c>
    </row>
    <row r="352" spans="1:12" x14ac:dyDescent="0.2">
      <c r="A352" s="238"/>
      <c r="B352" s="245" t="e">
        <f>VLOOKUP(A352,Ausschreibung!$B$4:$I$35,2,FALSE)</f>
        <v>#N/A</v>
      </c>
      <c r="C352" s="237"/>
      <c r="D352" s="237"/>
      <c r="E352" s="243" t="e">
        <f>VLOOKUP(A352,Ausschreibung!$B$4:$I$35,4,FALSE)</f>
        <v>#N/A</v>
      </c>
      <c r="F352" s="245" t="e">
        <f>VLOOKUP(A352,Ausschreibung!$B$4:$I$35,5,FALSE)</f>
        <v>#N/A</v>
      </c>
      <c r="G352" s="243" t="e">
        <f>VLOOKUP(A352,Ausschreibung!$B$4:$I$35,6,FALSE)</f>
        <v>#N/A</v>
      </c>
      <c r="H352" s="238"/>
      <c r="I352" s="243" t="e">
        <f>VLOOKUP(A352,Ausschreibung!$B$4:$I$35,8,FALSE)</f>
        <v>#N/A</v>
      </c>
      <c r="J352" s="238"/>
      <c r="K352" s="235"/>
      <c r="L352" s="233">
        <f t="shared" si="5"/>
        <v>2020</v>
      </c>
    </row>
    <row r="353" spans="1:12" x14ac:dyDescent="0.2">
      <c r="A353" s="238"/>
      <c r="B353" s="245" t="e">
        <f>VLOOKUP(A353,Ausschreibung!$B$4:$I$35,2,FALSE)</f>
        <v>#N/A</v>
      </c>
      <c r="C353" s="237"/>
      <c r="D353" s="237"/>
      <c r="E353" s="243" t="e">
        <f>VLOOKUP(A353,Ausschreibung!$B$4:$I$35,4,FALSE)</f>
        <v>#N/A</v>
      </c>
      <c r="F353" s="245" t="e">
        <f>VLOOKUP(A353,Ausschreibung!$B$4:$I$35,5,FALSE)</f>
        <v>#N/A</v>
      </c>
      <c r="G353" s="243" t="e">
        <f>VLOOKUP(A353,Ausschreibung!$B$4:$I$35,6,FALSE)</f>
        <v>#N/A</v>
      </c>
      <c r="H353" s="238"/>
      <c r="I353" s="243" t="e">
        <f>VLOOKUP(A353,Ausschreibung!$B$4:$I$35,8,FALSE)</f>
        <v>#N/A</v>
      </c>
      <c r="J353" s="238"/>
      <c r="K353" s="235"/>
      <c r="L353" s="233">
        <f t="shared" si="5"/>
        <v>2020</v>
      </c>
    </row>
    <row r="354" spans="1:12" x14ac:dyDescent="0.2">
      <c r="A354" s="238"/>
      <c r="B354" s="245" t="e">
        <f>VLOOKUP(A354,Ausschreibung!$B$4:$I$35,2,FALSE)</f>
        <v>#N/A</v>
      </c>
      <c r="C354" s="237"/>
      <c r="D354" s="237"/>
      <c r="E354" s="243" t="e">
        <f>VLOOKUP(A354,Ausschreibung!$B$4:$I$35,4,FALSE)</f>
        <v>#N/A</v>
      </c>
      <c r="F354" s="245" t="e">
        <f>VLOOKUP(A354,Ausschreibung!$B$4:$I$35,5,FALSE)</f>
        <v>#N/A</v>
      </c>
      <c r="G354" s="243" t="e">
        <f>VLOOKUP(A354,Ausschreibung!$B$4:$I$35,6,FALSE)</f>
        <v>#N/A</v>
      </c>
      <c r="H354" s="238"/>
      <c r="I354" s="243" t="e">
        <f>VLOOKUP(A354,Ausschreibung!$B$4:$I$35,8,FALSE)</f>
        <v>#N/A</v>
      </c>
      <c r="J354" s="238"/>
      <c r="K354" s="235"/>
      <c r="L354" s="233">
        <f t="shared" si="5"/>
        <v>2020</v>
      </c>
    </row>
    <row r="355" spans="1:12" x14ac:dyDescent="0.2">
      <c r="A355" s="238"/>
      <c r="B355" s="245" t="e">
        <f>VLOOKUP(A355,Ausschreibung!$B$4:$I$35,2,FALSE)</f>
        <v>#N/A</v>
      </c>
      <c r="C355" s="237"/>
      <c r="D355" s="237"/>
      <c r="E355" s="243" t="e">
        <f>VLOOKUP(A355,Ausschreibung!$B$4:$I$35,4,FALSE)</f>
        <v>#N/A</v>
      </c>
      <c r="F355" s="245" t="e">
        <f>VLOOKUP(A355,Ausschreibung!$B$4:$I$35,5,FALSE)</f>
        <v>#N/A</v>
      </c>
      <c r="G355" s="243" t="e">
        <f>VLOOKUP(A355,Ausschreibung!$B$4:$I$35,6,FALSE)</f>
        <v>#N/A</v>
      </c>
      <c r="H355" s="238"/>
      <c r="I355" s="243" t="e">
        <f>VLOOKUP(A355,Ausschreibung!$B$4:$I$35,8,FALSE)</f>
        <v>#N/A</v>
      </c>
      <c r="J355" s="238"/>
      <c r="K355" s="235"/>
      <c r="L355" s="233">
        <f t="shared" si="5"/>
        <v>2020</v>
      </c>
    </row>
    <row r="356" spans="1:12" x14ac:dyDescent="0.2">
      <c r="A356" s="238"/>
      <c r="B356" s="245" t="e">
        <f>VLOOKUP(A356,Ausschreibung!$B$4:$I$35,2,FALSE)</f>
        <v>#N/A</v>
      </c>
      <c r="C356" s="237"/>
      <c r="D356" s="237"/>
      <c r="E356" s="243" t="e">
        <f>VLOOKUP(A356,Ausschreibung!$B$4:$I$35,4,FALSE)</f>
        <v>#N/A</v>
      </c>
      <c r="F356" s="245" t="e">
        <f>VLOOKUP(A356,Ausschreibung!$B$4:$I$35,5,FALSE)</f>
        <v>#N/A</v>
      </c>
      <c r="G356" s="243" t="e">
        <f>VLOOKUP(A356,Ausschreibung!$B$4:$I$35,6,FALSE)</f>
        <v>#N/A</v>
      </c>
      <c r="H356" s="238"/>
      <c r="I356" s="243" t="e">
        <f>VLOOKUP(A356,Ausschreibung!$B$4:$I$35,8,FALSE)</f>
        <v>#N/A</v>
      </c>
      <c r="J356" s="238"/>
      <c r="K356" s="235"/>
      <c r="L356" s="233">
        <f t="shared" si="5"/>
        <v>2020</v>
      </c>
    </row>
    <row r="357" spans="1:12" x14ac:dyDescent="0.2">
      <c r="A357" s="238"/>
      <c r="B357" s="245" t="e">
        <f>VLOOKUP(A357,Ausschreibung!$B$4:$I$35,2,FALSE)</f>
        <v>#N/A</v>
      </c>
      <c r="C357" s="237"/>
      <c r="D357" s="237"/>
      <c r="E357" s="243" t="e">
        <f>VLOOKUP(A357,Ausschreibung!$B$4:$I$35,4,FALSE)</f>
        <v>#N/A</v>
      </c>
      <c r="F357" s="245" t="e">
        <f>VLOOKUP(A357,Ausschreibung!$B$4:$I$35,5,FALSE)</f>
        <v>#N/A</v>
      </c>
      <c r="G357" s="243" t="e">
        <f>VLOOKUP(A357,Ausschreibung!$B$4:$I$35,6,FALSE)</f>
        <v>#N/A</v>
      </c>
      <c r="H357" s="238"/>
      <c r="I357" s="243" t="e">
        <f>VLOOKUP(A357,Ausschreibung!$B$4:$I$35,8,FALSE)</f>
        <v>#N/A</v>
      </c>
      <c r="J357" s="238"/>
      <c r="K357" s="235"/>
      <c r="L357" s="233">
        <f t="shared" si="5"/>
        <v>2020</v>
      </c>
    </row>
    <row r="358" spans="1:12" x14ac:dyDescent="0.2">
      <c r="A358" s="238"/>
      <c r="B358" s="245" t="e">
        <f>VLOOKUP(A358,Ausschreibung!$B$4:$I$35,2,FALSE)</f>
        <v>#N/A</v>
      </c>
      <c r="C358" s="237"/>
      <c r="D358" s="237"/>
      <c r="E358" s="243" t="e">
        <f>VLOOKUP(A358,Ausschreibung!$B$4:$I$35,4,FALSE)</f>
        <v>#N/A</v>
      </c>
      <c r="F358" s="245" t="e">
        <f>VLOOKUP(A358,Ausschreibung!$B$4:$I$35,5,FALSE)</f>
        <v>#N/A</v>
      </c>
      <c r="G358" s="243" t="e">
        <f>VLOOKUP(A358,Ausschreibung!$B$4:$I$35,6,FALSE)</f>
        <v>#N/A</v>
      </c>
      <c r="H358" s="238"/>
      <c r="I358" s="243" t="e">
        <f>VLOOKUP(A358,Ausschreibung!$B$4:$I$35,8,FALSE)</f>
        <v>#N/A</v>
      </c>
      <c r="J358" s="238"/>
      <c r="K358" s="235"/>
      <c r="L358" s="233">
        <f t="shared" si="5"/>
        <v>2020</v>
      </c>
    </row>
    <row r="359" spans="1:12" x14ac:dyDescent="0.2">
      <c r="A359" s="238"/>
      <c r="B359" s="245" t="e">
        <f>VLOOKUP(A359,Ausschreibung!$B$4:$I$35,2,FALSE)</f>
        <v>#N/A</v>
      </c>
      <c r="C359" s="237"/>
      <c r="D359" s="237"/>
      <c r="E359" s="243" t="e">
        <f>VLOOKUP(A359,Ausschreibung!$B$4:$I$35,4,FALSE)</f>
        <v>#N/A</v>
      </c>
      <c r="F359" s="245" t="e">
        <f>VLOOKUP(A359,Ausschreibung!$B$4:$I$35,5,FALSE)</f>
        <v>#N/A</v>
      </c>
      <c r="G359" s="243" t="e">
        <f>VLOOKUP(A359,Ausschreibung!$B$4:$I$35,6,FALSE)</f>
        <v>#N/A</v>
      </c>
      <c r="H359" s="238"/>
      <c r="I359" s="243" t="e">
        <f>VLOOKUP(A359,Ausschreibung!$B$4:$I$35,8,FALSE)</f>
        <v>#N/A</v>
      </c>
      <c r="J359" s="238"/>
      <c r="K359" s="235"/>
      <c r="L359" s="233">
        <f t="shared" si="5"/>
        <v>2020</v>
      </c>
    </row>
    <row r="360" spans="1:12" x14ac:dyDescent="0.2">
      <c r="A360" s="238"/>
      <c r="B360" s="245" t="e">
        <f>VLOOKUP(A360,Ausschreibung!$B$4:$I$35,2,FALSE)</f>
        <v>#N/A</v>
      </c>
      <c r="C360" s="237"/>
      <c r="D360" s="237"/>
      <c r="E360" s="243" t="e">
        <f>VLOOKUP(A360,Ausschreibung!$B$4:$I$35,4,FALSE)</f>
        <v>#N/A</v>
      </c>
      <c r="F360" s="245" t="e">
        <f>VLOOKUP(A360,Ausschreibung!$B$4:$I$35,5,FALSE)</f>
        <v>#N/A</v>
      </c>
      <c r="G360" s="243" t="e">
        <f>VLOOKUP(A360,Ausschreibung!$B$4:$I$35,6,FALSE)</f>
        <v>#N/A</v>
      </c>
      <c r="H360" s="238"/>
      <c r="I360" s="243" t="e">
        <f>VLOOKUP(A360,Ausschreibung!$B$4:$I$35,8,FALSE)</f>
        <v>#N/A</v>
      </c>
      <c r="J360" s="238"/>
      <c r="K360" s="235"/>
      <c r="L360" s="233">
        <f t="shared" si="5"/>
        <v>2020</v>
      </c>
    </row>
    <row r="361" spans="1:12" x14ac:dyDescent="0.2">
      <c r="A361" s="238"/>
      <c r="B361" s="245" t="e">
        <f>VLOOKUP(A361,Ausschreibung!$B$4:$I$35,2,FALSE)</f>
        <v>#N/A</v>
      </c>
      <c r="C361" s="237"/>
      <c r="D361" s="237"/>
      <c r="E361" s="243" t="e">
        <f>VLOOKUP(A361,Ausschreibung!$B$4:$I$35,4,FALSE)</f>
        <v>#N/A</v>
      </c>
      <c r="F361" s="245" t="e">
        <f>VLOOKUP(A361,Ausschreibung!$B$4:$I$35,5,FALSE)</f>
        <v>#N/A</v>
      </c>
      <c r="G361" s="243" t="e">
        <f>VLOOKUP(A361,Ausschreibung!$B$4:$I$35,6,FALSE)</f>
        <v>#N/A</v>
      </c>
      <c r="H361" s="238"/>
      <c r="I361" s="243" t="e">
        <f>VLOOKUP(A361,Ausschreibung!$B$4:$I$35,8,FALSE)</f>
        <v>#N/A</v>
      </c>
      <c r="J361" s="238"/>
      <c r="K361" s="235"/>
      <c r="L361" s="233">
        <f t="shared" si="5"/>
        <v>2020</v>
      </c>
    </row>
    <row r="362" spans="1:12" x14ac:dyDescent="0.2">
      <c r="A362" s="238"/>
      <c r="B362" s="245" t="e">
        <f>VLOOKUP(A362,Ausschreibung!$B$4:$I$35,2,FALSE)</f>
        <v>#N/A</v>
      </c>
      <c r="C362" s="237"/>
      <c r="D362" s="237"/>
      <c r="E362" s="243" t="e">
        <f>VLOOKUP(A362,Ausschreibung!$B$4:$I$35,4,FALSE)</f>
        <v>#N/A</v>
      </c>
      <c r="F362" s="245" t="e">
        <f>VLOOKUP(A362,Ausschreibung!$B$4:$I$35,5,FALSE)</f>
        <v>#N/A</v>
      </c>
      <c r="G362" s="243" t="e">
        <f>VLOOKUP(A362,Ausschreibung!$B$4:$I$35,6,FALSE)</f>
        <v>#N/A</v>
      </c>
      <c r="H362" s="238"/>
      <c r="I362" s="243" t="e">
        <f>VLOOKUP(A362,Ausschreibung!$B$4:$I$35,8,FALSE)</f>
        <v>#N/A</v>
      </c>
      <c r="J362" s="238"/>
      <c r="K362" s="235"/>
      <c r="L362" s="233">
        <f t="shared" si="5"/>
        <v>2020</v>
      </c>
    </row>
    <row r="363" spans="1:12" x14ac:dyDescent="0.2">
      <c r="A363" s="238"/>
      <c r="B363" s="245" t="e">
        <f>VLOOKUP(A363,Ausschreibung!$B$4:$I$35,2,FALSE)</f>
        <v>#N/A</v>
      </c>
      <c r="C363" s="237"/>
      <c r="D363" s="237"/>
      <c r="E363" s="243" t="e">
        <f>VLOOKUP(A363,Ausschreibung!$B$4:$I$35,4,FALSE)</f>
        <v>#N/A</v>
      </c>
      <c r="F363" s="245" t="e">
        <f>VLOOKUP(A363,Ausschreibung!$B$4:$I$35,5,FALSE)</f>
        <v>#N/A</v>
      </c>
      <c r="G363" s="243" t="e">
        <f>VLOOKUP(A363,Ausschreibung!$B$4:$I$35,6,FALSE)</f>
        <v>#N/A</v>
      </c>
      <c r="H363" s="238"/>
      <c r="I363" s="243" t="e">
        <f>VLOOKUP(A363,Ausschreibung!$B$4:$I$35,8,FALSE)</f>
        <v>#N/A</v>
      </c>
      <c r="J363" s="238"/>
      <c r="K363" s="235"/>
      <c r="L363" s="233">
        <f t="shared" si="5"/>
        <v>2020</v>
      </c>
    </row>
    <row r="364" spans="1:12" x14ac:dyDescent="0.2">
      <c r="A364" s="238"/>
      <c r="B364" s="245" t="e">
        <f>VLOOKUP(A364,Ausschreibung!$B$4:$I$35,2,FALSE)</f>
        <v>#N/A</v>
      </c>
      <c r="C364" s="237"/>
      <c r="D364" s="237"/>
      <c r="E364" s="243" t="e">
        <f>VLOOKUP(A364,Ausschreibung!$B$4:$I$35,4,FALSE)</f>
        <v>#N/A</v>
      </c>
      <c r="F364" s="245" t="e">
        <f>VLOOKUP(A364,Ausschreibung!$B$4:$I$35,5,FALSE)</f>
        <v>#N/A</v>
      </c>
      <c r="G364" s="243" t="e">
        <f>VLOOKUP(A364,Ausschreibung!$B$4:$I$35,6,FALSE)</f>
        <v>#N/A</v>
      </c>
      <c r="H364" s="238"/>
      <c r="I364" s="243" t="e">
        <f>VLOOKUP(A364,Ausschreibung!$B$4:$I$35,8,FALSE)</f>
        <v>#N/A</v>
      </c>
      <c r="J364" s="238"/>
      <c r="K364" s="235"/>
      <c r="L364" s="233">
        <f t="shared" si="5"/>
        <v>2020</v>
      </c>
    </row>
    <row r="365" spans="1:12" x14ac:dyDescent="0.2">
      <c r="A365" s="238"/>
      <c r="B365" s="245" t="e">
        <f>VLOOKUP(A365,Ausschreibung!$B$4:$I$35,2,FALSE)</f>
        <v>#N/A</v>
      </c>
      <c r="C365" s="237"/>
      <c r="D365" s="237"/>
      <c r="E365" s="243" t="e">
        <f>VLOOKUP(A365,Ausschreibung!$B$4:$I$35,4,FALSE)</f>
        <v>#N/A</v>
      </c>
      <c r="F365" s="245" t="e">
        <f>VLOOKUP(A365,Ausschreibung!$B$4:$I$35,5,FALSE)</f>
        <v>#N/A</v>
      </c>
      <c r="G365" s="243" t="e">
        <f>VLOOKUP(A365,Ausschreibung!$B$4:$I$35,6,FALSE)</f>
        <v>#N/A</v>
      </c>
      <c r="H365" s="238"/>
      <c r="I365" s="243" t="e">
        <f>VLOOKUP(A365,Ausschreibung!$B$4:$I$35,8,FALSE)</f>
        <v>#N/A</v>
      </c>
      <c r="J365" s="238"/>
      <c r="K365" s="235"/>
      <c r="L365" s="233">
        <f t="shared" si="5"/>
        <v>2020</v>
      </c>
    </row>
    <row r="366" spans="1:12" x14ac:dyDescent="0.2">
      <c r="A366" s="238"/>
      <c r="B366" s="245" t="e">
        <f>VLOOKUP(A366,Ausschreibung!$B$4:$I$35,2,FALSE)</f>
        <v>#N/A</v>
      </c>
      <c r="C366" s="237"/>
      <c r="D366" s="237"/>
      <c r="E366" s="243" t="e">
        <f>VLOOKUP(A366,Ausschreibung!$B$4:$I$35,4,FALSE)</f>
        <v>#N/A</v>
      </c>
      <c r="F366" s="245" t="e">
        <f>VLOOKUP(A366,Ausschreibung!$B$4:$I$35,5,FALSE)</f>
        <v>#N/A</v>
      </c>
      <c r="G366" s="243" t="e">
        <f>VLOOKUP(A366,Ausschreibung!$B$4:$I$35,6,FALSE)</f>
        <v>#N/A</v>
      </c>
      <c r="H366" s="238"/>
      <c r="I366" s="243" t="e">
        <f>VLOOKUP(A366,Ausschreibung!$B$4:$I$35,8,FALSE)</f>
        <v>#N/A</v>
      </c>
      <c r="J366" s="238"/>
      <c r="K366" s="235"/>
      <c r="L366" s="233">
        <f t="shared" si="5"/>
        <v>2020</v>
      </c>
    </row>
    <row r="367" spans="1:12" x14ac:dyDescent="0.2">
      <c r="A367" s="238"/>
      <c r="B367" s="245" t="e">
        <f>VLOOKUP(A367,Ausschreibung!$B$4:$I$35,2,FALSE)</f>
        <v>#N/A</v>
      </c>
      <c r="C367" s="237"/>
      <c r="D367" s="237"/>
      <c r="E367" s="243" t="e">
        <f>VLOOKUP(A367,Ausschreibung!$B$4:$I$35,4,FALSE)</f>
        <v>#N/A</v>
      </c>
      <c r="F367" s="245" t="e">
        <f>VLOOKUP(A367,Ausschreibung!$B$4:$I$35,5,FALSE)</f>
        <v>#N/A</v>
      </c>
      <c r="G367" s="243" t="e">
        <f>VLOOKUP(A367,Ausschreibung!$B$4:$I$35,6,FALSE)</f>
        <v>#N/A</v>
      </c>
      <c r="H367" s="238"/>
      <c r="I367" s="243" t="e">
        <f>VLOOKUP(A367,Ausschreibung!$B$4:$I$35,8,FALSE)</f>
        <v>#N/A</v>
      </c>
      <c r="J367" s="238"/>
      <c r="K367" s="235"/>
      <c r="L367" s="233">
        <f t="shared" si="5"/>
        <v>2020</v>
      </c>
    </row>
    <row r="368" spans="1:12" x14ac:dyDescent="0.2">
      <c r="A368" s="238"/>
      <c r="B368" s="245" t="e">
        <f>VLOOKUP(A368,Ausschreibung!$B$4:$I$35,2,FALSE)</f>
        <v>#N/A</v>
      </c>
      <c r="C368" s="237"/>
      <c r="D368" s="237"/>
      <c r="E368" s="243" t="e">
        <f>VLOOKUP(A368,Ausschreibung!$B$4:$I$35,4,FALSE)</f>
        <v>#N/A</v>
      </c>
      <c r="F368" s="245" t="e">
        <f>VLOOKUP(A368,Ausschreibung!$B$4:$I$35,5,FALSE)</f>
        <v>#N/A</v>
      </c>
      <c r="G368" s="243" t="e">
        <f>VLOOKUP(A368,Ausschreibung!$B$4:$I$35,6,FALSE)</f>
        <v>#N/A</v>
      </c>
      <c r="H368" s="238"/>
      <c r="I368" s="243" t="e">
        <f>VLOOKUP(A368,Ausschreibung!$B$4:$I$35,8,FALSE)</f>
        <v>#N/A</v>
      </c>
      <c r="J368" s="238"/>
      <c r="K368" s="235"/>
      <c r="L368" s="233">
        <f t="shared" si="5"/>
        <v>2020</v>
      </c>
    </row>
    <row r="369" spans="1:12" x14ac:dyDescent="0.2">
      <c r="A369" s="238"/>
      <c r="B369" s="245" t="e">
        <f>VLOOKUP(A369,Ausschreibung!$B$4:$I$35,2,FALSE)</f>
        <v>#N/A</v>
      </c>
      <c r="C369" s="237"/>
      <c r="D369" s="237"/>
      <c r="E369" s="243" t="e">
        <f>VLOOKUP(A369,Ausschreibung!$B$4:$I$35,4,FALSE)</f>
        <v>#N/A</v>
      </c>
      <c r="F369" s="245" t="e">
        <f>VLOOKUP(A369,Ausschreibung!$B$4:$I$35,5,FALSE)</f>
        <v>#N/A</v>
      </c>
      <c r="G369" s="243" t="e">
        <f>VLOOKUP(A369,Ausschreibung!$B$4:$I$35,6,FALSE)</f>
        <v>#N/A</v>
      </c>
      <c r="H369" s="238"/>
      <c r="I369" s="243" t="e">
        <f>VLOOKUP(A369,Ausschreibung!$B$4:$I$35,8,FALSE)</f>
        <v>#N/A</v>
      </c>
      <c r="J369" s="238"/>
      <c r="K369" s="235"/>
      <c r="L369" s="233">
        <f t="shared" si="5"/>
        <v>2020</v>
      </c>
    </row>
    <row r="370" spans="1:12" x14ac:dyDescent="0.2">
      <c r="A370" s="235"/>
      <c r="B370" s="245" t="e">
        <f>VLOOKUP(A370,Ausschreibung!$B$4:$I$35,2,FALSE)</f>
        <v>#N/A</v>
      </c>
      <c r="C370" s="237"/>
      <c r="D370" s="237"/>
      <c r="E370" s="243" t="e">
        <f>VLOOKUP(A370,Ausschreibung!$B$4:$I$35,4,FALSE)</f>
        <v>#N/A</v>
      </c>
      <c r="F370" s="245" t="e">
        <f>VLOOKUP(A370,Ausschreibung!$B$4:$I$35,5,FALSE)</f>
        <v>#N/A</v>
      </c>
      <c r="G370" s="243" t="e">
        <f>VLOOKUP(A370,Ausschreibung!$B$4:$I$35,6,FALSE)</f>
        <v>#N/A</v>
      </c>
      <c r="H370" s="238"/>
      <c r="I370" s="243" t="e">
        <f>VLOOKUP(A370,Ausschreibung!$B$4:$I$35,8,FALSE)</f>
        <v>#N/A</v>
      </c>
      <c r="J370" s="238"/>
      <c r="K370" s="235"/>
      <c r="L370" s="233">
        <f t="shared" si="5"/>
        <v>2020</v>
      </c>
    </row>
    <row r="371" spans="1:12" x14ac:dyDescent="0.2">
      <c r="A371" s="235"/>
      <c r="B371" s="245" t="e">
        <f>VLOOKUP(A371,Ausschreibung!$B$4:$I$35,2,FALSE)</f>
        <v>#N/A</v>
      </c>
      <c r="C371" s="237"/>
      <c r="D371" s="237"/>
      <c r="E371" s="243" t="e">
        <f>VLOOKUP(A371,Ausschreibung!$B$4:$I$35,4,FALSE)</f>
        <v>#N/A</v>
      </c>
      <c r="F371" s="245" t="e">
        <f>VLOOKUP(A371,Ausschreibung!$B$4:$I$35,5,FALSE)</f>
        <v>#N/A</v>
      </c>
      <c r="G371" s="243" t="e">
        <f>VLOOKUP(A371,Ausschreibung!$B$4:$I$35,6,FALSE)</f>
        <v>#N/A</v>
      </c>
      <c r="H371" s="238"/>
      <c r="I371" s="243" t="e">
        <f>VLOOKUP(A371,Ausschreibung!$B$4:$I$35,8,FALSE)</f>
        <v>#N/A</v>
      </c>
      <c r="J371" s="238"/>
      <c r="K371" s="235"/>
      <c r="L371" s="233">
        <f t="shared" si="5"/>
        <v>2020</v>
      </c>
    </row>
    <row r="372" spans="1:12" x14ac:dyDescent="0.2">
      <c r="A372" s="235"/>
      <c r="B372" s="245" t="e">
        <f>VLOOKUP(A372,Ausschreibung!$B$4:$I$35,2,FALSE)</f>
        <v>#N/A</v>
      </c>
      <c r="C372" s="237"/>
      <c r="D372" s="237"/>
      <c r="E372" s="243" t="e">
        <f>VLOOKUP(A372,Ausschreibung!$B$4:$I$35,4,FALSE)</f>
        <v>#N/A</v>
      </c>
      <c r="F372" s="245" t="e">
        <f>VLOOKUP(A372,Ausschreibung!$B$4:$I$35,5,FALSE)</f>
        <v>#N/A</v>
      </c>
      <c r="G372" s="243" t="e">
        <f>VLOOKUP(A372,Ausschreibung!$B$4:$I$35,6,FALSE)</f>
        <v>#N/A</v>
      </c>
      <c r="H372" s="238"/>
      <c r="I372" s="243" t="e">
        <f>VLOOKUP(A372,Ausschreibung!$B$4:$I$35,8,FALSE)</f>
        <v>#N/A</v>
      </c>
      <c r="J372" s="238"/>
      <c r="K372" s="235"/>
      <c r="L372" s="233">
        <f t="shared" si="5"/>
        <v>2020</v>
      </c>
    </row>
    <row r="373" spans="1:12" x14ac:dyDescent="0.2">
      <c r="A373" s="235"/>
      <c r="B373" s="245" t="e">
        <f>VLOOKUP(A373,Ausschreibung!$B$4:$I$35,2,FALSE)</f>
        <v>#N/A</v>
      </c>
      <c r="C373" s="237"/>
      <c r="D373" s="237"/>
      <c r="E373" s="243" t="e">
        <f>VLOOKUP(A373,Ausschreibung!$B$4:$I$35,4,FALSE)</f>
        <v>#N/A</v>
      </c>
      <c r="F373" s="245" t="e">
        <f>VLOOKUP(A373,Ausschreibung!$B$4:$I$35,5,FALSE)</f>
        <v>#N/A</v>
      </c>
      <c r="G373" s="243" t="e">
        <f>VLOOKUP(A373,Ausschreibung!$B$4:$I$35,6,FALSE)</f>
        <v>#N/A</v>
      </c>
      <c r="H373" s="238"/>
      <c r="I373" s="243" t="e">
        <f>VLOOKUP(A373,Ausschreibung!$B$4:$I$35,8,FALSE)</f>
        <v>#N/A</v>
      </c>
      <c r="J373" s="238"/>
      <c r="K373" s="235"/>
      <c r="L373" s="233">
        <f t="shared" si="5"/>
        <v>2020</v>
      </c>
    </row>
    <row r="374" spans="1:12" x14ac:dyDescent="0.2">
      <c r="A374" s="235"/>
      <c r="B374" s="245" t="e">
        <f>VLOOKUP(A374,Ausschreibung!$B$4:$I$35,2,FALSE)</f>
        <v>#N/A</v>
      </c>
      <c r="C374" s="237"/>
      <c r="D374" s="237"/>
      <c r="E374" s="243" t="e">
        <f>VLOOKUP(A374,Ausschreibung!$B$4:$I$35,4,FALSE)</f>
        <v>#N/A</v>
      </c>
      <c r="F374" s="245" t="e">
        <f>VLOOKUP(A374,Ausschreibung!$B$4:$I$35,5,FALSE)</f>
        <v>#N/A</v>
      </c>
      <c r="G374" s="243" t="e">
        <f>VLOOKUP(A374,Ausschreibung!$B$4:$I$35,6,FALSE)</f>
        <v>#N/A</v>
      </c>
      <c r="H374" s="238"/>
      <c r="I374" s="243" t="e">
        <f>VLOOKUP(A374,Ausschreibung!$B$4:$I$35,8,FALSE)</f>
        <v>#N/A</v>
      </c>
      <c r="J374" s="238"/>
      <c r="K374" s="235"/>
      <c r="L374" s="233">
        <f t="shared" si="5"/>
        <v>2020</v>
      </c>
    </row>
    <row r="375" spans="1:12" x14ac:dyDescent="0.2">
      <c r="A375" s="235"/>
      <c r="B375" s="245" t="e">
        <f>VLOOKUP(A375,Ausschreibung!$B$4:$I$35,2,FALSE)</f>
        <v>#N/A</v>
      </c>
      <c r="C375" s="237"/>
      <c r="D375" s="237"/>
      <c r="E375" s="243" t="e">
        <f>VLOOKUP(A375,Ausschreibung!$B$4:$I$35,4,FALSE)</f>
        <v>#N/A</v>
      </c>
      <c r="F375" s="245" t="e">
        <f>VLOOKUP(A375,Ausschreibung!$B$4:$I$35,5,FALSE)</f>
        <v>#N/A</v>
      </c>
      <c r="G375" s="243" t="e">
        <f>VLOOKUP(A375,Ausschreibung!$B$4:$I$35,6,FALSE)</f>
        <v>#N/A</v>
      </c>
      <c r="H375" s="238"/>
      <c r="I375" s="243" t="e">
        <f>VLOOKUP(A375,Ausschreibung!$B$4:$I$35,8,FALSE)</f>
        <v>#N/A</v>
      </c>
      <c r="J375" s="238"/>
      <c r="K375" s="235"/>
      <c r="L375" s="233">
        <f t="shared" si="5"/>
        <v>2020</v>
      </c>
    </row>
    <row r="376" spans="1:12" x14ac:dyDescent="0.2">
      <c r="A376" s="235"/>
      <c r="B376" s="245" t="e">
        <f>VLOOKUP(A376,Ausschreibung!$B$4:$I$35,2,FALSE)</f>
        <v>#N/A</v>
      </c>
      <c r="C376" s="237"/>
      <c r="D376" s="237"/>
      <c r="E376" s="243" t="e">
        <f>VLOOKUP(A376,Ausschreibung!$B$4:$I$35,4,FALSE)</f>
        <v>#N/A</v>
      </c>
      <c r="F376" s="245" t="e">
        <f>VLOOKUP(A376,Ausschreibung!$B$4:$I$35,5,FALSE)</f>
        <v>#N/A</v>
      </c>
      <c r="G376" s="243" t="e">
        <f>VLOOKUP(A376,Ausschreibung!$B$4:$I$35,6,FALSE)</f>
        <v>#N/A</v>
      </c>
      <c r="H376" s="238"/>
      <c r="I376" s="243" t="e">
        <f>VLOOKUP(A376,Ausschreibung!$B$4:$I$35,8,FALSE)</f>
        <v>#N/A</v>
      </c>
      <c r="J376" s="238"/>
      <c r="K376" s="235"/>
      <c r="L376" s="233">
        <f t="shared" si="5"/>
        <v>2020</v>
      </c>
    </row>
    <row r="377" spans="1:12" x14ac:dyDescent="0.2">
      <c r="A377" s="235"/>
      <c r="B377" s="245" t="e">
        <f>VLOOKUP(A377,Ausschreibung!$B$4:$I$35,2,FALSE)</f>
        <v>#N/A</v>
      </c>
      <c r="C377" s="237"/>
      <c r="D377" s="237"/>
      <c r="E377" s="243" t="e">
        <f>VLOOKUP(A377,Ausschreibung!$B$4:$I$35,4,FALSE)</f>
        <v>#N/A</v>
      </c>
      <c r="F377" s="245" t="e">
        <f>VLOOKUP(A377,Ausschreibung!$B$4:$I$35,5,FALSE)</f>
        <v>#N/A</v>
      </c>
      <c r="G377" s="243" t="e">
        <f>VLOOKUP(A377,Ausschreibung!$B$4:$I$35,6,FALSE)</f>
        <v>#N/A</v>
      </c>
      <c r="H377" s="238"/>
      <c r="I377" s="243" t="e">
        <f>VLOOKUP(A377,Ausschreibung!$B$4:$I$35,8,FALSE)</f>
        <v>#N/A</v>
      </c>
      <c r="J377" s="238"/>
      <c r="K377" s="235"/>
      <c r="L377" s="233">
        <f t="shared" si="5"/>
        <v>2020</v>
      </c>
    </row>
    <row r="378" spans="1:12" x14ac:dyDescent="0.2">
      <c r="A378" s="235"/>
      <c r="B378" s="245" t="e">
        <f>VLOOKUP(A378,Ausschreibung!$B$4:$I$35,2,FALSE)</f>
        <v>#N/A</v>
      </c>
      <c r="C378" s="237"/>
      <c r="D378" s="237"/>
      <c r="E378" s="243" t="e">
        <f>VLOOKUP(A378,Ausschreibung!$B$4:$I$35,4,FALSE)</f>
        <v>#N/A</v>
      </c>
      <c r="F378" s="245" t="e">
        <f>VLOOKUP(A378,Ausschreibung!$B$4:$I$35,5,FALSE)</f>
        <v>#N/A</v>
      </c>
      <c r="G378" s="243" t="e">
        <f>VLOOKUP(A378,Ausschreibung!$B$4:$I$35,6,FALSE)</f>
        <v>#N/A</v>
      </c>
      <c r="H378" s="238"/>
      <c r="I378" s="243" t="e">
        <f>VLOOKUP(A378,Ausschreibung!$B$4:$I$35,8,FALSE)</f>
        <v>#N/A</v>
      </c>
      <c r="J378" s="238"/>
      <c r="K378" s="235"/>
      <c r="L378" s="233">
        <f t="shared" si="5"/>
        <v>2020</v>
      </c>
    </row>
    <row r="379" spans="1:12" x14ac:dyDescent="0.2">
      <c r="A379" s="235"/>
      <c r="B379" s="245" t="e">
        <f>VLOOKUP(A379,Ausschreibung!$B$4:$I$35,2,FALSE)</f>
        <v>#N/A</v>
      </c>
      <c r="C379" s="237"/>
      <c r="D379" s="237"/>
      <c r="E379" s="243" t="e">
        <f>VLOOKUP(A379,Ausschreibung!$B$4:$I$35,4,FALSE)</f>
        <v>#N/A</v>
      </c>
      <c r="F379" s="245" t="e">
        <f>VLOOKUP(A379,Ausschreibung!$B$4:$I$35,5,FALSE)</f>
        <v>#N/A</v>
      </c>
      <c r="G379" s="243" t="e">
        <f>VLOOKUP(A379,Ausschreibung!$B$4:$I$35,6,FALSE)</f>
        <v>#N/A</v>
      </c>
      <c r="H379" s="238"/>
      <c r="I379" s="243" t="e">
        <f>VLOOKUP(A379,Ausschreibung!$B$4:$I$35,8,FALSE)</f>
        <v>#N/A</v>
      </c>
      <c r="J379" s="238"/>
      <c r="K379" s="235"/>
      <c r="L379" s="233">
        <f t="shared" si="5"/>
        <v>2020</v>
      </c>
    </row>
    <row r="380" spans="1:12" x14ac:dyDescent="0.2">
      <c r="A380" s="235"/>
      <c r="B380" s="245" t="e">
        <f>VLOOKUP(A380,Ausschreibung!$B$4:$I$35,2,FALSE)</f>
        <v>#N/A</v>
      </c>
      <c r="C380" s="237"/>
      <c r="D380" s="237"/>
      <c r="E380" s="243" t="e">
        <f>VLOOKUP(A380,Ausschreibung!$B$4:$I$35,4,FALSE)</f>
        <v>#N/A</v>
      </c>
      <c r="F380" s="245" t="e">
        <f>VLOOKUP(A380,Ausschreibung!$B$4:$I$35,5,FALSE)</f>
        <v>#N/A</v>
      </c>
      <c r="G380" s="243" t="e">
        <f>VLOOKUP(A380,Ausschreibung!$B$4:$I$35,6,FALSE)</f>
        <v>#N/A</v>
      </c>
      <c r="H380" s="238"/>
      <c r="I380" s="243" t="e">
        <f>VLOOKUP(A380,Ausschreibung!$B$4:$I$35,8,FALSE)</f>
        <v>#N/A</v>
      </c>
      <c r="J380" s="238"/>
      <c r="K380" s="235"/>
      <c r="L380" s="233">
        <f t="shared" si="5"/>
        <v>2020</v>
      </c>
    </row>
    <row r="381" spans="1:12" x14ac:dyDescent="0.2">
      <c r="A381" s="235"/>
      <c r="B381" s="245" t="e">
        <f>VLOOKUP(A381,Ausschreibung!$B$4:$I$35,2,FALSE)</f>
        <v>#N/A</v>
      </c>
      <c r="C381" s="237"/>
      <c r="D381" s="237"/>
      <c r="E381" s="243" t="e">
        <f>VLOOKUP(A381,Ausschreibung!$B$4:$I$35,4,FALSE)</f>
        <v>#N/A</v>
      </c>
      <c r="F381" s="245" t="e">
        <f>VLOOKUP(A381,Ausschreibung!$B$4:$I$35,5,FALSE)</f>
        <v>#N/A</v>
      </c>
      <c r="G381" s="243" t="e">
        <f>VLOOKUP(A381,Ausschreibung!$B$4:$I$35,6,FALSE)</f>
        <v>#N/A</v>
      </c>
      <c r="H381" s="238"/>
      <c r="I381" s="243" t="e">
        <f>VLOOKUP(A381,Ausschreibung!$B$4:$I$35,8,FALSE)</f>
        <v>#N/A</v>
      </c>
      <c r="J381" s="238"/>
      <c r="K381" s="235"/>
      <c r="L381" s="233">
        <f t="shared" si="5"/>
        <v>2020</v>
      </c>
    </row>
    <row r="382" spans="1:12" x14ac:dyDescent="0.2">
      <c r="A382" s="235"/>
      <c r="B382" s="245" t="e">
        <f>VLOOKUP(A382,Ausschreibung!$B$4:$I$35,2,FALSE)</f>
        <v>#N/A</v>
      </c>
      <c r="C382" s="237"/>
      <c r="D382" s="237"/>
      <c r="E382" s="243" t="e">
        <f>VLOOKUP(A382,Ausschreibung!$B$4:$I$35,4,FALSE)</f>
        <v>#N/A</v>
      </c>
      <c r="F382" s="245" t="e">
        <f>VLOOKUP(A382,Ausschreibung!$B$4:$I$35,5,FALSE)</f>
        <v>#N/A</v>
      </c>
      <c r="G382" s="243" t="e">
        <f>VLOOKUP(A382,Ausschreibung!$B$4:$I$35,6,FALSE)</f>
        <v>#N/A</v>
      </c>
      <c r="H382" s="238"/>
      <c r="I382" s="243" t="e">
        <f>VLOOKUP(A382,Ausschreibung!$B$4:$I$35,8,FALSE)</f>
        <v>#N/A</v>
      </c>
      <c r="J382" s="238"/>
      <c r="K382" s="235"/>
      <c r="L382" s="233">
        <f t="shared" si="5"/>
        <v>2020</v>
      </c>
    </row>
    <row r="383" spans="1:12" x14ac:dyDescent="0.2">
      <c r="A383" s="235"/>
      <c r="B383" s="245" t="e">
        <f>VLOOKUP(A383,Ausschreibung!$B$4:$I$35,2,FALSE)</f>
        <v>#N/A</v>
      </c>
      <c r="C383" s="237"/>
      <c r="D383" s="237"/>
      <c r="E383" s="243" t="e">
        <f>VLOOKUP(A383,Ausschreibung!$B$4:$I$35,4,FALSE)</f>
        <v>#N/A</v>
      </c>
      <c r="F383" s="245" t="e">
        <f>VLOOKUP(A383,Ausschreibung!$B$4:$I$35,5,FALSE)</f>
        <v>#N/A</v>
      </c>
      <c r="G383" s="243" t="e">
        <f>VLOOKUP(A383,Ausschreibung!$B$4:$I$35,6,FALSE)</f>
        <v>#N/A</v>
      </c>
      <c r="H383" s="238"/>
      <c r="I383" s="243" t="e">
        <f>VLOOKUP(A383,Ausschreibung!$B$4:$I$35,8,FALSE)</f>
        <v>#N/A</v>
      </c>
      <c r="J383" s="238"/>
      <c r="K383" s="235"/>
      <c r="L383" s="233">
        <f t="shared" si="5"/>
        <v>2020</v>
      </c>
    </row>
    <row r="384" spans="1:12" x14ac:dyDescent="0.2">
      <c r="A384" s="235"/>
      <c r="B384" s="245" t="e">
        <f>VLOOKUP(A384,Ausschreibung!$B$4:$I$35,2,FALSE)</f>
        <v>#N/A</v>
      </c>
      <c r="C384" s="237"/>
      <c r="D384" s="237"/>
      <c r="E384" s="243" t="e">
        <f>VLOOKUP(A384,Ausschreibung!$B$4:$I$35,4,FALSE)</f>
        <v>#N/A</v>
      </c>
      <c r="F384" s="245" t="e">
        <f>VLOOKUP(A384,Ausschreibung!$B$4:$I$35,5,FALSE)</f>
        <v>#N/A</v>
      </c>
      <c r="G384" s="243" t="e">
        <f>VLOOKUP(A384,Ausschreibung!$B$4:$I$35,6,FALSE)</f>
        <v>#N/A</v>
      </c>
      <c r="H384" s="238"/>
      <c r="I384" s="243" t="e">
        <f>VLOOKUP(A384,Ausschreibung!$B$4:$I$35,8,FALSE)</f>
        <v>#N/A</v>
      </c>
      <c r="J384" s="238"/>
      <c r="K384" s="235"/>
      <c r="L384" s="233">
        <f t="shared" si="5"/>
        <v>2020</v>
      </c>
    </row>
    <row r="385" spans="1:12" x14ac:dyDescent="0.2">
      <c r="A385" s="235"/>
      <c r="B385" s="245" t="e">
        <f>VLOOKUP(A385,Ausschreibung!$B$4:$I$35,2,FALSE)</f>
        <v>#N/A</v>
      </c>
      <c r="C385" s="237"/>
      <c r="D385" s="237"/>
      <c r="E385" s="243" t="e">
        <f>VLOOKUP(A385,Ausschreibung!$B$4:$I$35,4,FALSE)</f>
        <v>#N/A</v>
      </c>
      <c r="F385" s="245" t="e">
        <f>VLOOKUP(A385,Ausschreibung!$B$4:$I$35,5,FALSE)</f>
        <v>#N/A</v>
      </c>
      <c r="G385" s="243" t="e">
        <f>VLOOKUP(A385,Ausschreibung!$B$4:$I$35,6,FALSE)</f>
        <v>#N/A</v>
      </c>
      <c r="H385" s="238"/>
      <c r="I385" s="243" t="e">
        <f>VLOOKUP(A385,Ausschreibung!$B$4:$I$35,8,FALSE)</f>
        <v>#N/A</v>
      </c>
      <c r="J385" s="238"/>
      <c r="K385" s="235"/>
      <c r="L385" s="233">
        <f t="shared" si="5"/>
        <v>2020</v>
      </c>
    </row>
    <row r="386" spans="1:12" x14ac:dyDescent="0.2">
      <c r="A386" s="235"/>
      <c r="B386" s="245" t="e">
        <f>VLOOKUP(A386,Ausschreibung!$B$4:$I$35,2,FALSE)</f>
        <v>#N/A</v>
      </c>
      <c r="C386" s="237"/>
      <c r="D386" s="237"/>
      <c r="E386" s="243" t="e">
        <f>VLOOKUP(A386,Ausschreibung!$B$4:$I$35,4,FALSE)</f>
        <v>#N/A</v>
      </c>
      <c r="F386" s="245" t="e">
        <f>VLOOKUP(A386,Ausschreibung!$B$4:$I$35,5,FALSE)</f>
        <v>#N/A</v>
      </c>
      <c r="G386" s="243" t="e">
        <f>VLOOKUP(A386,Ausschreibung!$B$4:$I$35,6,FALSE)</f>
        <v>#N/A</v>
      </c>
      <c r="H386" s="238"/>
      <c r="I386" s="243" t="e">
        <f>VLOOKUP(A386,Ausschreibung!$B$4:$I$35,8,FALSE)</f>
        <v>#N/A</v>
      </c>
      <c r="J386" s="238"/>
      <c r="K386" s="235"/>
      <c r="L386" s="233">
        <f t="shared" ref="L386:L449" si="6">2020-H386</f>
        <v>2020</v>
      </c>
    </row>
    <row r="387" spans="1:12" x14ac:dyDescent="0.2">
      <c r="A387" s="235"/>
      <c r="B387" s="245" t="e">
        <f>VLOOKUP(A387,Ausschreibung!$B$4:$I$35,2,FALSE)</f>
        <v>#N/A</v>
      </c>
      <c r="C387" s="237"/>
      <c r="D387" s="237"/>
      <c r="E387" s="243" t="e">
        <f>VLOOKUP(A387,Ausschreibung!$B$4:$I$35,4,FALSE)</f>
        <v>#N/A</v>
      </c>
      <c r="F387" s="245" t="e">
        <f>VLOOKUP(A387,Ausschreibung!$B$4:$I$35,5,FALSE)</f>
        <v>#N/A</v>
      </c>
      <c r="G387" s="243" t="e">
        <f>VLOOKUP(A387,Ausschreibung!$B$4:$I$35,6,FALSE)</f>
        <v>#N/A</v>
      </c>
      <c r="H387" s="238"/>
      <c r="I387" s="243" t="e">
        <f>VLOOKUP(A387,Ausschreibung!$B$4:$I$35,8,FALSE)</f>
        <v>#N/A</v>
      </c>
      <c r="J387" s="238"/>
      <c r="K387" s="235"/>
      <c r="L387" s="233">
        <f t="shared" si="6"/>
        <v>2020</v>
      </c>
    </row>
    <row r="388" spans="1:12" x14ac:dyDescent="0.2">
      <c r="A388" s="235"/>
      <c r="B388" s="245" t="e">
        <f>VLOOKUP(A388,Ausschreibung!$B$4:$I$35,2,FALSE)</f>
        <v>#N/A</v>
      </c>
      <c r="C388" s="237"/>
      <c r="D388" s="237"/>
      <c r="E388" s="243" t="e">
        <f>VLOOKUP(A388,Ausschreibung!$B$4:$I$35,4,FALSE)</f>
        <v>#N/A</v>
      </c>
      <c r="F388" s="245" t="e">
        <f>VLOOKUP(A388,Ausschreibung!$B$4:$I$35,5,FALSE)</f>
        <v>#N/A</v>
      </c>
      <c r="G388" s="243" t="e">
        <f>VLOOKUP(A388,Ausschreibung!$B$4:$I$35,6,FALSE)</f>
        <v>#N/A</v>
      </c>
      <c r="H388" s="238"/>
      <c r="I388" s="243" t="e">
        <f>VLOOKUP(A388,Ausschreibung!$B$4:$I$35,8,FALSE)</f>
        <v>#N/A</v>
      </c>
      <c r="J388" s="238"/>
      <c r="K388" s="235"/>
      <c r="L388" s="233">
        <f t="shared" si="6"/>
        <v>2020</v>
      </c>
    </row>
    <row r="389" spans="1:12" x14ac:dyDescent="0.2">
      <c r="A389" s="235"/>
      <c r="B389" s="245" t="e">
        <f>VLOOKUP(A389,Ausschreibung!$B$4:$I$35,2,FALSE)</f>
        <v>#N/A</v>
      </c>
      <c r="C389" s="237"/>
      <c r="D389" s="237"/>
      <c r="E389" s="243" t="e">
        <f>VLOOKUP(A389,Ausschreibung!$B$4:$I$35,4,FALSE)</f>
        <v>#N/A</v>
      </c>
      <c r="F389" s="245" t="e">
        <f>VLOOKUP(A389,Ausschreibung!$B$4:$I$35,5,FALSE)</f>
        <v>#N/A</v>
      </c>
      <c r="G389" s="243" t="e">
        <f>VLOOKUP(A389,Ausschreibung!$B$4:$I$35,6,FALSE)</f>
        <v>#N/A</v>
      </c>
      <c r="H389" s="238"/>
      <c r="I389" s="243" t="e">
        <f>VLOOKUP(A389,Ausschreibung!$B$4:$I$35,8,FALSE)</f>
        <v>#N/A</v>
      </c>
      <c r="J389" s="238"/>
      <c r="K389" s="235"/>
      <c r="L389" s="233">
        <f t="shared" si="6"/>
        <v>2020</v>
      </c>
    </row>
    <row r="390" spans="1:12" x14ac:dyDescent="0.2">
      <c r="A390" s="235"/>
      <c r="B390" s="245" t="e">
        <f>VLOOKUP(A390,Ausschreibung!$B$4:$I$35,2,FALSE)</f>
        <v>#N/A</v>
      </c>
      <c r="C390" s="237"/>
      <c r="D390" s="237"/>
      <c r="E390" s="243" t="e">
        <f>VLOOKUP(A390,Ausschreibung!$B$4:$I$35,4,FALSE)</f>
        <v>#N/A</v>
      </c>
      <c r="F390" s="245" t="e">
        <f>VLOOKUP(A390,Ausschreibung!$B$4:$I$35,5,FALSE)</f>
        <v>#N/A</v>
      </c>
      <c r="G390" s="243" t="e">
        <f>VLOOKUP(A390,Ausschreibung!$B$4:$I$35,6,FALSE)</f>
        <v>#N/A</v>
      </c>
      <c r="H390" s="238"/>
      <c r="I390" s="243" t="e">
        <f>VLOOKUP(A390,Ausschreibung!$B$4:$I$35,8,FALSE)</f>
        <v>#N/A</v>
      </c>
      <c r="J390" s="238"/>
      <c r="K390" s="235"/>
      <c r="L390" s="233">
        <f t="shared" si="6"/>
        <v>2020</v>
      </c>
    </row>
    <row r="391" spans="1:12" x14ac:dyDescent="0.2">
      <c r="A391" s="235"/>
      <c r="B391" s="245" t="e">
        <f>VLOOKUP(A391,Ausschreibung!$B$4:$I$35,2,FALSE)</f>
        <v>#N/A</v>
      </c>
      <c r="C391" s="237"/>
      <c r="D391" s="237"/>
      <c r="E391" s="243" t="e">
        <f>VLOOKUP(A391,Ausschreibung!$B$4:$I$35,4,FALSE)</f>
        <v>#N/A</v>
      </c>
      <c r="F391" s="245" t="e">
        <f>VLOOKUP(A391,Ausschreibung!$B$4:$I$35,5,FALSE)</f>
        <v>#N/A</v>
      </c>
      <c r="G391" s="243" t="e">
        <f>VLOOKUP(A391,Ausschreibung!$B$4:$I$35,6,FALSE)</f>
        <v>#N/A</v>
      </c>
      <c r="H391" s="238"/>
      <c r="I391" s="243" t="e">
        <f>VLOOKUP(A391,Ausschreibung!$B$4:$I$35,8,FALSE)</f>
        <v>#N/A</v>
      </c>
      <c r="J391" s="238"/>
      <c r="K391" s="235"/>
      <c r="L391" s="233">
        <f t="shared" si="6"/>
        <v>2020</v>
      </c>
    </row>
    <row r="392" spans="1:12" x14ac:dyDescent="0.2">
      <c r="A392" s="235"/>
      <c r="B392" s="245" t="e">
        <f>VLOOKUP(A392,Ausschreibung!$B$4:$I$35,2,FALSE)</f>
        <v>#N/A</v>
      </c>
      <c r="C392" s="237"/>
      <c r="D392" s="237"/>
      <c r="E392" s="243" t="e">
        <f>VLOOKUP(A392,Ausschreibung!$B$4:$I$35,4,FALSE)</f>
        <v>#N/A</v>
      </c>
      <c r="F392" s="245" t="e">
        <f>VLOOKUP(A392,Ausschreibung!$B$4:$I$35,5,FALSE)</f>
        <v>#N/A</v>
      </c>
      <c r="G392" s="243" t="e">
        <f>VLOOKUP(A392,Ausschreibung!$B$4:$I$35,6,FALSE)</f>
        <v>#N/A</v>
      </c>
      <c r="H392" s="238"/>
      <c r="I392" s="243" t="e">
        <f>VLOOKUP(A392,Ausschreibung!$B$4:$I$35,8,FALSE)</f>
        <v>#N/A</v>
      </c>
      <c r="J392" s="238"/>
      <c r="K392" s="235"/>
      <c r="L392" s="233">
        <f t="shared" si="6"/>
        <v>2020</v>
      </c>
    </row>
    <row r="393" spans="1:12" x14ac:dyDescent="0.2">
      <c r="A393" s="235"/>
      <c r="B393" s="245" t="e">
        <f>VLOOKUP(A393,Ausschreibung!$B$4:$I$35,2,FALSE)</f>
        <v>#N/A</v>
      </c>
      <c r="C393" s="237"/>
      <c r="D393" s="237"/>
      <c r="E393" s="243" t="e">
        <f>VLOOKUP(A393,Ausschreibung!$B$4:$I$35,4,FALSE)</f>
        <v>#N/A</v>
      </c>
      <c r="F393" s="245" t="e">
        <f>VLOOKUP(A393,Ausschreibung!$B$4:$I$35,5,FALSE)</f>
        <v>#N/A</v>
      </c>
      <c r="G393" s="243" t="e">
        <f>VLOOKUP(A393,Ausschreibung!$B$4:$I$35,6,FALSE)</f>
        <v>#N/A</v>
      </c>
      <c r="H393" s="238"/>
      <c r="I393" s="243" t="e">
        <f>VLOOKUP(A393,Ausschreibung!$B$4:$I$35,8,FALSE)</f>
        <v>#N/A</v>
      </c>
      <c r="J393" s="238"/>
      <c r="K393" s="235"/>
      <c r="L393" s="233">
        <f t="shared" si="6"/>
        <v>2020</v>
      </c>
    </row>
    <row r="394" spans="1:12" x14ac:dyDescent="0.2">
      <c r="A394" s="235"/>
      <c r="B394" s="245" t="e">
        <f>VLOOKUP(A394,Ausschreibung!$B$4:$I$35,2,FALSE)</f>
        <v>#N/A</v>
      </c>
      <c r="C394" s="237"/>
      <c r="D394" s="237"/>
      <c r="E394" s="243" t="e">
        <f>VLOOKUP(A394,Ausschreibung!$B$4:$I$35,4,FALSE)</f>
        <v>#N/A</v>
      </c>
      <c r="F394" s="245" t="e">
        <f>VLOOKUP(A394,Ausschreibung!$B$4:$I$35,5,FALSE)</f>
        <v>#N/A</v>
      </c>
      <c r="G394" s="243" t="e">
        <f>VLOOKUP(A394,Ausschreibung!$B$4:$I$35,6,FALSE)</f>
        <v>#N/A</v>
      </c>
      <c r="H394" s="238"/>
      <c r="I394" s="243" t="e">
        <f>VLOOKUP(A394,Ausschreibung!$B$4:$I$35,8,FALSE)</f>
        <v>#N/A</v>
      </c>
      <c r="J394" s="238"/>
      <c r="K394" s="235"/>
      <c r="L394" s="233">
        <f t="shared" si="6"/>
        <v>2020</v>
      </c>
    </row>
    <row r="395" spans="1:12" x14ac:dyDescent="0.2">
      <c r="A395" s="235"/>
      <c r="B395" s="245" t="e">
        <f>VLOOKUP(A395,Ausschreibung!$B$4:$I$35,2,FALSE)</f>
        <v>#N/A</v>
      </c>
      <c r="C395" s="237"/>
      <c r="D395" s="237"/>
      <c r="E395" s="243" t="e">
        <f>VLOOKUP(A395,Ausschreibung!$B$4:$I$35,4,FALSE)</f>
        <v>#N/A</v>
      </c>
      <c r="F395" s="245" t="e">
        <f>VLOOKUP(A395,Ausschreibung!$B$4:$I$35,5,FALSE)</f>
        <v>#N/A</v>
      </c>
      <c r="G395" s="243" t="e">
        <f>VLOOKUP(A395,Ausschreibung!$B$4:$I$35,6,FALSE)</f>
        <v>#N/A</v>
      </c>
      <c r="H395" s="238"/>
      <c r="I395" s="243" t="e">
        <f>VLOOKUP(A395,Ausschreibung!$B$4:$I$35,8,FALSE)</f>
        <v>#N/A</v>
      </c>
      <c r="J395" s="238"/>
      <c r="K395" s="235"/>
      <c r="L395" s="233">
        <f t="shared" si="6"/>
        <v>2020</v>
      </c>
    </row>
    <row r="396" spans="1:12" x14ac:dyDescent="0.2">
      <c r="A396" s="235"/>
      <c r="B396" s="245" t="e">
        <f>VLOOKUP(A396,Ausschreibung!$B$4:$I$35,2,FALSE)</f>
        <v>#N/A</v>
      </c>
      <c r="C396" s="237"/>
      <c r="D396" s="237"/>
      <c r="E396" s="243" t="e">
        <f>VLOOKUP(A396,Ausschreibung!$B$4:$I$35,4,FALSE)</f>
        <v>#N/A</v>
      </c>
      <c r="F396" s="245" t="e">
        <f>VLOOKUP(A396,Ausschreibung!$B$4:$I$35,5,FALSE)</f>
        <v>#N/A</v>
      </c>
      <c r="G396" s="243" t="e">
        <f>VLOOKUP(A396,Ausschreibung!$B$4:$I$35,6,FALSE)</f>
        <v>#N/A</v>
      </c>
      <c r="H396" s="238"/>
      <c r="I396" s="243" t="e">
        <f>VLOOKUP(A396,Ausschreibung!$B$4:$I$35,8,FALSE)</f>
        <v>#N/A</v>
      </c>
      <c r="J396" s="238"/>
      <c r="K396" s="235"/>
      <c r="L396" s="233">
        <f t="shared" si="6"/>
        <v>2020</v>
      </c>
    </row>
    <row r="397" spans="1:12" x14ac:dyDescent="0.2">
      <c r="A397" s="235"/>
      <c r="B397" s="245" t="e">
        <f>VLOOKUP(A397,Ausschreibung!$B$4:$I$35,2,FALSE)</f>
        <v>#N/A</v>
      </c>
      <c r="C397" s="237"/>
      <c r="D397" s="237"/>
      <c r="E397" s="243" t="e">
        <f>VLOOKUP(A397,Ausschreibung!$B$4:$I$35,4,FALSE)</f>
        <v>#N/A</v>
      </c>
      <c r="F397" s="245" t="e">
        <f>VLOOKUP(A397,Ausschreibung!$B$4:$I$35,5,FALSE)</f>
        <v>#N/A</v>
      </c>
      <c r="G397" s="243" t="e">
        <f>VLOOKUP(A397,Ausschreibung!$B$4:$I$35,6,FALSE)</f>
        <v>#N/A</v>
      </c>
      <c r="H397" s="238"/>
      <c r="I397" s="243" t="e">
        <f>VLOOKUP(A397,Ausschreibung!$B$4:$I$35,8,FALSE)</f>
        <v>#N/A</v>
      </c>
      <c r="J397" s="238"/>
      <c r="K397" s="235"/>
      <c r="L397" s="233">
        <f t="shared" si="6"/>
        <v>2020</v>
      </c>
    </row>
    <row r="398" spans="1:12" x14ac:dyDescent="0.2">
      <c r="A398" s="235"/>
      <c r="B398" s="245" t="e">
        <f>VLOOKUP(A398,Ausschreibung!$B$4:$I$35,2,FALSE)</f>
        <v>#N/A</v>
      </c>
      <c r="C398" s="237"/>
      <c r="D398" s="237"/>
      <c r="E398" s="243" t="e">
        <f>VLOOKUP(A398,Ausschreibung!$B$4:$I$35,4,FALSE)</f>
        <v>#N/A</v>
      </c>
      <c r="F398" s="245" t="e">
        <f>VLOOKUP(A398,Ausschreibung!$B$4:$I$35,5,FALSE)</f>
        <v>#N/A</v>
      </c>
      <c r="G398" s="243" t="e">
        <f>VLOOKUP(A398,Ausschreibung!$B$4:$I$35,6,FALSE)</f>
        <v>#N/A</v>
      </c>
      <c r="H398" s="238"/>
      <c r="I398" s="243" t="e">
        <f>VLOOKUP(A398,Ausschreibung!$B$4:$I$35,8,FALSE)</f>
        <v>#N/A</v>
      </c>
      <c r="J398" s="238"/>
      <c r="K398" s="235"/>
      <c r="L398" s="233">
        <f t="shared" si="6"/>
        <v>2020</v>
      </c>
    </row>
    <row r="399" spans="1:12" x14ac:dyDescent="0.2">
      <c r="A399" s="235"/>
      <c r="B399" s="245" t="e">
        <f>VLOOKUP(A399,Ausschreibung!$B$4:$I$35,2,FALSE)</f>
        <v>#N/A</v>
      </c>
      <c r="C399" s="237"/>
      <c r="D399" s="237"/>
      <c r="E399" s="243" t="e">
        <f>VLOOKUP(A399,Ausschreibung!$B$4:$I$35,4,FALSE)</f>
        <v>#N/A</v>
      </c>
      <c r="F399" s="245" t="e">
        <f>VLOOKUP(A399,Ausschreibung!$B$4:$I$35,5,FALSE)</f>
        <v>#N/A</v>
      </c>
      <c r="G399" s="243" t="e">
        <f>VLOOKUP(A399,Ausschreibung!$B$4:$I$35,6,FALSE)</f>
        <v>#N/A</v>
      </c>
      <c r="H399" s="238"/>
      <c r="I399" s="243" t="e">
        <f>VLOOKUP(A399,Ausschreibung!$B$4:$I$35,8,FALSE)</f>
        <v>#N/A</v>
      </c>
      <c r="J399" s="238"/>
      <c r="K399" s="235"/>
      <c r="L399" s="233">
        <f t="shared" si="6"/>
        <v>2020</v>
      </c>
    </row>
    <row r="400" spans="1:12" x14ac:dyDescent="0.2">
      <c r="A400" s="235"/>
      <c r="B400" s="245" t="e">
        <f>VLOOKUP(A400,Ausschreibung!$B$4:$I$35,2,FALSE)</f>
        <v>#N/A</v>
      </c>
      <c r="C400" s="237"/>
      <c r="D400" s="237"/>
      <c r="E400" s="243" t="e">
        <f>VLOOKUP(A400,Ausschreibung!$B$4:$I$35,4,FALSE)</f>
        <v>#N/A</v>
      </c>
      <c r="F400" s="245" t="e">
        <f>VLOOKUP(A400,Ausschreibung!$B$4:$I$35,5,FALSE)</f>
        <v>#N/A</v>
      </c>
      <c r="G400" s="243" t="e">
        <f>VLOOKUP(A400,Ausschreibung!$B$4:$I$35,6,FALSE)</f>
        <v>#N/A</v>
      </c>
      <c r="H400" s="238"/>
      <c r="I400" s="243" t="e">
        <f>VLOOKUP(A400,Ausschreibung!$B$4:$I$35,8,FALSE)</f>
        <v>#N/A</v>
      </c>
      <c r="J400" s="238"/>
      <c r="K400" s="235"/>
      <c r="L400" s="233">
        <f t="shared" si="6"/>
        <v>2020</v>
      </c>
    </row>
    <row r="401" spans="1:12" x14ac:dyDescent="0.2">
      <c r="A401" s="235"/>
      <c r="B401" s="245" t="e">
        <f>VLOOKUP(A401,Ausschreibung!$B$4:$I$35,2,FALSE)</f>
        <v>#N/A</v>
      </c>
      <c r="C401" s="237"/>
      <c r="D401" s="237"/>
      <c r="E401" s="243" t="e">
        <f>VLOOKUP(A401,Ausschreibung!$B$4:$I$35,4,FALSE)</f>
        <v>#N/A</v>
      </c>
      <c r="F401" s="245" t="e">
        <f>VLOOKUP(A401,Ausschreibung!$B$4:$I$35,5,FALSE)</f>
        <v>#N/A</v>
      </c>
      <c r="G401" s="243" t="e">
        <f>VLOOKUP(A401,Ausschreibung!$B$4:$I$35,6,FALSE)</f>
        <v>#N/A</v>
      </c>
      <c r="H401" s="238"/>
      <c r="I401" s="243" t="e">
        <f>VLOOKUP(A401,Ausschreibung!$B$4:$I$35,8,FALSE)</f>
        <v>#N/A</v>
      </c>
      <c r="J401" s="238"/>
      <c r="K401" s="235"/>
      <c r="L401" s="233">
        <f t="shared" si="6"/>
        <v>2020</v>
      </c>
    </row>
    <row r="402" spans="1:12" x14ac:dyDescent="0.2">
      <c r="A402" s="235"/>
      <c r="B402" s="245" t="e">
        <f>VLOOKUP(A402,Ausschreibung!$B$4:$I$35,2,FALSE)</f>
        <v>#N/A</v>
      </c>
      <c r="C402" s="237"/>
      <c r="D402" s="237"/>
      <c r="E402" s="243" t="e">
        <f>VLOOKUP(A402,Ausschreibung!$B$4:$I$35,4,FALSE)</f>
        <v>#N/A</v>
      </c>
      <c r="F402" s="245" t="e">
        <f>VLOOKUP(A402,Ausschreibung!$B$4:$I$35,5,FALSE)</f>
        <v>#N/A</v>
      </c>
      <c r="G402" s="243" t="e">
        <f>VLOOKUP(A402,Ausschreibung!$B$4:$I$35,6,FALSE)</f>
        <v>#N/A</v>
      </c>
      <c r="H402" s="238"/>
      <c r="I402" s="243" t="e">
        <f>VLOOKUP(A402,Ausschreibung!$B$4:$I$35,8,FALSE)</f>
        <v>#N/A</v>
      </c>
      <c r="J402" s="238"/>
      <c r="K402" s="235"/>
      <c r="L402" s="233">
        <f t="shared" si="6"/>
        <v>2020</v>
      </c>
    </row>
    <row r="403" spans="1:12" x14ac:dyDescent="0.2">
      <c r="A403" s="235"/>
      <c r="B403" s="245" t="e">
        <f>VLOOKUP(A403,Ausschreibung!$B$4:$I$35,2,FALSE)</f>
        <v>#N/A</v>
      </c>
      <c r="C403" s="237"/>
      <c r="D403" s="237"/>
      <c r="E403" s="243" t="e">
        <f>VLOOKUP(A403,Ausschreibung!$B$4:$I$35,4,FALSE)</f>
        <v>#N/A</v>
      </c>
      <c r="F403" s="245" t="e">
        <f>VLOOKUP(A403,Ausschreibung!$B$4:$I$35,5,FALSE)</f>
        <v>#N/A</v>
      </c>
      <c r="G403" s="243" t="e">
        <f>VLOOKUP(A403,Ausschreibung!$B$4:$I$35,6,FALSE)</f>
        <v>#N/A</v>
      </c>
      <c r="H403" s="238"/>
      <c r="I403" s="243" t="e">
        <f>VLOOKUP(A403,Ausschreibung!$B$4:$I$35,8,FALSE)</f>
        <v>#N/A</v>
      </c>
      <c r="J403" s="238"/>
      <c r="K403" s="235"/>
      <c r="L403" s="233">
        <f t="shared" si="6"/>
        <v>2020</v>
      </c>
    </row>
    <row r="404" spans="1:12" x14ac:dyDescent="0.2">
      <c r="A404" s="235"/>
      <c r="B404" s="245" t="e">
        <f>VLOOKUP(A404,Ausschreibung!$B$4:$I$35,2,FALSE)</f>
        <v>#N/A</v>
      </c>
      <c r="C404" s="237"/>
      <c r="D404" s="237"/>
      <c r="E404" s="243" t="e">
        <f>VLOOKUP(A404,Ausschreibung!$B$4:$I$35,4,FALSE)</f>
        <v>#N/A</v>
      </c>
      <c r="F404" s="245" t="e">
        <f>VLOOKUP(A404,Ausschreibung!$B$4:$I$35,5,FALSE)</f>
        <v>#N/A</v>
      </c>
      <c r="G404" s="243" t="e">
        <f>VLOOKUP(A404,Ausschreibung!$B$4:$I$35,6,FALSE)</f>
        <v>#N/A</v>
      </c>
      <c r="H404" s="238"/>
      <c r="I404" s="243" t="e">
        <f>VLOOKUP(A404,Ausschreibung!$B$4:$I$35,8,FALSE)</f>
        <v>#N/A</v>
      </c>
      <c r="J404" s="238"/>
      <c r="K404" s="235"/>
      <c r="L404" s="233">
        <f t="shared" si="6"/>
        <v>2020</v>
      </c>
    </row>
    <row r="405" spans="1:12" x14ac:dyDescent="0.2">
      <c r="A405" s="235"/>
      <c r="B405" s="245" t="e">
        <f>VLOOKUP(A405,Ausschreibung!$B$4:$I$35,2,FALSE)</f>
        <v>#N/A</v>
      </c>
      <c r="C405" s="237"/>
      <c r="D405" s="237"/>
      <c r="E405" s="243" t="e">
        <f>VLOOKUP(A405,Ausschreibung!$B$4:$I$35,4,FALSE)</f>
        <v>#N/A</v>
      </c>
      <c r="F405" s="245" t="e">
        <f>VLOOKUP(A405,Ausschreibung!$B$4:$I$35,5,FALSE)</f>
        <v>#N/A</v>
      </c>
      <c r="G405" s="243" t="e">
        <f>VLOOKUP(A405,Ausschreibung!$B$4:$I$35,6,FALSE)</f>
        <v>#N/A</v>
      </c>
      <c r="H405" s="238"/>
      <c r="I405" s="243" t="e">
        <f>VLOOKUP(A405,Ausschreibung!$B$4:$I$35,8,FALSE)</f>
        <v>#N/A</v>
      </c>
      <c r="J405" s="238"/>
      <c r="K405" s="235"/>
      <c r="L405" s="233">
        <f t="shared" si="6"/>
        <v>2020</v>
      </c>
    </row>
    <row r="406" spans="1:12" x14ac:dyDescent="0.2">
      <c r="A406" s="235"/>
      <c r="B406" s="245" t="e">
        <f>VLOOKUP(A406,Ausschreibung!$B$4:$I$35,2,FALSE)</f>
        <v>#N/A</v>
      </c>
      <c r="C406" s="237"/>
      <c r="D406" s="237"/>
      <c r="E406" s="243" t="e">
        <f>VLOOKUP(A406,Ausschreibung!$B$4:$I$35,4,FALSE)</f>
        <v>#N/A</v>
      </c>
      <c r="F406" s="245" t="e">
        <f>VLOOKUP(A406,Ausschreibung!$B$4:$I$35,5,FALSE)</f>
        <v>#N/A</v>
      </c>
      <c r="G406" s="243" t="e">
        <f>VLOOKUP(A406,Ausschreibung!$B$4:$I$35,6,FALSE)</f>
        <v>#N/A</v>
      </c>
      <c r="H406" s="238"/>
      <c r="I406" s="243" t="e">
        <f>VLOOKUP(A406,Ausschreibung!$B$4:$I$35,8,FALSE)</f>
        <v>#N/A</v>
      </c>
      <c r="J406" s="238"/>
      <c r="K406" s="235"/>
      <c r="L406" s="233">
        <f t="shared" si="6"/>
        <v>2020</v>
      </c>
    </row>
    <row r="407" spans="1:12" x14ac:dyDescent="0.2">
      <c r="A407" s="235"/>
      <c r="B407" s="245" t="e">
        <f>VLOOKUP(A407,Ausschreibung!$B$4:$I$35,2,FALSE)</f>
        <v>#N/A</v>
      </c>
      <c r="C407" s="237"/>
      <c r="D407" s="237"/>
      <c r="E407" s="243" t="e">
        <f>VLOOKUP(A407,Ausschreibung!$B$4:$I$35,4,FALSE)</f>
        <v>#N/A</v>
      </c>
      <c r="F407" s="245" t="e">
        <f>VLOOKUP(A407,Ausschreibung!$B$4:$I$35,5,FALSE)</f>
        <v>#N/A</v>
      </c>
      <c r="G407" s="243" t="e">
        <f>VLOOKUP(A407,Ausschreibung!$B$4:$I$35,6,FALSE)</f>
        <v>#N/A</v>
      </c>
      <c r="H407" s="238"/>
      <c r="I407" s="243" t="e">
        <f>VLOOKUP(A407,Ausschreibung!$B$4:$I$35,8,FALSE)</f>
        <v>#N/A</v>
      </c>
      <c r="J407" s="238"/>
      <c r="K407" s="235"/>
      <c r="L407" s="233">
        <f t="shared" si="6"/>
        <v>2020</v>
      </c>
    </row>
    <row r="408" spans="1:12" x14ac:dyDescent="0.2">
      <c r="A408" s="235"/>
      <c r="B408" s="245" t="e">
        <f>VLOOKUP(A408,Ausschreibung!$B$4:$I$35,2,FALSE)</f>
        <v>#N/A</v>
      </c>
      <c r="C408" s="237"/>
      <c r="D408" s="237"/>
      <c r="E408" s="243" t="e">
        <f>VLOOKUP(A408,Ausschreibung!$B$4:$I$35,4,FALSE)</f>
        <v>#N/A</v>
      </c>
      <c r="F408" s="245" t="e">
        <f>VLOOKUP(A408,Ausschreibung!$B$4:$I$35,5,FALSE)</f>
        <v>#N/A</v>
      </c>
      <c r="G408" s="243" t="e">
        <f>VLOOKUP(A408,Ausschreibung!$B$4:$I$35,6,FALSE)</f>
        <v>#N/A</v>
      </c>
      <c r="H408" s="238"/>
      <c r="I408" s="243" t="e">
        <f>VLOOKUP(A408,Ausschreibung!$B$4:$I$35,8,FALSE)</f>
        <v>#N/A</v>
      </c>
      <c r="J408" s="238"/>
      <c r="K408" s="235"/>
      <c r="L408" s="233">
        <f t="shared" si="6"/>
        <v>2020</v>
      </c>
    </row>
    <row r="409" spans="1:12" x14ac:dyDescent="0.2">
      <c r="A409" s="285"/>
      <c r="B409" s="249" t="e">
        <f>VLOOKUP(A409,Ausschreibung!$B$4:$I$35,2,FALSE)</f>
        <v>#N/A</v>
      </c>
      <c r="C409" s="250"/>
      <c r="D409" s="250"/>
      <c r="E409" s="251" t="e">
        <f>VLOOKUP(A409,Ausschreibung!$B$4:$I$35,4,FALSE)</f>
        <v>#N/A</v>
      </c>
      <c r="F409" s="249" t="e">
        <f>VLOOKUP(A409,Ausschreibung!$B$4:$I$35,5,FALSE)</f>
        <v>#N/A</v>
      </c>
      <c r="G409" s="251" t="e">
        <f>VLOOKUP(A409,Ausschreibung!$B$4:$I$35,6,FALSE)</f>
        <v>#N/A</v>
      </c>
      <c r="H409" s="252"/>
      <c r="I409" s="251" t="e">
        <f>VLOOKUP(A409,Ausschreibung!$B$4:$I$35,8,FALSE)</f>
        <v>#N/A</v>
      </c>
      <c r="J409" s="252"/>
      <c r="K409" s="285"/>
      <c r="L409" s="233">
        <f t="shared" si="6"/>
        <v>2020</v>
      </c>
    </row>
    <row r="410" spans="1:12" x14ac:dyDescent="0.2">
      <c r="A410" s="285"/>
      <c r="B410" s="249" t="e">
        <f>VLOOKUP(A410,Ausschreibung!$B$4:$I$35,2,FALSE)</f>
        <v>#N/A</v>
      </c>
      <c r="C410" s="250"/>
      <c r="D410" s="250"/>
      <c r="E410" s="251" t="e">
        <f>VLOOKUP(A410,Ausschreibung!$B$4:$I$35,4,FALSE)</f>
        <v>#N/A</v>
      </c>
      <c r="F410" s="249" t="e">
        <f>VLOOKUP(A410,Ausschreibung!$B$4:$I$35,5,FALSE)</f>
        <v>#N/A</v>
      </c>
      <c r="G410" s="251" t="e">
        <f>VLOOKUP(A410,Ausschreibung!$B$4:$I$35,6,FALSE)</f>
        <v>#N/A</v>
      </c>
      <c r="H410" s="252"/>
      <c r="I410" s="251" t="e">
        <f>VLOOKUP(A410,Ausschreibung!$B$4:$I$35,8,FALSE)</f>
        <v>#N/A</v>
      </c>
      <c r="J410" s="252"/>
      <c r="K410" s="285"/>
      <c r="L410" s="233">
        <f t="shared" si="6"/>
        <v>2020</v>
      </c>
    </row>
    <row r="411" spans="1:12" x14ac:dyDescent="0.2">
      <c r="A411" s="285"/>
      <c r="B411" s="249" t="e">
        <f>VLOOKUP(A411,Ausschreibung!$B$4:$I$35,2,FALSE)</f>
        <v>#N/A</v>
      </c>
      <c r="C411" s="250"/>
      <c r="D411" s="250"/>
      <c r="E411" s="251" t="e">
        <f>VLOOKUP(A411,Ausschreibung!$B$4:$I$35,4,FALSE)</f>
        <v>#N/A</v>
      </c>
      <c r="F411" s="249" t="e">
        <f>VLOOKUP(A411,Ausschreibung!$B$4:$I$35,5,FALSE)</f>
        <v>#N/A</v>
      </c>
      <c r="G411" s="251" t="e">
        <f>VLOOKUP(A411,Ausschreibung!$B$4:$I$35,6,FALSE)</f>
        <v>#N/A</v>
      </c>
      <c r="H411" s="252"/>
      <c r="I411" s="251" t="e">
        <f>VLOOKUP(A411,Ausschreibung!$B$4:$I$35,8,FALSE)</f>
        <v>#N/A</v>
      </c>
      <c r="J411" s="252"/>
      <c r="K411" s="285"/>
      <c r="L411" s="233">
        <f t="shared" si="6"/>
        <v>2020</v>
      </c>
    </row>
    <row r="412" spans="1:12" x14ac:dyDescent="0.2">
      <c r="A412" s="285"/>
      <c r="B412" s="249" t="e">
        <f>VLOOKUP(A412,Ausschreibung!$B$4:$I$35,2,FALSE)</f>
        <v>#N/A</v>
      </c>
      <c r="C412" s="250"/>
      <c r="D412" s="250"/>
      <c r="E412" s="251" t="e">
        <f>VLOOKUP(A412,Ausschreibung!$B$4:$I$35,4,FALSE)</f>
        <v>#N/A</v>
      </c>
      <c r="F412" s="249" t="e">
        <f>VLOOKUP(A412,Ausschreibung!$B$4:$I$35,5,FALSE)</f>
        <v>#N/A</v>
      </c>
      <c r="G412" s="251" t="e">
        <f>VLOOKUP(A412,Ausschreibung!$B$4:$I$35,6,FALSE)</f>
        <v>#N/A</v>
      </c>
      <c r="H412" s="252"/>
      <c r="I412" s="251" t="e">
        <f>VLOOKUP(A412,Ausschreibung!$B$4:$I$35,8,FALSE)</f>
        <v>#N/A</v>
      </c>
      <c r="J412" s="252"/>
      <c r="K412" s="285"/>
      <c r="L412" s="233">
        <f t="shared" si="6"/>
        <v>2020</v>
      </c>
    </row>
    <row r="413" spans="1:12" x14ac:dyDescent="0.2">
      <c r="A413" s="285"/>
      <c r="B413" s="249" t="e">
        <f>VLOOKUP(A413,Ausschreibung!$B$4:$I$35,2,FALSE)</f>
        <v>#N/A</v>
      </c>
      <c r="C413" s="250"/>
      <c r="D413" s="250"/>
      <c r="E413" s="251" t="e">
        <f>VLOOKUP(A413,Ausschreibung!$B$4:$I$35,4,FALSE)</f>
        <v>#N/A</v>
      </c>
      <c r="F413" s="249" t="e">
        <f>VLOOKUP(A413,Ausschreibung!$B$4:$I$35,5,FALSE)</f>
        <v>#N/A</v>
      </c>
      <c r="G413" s="251" t="e">
        <f>VLOOKUP(A413,Ausschreibung!$B$4:$I$35,6,FALSE)</f>
        <v>#N/A</v>
      </c>
      <c r="H413" s="252"/>
      <c r="I413" s="251" t="e">
        <f>VLOOKUP(A413,Ausschreibung!$B$4:$I$35,8,FALSE)</f>
        <v>#N/A</v>
      </c>
      <c r="J413" s="252"/>
      <c r="K413" s="285"/>
      <c r="L413" s="233">
        <f t="shared" si="6"/>
        <v>2020</v>
      </c>
    </row>
    <row r="414" spans="1:12" x14ac:dyDescent="0.2">
      <c r="A414" s="248"/>
      <c r="B414" s="249" t="e">
        <f>VLOOKUP(A414,Ausschreibung!$B$4:$I$35,2,FALSE)</f>
        <v>#N/A</v>
      </c>
      <c r="C414" s="250"/>
      <c r="D414" s="250"/>
      <c r="E414" s="251" t="e">
        <f>VLOOKUP(A414,Ausschreibung!$B$4:$I$35,4,FALSE)</f>
        <v>#N/A</v>
      </c>
      <c r="F414" s="249" t="e">
        <f>VLOOKUP(A414,Ausschreibung!$B$4:$I$35,5,FALSE)</f>
        <v>#N/A</v>
      </c>
      <c r="G414" s="251" t="e">
        <f>VLOOKUP(A414,Ausschreibung!$B$4:$I$35,6,FALSE)</f>
        <v>#N/A</v>
      </c>
      <c r="H414" s="252"/>
      <c r="I414" s="251" t="e">
        <f>VLOOKUP(A414,Ausschreibung!$B$4:$I$35,8,FALSE)</f>
        <v>#N/A</v>
      </c>
      <c r="J414" s="252"/>
      <c r="K414" s="253"/>
      <c r="L414" s="233">
        <f t="shared" si="6"/>
        <v>2020</v>
      </c>
    </row>
    <row r="415" spans="1:12" x14ac:dyDescent="0.2">
      <c r="A415" s="248"/>
      <c r="B415" s="249" t="e">
        <f>VLOOKUP(A415,Ausschreibung!$B$4:$I$35,2,FALSE)</f>
        <v>#N/A</v>
      </c>
      <c r="C415" s="250"/>
      <c r="D415" s="250"/>
      <c r="E415" s="251" t="e">
        <f>VLOOKUP(A415,Ausschreibung!$B$4:$I$35,4,FALSE)</f>
        <v>#N/A</v>
      </c>
      <c r="F415" s="249" t="e">
        <f>VLOOKUP(A415,Ausschreibung!$B$4:$I$35,5,FALSE)</f>
        <v>#N/A</v>
      </c>
      <c r="G415" s="251" t="e">
        <f>VLOOKUP(A415,Ausschreibung!$B$4:$I$35,6,FALSE)</f>
        <v>#N/A</v>
      </c>
      <c r="H415" s="252"/>
      <c r="I415" s="251" t="e">
        <f>VLOOKUP(A415,Ausschreibung!$B$4:$I$35,8,FALSE)</f>
        <v>#N/A</v>
      </c>
      <c r="J415" s="252"/>
      <c r="K415" s="253"/>
      <c r="L415" s="233">
        <f t="shared" si="6"/>
        <v>2020</v>
      </c>
    </row>
    <row r="416" spans="1:12" x14ac:dyDescent="0.2">
      <c r="A416" s="248"/>
      <c r="B416" s="249" t="e">
        <f>VLOOKUP(A416,Ausschreibung!$B$4:$I$35,2,FALSE)</f>
        <v>#N/A</v>
      </c>
      <c r="C416" s="250"/>
      <c r="D416" s="250"/>
      <c r="E416" s="251" t="e">
        <f>VLOOKUP(A416,Ausschreibung!$B$4:$I$35,4,FALSE)</f>
        <v>#N/A</v>
      </c>
      <c r="F416" s="249" t="e">
        <f>VLOOKUP(A416,Ausschreibung!$B$4:$I$35,5,FALSE)</f>
        <v>#N/A</v>
      </c>
      <c r="G416" s="251" t="e">
        <f>VLOOKUP(A416,Ausschreibung!$B$4:$I$35,6,FALSE)</f>
        <v>#N/A</v>
      </c>
      <c r="H416" s="252"/>
      <c r="I416" s="251" t="e">
        <f>VLOOKUP(A416,Ausschreibung!$B$4:$I$35,8,FALSE)</f>
        <v>#N/A</v>
      </c>
      <c r="J416" s="252"/>
      <c r="K416" s="253"/>
      <c r="L416" s="233">
        <f t="shared" si="6"/>
        <v>2020</v>
      </c>
    </row>
    <row r="417" spans="1:12" x14ac:dyDescent="0.2">
      <c r="A417" s="248"/>
      <c r="B417" s="249" t="e">
        <f>VLOOKUP(A417,Ausschreibung!$B$4:$I$35,2,FALSE)</f>
        <v>#N/A</v>
      </c>
      <c r="C417" s="250"/>
      <c r="D417" s="250"/>
      <c r="E417" s="251" t="e">
        <f>VLOOKUP(A417,Ausschreibung!$B$4:$I$35,4,FALSE)</f>
        <v>#N/A</v>
      </c>
      <c r="F417" s="249" t="e">
        <f>VLOOKUP(A417,Ausschreibung!$B$4:$I$35,5,FALSE)</f>
        <v>#N/A</v>
      </c>
      <c r="G417" s="251" t="e">
        <f>VLOOKUP(A417,Ausschreibung!$B$4:$I$35,6,FALSE)</f>
        <v>#N/A</v>
      </c>
      <c r="H417" s="252"/>
      <c r="I417" s="251" t="e">
        <f>VLOOKUP(A417,Ausschreibung!$B$4:$I$35,8,FALSE)</f>
        <v>#N/A</v>
      </c>
      <c r="J417" s="252"/>
      <c r="K417" s="253"/>
      <c r="L417" s="233">
        <f t="shared" si="6"/>
        <v>2020</v>
      </c>
    </row>
    <row r="418" spans="1:12" x14ac:dyDescent="0.2">
      <c r="A418" s="248"/>
      <c r="B418" s="249" t="e">
        <f>VLOOKUP(A418,Ausschreibung!$B$4:$I$35,2,FALSE)</f>
        <v>#N/A</v>
      </c>
      <c r="C418" s="250"/>
      <c r="D418" s="250"/>
      <c r="E418" s="251" t="e">
        <f>VLOOKUP(A418,Ausschreibung!$B$4:$I$35,4,FALSE)</f>
        <v>#N/A</v>
      </c>
      <c r="F418" s="249" t="e">
        <f>VLOOKUP(A418,Ausschreibung!$B$4:$I$35,5,FALSE)</f>
        <v>#N/A</v>
      </c>
      <c r="G418" s="251" t="e">
        <f>VLOOKUP(A418,Ausschreibung!$B$4:$I$35,6,FALSE)</f>
        <v>#N/A</v>
      </c>
      <c r="H418" s="252"/>
      <c r="I418" s="251" t="e">
        <f>VLOOKUP(A418,Ausschreibung!$B$4:$I$35,8,FALSE)</f>
        <v>#N/A</v>
      </c>
      <c r="J418" s="252"/>
      <c r="K418" s="253"/>
      <c r="L418" s="233">
        <f t="shared" si="6"/>
        <v>2020</v>
      </c>
    </row>
    <row r="419" spans="1:12" x14ac:dyDescent="0.2">
      <c r="A419" s="248"/>
      <c r="B419" s="249" t="e">
        <f>VLOOKUP(A419,Ausschreibung!$B$4:$I$35,2,FALSE)</f>
        <v>#N/A</v>
      </c>
      <c r="C419" s="250"/>
      <c r="D419" s="250"/>
      <c r="E419" s="251" t="e">
        <f>VLOOKUP(A419,Ausschreibung!$B$4:$I$35,4,FALSE)</f>
        <v>#N/A</v>
      </c>
      <c r="F419" s="249" t="e">
        <f>VLOOKUP(A419,Ausschreibung!$B$4:$I$35,5,FALSE)</f>
        <v>#N/A</v>
      </c>
      <c r="G419" s="251" t="e">
        <f>VLOOKUP(A419,Ausschreibung!$B$4:$I$35,6,FALSE)</f>
        <v>#N/A</v>
      </c>
      <c r="H419" s="252"/>
      <c r="I419" s="251" t="e">
        <f>VLOOKUP(A419,Ausschreibung!$B$4:$I$35,8,FALSE)</f>
        <v>#N/A</v>
      </c>
      <c r="J419" s="252"/>
      <c r="K419" s="253"/>
      <c r="L419" s="233">
        <f t="shared" si="6"/>
        <v>2020</v>
      </c>
    </row>
    <row r="420" spans="1:12" x14ac:dyDescent="0.2">
      <c r="A420" s="248"/>
      <c r="B420" s="249" t="e">
        <f>VLOOKUP(A420,Ausschreibung!$B$4:$I$35,2,FALSE)</f>
        <v>#N/A</v>
      </c>
      <c r="C420" s="250"/>
      <c r="D420" s="250"/>
      <c r="E420" s="251" t="e">
        <f>VLOOKUP(A420,Ausschreibung!$B$4:$I$35,4,FALSE)</f>
        <v>#N/A</v>
      </c>
      <c r="F420" s="249" t="e">
        <f>VLOOKUP(A420,Ausschreibung!$B$4:$I$35,5,FALSE)</f>
        <v>#N/A</v>
      </c>
      <c r="G420" s="251" t="e">
        <f>VLOOKUP(A420,Ausschreibung!$B$4:$I$35,6,FALSE)</f>
        <v>#N/A</v>
      </c>
      <c r="H420" s="252"/>
      <c r="I420" s="251" t="e">
        <f>VLOOKUP(A420,Ausschreibung!$B$4:$I$35,8,FALSE)</f>
        <v>#N/A</v>
      </c>
      <c r="J420" s="252"/>
      <c r="K420" s="253"/>
      <c r="L420" s="233">
        <f t="shared" si="6"/>
        <v>2020</v>
      </c>
    </row>
    <row r="421" spans="1:12" x14ac:dyDescent="0.2">
      <c r="A421" s="248"/>
      <c r="B421" s="249" t="e">
        <f>VLOOKUP(A421,Ausschreibung!$B$4:$I$35,2,FALSE)</f>
        <v>#N/A</v>
      </c>
      <c r="C421" s="250"/>
      <c r="D421" s="250"/>
      <c r="E421" s="251" t="e">
        <f>VLOOKUP(A421,Ausschreibung!$B$4:$I$35,4,FALSE)</f>
        <v>#N/A</v>
      </c>
      <c r="F421" s="249" t="e">
        <f>VLOOKUP(A421,Ausschreibung!$B$4:$I$35,5,FALSE)</f>
        <v>#N/A</v>
      </c>
      <c r="G421" s="251" t="e">
        <f>VLOOKUP(A421,Ausschreibung!$B$4:$I$35,6,FALSE)</f>
        <v>#N/A</v>
      </c>
      <c r="H421" s="252"/>
      <c r="I421" s="251" t="e">
        <f>VLOOKUP(A421,Ausschreibung!$B$4:$I$35,8,FALSE)</f>
        <v>#N/A</v>
      </c>
      <c r="J421" s="252"/>
      <c r="K421" s="253"/>
      <c r="L421" s="233">
        <f t="shared" si="6"/>
        <v>2020</v>
      </c>
    </row>
    <row r="422" spans="1:12" x14ac:dyDescent="0.2">
      <c r="A422" s="248"/>
      <c r="B422" s="249" t="e">
        <f>VLOOKUP(A422,Ausschreibung!$B$4:$I$35,2,FALSE)</f>
        <v>#N/A</v>
      </c>
      <c r="C422" s="250"/>
      <c r="D422" s="250"/>
      <c r="E422" s="251" t="e">
        <f>VLOOKUP(A422,Ausschreibung!$B$4:$I$35,4,FALSE)</f>
        <v>#N/A</v>
      </c>
      <c r="F422" s="249" t="e">
        <f>VLOOKUP(A422,Ausschreibung!$B$4:$I$35,5,FALSE)</f>
        <v>#N/A</v>
      </c>
      <c r="G422" s="251" t="e">
        <f>VLOOKUP(A422,Ausschreibung!$B$4:$I$35,6,FALSE)</f>
        <v>#N/A</v>
      </c>
      <c r="H422" s="252"/>
      <c r="I422" s="251" t="e">
        <f>VLOOKUP(A422,Ausschreibung!$B$4:$I$35,8,FALSE)</f>
        <v>#N/A</v>
      </c>
      <c r="J422" s="252"/>
      <c r="K422" s="253"/>
      <c r="L422" s="233">
        <f t="shared" si="6"/>
        <v>2020</v>
      </c>
    </row>
    <row r="423" spans="1:12" x14ac:dyDescent="0.2">
      <c r="A423" s="248"/>
      <c r="B423" s="249" t="e">
        <f>VLOOKUP(A423,Ausschreibung!$B$4:$I$35,2,FALSE)</f>
        <v>#N/A</v>
      </c>
      <c r="C423" s="250"/>
      <c r="D423" s="250"/>
      <c r="E423" s="251" t="e">
        <f>VLOOKUP(A423,Ausschreibung!$B$4:$I$35,4,FALSE)</f>
        <v>#N/A</v>
      </c>
      <c r="F423" s="249" t="e">
        <f>VLOOKUP(A423,Ausschreibung!$B$4:$I$35,5,FALSE)</f>
        <v>#N/A</v>
      </c>
      <c r="G423" s="251" t="e">
        <f>VLOOKUP(A423,Ausschreibung!$B$4:$I$35,6,FALSE)</f>
        <v>#N/A</v>
      </c>
      <c r="H423" s="252"/>
      <c r="I423" s="251" t="e">
        <f>VLOOKUP(A423,Ausschreibung!$B$4:$I$35,8,FALSE)</f>
        <v>#N/A</v>
      </c>
      <c r="J423" s="252"/>
      <c r="K423" s="253"/>
      <c r="L423" s="233">
        <f t="shared" si="6"/>
        <v>2020</v>
      </c>
    </row>
    <row r="424" spans="1:12" x14ac:dyDescent="0.2">
      <c r="A424" s="248"/>
      <c r="B424" s="249" t="e">
        <f>VLOOKUP(A424,Ausschreibung!$B$4:$I$35,2,FALSE)</f>
        <v>#N/A</v>
      </c>
      <c r="C424" s="250"/>
      <c r="D424" s="250"/>
      <c r="E424" s="251" t="e">
        <f>VLOOKUP(A424,Ausschreibung!$B$4:$I$35,4,FALSE)</f>
        <v>#N/A</v>
      </c>
      <c r="F424" s="249" t="e">
        <f>VLOOKUP(A424,Ausschreibung!$B$4:$I$35,5,FALSE)</f>
        <v>#N/A</v>
      </c>
      <c r="G424" s="251" t="e">
        <f>VLOOKUP(A424,Ausschreibung!$B$4:$I$35,6,FALSE)</f>
        <v>#N/A</v>
      </c>
      <c r="H424" s="252"/>
      <c r="I424" s="251" t="e">
        <f>VLOOKUP(A424,Ausschreibung!$B$4:$I$35,8,FALSE)</f>
        <v>#N/A</v>
      </c>
      <c r="J424" s="252"/>
      <c r="K424" s="253"/>
      <c r="L424" s="233">
        <f t="shared" si="6"/>
        <v>2020</v>
      </c>
    </row>
    <row r="425" spans="1:12" x14ac:dyDescent="0.2">
      <c r="A425" s="248"/>
      <c r="B425" s="249" t="e">
        <f>VLOOKUP(A425,Ausschreibung!$B$4:$I$35,2,FALSE)</f>
        <v>#N/A</v>
      </c>
      <c r="C425" s="250"/>
      <c r="D425" s="250"/>
      <c r="E425" s="251" t="e">
        <f>VLOOKUP(A425,Ausschreibung!$B$4:$I$35,4,FALSE)</f>
        <v>#N/A</v>
      </c>
      <c r="F425" s="249" t="e">
        <f>VLOOKUP(A425,Ausschreibung!$B$4:$I$35,5,FALSE)</f>
        <v>#N/A</v>
      </c>
      <c r="G425" s="251" t="e">
        <f>VLOOKUP(A425,Ausschreibung!$B$4:$I$35,6,FALSE)</f>
        <v>#N/A</v>
      </c>
      <c r="H425" s="252"/>
      <c r="I425" s="251" t="e">
        <f>VLOOKUP(A425,Ausschreibung!$B$4:$I$35,8,FALSE)</f>
        <v>#N/A</v>
      </c>
      <c r="J425" s="252"/>
      <c r="K425" s="253"/>
      <c r="L425" s="233">
        <f t="shared" si="6"/>
        <v>2020</v>
      </c>
    </row>
    <row r="426" spans="1:12" x14ac:dyDescent="0.2">
      <c r="A426" s="248"/>
      <c r="B426" s="249" t="e">
        <f>VLOOKUP(A426,Ausschreibung!$B$4:$I$35,2,FALSE)</f>
        <v>#N/A</v>
      </c>
      <c r="C426" s="250"/>
      <c r="D426" s="250"/>
      <c r="E426" s="251" t="e">
        <f>VLOOKUP(A426,Ausschreibung!$B$4:$I$35,4,FALSE)</f>
        <v>#N/A</v>
      </c>
      <c r="F426" s="249" t="e">
        <f>VLOOKUP(A426,Ausschreibung!$B$4:$I$35,5,FALSE)</f>
        <v>#N/A</v>
      </c>
      <c r="G426" s="251" t="e">
        <f>VLOOKUP(A426,Ausschreibung!$B$4:$I$35,6,FALSE)</f>
        <v>#N/A</v>
      </c>
      <c r="H426" s="252"/>
      <c r="I426" s="251" t="e">
        <f>VLOOKUP(A426,Ausschreibung!$B$4:$I$35,8,FALSE)</f>
        <v>#N/A</v>
      </c>
      <c r="J426" s="252"/>
      <c r="K426" s="253"/>
      <c r="L426" s="233">
        <f t="shared" si="6"/>
        <v>2020</v>
      </c>
    </row>
    <row r="427" spans="1:12" x14ac:dyDescent="0.2">
      <c r="A427" s="248"/>
      <c r="B427" s="249" t="e">
        <f>VLOOKUP(A427,Ausschreibung!$B$4:$I$35,2,FALSE)</f>
        <v>#N/A</v>
      </c>
      <c r="C427" s="250"/>
      <c r="D427" s="250"/>
      <c r="E427" s="251" t="e">
        <f>VLOOKUP(A427,Ausschreibung!$B$4:$I$35,4,FALSE)</f>
        <v>#N/A</v>
      </c>
      <c r="F427" s="249" t="e">
        <f>VLOOKUP(A427,Ausschreibung!$B$4:$I$35,5,FALSE)</f>
        <v>#N/A</v>
      </c>
      <c r="G427" s="251" t="e">
        <f>VLOOKUP(A427,Ausschreibung!$B$4:$I$35,6,FALSE)</f>
        <v>#N/A</v>
      </c>
      <c r="H427" s="252"/>
      <c r="I427" s="251" t="e">
        <f>VLOOKUP(A427,Ausschreibung!$B$4:$I$35,8,FALSE)</f>
        <v>#N/A</v>
      </c>
      <c r="J427" s="252"/>
      <c r="K427" s="253"/>
      <c r="L427" s="233">
        <f t="shared" si="6"/>
        <v>2020</v>
      </c>
    </row>
    <row r="428" spans="1:12" x14ac:dyDescent="0.2">
      <c r="A428" s="248"/>
      <c r="B428" s="249" t="e">
        <f>VLOOKUP(A428,Ausschreibung!$B$4:$I$35,2,FALSE)</f>
        <v>#N/A</v>
      </c>
      <c r="C428" s="250"/>
      <c r="D428" s="250"/>
      <c r="E428" s="251" t="e">
        <f>VLOOKUP(A428,Ausschreibung!$B$4:$I$35,4,FALSE)</f>
        <v>#N/A</v>
      </c>
      <c r="F428" s="249" t="e">
        <f>VLOOKUP(A428,Ausschreibung!$B$4:$I$35,5,FALSE)</f>
        <v>#N/A</v>
      </c>
      <c r="G428" s="251" t="e">
        <f>VLOOKUP(A428,Ausschreibung!$B$4:$I$35,6,FALSE)</f>
        <v>#N/A</v>
      </c>
      <c r="H428" s="252"/>
      <c r="I428" s="251" t="e">
        <f>VLOOKUP(A428,Ausschreibung!$B$4:$I$35,8,FALSE)</f>
        <v>#N/A</v>
      </c>
      <c r="J428" s="252"/>
      <c r="K428" s="253"/>
      <c r="L428" s="233">
        <f t="shared" si="6"/>
        <v>2020</v>
      </c>
    </row>
    <row r="429" spans="1:12" x14ac:dyDescent="0.2">
      <c r="A429" s="248"/>
      <c r="B429" s="249" t="e">
        <f>VLOOKUP(A429,Ausschreibung!$B$4:$I$35,2,FALSE)</f>
        <v>#N/A</v>
      </c>
      <c r="C429" s="250"/>
      <c r="D429" s="250"/>
      <c r="E429" s="251" t="e">
        <f>VLOOKUP(A429,Ausschreibung!$B$4:$I$35,4,FALSE)</f>
        <v>#N/A</v>
      </c>
      <c r="F429" s="249" t="e">
        <f>VLOOKUP(A429,Ausschreibung!$B$4:$I$35,5,FALSE)</f>
        <v>#N/A</v>
      </c>
      <c r="G429" s="251" t="e">
        <f>VLOOKUP(A429,Ausschreibung!$B$4:$I$35,6,FALSE)</f>
        <v>#N/A</v>
      </c>
      <c r="H429" s="252"/>
      <c r="I429" s="251" t="e">
        <f>VLOOKUP(A429,Ausschreibung!$B$4:$I$35,8,FALSE)</f>
        <v>#N/A</v>
      </c>
      <c r="J429" s="252"/>
      <c r="K429" s="253"/>
      <c r="L429" s="233">
        <f t="shared" si="6"/>
        <v>2020</v>
      </c>
    </row>
    <row r="430" spans="1:12" x14ac:dyDescent="0.2">
      <c r="A430" s="248"/>
      <c r="B430" s="249" t="e">
        <f>VLOOKUP(A430,Ausschreibung!$B$4:$I$35,2,FALSE)</f>
        <v>#N/A</v>
      </c>
      <c r="C430" s="250"/>
      <c r="D430" s="250"/>
      <c r="E430" s="251" t="e">
        <f>VLOOKUP(A430,Ausschreibung!$B$4:$I$35,4,FALSE)</f>
        <v>#N/A</v>
      </c>
      <c r="F430" s="249" t="e">
        <f>VLOOKUP(A430,Ausschreibung!$B$4:$I$35,5,FALSE)</f>
        <v>#N/A</v>
      </c>
      <c r="G430" s="251" t="e">
        <f>VLOOKUP(A430,Ausschreibung!$B$4:$I$35,6,FALSE)</f>
        <v>#N/A</v>
      </c>
      <c r="H430" s="252"/>
      <c r="I430" s="251" t="e">
        <f>VLOOKUP(A430,Ausschreibung!$B$4:$I$35,8,FALSE)</f>
        <v>#N/A</v>
      </c>
      <c r="J430" s="252"/>
      <c r="K430" s="253"/>
      <c r="L430" s="233">
        <f t="shared" si="6"/>
        <v>2020</v>
      </c>
    </row>
    <row r="431" spans="1:12" x14ac:dyDescent="0.2">
      <c r="A431" s="248"/>
      <c r="B431" s="249" t="e">
        <f>VLOOKUP(A431,Ausschreibung!$B$4:$I$35,2,FALSE)</f>
        <v>#N/A</v>
      </c>
      <c r="C431" s="250"/>
      <c r="D431" s="250"/>
      <c r="E431" s="251" t="e">
        <f>VLOOKUP(A431,Ausschreibung!$B$4:$I$35,4,FALSE)</f>
        <v>#N/A</v>
      </c>
      <c r="F431" s="249" t="e">
        <f>VLOOKUP(A431,Ausschreibung!$B$4:$I$35,5,FALSE)</f>
        <v>#N/A</v>
      </c>
      <c r="G431" s="251" t="e">
        <f>VLOOKUP(A431,Ausschreibung!$B$4:$I$35,6,FALSE)</f>
        <v>#N/A</v>
      </c>
      <c r="H431" s="252"/>
      <c r="I431" s="251" t="e">
        <f>VLOOKUP(A431,Ausschreibung!$B$4:$I$35,8,FALSE)</f>
        <v>#N/A</v>
      </c>
      <c r="J431" s="252"/>
      <c r="K431" s="253"/>
      <c r="L431" s="233">
        <f t="shared" si="6"/>
        <v>2020</v>
      </c>
    </row>
    <row r="432" spans="1:12" x14ac:dyDescent="0.2">
      <c r="A432" s="248"/>
      <c r="B432" s="249" t="e">
        <f>VLOOKUP(A432,Ausschreibung!$B$4:$I$35,2,FALSE)</f>
        <v>#N/A</v>
      </c>
      <c r="C432" s="250"/>
      <c r="D432" s="250"/>
      <c r="E432" s="251" t="e">
        <f>VLOOKUP(A432,Ausschreibung!$B$4:$I$35,4,FALSE)</f>
        <v>#N/A</v>
      </c>
      <c r="F432" s="249" t="e">
        <f>VLOOKUP(A432,Ausschreibung!$B$4:$I$35,5,FALSE)</f>
        <v>#N/A</v>
      </c>
      <c r="G432" s="251" t="e">
        <f>VLOOKUP(A432,Ausschreibung!$B$4:$I$35,6,FALSE)</f>
        <v>#N/A</v>
      </c>
      <c r="H432" s="252"/>
      <c r="I432" s="251" t="e">
        <f>VLOOKUP(A432,Ausschreibung!$B$4:$I$35,8,FALSE)</f>
        <v>#N/A</v>
      </c>
      <c r="J432" s="252"/>
      <c r="K432" s="253"/>
      <c r="L432" s="233">
        <f t="shared" si="6"/>
        <v>2020</v>
      </c>
    </row>
    <row r="433" spans="1:12" x14ac:dyDescent="0.2">
      <c r="A433" s="248"/>
      <c r="B433" s="249" t="e">
        <f>VLOOKUP(A433,Ausschreibung!$B$4:$I$35,2,FALSE)</f>
        <v>#N/A</v>
      </c>
      <c r="C433" s="250"/>
      <c r="D433" s="250"/>
      <c r="E433" s="251" t="e">
        <f>VLOOKUP(A433,Ausschreibung!$B$4:$I$35,4,FALSE)</f>
        <v>#N/A</v>
      </c>
      <c r="F433" s="249" t="e">
        <f>VLOOKUP(A433,Ausschreibung!$B$4:$I$35,5,FALSE)</f>
        <v>#N/A</v>
      </c>
      <c r="G433" s="251" t="e">
        <f>VLOOKUP(A433,Ausschreibung!$B$4:$I$35,6,FALSE)</f>
        <v>#N/A</v>
      </c>
      <c r="H433" s="252"/>
      <c r="I433" s="251" t="e">
        <f>VLOOKUP(A433,Ausschreibung!$B$4:$I$35,8,FALSE)</f>
        <v>#N/A</v>
      </c>
      <c r="J433" s="252"/>
      <c r="K433" s="253"/>
      <c r="L433" s="233">
        <f t="shared" si="6"/>
        <v>2020</v>
      </c>
    </row>
    <row r="434" spans="1:12" x14ac:dyDescent="0.2">
      <c r="A434" s="248"/>
      <c r="B434" s="249" t="e">
        <f>VLOOKUP(A434,Ausschreibung!$B$4:$I$35,2,FALSE)</f>
        <v>#N/A</v>
      </c>
      <c r="C434" s="250"/>
      <c r="D434" s="250"/>
      <c r="E434" s="251" t="e">
        <f>VLOOKUP(A434,Ausschreibung!$B$4:$I$35,4,FALSE)</f>
        <v>#N/A</v>
      </c>
      <c r="F434" s="249" t="e">
        <f>VLOOKUP(A434,Ausschreibung!$B$4:$I$35,5,FALSE)</f>
        <v>#N/A</v>
      </c>
      <c r="G434" s="251" t="e">
        <f>VLOOKUP(A434,Ausschreibung!$B$4:$I$35,6,FALSE)</f>
        <v>#N/A</v>
      </c>
      <c r="H434" s="252"/>
      <c r="I434" s="251" t="e">
        <f>VLOOKUP(A434,Ausschreibung!$B$4:$I$35,8,FALSE)</f>
        <v>#N/A</v>
      </c>
      <c r="J434" s="252"/>
      <c r="K434" s="253"/>
      <c r="L434" s="233">
        <f t="shared" si="6"/>
        <v>2020</v>
      </c>
    </row>
    <row r="435" spans="1:12" x14ac:dyDescent="0.2">
      <c r="A435" s="248"/>
      <c r="B435" s="249" t="e">
        <f>VLOOKUP(A435,Ausschreibung!$B$4:$I$35,2,FALSE)</f>
        <v>#N/A</v>
      </c>
      <c r="C435" s="250"/>
      <c r="D435" s="250"/>
      <c r="E435" s="251" t="e">
        <f>VLOOKUP(A435,Ausschreibung!$B$4:$I$35,4,FALSE)</f>
        <v>#N/A</v>
      </c>
      <c r="F435" s="249" t="e">
        <f>VLOOKUP(A435,Ausschreibung!$B$4:$I$35,5,FALSE)</f>
        <v>#N/A</v>
      </c>
      <c r="G435" s="251" t="e">
        <f>VLOOKUP(A435,Ausschreibung!$B$4:$I$35,6,FALSE)</f>
        <v>#N/A</v>
      </c>
      <c r="H435" s="252"/>
      <c r="I435" s="251" t="e">
        <f>VLOOKUP(A435,Ausschreibung!$B$4:$I$35,8,FALSE)</f>
        <v>#N/A</v>
      </c>
      <c r="J435" s="252"/>
      <c r="K435" s="253"/>
      <c r="L435" s="233">
        <f t="shared" si="6"/>
        <v>2020</v>
      </c>
    </row>
    <row r="436" spans="1:12" x14ac:dyDescent="0.2">
      <c r="A436" s="248"/>
      <c r="B436" s="249" t="e">
        <f>VLOOKUP(A436,Ausschreibung!$B$4:$I$35,2,FALSE)</f>
        <v>#N/A</v>
      </c>
      <c r="C436" s="250"/>
      <c r="D436" s="250"/>
      <c r="E436" s="251" t="e">
        <f>VLOOKUP(A436,Ausschreibung!$B$4:$I$35,4,FALSE)</f>
        <v>#N/A</v>
      </c>
      <c r="F436" s="249" t="e">
        <f>VLOOKUP(A436,Ausschreibung!$B$4:$I$35,5,FALSE)</f>
        <v>#N/A</v>
      </c>
      <c r="G436" s="251" t="e">
        <f>VLOOKUP(A436,Ausschreibung!$B$4:$I$35,6,FALSE)</f>
        <v>#N/A</v>
      </c>
      <c r="H436" s="252"/>
      <c r="I436" s="251" t="e">
        <f>VLOOKUP(A436,Ausschreibung!$B$4:$I$35,8,FALSE)</f>
        <v>#N/A</v>
      </c>
      <c r="J436" s="252"/>
      <c r="K436" s="253"/>
      <c r="L436" s="233">
        <f t="shared" si="6"/>
        <v>2020</v>
      </c>
    </row>
    <row r="437" spans="1:12" x14ac:dyDescent="0.2">
      <c r="A437" s="248"/>
      <c r="B437" s="249" t="e">
        <f>VLOOKUP(A437,Ausschreibung!$B$4:$I$35,2,FALSE)</f>
        <v>#N/A</v>
      </c>
      <c r="C437" s="250"/>
      <c r="D437" s="250"/>
      <c r="E437" s="251" t="e">
        <f>VLOOKUP(A437,Ausschreibung!$B$4:$I$35,4,FALSE)</f>
        <v>#N/A</v>
      </c>
      <c r="F437" s="249" t="e">
        <f>VLOOKUP(A437,Ausschreibung!$B$4:$I$35,5,FALSE)</f>
        <v>#N/A</v>
      </c>
      <c r="G437" s="251" t="e">
        <f>VLOOKUP(A437,Ausschreibung!$B$4:$I$35,6,FALSE)</f>
        <v>#N/A</v>
      </c>
      <c r="H437" s="252"/>
      <c r="I437" s="251" t="e">
        <f>VLOOKUP(A437,Ausschreibung!$B$4:$I$35,8,FALSE)</f>
        <v>#N/A</v>
      </c>
      <c r="J437" s="252"/>
      <c r="K437" s="253"/>
      <c r="L437" s="233">
        <f t="shared" si="6"/>
        <v>2020</v>
      </c>
    </row>
    <row r="438" spans="1:12" x14ac:dyDescent="0.2">
      <c r="A438" s="248"/>
      <c r="B438" s="249" t="e">
        <f>VLOOKUP(A438,Ausschreibung!$B$4:$I$35,2,FALSE)</f>
        <v>#N/A</v>
      </c>
      <c r="C438" s="250"/>
      <c r="D438" s="250"/>
      <c r="E438" s="251" t="e">
        <f>VLOOKUP(A438,Ausschreibung!$B$4:$I$35,4,FALSE)</f>
        <v>#N/A</v>
      </c>
      <c r="F438" s="249" t="e">
        <f>VLOOKUP(A438,Ausschreibung!$B$4:$I$35,5,FALSE)</f>
        <v>#N/A</v>
      </c>
      <c r="G438" s="251" t="e">
        <f>VLOOKUP(A438,Ausschreibung!$B$4:$I$35,6,FALSE)</f>
        <v>#N/A</v>
      </c>
      <c r="H438" s="252"/>
      <c r="I438" s="251" t="e">
        <f>VLOOKUP(A438,Ausschreibung!$B$4:$I$35,8,FALSE)</f>
        <v>#N/A</v>
      </c>
      <c r="J438" s="252"/>
      <c r="K438" s="253"/>
      <c r="L438" s="233">
        <f t="shared" si="6"/>
        <v>2020</v>
      </c>
    </row>
    <row r="439" spans="1:12" x14ac:dyDescent="0.2">
      <c r="A439" s="248"/>
      <c r="B439" s="249" t="e">
        <f>VLOOKUP(A439,Ausschreibung!$B$4:$I$35,2,FALSE)</f>
        <v>#N/A</v>
      </c>
      <c r="C439" s="250"/>
      <c r="D439" s="250"/>
      <c r="E439" s="251" t="e">
        <f>VLOOKUP(A439,Ausschreibung!$B$4:$I$35,4,FALSE)</f>
        <v>#N/A</v>
      </c>
      <c r="F439" s="249" t="e">
        <f>VLOOKUP(A439,Ausschreibung!$B$4:$I$35,5,FALSE)</f>
        <v>#N/A</v>
      </c>
      <c r="G439" s="251" t="e">
        <f>VLOOKUP(A439,Ausschreibung!$B$4:$I$35,6,FALSE)</f>
        <v>#N/A</v>
      </c>
      <c r="H439" s="252"/>
      <c r="I439" s="251" t="e">
        <f>VLOOKUP(A439,Ausschreibung!$B$4:$I$35,8,FALSE)</f>
        <v>#N/A</v>
      </c>
      <c r="J439" s="252"/>
      <c r="K439" s="253"/>
      <c r="L439" s="233">
        <f t="shared" si="6"/>
        <v>2020</v>
      </c>
    </row>
    <row r="440" spans="1:12" x14ac:dyDescent="0.2">
      <c r="A440" s="248"/>
      <c r="B440" s="249" t="e">
        <f>VLOOKUP(A440,Ausschreibung!$B$4:$I$35,2,FALSE)</f>
        <v>#N/A</v>
      </c>
      <c r="C440" s="250"/>
      <c r="D440" s="250"/>
      <c r="E440" s="251" t="e">
        <f>VLOOKUP(A440,Ausschreibung!$B$4:$I$35,4,FALSE)</f>
        <v>#N/A</v>
      </c>
      <c r="F440" s="249" t="e">
        <f>VLOOKUP(A440,Ausschreibung!$B$4:$I$35,5,FALSE)</f>
        <v>#N/A</v>
      </c>
      <c r="G440" s="251" t="e">
        <f>VLOOKUP(A440,Ausschreibung!$B$4:$I$35,6,FALSE)</f>
        <v>#N/A</v>
      </c>
      <c r="H440" s="252"/>
      <c r="I440" s="251" t="e">
        <f>VLOOKUP(A440,Ausschreibung!$B$4:$I$35,8,FALSE)</f>
        <v>#N/A</v>
      </c>
      <c r="J440" s="252"/>
      <c r="K440" s="253"/>
      <c r="L440" s="233">
        <f t="shared" si="6"/>
        <v>2020</v>
      </c>
    </row>
    <row r="441" spans="1:12" x14ac:dyDescent="0.2">
      <c r="A441" s="248"/>
      <c r="B441" s="249" t="e">
        <f>VLOOKUP(A441,Ausschreibung!$B$4:$I$35,2,FALSE)</f>
        <v>#N/A</v>
      </c>
      <c r="C441" s="250"/>
      <c r="D441" s="250"/>
      <c r="E441" s="251" t="e">
        <f>VLOOKUP(A441,Ausschreibung!$B$4:$I$35,4,FALSE)</f>
        <v>#N/A</v>
      </c>
      <c r="F441" s="249" t="e">
        <f>VLOOKUP(A441,Ausschreibung!$B$4:$I$35,5,FALSE)</f>
        <v>#N/A</v>
      </c>
      <c r="G441" s="251" t="e">
        <f>VLOOKUP(A441,Ausschreibung!$B$4:$I$35,6,FALSE)</f>
        <v>#N/A</v>
      </c>
      <c r="H441" s="252"/>
      <c r="I441" s="251" t="e">
        <f>VLOOKUP(A441,Ausschreibung!$B$4:$I$35,8,FALSE)</f>
        <v>#N/A</v>
      </c>
      <c r="J441" s="252"/>
      <c r="K441" s="253"/>
      <c r="L441" s="233">
        <f t="shared" si="6"/>
        <v>2020</v>
      </c>
    </row>
    <row r="442" spans="1:12" x14ac:dyDescent="0.2">
      <c r="A442" s="248"/>
      <c r="B442" s="249" t="e">
        <f>VLOOKUP(A442,Ausschreibung!$B$4:$I$35,2,FALSE)</f>
        <v>#N/A</v>
      </c>
      <c r="C442" s="250"/>
      <c r="D442" s="250"/>
      <c r="E442" s="251" t="e">
        <f>VLOOKUP(A442,Ausschreibung!$B$4:$I$35,4,FALSE)</f>
        <v>#N/A</v>
      </c>
      <c r="F442" s="249" t="e">
        <f>VLOOKUP(A442,Ausschreibung!$B$4:$I$35,5,FALSE)</f>
        <v>#N/A</v>
      </c>
      <c r="G442" s="251" t="e">
        <f>VLOOKUP(A442,Ausschreibung!$B$4:$I$35,6,FALSE)</f>
        <v>#N/A</v>
      </c>
      <c r="H442" s="252"/>
      <c r="I442" s="251" t="e">
        <f>VLOOKUP(A442,Ausschreibung!$B$4:$I$35,8,FALSE)</f>
        <v>#N/A</v>
      </c>
      <c r="J442" s="252"/>
      <c r="K442" s="253"/>
      <c r="L442" s="233">
        <f t="shared" si="6"/>
        <v>2020</v>
      </c>
    </row>
    <row r="443" spans="1:12" x14ac:dyDescent="0.2">
      <c r="A443" s="248"/>
      <c r="B443" s="249" t="e">
        <f>VLOOKUP(A443,Ausschreibung!$B$4:$I$35,2,FALSE)</f>
        <v>#N/A</v>
      </c>
      <c r="C443" s="250"/>
      <c r="D443" s="250"/>
      <c r="E443" s="251" t="e">
        <f>VLOOKUP(A443,Ausschreibung!$B$4:$I$35,4,FALSE)</f>
        <v>#N/A</v>
      </c>
      <c r="F443" s="249" t="e">
        <f>VLOOKUP(A443,Ausschreibung!$B$4:$I$35,5,FALSE)</f>
        <v>#N/A</v>
      </c>
      <c r="G443" s="251" t="e">
        <f>VLOOKUP(A443,Ausschreibung!$B$4:$I$35,6,FALSE)</f>
        <v>#N/A</v>
      </c>
      <c r="H443" s="252"/>
      <c r="I443" s="251" t="e">
        <f>VLOOKUP(A443,Ausschreibung!$B$4:$I$35,8,FALSE)</f>
        <v>#N/A</v>
      </c>
      <c r="J443" s="252"/>
      <c r="K443" s="253"/>
      <c r="L443" s="233">
        <f t="shared" si="6"/>
        <v>2020</v>
      </c>
    </row>
    <row r="444" spans="1:12" x14ac:dyDescent="0.2">
      <c r="A444" s="248"/>
      <c r="B444" s="249" t="e">
        <f>VLOOKUP(A444,Ausschreibung!$B$4:$I$35,2,FALSE)</f>
        <v>#N/A</v>
      </c>
      <c r="C444" s="250"/>
      <c r="D444" s="250"/>
      <c r="E444" s="251" t="e">
        <f>VLOOKUP(A444,Ausschreibung!$B$4:$I$35,4,FALSE)</f>
        <v>#N/A</v>
      </c>
      <c r="F444" s="249" t="e">
        <f>VLOOKUP(A444,Ausschreibung!$B$4:$I$35,5,FALSE)</f>
        <v>#N/A</v>
      </c>
      <c r="G444" s="251" t="e">
        <f>VLOOKUP(A444,Ausschreibung!$B$4:$I$35,6,FALSE)</f>
        <v>#N/A</v>
      </c>
      <c r="H444" s="252"/>
      <c r="I444" s="251" t="e">
        <f>VLOOKUP(A444,Ausschreibung!$B$4:$I$35,8,FALSE)</f>
        <v>#N/A</v>
      </c>
      <c r="J444" s="252"/>
      <c r="K444" s="253"/>
      <c r="L444" s="233">
        <f t="shared" si="6"/>
        <v>2020</v>
      </c>
    </row>
    <row r="445" spans="1:12" x14ac:dyDescent="0.2">
      <c r="A445" s="248"/>
      <c r="B445" s="249" t="e">
        <f>VLOOKUP(A445,Ausschreibung!$B$4:$I$35,2,FALSE)</f>
        <v>#N/A</v>
      </c>
      <c r="C445" s="250"/>
      <c r="D445" s="250"/>
      <c r="E445" s="251" t="e">
        <f>VLOOKUP(A445,Ausschreibung!$B$4:$I$35,4,FALSE)</f>
        <v>#N/A</v>
      </c>
      <c r="F445" s="249" t="e">
        <f>VLOOKUP(A445,Ausschreibung!$B$4:$I$35,5,FALSE)</f>
        <v>#N/A</v>
      </c>
      <c r="G445" s="251" t="e">
        <f>VLOOKUP(A445,Ausschreibung!$B$4:$I$35,6,FALSE)</f>
        <v>#N/A</v>
      </c>
      <c r="H445" s="252"/>
      <c r="I445" s="251" t="e">
        <f>VLOOKUP(A445,Ausschreibung!$B$4:$I$35,8,FALSE)</f>
        <v>#N/A</v>
      </c>
      <c r="J445" s="252"/>
      <c r="K445" s="253"/>
      <c r="L445" s="233">
        <f t="shared" si="6"/>
        <v>2020</v>
      </c>
    </row>
    <row r="446" spans="1:12" x14ac:dyDescent="0.2">
      <c r="A446" s="248"/>
      <c r="B446" s="249" t="e">
        <f>VLOOKUP(A446,Ausschreibung!$B$4:$I$35,2,FALSE)</f>
        <v>#N/A</v>
      </c>
      <c r="C446" s="250"/>
      <c r="D446" s="250"/>
      <c r="E446" s="251" t="e">
        <f>VLOOKUP(A446,Ausschreibung!$B$4:$I$35,4,FALSE)</f>
        <v>#N/A</v>
      </c>
      <c r="F446" s="249" t="e">
        <f>VLOOKUP(A446,Ausschreibung!$B$4:$I$35,5,FALSE)</f>
        <v>#N/A</v>
      </c>
      <c r="G446" s="251" t="e">
        <f>VLOOKUP(A446,Ausschreibung!$B$4:$I$35,6,FALSE)</f>
        <v>#N/A</v>
      </c>
      <c r="H446" s="252"/>
      <c r="I446" s="251" t="e">
        <f>VLOOKUP(A446,Ausschreibung!$B$4:$I$35,8,FALSE)</f>
        <v>#N/A</v>
      </c>
      <c r="J446" s="252"/>
      <c r="K446" s="253"/>
      <c r="L446" s="233">
        <f t="shared" si="6"/>
        <v>2020</v>
      </c>
    </row>
    <row r="447" spans="1:12" x14ac:dyDescent="0.2">
      <c r="A447" s="248"/>
      <c r="B447" s="249" t="e">
        <f>VLOOKUP(A447,Ausschreibung!$B$4:$I$35,2,FALSE)</f>
        <v>#N/A</v>
      </c>
      <c r="C447" s="250"/>
      <c r="D447" s="250"/>
      <c r="E447" s="251" t="e">
        <f>VLOOKUP(A447,Ausschreibung!$B$4:$I$35,4,FALSE)</f>
        <v>#N/A</v>
      </c>
      <c r="F447" s="249" t="e">
        <f>VLOOKUP(A447,Ausschreibung!$B$4:$I$35,5,FALSE)</f>
        <v>#N/A</v>
      </c>
      <c r="G447" s="251" t="e">
        <f>VLOOKUP(A447,Ausschreibung!$B$4:$I$35,6,FALSE)</f>
        <v>#N/A</v>
      </c>
      <c r="H447" s="252"/>
      <c r="I447" s="251" t="e">
        <f>VLOOKUP(A447,Ausschreibung!$B$4:$I$35,8,FALSE)</f>
        <v>#N/A</v>
      </c>
      <c r="J447" s="252"/>
      <c r="K447" s="253"/>
      <c r="L447" s="233">
        <f t="shared" si="6"/>
        <v>2020</v>
      </c>
    </row>
    <row r="448" spans="1:12" x14ac:dyDescent="0.2">
      <c r="A448" s="248"/>
      <c r="B448" s="249" t="e">
        <f>VLOOKUP(A448,Ausschreibung!$B$4:$I$35,2,FALSE)</f>
        <v>#N/A</v>
      </c>
      <c r="C448" s="250"/>
      <c r="D448" s="250"/>
      <c r="E448" s="251" t="e">
        <f>VLOOKUP(A448,Ausschreibung!$B$4:$I$35,4,FALSE)</f>
        <v>#N/A</v>
      </c>
      <c r="F448" s="249" t="e">
        <f>VLOOKUP(A448,Ausschreibung!$B$4:$I$35,5,FALSE)</f>
        <v>#N/A</v>
      </c>
      <c r="G448" s="251" t="e">
        <f>VLOOKUP(A448,Ausschreibung!$B$4:$I$35,6,FALSE)</f>
        <v>#N/A</v>
      </c>
      <c r="H448" s="252"/>
      <c r="I448" s="251" t="e">
        <f>VLOOKUP(A448,Ausschreibung!$B$4:$I$35,8,FALSE)</f>
        <v>#N/A</v>
      </c>
      <c r="J448" s="252"/>
      <c r="K448" s="253"/>
      <c r="L448" s="233">
        <f t="shared" si="6"/>
        <v>2020</v>
      </c>
    </row>
    <row r="449" spans="1:12" x14ac:dyDescent="0.2">
      <c r="A449" s="248"/>
      <c r="B449" s="249" t="e">
        <f>VLOOKUP(A449,Ausschreibung!$B$4:$I$35,2,FALSE)</f>
        <v>#N/A</v>
      </c>
      <c r="C449" s="250"/>
      <c r="D449" s="250"/>
      <c r="E449" s="251" t="e">
        <f>VLOOKUP(A449,Ausschreibung!$B$4:$I$35,4,FALSE)</f>
        <v>#N/A</v>
      </c>
      <c r="F449" s="249" t="e">
        <f>VLOOKUP(A449,Ausschreibung!$B$4:$I$35,5,FALSE)</f>
        <v>#N/A</v>
      </c>
      <c r="G449" s="251" t="e">
        <f>VLOOKUP(A449,Ausschreibung!$B$4:$I$35,6,FALSE)</f>
        <v>#N/A</v>
      </c>
      <c r="H449" s="252"/>
      <c r="I449" s="251" t="e">
        <f>VLOOKUP(A449,Ausschreibung!$B$4:$I$35,8,FALSE)</f>
        <v>#N/A</v>
      </c>
      <c r="J449" s="252"/>
      <c r="K449" s="253"/>
      <c r="L449" s="233">
        <f t="shared" si="6"/>
        <v>2020</v>
      </c>
    </row>
    <row r="450" spans="1:12" x14ac:dyDescent="0.2">
      <c r="A450" s="240"/>
      <c r="C450" s="241"/>
      <c r="D450" s="241"/>
      <c r="H450" s="240"/>
      <c r="J450" s="240"/>
    </row>
    <row r="451" spans="1:12" x14ac:dyDescent="0.2">
      <c r="A451" s="240"/>
      <c r="C451" s="241"/>
      <c r="D451" s="241"/>
      <c r="H451" s="240"/>
      <c r="J451" s="240"/>
    </row>
    <row r="452" spans="1:12" x14ac:dyDescent="0.2">
      <c r="A452" s="240"/>
      <c r="C452" s="241"/>
      <c r="D452" s="241"/>
      <c r="H452" s="240"/>
      <c r="J452" s="240"/>
    </row>
    <row r="453" spans="1:12" x14ac:dyDescent="0.2">
      <c r="A453" s="240"/>
      <c r="C453" s="241"/>
      <c r="D453" s="241"/>
      <c r="H453" s="240"/>
      <c r="J453" s="240"/>
    </row>
    <row r="454" spans="1:12" x14ac:dyDescent="0.2">
      <c r="A454" s="240"/>
      <c r="C454" s="241"/>
      <c r="D454" s="241"/>
      <c r="H454" s="240"/>
      <c r="J454" s="240"/>
    </row>
    <row r="455" spans="1:12" x14ac:dyDescent="0.2">
      <c r="A455" s="240"/>
      <c r="C455" s="241"/>
      <c r="D455" s="241"/>
      <c r="H455" s="240"/>
      <c r="J455" s="240"/>
    </row>
    <row r="456" spans="1:12" x14ac:dyDescent="0.2">
      <c r="A456" s="240"/>
      <c r="C456" s="241"/>
      <c r="D456" s="241"/>
      <c r="H456" s="240"/>
      <c r="J456" s="240"/>
    </row>
    <row r="457" spans="1:12" x14ac:dyDescent="0.2">
      <c r="A457" s="240"/>
      <c r="C457" s="241"/>
      <c r="D457" s="241"/>
      <c r="H457" s="240"/>
      <c r="J457" s="240"/>
    </row>
    <row r="458" spans="1:12" x14ac:dyDescent="0.2">
      <c r="A458" s="240"/>
      <c r="C458" s="241"/>
      <c r="D458" s="241"/>
      <c r="H458" s="240"/>
      <c r="J458" s="240"/>
    </row>
    <row r="459" spans="1:12" x14ac:dyDescent="0.2">
      <c r="A459" s="240"/>
      <c r="C459" s="241"/>
      <c r="D459" s="241"/>
      <c r="H459" s="240"/>
      <c r="J459" s="240"/>
    </row>
    <row r="460" spans="1:12" x14ac:dyDescent="0.2">
      <c r="A460" s="240"/>
      <c r="C460" s="241"/>
      <c r="D460" s="241"/>
      <c r="H460" s="240"/>
      <c r="J460" s="240"/>
    </row>
    <row r="461" spans="1:12" x14ac:dyDescent="0.2">
      <c r="A461" s="240"/>
      <c r="C461" s="241"/>
      <c r="D461" s="241"/>
      <c r="H461" s="240"/>
      <c r="J461" s="240"/>
    </row>
    <row r="462" spans="1:12" x14ac:dyDescent="0.2">
      <c r="A462" s="240"/>
      <c r="C462" s="241"/>
      <c r="D462" s="241"/>
      <c r="H462" s="240"/>
      <c r="J462" s="240"/>
    </row>
    <row r="463" spans="1:12" x14ac:dyDescent="0.2">
      <c r="A463" s="240"/>
      <c r="C463" s="241"/>
      <c r="D463" s="241"/>
      <c r="H463" s="240"/>
      <c r="J463" s="240"/>
    </row>
    <row r="464" spans="1:12" x14ac:dyDescent="0.2">
      <c r="A464" s="240"/>
      <c r="C464" s="241"/>
      <c r="D464" s="241"/>
      <c r="H464" s="240"/>
      <c r="J464" s="240"/>
    </row>
    <row r="465" spans="1:10" x14ac:dyDescent="0.2">
      <c r="A465" s="240"/>
      <c r="C465" s="241"/>
      <c r="D465" s="241"/>
      <c r="H465" s="240"/>
      <c r="J465" s="240"/>
    </row>
    <row r="466" spans="1:10" x14ac:dyDescent="0.2">
      <c r="A466" s="240"/>
      <c r="C466" s="241"/>
      <c r="D466" s="241"/>
      <c r="H466" s="240"/>
      <c r="J466" s="240"/>
    </row>
    <row r="467" spans="1:10" x14ac:dyDescent="0.2">
      <c r="A467" s="240"/>
      <c r="C467" s="241"/>
      <c r="D467" s="241"/>
      <c r="H467" s="240"/>
      <c r="J467" s="240"/>
    </row>
    <row r="468" spans="1:10" x14ac:dyDescent="0.2">
      <c r="A468" s="240"/>
      <c r="C468" s="241"/>
      <c r="D468" s="241"/>
      <c r="H468" s="240"/>
      <c r="J468" s="240"/>
    </row>
    <row r="469" spans="1:10" x14ac:dyDescent="0.2">
      <c r="A469" s="240"/>
      <c r="C469" s="241"/>
      <c r="D469" s="241"/>
      <c r="H469" s="240"/>
      <c r="J469" s="240"/>
    </row>
    <row r="470" spans="1:10" x14ac:dyDescent="0.2">
      <c r="A470" s="240"/>
      <c r="C470" s="241"/>
      <c r="D470" s="241"/>
      <c r="H470" s="240"/>
      <c r="J470" s="240"/>
    </row>
    <row r="471" spans="1:10" x14ac:dyDescent="0.2">
      <c r="A471" s="240"/>
      <c r="C471" s="241"/>
      <c r="D471" s="241"/>
      <c r="H471" s="240"/>
      <c r="J471" s="240"/>
    </row>
    <row r="472" spans="1:10" x14ac:dyDescent="0.2">
      <c r="A472" s="240"/>
      <c r="C472" s="241"/>
      <c r="D472" s="241"/>
      <c r="H472" s="240"/>
      <c r="J472" s="240"/>
    </row>
    <row r="473" spans="1:10" x14ac:dyDescent="0.2">
      <c r="A473" s="240"/>
      <c r="C473" s="241"/>
      <c r="D473" s="241"/>
      <c r="H473" s="240"/>
      <c r="J473" s="240"/>
    </row>
    <row r="474" spans="1:10" x14ac:dyDescent="0.2">
      <c r="A474" s="240"/>
      <c r="C474" s="241"/>
      <c r="D474" s="241"/>
      <c r="H474" s="240"/>
      <c r="J474" s="240"/>
    </row>
    <row r="475" spans="1:10" x14ac:dyDescent="0.2">
      <c r="A475" s="240"/>
      <c r="C475" s="241"/>
      <c r="D475" s="241"/>
      <c r="H475" s="240"/>
      <c r="J475" s="240"/>
    </row>
    <row r="476" spans="1:10" x14ac:dyDescent="0.2">
      <c r="A476" s="240"/>
      <c r="C476" s="241"/>
      <c r="D476" s="241"/>
      <c r="H476" s="240"/>
      <c r="J476" s="240"/>
    </row>
    <row r="477" spans="1:10" x14ac:dyDescent="0.2">
      <c r="A477" s="240"/>
      <c r="C477" s="241"/>
      <c r="D477" s="241"/>
      <c r="H477" s="240"/>
      <c r="J477" s="240"/>
    </row>
    <row r="478" spans="1:10" x14ac:dyDescent="0.2">
      <c r="A478" s="240"/>
      <c r="C478" s="241"/>
      <c r="D478" s="241"/>
      <c r="H478" s="240"/>
      <c r="J478" s="240"/>
    </row>
    <row r="479" spans="1:10" x14ac:dyDescent="0.2">
      <c r="A479" s="240"/>
      <c r="C479" s="241"/>
      <c r="D479" s="241"/>
      <c r="H479" s="240"/>
      <c r="J479" s="240"/>
    </row>
    <row r="480" spans="1:10" x14ac:dyDescent="0.2">
      <c r="A480" s="240"/>
      <c r="C480" s="241"/>
      <c r="D480" s="241"/>
      <c r="H480" s="240"/>
      <c r="J480" s="240"/>
    </row>
    <row r="481" spans="1:10" x14ac:dyDescent="0.2">
      <c r="A481" s="240"/>
      <c r="C481" s="241"/>
      <c r="D481" s="241"/>
      <c r="H481" s="240"/>
      <c r="J481" s="240"/>
    </row>
    <row r="482" spans="1:10" x14ac:dyDescent="0.2">
      <c r="A482" s="240"/>
      <c r="C482" s="241"/>
      <c r="D482" s="241"/>
      <c r="H482" s="240"/>
      <c r="J482" s="240"/>
    </row>
    <row r="483" spans="1:10" x14ac:dyDescent="0.2">
      <c r="A483" s="240"/>
      <c r="C483" s="241"/>
      <c r="D483" s="241"/>
      <c r="H483" s="240"/>
      <c r="J483" s="240"/>
    </row>
    <row r="484" spans="1:10" x14ac:dyDescent="0.2">
      <c r="A484" s="240"/>
      <c r="C484" s="241"/>
      <c r="D484" s="241"/>
      <c r="H484" s="240"/>
      <c r="J484" s="240"/>
    </row>
    <row r="485" spans="1:10" x14ac:dyDescent="0.2">
      <c r="A485" s="240"/>
      <c r="C485" s="241"/>
      <c r="D485" s="241"/>
      <c r="H485" s="240"/>
      <c r="J485" s="240"/>
    </row>
    <row r="486" spans="1:10" x14ac:dyDescent="0.2">
      <c r="A486" s="240"/>
      <c r="C486" s="241"/>
      <c r="D486" s="241"/>
      <c r="H486" s="240"/>
      <c r="J486" s="240"/>
    </row>
    <row r="487" spans="1:10" x14ac:dyDescent="0.2">
      <c r="A487" s="240"/>
      <c r="C487" s="241"/>
      <c r="D487" s="241"/>
      <c r="H487" s="240"/>
      <c r="J487" s="240"/>
    </row>
    <row r="488" spans="1:10" x14ac:dyDescent="0.2">
      <c r="A488" s="240"/>
      <c r="C488" s="241"/>
      <c r="D488" s="241"/>
      <c r="H488" s="240"/>
      <c r="J488" s="240"/>
    </row>
    <row r="489" spans="1:10" x14ac:dyDescent="0.2">
      <c r="A489" s="240"/>
      <c r="C489" s="241"/>
      <c r="D489" s="241"/>
      <c r="H489" s="240"/>
      <c r="J489" s="240"/>
    </row>
    <row r="490" spans="1:10" x14ac:dyDescent="0.2">
      <c r="A490" s="240"/>
      <c r="C490" s="241"/>
      <c r="D490" s="241"/>
      <c r="H490" s="240"/>
      <c r="J490" s="240"/>
    </row>
    <row r="491" spans="1:10" x14ac:dyDescent="0.2">
      <c r="A491" s="240"/>
      <c r="C491" s="241"/>
      <c r="D491" s="241"/>
      <c r="H491" s="240"/>
      <c r="J491" s="240"/>
    </row>
    <row r="492" spans="1:10" x14ac:dyDescent="0.2">
      <c r="A492" s="240"/>
      <c r="C492" s="241"/>
      <c r="D492" s="241"/>
      <c r="H492" s="240"/>
      <c r="J492" s="240"/>
    </row>
    <row r="493" spans="1:10" x14ac:dyDescent="0.2">
      <c r="A493" s="240"/>
      <c r="C493" s="241"/>
      <c r="D493" s="241"/>
      <c r="H493" s="240"/>
      <c r="J493" s="240"/>
    </row>
    <row r="494" spans="1:10" x14ac:dyDescent="0.2">
      <c r="A494" s="240"/>
      <c r="C494" s="241"/>
      <c r="D494" s="241"/>
      <c r="H494" s="240"/>
      <c r="J494" s="240"/>
    </row>
    <row r="495" spans="1:10" x14ac:dyDescent="0.2">
      <c r="A495" s="240"/>
      <c r="C495" s="241"/>
      <c r="D495" s="241"/>
      <c r="H495" s="240"/>
      <c r="J495" s="240"/>
    </row>
    <row r="496" spans="1:10" x14ac:dyDescent="0.2">
      <c r="A496" s="240"/>
      <c r="C496" s="241"/>
      <c r="D496" s="241"/>
      <c r="H496" s="240"/>
      <c r="J496" s="240"/>
    </row>
    <row r="497" spans="1:10" x14ac:dyDescent="0.2">
      <c r="A497" s="240"/>
      <c r="C497" s="241"/>
      <c r="D497" s="241"/>
      <c r="H497" s="240"/>
      <c r="J497" s="240"/>
    </row>
    <row r="498" spans="1:10" x14ac:dyDescent="0.2">
      <c r="A498" s="240"/>
      <c r="C498" s="241"/>
      <c r="D498" s="241"/>
      <c r="H498" s="240"/>
      <c r="J498" s="240"/>
    </row>
    <row r="499" spans="1:10" x14ac:dyDescent="0.2">
      <c r="A499" s="240"/>
      <c r="C499" s="241"/>
      <c r="D499" s="241"/>
      <c r="H499" s="240"/>
      <c r="J499" s="240"/>
    </row>
    <row r="500" spans="1:10" x14ac:dyDescent="0.2">
      <c r="A500" s="240"/>
      <c r="C500" s="241"/>
      <c r="D500" s="241"/>
      <c r="H500" s="240"/>
      <c r="J500" s="240"/>
    </row>
    <row r="501" spans="1:10" x14ac:dyDescent="0.2">
      <c r="A501" s="240"/>
      <c r="C501" s="241"/>
      <c r="D501" s="241"/>
      <c r="H501" s="240"/>
      <c r="J501" s="240"/>
    </row>
    <row r="502" spans="1:10" x14ac:dyDescent="0.2">
      <c r="A502" s="240"/>
      <c r="C502" s="241"/>
      <c r="D502" s="241"/>
      <c r="H502" s="240"/>
      <c r="J502" s="240"/>
    </row>
    <row r="503" spans="1:10" x14ac:dyDescent="0.2">
      <c r="A503" s="240"/>
      <c r="C503" s="241"/>
      <c r="D503" s="241"/>
      <c r="H503" s="240"/>
      <c r="J503" s="240"/>
    </row>
    <row r="504" spans="1:10" x14ac:dyDescent="0.2">
      <c r="A504" s="240"/>
      <c r="C504" s="241"/>
      <c r="D504" s="241"/>
      <c r="H504" s="240"/>
      <c r="J504" s="240"/>
    </row>
    <row r="505" spans="1:10" x14ac:dyDescent="0.2">
      <c r="A505" s="240"/>
      <c r="C505" s="241"/>
      <c r="D505" s="241"/>
      <c r="H505" s="240"/>
      <c r="J505" s="240"/>
    </row>
    <row r="506" spans="1:10" x14ac:dyDescent="0.2">
      <c r="A506" s="240"/>
      <c r="C506" s="241"/>
      <c r="D506" s="241"/>
      <c r="H506" s="240"/>
      <c r="J506" s="240"/>
    </row>
    <row r="507" spans="1:10" x14ac:dyDescent="0.2">
      <c r="A507" s="240"/>
      <c r="C507" s="241"/>
      <c r="D507" s="241"/>
      <c r="H507" s="240"/>
      <c r="J507" s="240"/>
    </row>
    <row r="508" spans="1:10" x14ac:dyDescent="0.2">
      <c r="A508" s="240"/>
      <c r="C508" s="241"/>
      <c r="D508" s="241"/>
      <c r="H508" s="240"/>
      <c r="J508" s="240"/>
    </row>
    <row r="509" spans="1:10" x14ac:dyDescent="0.2">
      <c r="A509" s="240"/>
      <c r="C509" s="241"/>
      <c r="D509" s="241"/>
      <c r="H509" s="240"/>
      <c r="J509" s="240"/>
    </row>
    <row r="510" spans="1:10" x14ac:dyDescent="0.2">
      <c r="A510" s="240"/>
      <c r="C510" s="241"/>
      <c r="D510" s="241"/>
      <c r="H510" s="240"/>
      <c r="J510" s="240"/>
    </row>
    <row r="511" spans="1:10" x14ac:dyDescent="0.2">
      <c r="A511" s="240"/>
      <c r="C511" s="241"/>
      <c r="D511" s="241"/>
      <c r="H511" s="240"/>
      <c r="J511" s="240"/>
    </row>
    <row r="512" spans="1:10" x14ac:dyDescent="0.2">
      <c r="A512" s="240"/>
      <c r="C512" s="241"/>
      <c r="D512" s="241"/>
      <c r="H512" s="240"/>
      <c r="J512" s="240"/>
    </row>
    <row r="513" spans="1:10" x14ac:dyDescent="0.2">
      <c r="A513" s="240"/>
      <c r="C513" s="241"/>
      <c r="D513" s="241"/>
      <c r="H513" s="240"/>
      <c r="J513" s="240"/>
    </row>
    <row r="514" spans="1:10" x14ac:dyDescent="0.2">
      <c r="A514" s="240"/>
      <c r="C514" s="241"/>
      <c r="D514" s="241"/>
      <c r="H514" s="240"/>
      <c r="J514" s="240"/>
    </row>
    <row r="515" spans="1:10" x14ac:dyDescent="0.2">
      <c r="A515" s="240"/>
      <c r="C515" s="241"/>
      <c r="D515" s="241"/>
      <c r="H515" s="240"/>
      <c r="J515" s="240"/>
    </row>
    <row r="516" spans="1:10" x14ac:dyDescent="0.2">
      <c r="A516" s="240"/>
      <c r="C516" s="241"/>
      <c r="D516" s="241"/>
      <c r="H516" s="240"/>
      <c r="J516" s="240"/>
    </row>
    <row r="517" spans="1:10" x14ac:dyDescent="0.2">
      <c r="A517" s="240"/>
      <c r="C517" s="241"/>
      <c r="D517" s="241"/>
      <c r="H517" s="240"/>
      <c r="J517" s="240"/>
    </row>
    <row r="518" spans="1:10" x14ac:dyDescent="0.2">
      <c r="A518" s="240"/>
      <c r="C518" s="241"/>
      <c r="D518" s="241"/>
      <c r="H518" s="240"/>
      <c r="J518" s="240"/>
    </row>
    <row r="519" spans="1:10" x14ac:dyDescent="0.2">
      <c r="A519" s="240"/>
      <c r="C519" s="241"/>
      <c r="D519" s="241"/>
      <c r="H519" s="240"/>
      <c r="J519" s="240"/>
    </row>
    <row r="520" spans="1:10" x14ac:dyDescent="0.2">
      <c r="A520" s="240"/>
      <c r="C520" s="241"/>
      <c r="D520" s="241"/>
      <c r="H520" s="240"/>
      <c r="J520" s="240"/>
    </row>
    <row r="521" spans="1:10" x14ac:dyDescent="0.2">
      <c r="A521" s="240"/>
      <c r="C521" s="241"/>
      <c r="D521" s="241"/>
      <c r="H521" s="240"/>
      <c r="J521" s="240"/>
    </row>
    <row r="522" spans="1:10" x14ac:dyDescent="0.2">
      <c r="A522" s="240"/>
      <c r="C522" s="241"/>
      <c r="D522" s="241"/>
      <c r="H522" s="240"/>
      <c r="J522" s="240"/>
    </row>
    <row r="523" spans="1:10" x14ac:dyDescent="0.2">
      <c r="A523" s="240"/>
      <c r="C523" s="241"/>
      <c r="D523" s="241"/>
      <c r="H523" s="240"/>
      <c r="J523" s="240"/>
    </row>
    <row r="524" spans="1:10" x14ac:dyDescent="0.2">
      <c r="A524" s="240"/>
      <c r="C524" s="241"/>
      <c r="D524" s="241"/>
      <c r="H524" s="240"/>
      <c r="J524" s="240"/>
    </row>
    <row r="525" spans="1:10" x14ac:dyDescent="0.2">
      <c r="A525" s="240"/>
      <c r="C525" s="241"/>
      <c r="D525" s="241"/>
      <c r="H525" s="240"/>
      <c r="J525" s="240"/>
    </row>
    <row r="526" spans="1:10" x14ac:dyDescent="0.2">
      <c r="A526" s="240"/>
      <c r="C526" s="241"/>
      <c r="D526" s="241"/>
      <c r="H526" s="240"/>
      <c r="J526" s="240"/>
    </row>
    <row r="527" spans="1:10" x14ac:dyDescent="0.2">
      <c r="A527" s="240"/>
      <c r="C527" s="241"/>
      <c r="D527" s="241"/>
      <c r="H527" s="240"/>
      <c r="J527" s="240"/>
    </row>
    <row r="528" spans="1:10" x14ac:dyDescent="0.2">
      <c r="A528" s="240"/>
      <c r="C528" s="241"/>
      <c r="D528" s="241"/>
      <c r="H528" s="240"/>
      <c r="J528" s="240"/>
    </row>
    <row r="529" spans="1:10" x14ac:dyDescent="0.2">
      <c r="A529" s="240"/>
      <c r="C529" s="241"/>
      <c r="D529" s="241"/>
      <c r="H529" s="240"/>
      <c r="J529" s="240"/>
    </row>
    <row r="530" spans="1:10" x14ac:dyDescent="0.2">
      <c r="A530" s="240"/>
      <c r="C530" s="241"/>
      <c r="D530" s="241"/>
      <c r="H530" s="240"/>
      <c r="J530" s="240"/>
    </row>
    <row r="531" spans="1:10" x14ac:dyDescent="0.2">
      <c r="A531" s="240"/>
      <c r="C531" s="241"/>
      <c r="D531" s="241"/>
      <c r="H531" s="240"/>
      <c r="J531" s="240"/>
    </row>
    <row r="532" spans="1:10" x14ac:dyDescent="0.2">
      <c r="A532" s="240"/>
      <c r="C532" s="241"/>
      <c r="D532" s="241"/>
      <c r="H532" s="240"/>
      <c r="J532" s="240"/>
    </row>
    <row r="533" spans="1:10" x14ac:dyDescent="0.2">
      <c r="A533" s="240"/>
      <c r="C533" s="241"/>
      <c r="D533" s="241"/>
      <c r="H533" s="240"/>
      <c r="J533" s="240"/>
    </row>
    <row r="534" spans="1:10" x14ac:dyDescent="0.2">
      <c r="A534" s="240"/>
      <c r="C534" s="241"/>
      <c r="D534" s="241"/>
      <c r="H534" s="240"/>
      <c r="J534" s="240"/>
    </row>
    <row r="535" spans="1:10" x14ac:dyDescent="0.2">
      <c r="A535" s="240"/>
      <c r="C535" s="241"/>
      <c r="D535" s="241"/>
      <c r="H535" s="240"/>
      <c r="J535" s="240"/>
    </row>
    <row r="536" spans="1:10" x14ac:dyDescent="0.2">
      <c r="A536" s="240"/>
      <c r="C536" s="241"/>
      <c r="D536" s="241"/>
      <c r="H536" s="240"/>
      <c r="J536" s="240"/>
    </row>
    <row r="537" spans="1:10" x14ac:dyDescent="0.2">
      <c r="A537" s="240"/>
      <c r="C537" s="241"/>
      <c r="D537" s="241"/>
      <c r="H537" s="240"/>
      <c r="J537" s="240"/>
    </row>
    <row r="538" spans="1:10" x14ac:dyDescent="0.2">
      <c r="A538" s="240"/>
      <c r="C538" s="241"/>
      <c r="D538" s="241"/>
      <c r="H538" s="240"/>
      <c r="J538" s="240"/>
    </row>
    <row r="539" spans="1:10" x14ac:dyDescent="0.2">
      <c r="A539" s="240"/>
      <c r="C539" s="241"/>
      <c r="D539" s="241"/>
      <c r="H539" s="240"/>
      <c r="J539" s="240"/>
    </row>
    <row r="540" spans="1:10" x14ac:dyDescent="0.2">
      <c r="A540" s="240"/>
      <c r="C540" s="241"/>
      <c r="D540" s="241"/>
      <c r="H540" s="240"/>
      <c r="J540" s="240"/>
    </row>
    <row r="541" spans="1:10" x14ac:dyDescent="0.2">
      <c r="A541" s="240"/>
      <c r="C541" s="241"/>
      <c r="D541" s="241"/>
      <c r="H541" s="240"/>
      <c r="J541" s="240"/>
    </row>
    <row r="542" spans="1:10" x14ac:dyDescent="0.2">
      <c r="A542" s="240"/>
      <c r="C542" s="241"/>
      <c r="D542" s="241"/>
      <c r="H542" s="240"/>
      <c r="J542" s="240"/>
    </row>
    <row r="543" spans="1:10" x14ac:dyDescent="0.2">
      <c r="A543" s="240"/>
      <c r="C543" s="241"/>
      <c r="D543" s="241"/>
      <c r="H543" s="240"/>
      <c r="J543" s="240"/>
    </row>
    <row r="544" spans="1:10" x14ac:dyDescent="0.2">
      <c r="A544" s="240"/>
      <c r="C544" s="241"/>
      <c r="D544" s="241"/>
      <c r="H544" s="240"/>
      <c r="J544" s="240"/>
    </row>
    <row r="545" spans="1:10" x14ac:dyDescent="0.2">
      <c r="A545" s="240"/>
      <c r="C545" s="241"/>
      <c r="D545" s="241"/>
      <c r="H545" s="240"/>
      <c r="J545" s="240"/>
    </row>
    <row r="546" spans="1:10" x14ac:dyDescent="0.2">
      <c r="A546" s="240"/>
      <c r="C546" s="241"/>
      <c r="D546" s="241"/>
      <c r="H546" s="240"/>
      <c r="J546" s="240"/>
    </row>
    <row r="547" spans="1:10" x14ac:dyDescent="0.2">
      <c r="A547" s="240"/>
      <c r="C547" s="241"/>
      <c r="D547" s="241"/>
      <c r="H547" s="240"/>
      <c r="J547" s="240"/>
    </row>
    <row r="548" spans="1:10" x14ac:dyDescent="0.2">
      <c r="A548" s="240"/>
      <c r="C548" s="241"/>
      <c r="D548" s="241"/>
      <c r="H548" s="240"/>
      <c r="J548" s="240"/>
    </row>
    <row r="549" spans="1:10" x14ac:dyDescent="0.2">
      <c r="A549" s="240"/>
      <c r="C549" s="241"/>
      <c r="D549" s="241"/>
      <c r="H549" s="240"/>
      <c r="J549" s="240"/>
    </row>
    <row r="550" spans="1:10" x14ac:dyDescent="0.2">
      <c r="A550" s="240"/>
      <c r="C550" s="241"/>
      <c r="D550" s="241"/>
      <c r="H550" s="240"/>
      <c r="J550" s="240"/>
    </row>
    <row r="551" spans="1:10" x14ac:dyDescent="0.2">
      <c r="A551" s="240"/>
      <c r="C551" s="241"/>
      <c r="D551" s="241"/>
      <c r="H551" s="240"/>
      <c r="J551" s="240"/>
    </row>
    <row r="552" spans="1:10" x14ac:dyDescent="0.2">
      <c r="A552" s="240"/>
      <c r="C552" s="241"/>
      <c r="D552" s="241"/>
      <c r="H552" s="240"/>
      <c r="J552" s="240"/>
    </row>
    <row r="553" spans="1:10" x14ac:dyDescent="0.2">
      <c r="A553" s="240"/>
      <c r="C553" s="241"/>
      <c r="D553" s="241"/>
      <c r="H553" s="240"/>
      <c r="J553" s="240"/>
    </row>
    <row r="554" spans="1:10" x14ac:dyDescent="0.2">
      <c r="A554" s="240"/>
      <c r="C554" s="241"/>
      <c r="D554" s="241"/>
      <c r="H554" s="240"/>
      <c r="J554" s="240"/>
    </row>
    <row r="555" spans="1:10" x14ac:dyDescent="0.2">
      <c r="A555" s="240"/>
      <c r="C555" s="241"/>
      <c r="D555" s="241"/>
      <c r="H555" s="240"/>
      <c r="J555" s="240"/>
    </row>
    <row r="556" spans="1:10" x14ac:dyDescent="0.2">
      <c r="A556" s="240"/>
      <c r="C556" s="241"/>
      <c r="D556" s="241"/>
      <c r="H556" s="240"/>
      <c r="J556" s="240"/>
    </row>
    <row r="557" spans="1:10" x14ac:dyDescent="0.2">
      <c r="A557" s="240"/>
      <c r="C557" s="241"/>
      <c r="D557" s="241"/>
      <c r="H557" s="240"/>
      <c r="J557" s="240"/>
    </row>
    <row r="558" spans="1:10" x14ac:dyDescent="0.2">
      <c r="A558" s="240"/>
      <c r="C558" s="241"/>
      <c r="D558" s="241"/>
      <c r="H558" s="240"/>
      <c r="J558" s="240"/>
    </row>
    <row r="559" spans="1:10" x14ac:dyDescent="0.2">
      <c r="A559" s="240"/>
      <c r="C559" s="241"/>
      <c r="D559" s="241"/>
      <c r="H559" s="240"/>
      <c r="J559" s="240"/>
    </row>
    <row r="560" spans="1:10" x14ac:dyDescent="0.2">
      <c r="A560" s="240"/>
      <c r="C560" s="241"/>
      <c r="D560" s="241"/>
      <c r="H560" s="240"/>
      <c r="J560" s="240"/>
    </row>
    <row r="561" spans="1:10" x14ac:dyDescent="0.2">
      <c r="A561" s="240"/>
      <c r="C561" s="241"/>
      <c r="D561" s="241"/>
      <c r="H561" s="240"/>
      <c r="J561" s="240"/>
    </row>
    <row r="562" spans="1:10" x14ac:dyDescent="0.2">
      <c r="A562" s="240"/>
      <c r="C562" s="241"/>
      <c r="D562" s="241"/>
      <c r="H562" s="240"/>
      <c r="J562" s="240"/>
    </row>
    <row r="563" spans="1:10" x14ac:dyDescent="0.2">
      <c r="A563" s="240"/>
      <c r="C563" s="241"/>
      <c r="D563" s="241"/>
      <c r="H563" s="240"/>
      <c r="J563" s="240"/>
    </row>
    <row r="564" spans="1:10" x14ac:dyDescent="0.2">
      <c r="A564" s="240"/>
      <c r="C564" s="241"/>
      <c r="D564" s="241"/>
      <c r="H564" s="240"/>
      <c r="J564" s="240"/>
    </row>
    <row r="565" spans="1:10" x14ac:dyDescent="0.2">
      <c r="A565" s="240"/>
      <c r="C565" s="241"/>
      <c r="D565" s="241"/>
      <c r="H565" s="240"/>
      <c r="J565" s="240"/>
    </row>
    <row r="566" spans="1:10" x14ac:dyDescent="0.2">
      <c r="A566" s="240"/>
      <c r="C566" s="241"/>
      <c r="D566" s="241"/>
      <c r="H566" s="240"/>
      <c r="J566" s="240"/>
    </row>
    <row r="567" spans="1:10" x14ac:dyDescent="0.2">
      <c r="A567" s="240"/>
      <c r="C567" s="241"/>
      <c r="D567" s="241"/>
      <c r="H567" s="240"/>
      <c r="J567" s="240"/>
    </row>
    <row r="568" spans="1:10" x14ac:dyDescent="0.2">
      <c r="A568" s="240"/>
      <c r="C568" s="241"/>
      <c r="D568" s="241"/>
      <c r="H568" s="240"/>
      <c r="J568" s="240"/>
    </row>
    <row r="569" spans="1:10" x14ac:dyDescent="0.2">
      <c r="A569" s="240"/>
      <c r="C569" s="241"/>
      <c r="D569" s="241"/>
      <c r="H569" s="240"/>
      <c r="J569" s="240"/>
    </row>
    <row r="570" spans="1:10" x14ac:dyDescent="0.2">
      <c r="A570" s="240"/>
      <c r="C570" s="241"/>
      <c r="D570" s="241"/>
      <c r="H570" s="240"/>
      <c r="J570" s="240"/>
    </row>
    <row r="571" spans="1:10" x14ac:dyDescent="0.2">
      <c r="A571" s="240"/>
      <c r="C571" s="241"/>
      <c r="D571" s="241"/>
      <c r="H571" s="240"/>
      <c r="J571" s="240"/>
    </row>
    <row r="572" spans="1:10" x14ac:dyDescent="0.2">
      <c r="A572" s="240"/>
      <c r="C572" s="241"/>
      <c r="D572" s="241"/>
      <c r="H572" s="240"/>
      <c r="J572" s="240"/>
    </row>
    <row r="573" spans="1:10" x14ac:dyDescent="0.2">
      <c r="A573" s="240"/>
      <c r="C573" s="241"/>
      <c r="D573" s="241"/>
      <c r="H573" s="240"/>
      <c r="J573" s="240"/>
    </row>
    <row r="574" spans="1:10" x14ac:dyDescent="0.2">
      <c r="A574" s="240"/>
      <c r="C574" s="241"/>
      <c r="D574" s="241"/>
      <c r="H574" s="240"/>
      <c r="J574" s="240"/>
    </row>
    <row r="575" spans="1:10" x14ac:dyDescent="0.2">
      <c r="A575" s="240"/>
      <c r="C575" s="241"/>
      <c r="D575" s="241"/>
      <c r="H575" s="240"/>
      <c r="J575" s="240"/>
    </row>
    <row r="576" spans="1:10" x14ac:dyDescent="0.2">
      <c r="A576" s="240"/>
      <c r="C576" s="241"/>
      <c r="D576" s="241"/>
      <c r="H576" s="240"/>
      <c r="J576" s="240"/>
    </row>
    <row r="577" spans="1:10" x14ac:dyDescent="0.2">
      <c r="A577" s="240"/>
      <c r="C577" s="241"/>
      <c r="D577" s="241"/>
      <c r="H577" s="240"/>
      <c r="J577" s="240"/>
    </row>
    <row r="578" spans="1:10" x14ac:dyDescent="0.2">
      <c r="A578" s="240"/>
      <c r="C578" s="241"/>
      <c r="D578" s="241"/>
      <c r="H578" s="240"/>
      <c r="J578" s="240"/>
    </row>
    <row r="579" spans="1:10" x14ac:dyDescent="0.2">
      <c r="A579" s="240"/>
      <c r="C579" s="241"/>
      <c r="D579" s="241"/>
      <c r="H579" s="240"/>
      <c r="J579" s="240"/>
    </row>
    <row r="580" spans="1:10" x14ac:dyDescent="0.2">
      <c r="A580" s="240"/>
      <c r="C580" s="241"/>
      <c r="D580" s="241"/>
      <c r="H580" s="240"/>
      <c r="J580" s="240"/>
    </row>
    <row r="581" spans="1:10" x14ac:dyDescent="0.2">
      <c r="A581" s="240"/>
      <c r="C581" s="241"/>
      <c r="D581" s="241"/>
      <c r="H581" s="240"/>
      <c r="J581" s="240"/>
    </row>
    <row r="582" spans="1:10" x14ac:dyDescent="0.2">
      <c r="A582" s="240"/>
      <c r="C582" s="241"/>
      <c r="D582" s="241"/>
      <c r="H582" s="240"/>
      <c r="J582" s="240"/>
    </row>
    <row r="583" spans="1:10" x14ac:dyDescent="0.2">
      <c r="A583" s="240"/>
      <c r="C583" s="241"/>
      <c r="D583" s="241"/>
      <c r="H583" s="240"/>
      <c r="J583" s="240"/>
    </row>
    <row r="584" spans="1:10" x14ac:dyDescent="0.2">
      <c r="A584" s="240"/>
      <c r="C584" s="241"/>
      <c r="D584" s="241"/>
      <c r="H584" s="240"/>
      <c r="J584" s="240"/>
    </row>
    <row r="585" spans="1:10" x14ac:dyDescent="0.2">
      <c r="A585" s="240"/>
      <c r="C585" s="241"/>
      <c r="D585" s="241"/>
      <c r="H585" s="240"/>
      <c r="J585" s="240"/>
    </row>
    <row r="586" spans="1:10" x14ac:dyDescent="0.2">
      <c r="A586" s="240"/>
      <c r="C586" s="241"/>
      <c r="D586" s="241"/>
      <c r="H586" s="240"/>
      <c r="J586" s="240"/>
    </row>
    <row r="587" spans="1:10" x14ac:dyDescent="0.2">
      <c r="A587" s="240"/>
      <c r="C587" s="241"/>
      <c r="D587" s="241"/>
      <c r="H587" s="240"/>
      <c r="J587" s="240"/>
    </row>
    <row r="588" spans="1:10" x14ac:dyDescent="0.2">
      <c r="A588" s="240"/>
      <c r="C588" s="241"/>
      <c r="D588" s="241"/>
      <c r="H588" s="240"/>
      <c r="J588" s="240"/>
    </row>
    <row r="589" spans="1:10" x14ac:dyDescent="0.2">
      <c r="A589" s="240"/>
      <c r="C589" s="241"/>
      <c r="D589" s="241"/>
      <c r="H589" s="240"/>
      <c r="J589" s="240"/>
    </row>
    <row r="590" spans="1:10" x14ac:dyDescent="0.2">
      <c r="A590" s="240"/>
      <c r="C590" s="241"/>
      <c r="D590" s="241"/>
      <c r="H590" s="240"/>
      <c r="J590" s="240"/>
    </row>
    <row r="591" spans="1:10" x14ac:dyDescent="0.2">
      <c r="A591" s="240"/>
      <c r="C591" s="241"/>
      <c r="D591" s="241"/>
      <c r="H591" s="240"/>
      <c r="J591" s="240"/>
    </row>
    <row r="592" spans="1:10" x14ac:dyDescent="0.2">
      <c r="A592" s="240"/>
      <c r="C592" s="241"/>
      <c r="D592" s="241"/>
      <c r="H592" s="240"/>
      <c r="J592" s="240"/>
    </row>
    <row r="593" spans="1:10" x14ac:dyDescent="0.2">
      <c r="A593" s="240"/>
      <c r="C593" s="241"/>
      <c r="D593" s="241"/>
      <c r="H593" s="240"/>
      <c r="J593" s="240"/>
    </row>
    <row r="594" spans="1:10" x14ac:dyDescent="0.2">
      <c r="A594" s="240"/>
      <c r="C594" s="241"/>
      <c r="D594" s="241"/>
      <c r="H594" s="240"/>
      <c r="J594" s="240"/>
    </row>
    <row r="595" spans="1:10" x14ac:dyDescent="0.2">
      <c r="A595" s="240"/>
      <c r="C595" s="241"/>
      <c r="D595" s="241"/>
      <c r="H595" s="240"/>
      <c r="J595" s="240"/>
    </row>
    <row r="596" spans="1:10" x14ac:dyDescent="0.2">
      <c r="A596" s="240"/>
      <c r="C596" s="241"/>
      <c r="D596" s="241"/>
      <c r="H596" s="240"/>
      <c r="J596" s="240"/>
    </row>
    <row r="597" spans="1:10" x14ac:dyDescent="0.2">
      <c r="A597" s="240"/>
      <c r="C597" s="241"/>
      <c r="D597" s="241"/>
      <c r="H597" s="240"/>
      <c r="J597" s="240"/>
    </row>
    <row r="598" spans="1:10" x14ac:dyDescent="0.2">
      <c r="A598" s="240"/>
      <c r="C598" s="241"/>
      <c r="D598" s="241"/>
      <c r="H598" s="240"/>
      <c r="J598" s="240"/>
    </row>
    <row r="599" spans="1:10" x14ac:dyDescent="0.2">
      <c r="A599" s="240"/>
      <c r="C599" s="241"/>
      <c r="D599" s="241"/>
      <c r="H599" s="240"/>
      <c r="J599" s="240"/>
    </row>
    <row r="600" spans="1:10" x14ac:dyDescent="0.2">
      <c r="A600" s="240"/>
      <c r="C600" s="241"/>
      <c r="D600" s="241"/>
      <c r="H600" s="240"/>
      <c r="J600" s="240"/>
    </row>
    <row r="601" spans="1:10" x14ac:dyDescent="0.2">
      <c r="A601" s="240"/>
      <c r="C601" s="241"/>
      <c r="D601" s="241"/>
      <c r="H601" s="240"/>
      <c r="J601" s="240"/>
    </row>
    <row r="602" spans="1:10" x14ac:dyDescent="0.2">
      <c r="A602" s="240"/>
      <c r="C602" s="241"/>
      <c r="D602" s="241"/>
      <c r="H602" s="240"/>
      <c r="J602" s="240"/>
    </row>
    <row r="603" spans="1:10" x14ac:dyDescent="0.2">
      <c r="A603" s="240"/>
      <c r="C603" s="241"/>
      <c r="D603" s="241"/>
      <c r="H603" s="240"/>
      <c r="J603" s="240"/>
    </row>
    <row r="604" spans="1:10" x14ac:dyDescent="0.2">
      <c r="A604" s="240"/>
      <c r="C604" s="241"/>
      <c r="D604" s="241"/>
      <c r="H604" s="240"/>
      <c r="J604" s="240"/>
    </row>
    <row r="605" spans="1:10" x14ac:dyDescent="0.2">
      <c r="A605" s="240"/>
      <c r="C605" s="241"/>
      <c r="D605" s="241"/>
      <c r="H605" s="240"/>
      <c r="J605" s="240"/>
    </row>
    <row r="606" spans="1:10" x14ac:dyDescent="0.2">
      <c r="A606" s="240"/>
      <c r="C606" s="241"/>
      <c r="D606" s="241"/>
      <c r="H606" s="240"/>
      <c r="J606" s="240"/>
    </row>
    <row r="607" spans="1:10" x14ac:dyDescent="0.2">
      <c r="A607" s="240"/>
      <c r="C607" s="241"/>
      <c r="D607" s="241"/>
      <c r="H607" s="240"/>
      <c r="J607" s="240"/>
    </row>
    <row r="608" spans="1:10" x14ac:dyDescent="0.2">
      <c r="A608" s="240"/>
      <c r="C608" s="241"/>
      <c r="D608" s="241"/>
      <c r="H608" s="240"/>
      <c r="J608" s="240"/>
    </row>
    <row r="609" spans="1:10" x14ac:dyDescent="0.2">
      <c r="A609" s="240"/>
      <c r="C609" s="241"/>
      <c r="D609" s="241"/>
      <c r="H609" s="240"/>
      <c r="J609" s="240"/>
    </row>
    <row r="610" spans="1:10" x14ac:dyDescent="0.2">
      <c r="A610" s="240"/>
      <c r="C610" s="241"/>
      <c r="D610" s="241"/>
      <c r="H610" s="240"/>
      <c r="J610" s="240"/>
    </row>
    <row r="611" spans="1:10" x14ac:dyDescent="0.2">
      <c r="A611" s="240"/>
      <c r="C611" s="241"/>
      <c r="D611" s="241"/>
      <c r="H611" s="240"/>
      <c r="J611" s="240"/>
    </row>
    <row r="612" spans="1:10" x14ac:dyDescent="0.2">
      <c r="A612" s="240"/>
      <c r="C612" s="241"/>
      <c r="D612" s="241"/>
      <c r="H612" s="240"/>
      <c r="J612" s="240"/>
    </row>
    <row r="613" spans="1:10" x14ac:dyDescent="0.2">
      <c r="A613" s="240"/>
      <c r="C613" s="241"/>
      <c r="D613" s="241"/>
      <c r="H613" s="240"/>
      <c r="J613" s="240"/>
    </row>
    <row r="614" spans="1:10" x14ac:dyDescent="0.2">
      <c r="A614" s="240"/>
      <c r="C614" s="241"/>
      <c r="D614" s="241"/>
      <c r="H614" s="240"/>
      <c r="J614" s="240"/>
    </row>
    <row r="615" spans="1:10" x14ac:dyDescent="0.2">
      <c r="A615" s="240"/>
      <c r="C615" s="241"/>
      <c r="D615" s="241"/>
      <c r="H615" s="240"/>
      <c r="J615" s="240"/>
    </row>
    <row r="616" spans="1:10" x14ac:dyDescent="0.2">
      <c r="A616" s="240"/>
      <c r="C616" s="241"/>
      <c r="D616" s="241"/>
      <c r="H616" s="240"/>
      <c r="J616" s="240"/>
    </row>
    <row r="617" spans="1:10" x14ac:dyDescent="0.2">
      <c r="A617" s="240"/>
      <c r="C617" s="241"/>
      <c r="D617" s="241"/>
      <c r="H617" s="240"/>
      <c r="J617" s="240"/>
    </row>
    <row r="618" spans="1:10" x14ac:dyDescent="0.2">
      <c r="A618" s="240"/>
      <c r="C618" s="241"/>
      <c r="D618" s="241"/>
      <c r="H618" s="240"/>
      <c r="J618" s="240"/>
    </row>
    <row r="619" spans="1:10" x14ac:dyDescent="0.2">
      <c r="A619" s="240"/>
      <c r="C619" s="241"/>
      <c r="D619" s="241"/>
      <c r="H619" s="240"/>
      <c r="J619" s="240"/>
    </row>
    <row r="620" spans="1:10" x14ac:dyDescent="0.2">
      <c r="A620" s="240"/>
      <c r="C620" s="241"/>
      <c r="D620" s="241"/>
      <c r="H620" s="240"/>
      <c r="J620" s="240"/>
    </row>
    <row r="621" spans="1:10" x14ac:dyDescent="0.2">
      <c r="A621" s="240"/>
      <c r="C621" s="241"/>
      <c r="D621" s="241"/>
      <c r="H621" s="240"/>
      <c r="J621" s="240"/>
    </row>
    <row r="622" spans="1:10" x14ac:dyDescent="0.2">
      <c r="A622" s="240"/>
      <c r="C622" s="241"/>
      <c r="D622" s="241"/>
      <c r="H622" s="240"/>
      <c r="J622" s="240"/>
    </row>
    <row r="623" spans="1:10" x14ac:dyDescent="0.2">
      <c r="A623" s="240"/>
      <c r="C623" s="241"/>
      <c r="D623" s="241"/>
      <c r="H623" s="240"/>
      <c r="J623" s="240"/>
    </row>
    <row r="624" spans="1:10" x14ac:dyDescent="0.2">
      <c r="A624" s="240"/>
      <c r="C624" s="241"/>
      <c r="D624" s="241"/>
      <c r="H624" s="240"/>
      <c r="J624" s="240"/>
    </row>
    <row r="625" spans="1:10" x14ac:dyDescent="0.2">
      <c r="A625" s="240"/>
      <c r="C625" s="241"/>
      <c r="D625" s="241"/>
      <c r="H625" s="240"/>
      <c r="J625" s="240"/>
    </row>
    <row r="626" spans="1:10" x14ac:dyDescent="0.2">
      <c r="A626" s="240"/>
      <c r="C626" s="241"/>
      <c r="D626" s="241"/>
      <c r="H626" s="240"/>
      <c r="J626" s="240"/>
    </row>
    <row r="627" spans="1:10" x14ac:dyDescent="0.2">
      <c r="A627" s="240"/>
      <c r="C627" s="241"/>
      <c r="D627" s="241"/>
      <c r="H627" s="240"/>
      <c r="J627" s="240"/>
    </row>
    <row r="628" spans="1:10" x14ac:dyDescent="0.2">
      <c r="A628" s="240"/>
      <c r="C628" s="241"/>
      <c r="D628" s="241"/>
      <c r="H628" s="240"/>
      <c r="J628" s="240"/>
    </row>
    <row r="629" spans="1:10" x14ac:dyDescent="0.2">
      <c r="A629" s="240"/>
      <c r="C629" s="241"/>
      <c r="D629" s="241"/>
      <c r="H629" s="240"/>
      <c r="J629" s="240"/>
    </row>
    <row r="630" spans="1:10" x14ac:dyDescent="0.2">
      <c r="A630" s="240"/>
      <c r="C630" s="241"/>
      <c r="D630" s="241"/>
      <c r="H630" s="240"/>
      <c r="J630" s="240"/>
    </row>
    <row r="631" spans="1:10" x14ac:dyDescent="0.2">
      <c r="A631" s="240"/>
      <c r="C631" s="241"/>
      <c r="D631" s="241"/>
      <c r="H631" s="240"/>
      <c r="J631" s="240"/>
    </row>
    <row r="632" spans="1:10" x14ac:dyDescent="0.2">
      <c r="A632" s="240"/>
      <c r="C632" s="241"/>
      <c r="D632" s="241"/>
      <c r="H632" s="240"/>
      <c r="J632" s="240"/>
    </row>
    <row r="633" spans="1:10" x14ac:dyDescent="0.2">
      <c r="A633" s="240"/>
      <c r="C633" s="241"/>
      <c r="D633" s="241"/>
      <c r="H633" s="240"/>
      <c r="J633" s="240"/>
    </row>
    <row r="634" spans="1:10" x14ac:dyDescent="0.2">
      <c r="A634" s="240"/>
      <c r="C634" s="241"/>
      <c r="D634" s="241"/>
      <c r="H634" s="240"/>
      <c r="J634" s="240"/>
    </row>
    <row r="635" spans="1:10" x14ac:dyDescent="0.2">
      <c r="A635" s="240"/>
      <c r="C635" s="241"/>
      <c r="D635" s="241"/>
      <c r="H635" s="240"/>
      <c r="J635" s="240"/>
    </row>
    <row r="636" spans="1:10" x14ac:dyDescent="0.2">
      <c r="A636" s="240"/>
      <c r="C636" s="241"/>
      <c r="D636" s="241"/>
      <c r="H636" s="240"/>
      <c r="J636" s="240"/>
    </row>
    <row r="637" spans="1:10" x14ac:dyDescent="0.2">
      <c r="A637" s="240"/>
      <c r="C637" s="241"/>
      <c r="D637" s="241"/>
      <c r="H637" s="240"/>
      <c r="J637" s="240"/>
    </row>
    <row r="638" spans="1:10" x14ac:dyDescent="0.2">
      <c r="A638" s="240"/>
      <c r="C638" s="241"/>
      <c r="D638" s="241"/>
      <c r="H638" s="240"/>
      <c r="J638" s="240"/>
    </row>
    <row r="639" spans="1:10" x14ac:dyDescent="0.2">
      <c r="A639" s="240"/>
      <c r="C639" s="241"/>
      <c r="D639" s="241"/>
      <c r="H639" s="240"/>
      <c r="J639" s="240"/>
    </row>
    <row r="640" spans="1:10" x14ac:dyDescent="0.2">
      <c r="A640" s="240"/>
      <c r="C640" s="241"/>
      <c r="D640" s="241"/>
      <c r="H640" s="240"/>
      <c r="J640" s="240"/>
    </row>
    <row r="641" spans="1:10" x14ac:dyDescent="0.2">
      <c r="A641" s="240"/>
      <c r="C641" s="241"/>
      <c r="D641" s="241"/>
      <c r="H641" s="240"/>
      <c r="J641" s="240"/>
    </row>
    <row r="642" spans="1:10" x14ac:dyDescent="0.2">
      <c r="A642" s="240"/>
      <c r="C642" s="241"/>
      <c r="D642" s="241"/>
      <c r="H642" s="240"/>
      <c r="J642" s="240"/>
    </row>
    <row r="643" spans="1:10" x14ac:dyDescent="0.2">
      <c r="A643" s="240"/>
      <c r="C643" s="241"/>
      <c r="D643" s="241"/>
      <c r="H643" s="240"/>
      <c r="J643" s="240"/>
    </row>
    <row r="644" spans="1:10" x14ac:dyDescent="0.2">
      <c r="A644" s="240"/>
      <c r="C644" s="241"/>
      <c r="D644" s="241"/>
      <c r="H644" s="240"/>
      <c r="J644" s="240"/>
    </row>
    <row r="645" spans="1:10" x14ac:dyDescent="0.2">
      <c r="A645" s="240"/>
      <c r="C645" s="241"/>
      <c r="D645" s="241"/>
      <c r="H645" s="240"/>
      <c r="J645" s="240"/>
    </row>
    <row r="646" spans="1:10" x14ac:dyDescent="0.2">
      <c r="A646" s="240"/>
      <c r="C646" s="241"/>
      <c r="D646" s="241"/>
      <c r="H646" s="240"/>
      <c r="J646" s="240"/>
    </row>
    <row r="647" spans="1:10" x14ac:dyDescent="0.2">
      <c r="A647" s="240"/>
      <c r="C647" s="241"/>
      <c r="D647" s="241"/>
      <c r="H647" s="240"/>
      <c r="J647" s="240"/>
    </row>
    <row r="648" spans="1:10" x14ac:dyDescent="0.2">
      <c r="A648" s="240"/>
      <c r="C648" s="241"/>
      <c r="D648" s="241"/>
      <c r="H648" s="240"/>
      <c r="J648" s="240"/>
    </row>
    <row r="649" spans="1:10" x14ac:dyDescent="0.2">
      <c r="A649" s="240"/>
      <c r="C649" s="241"/>
      <c r="D649" s="241"/>
      <c r="H649" s="240"/>
      <c r="J649" s="240"/>
    </row>
    <row r="650" spans="1:10" x14ac:dyDescent="0.2">
      <c r="A650" s="240"/>
      <c r="C650" s="241"/>
      <c r="D650" s="241"/>
      <c r="H650" s="240"/>
      <c r="J650" s="240"/>
    </row>
    <row r="651" spans="1:10" x14ac:dyDescent="0.2">
      <c r="A651" s="240"/>
      <c r="C651" s="241"/>
      <c r="D651" s="241"/>
      <c r="H651" s="240"/>
      <c r="J651" s="240"/>
    </row>
    <row r="652" spans="1:10" x14ac:dyDescent="0.2">
      <c r="A652" s="240"/>
      <c r="C652" s="241"/>
      <c r="D652" s="241"/>
      <c r="H652" s="240"/>
      <c r="J652" s="240"/>
    </row>
    <row r="653" spans="1:10" x14ac:dyDescent="0.2">
      <c r="A653" s="240"/>
      <c r="C653" s="241"/>
      <c r="D653" s="241"/>
      <c r="H653" s="240"/>
      <c r="J653" s="240"/>
    </row>
    <row r="654" spans="1:10" x14ac:dyDescent="0.2">
      <c r="A654" s="240"/>
      <c r="C654" s="241"/>
      <c r="D654" s="241"/>
      <c r="H654" s="240"/>
      <c r="J654" s="240"/>
    </row>
    <row r="655" spans="1:10" x14ac:dyDescent="0.2">
      <c r="A655" s="240"/>
      <c r="C655" s="241"/>
      <c r="D655" s="241"/>
      <c r="H655" s="240"/>
      <c r="J655" s="240"/>
    </row>
    <row r="656" spans="1:10" x14ac:dyDescent="0.2">
      <c r="A656" s="240"/>
      <c r="C656" s="241"/>
      <c r="D656" s="241"/>
      <c r="H656" s="240"/>
      <c r="J656" s="240"/>
    </row>
    <row r="657" spans="1:10" x14ac:dyDescent="0.2">
      <c r="A657" s="240"/>
      <c r="C657" s="241"/>
      <c r="D657" s="241"/>
      <c r="H657" s="240"/>
      <c r="J657" s="240"/>
    </row>
    <row r="658" spans="1:10" x14ac:dyDescent="0.2">
      <c r="A658" s="240"/>
      <c r="C658" s="241"/>
      <c r="D658" s="241"/>
      <c r="H658" s="240"/>
      <c r="J658" s="240"/>
    </row>
    <row r="659" spans="1:10" x14ac:dyDescent="0.2">
      <c r="A659" s="240"/>
      <c r="C659" s="241"/>
      <c r="D659" s="241"/>
      <c r="H659" s="240"/>
      <c r="J659" s="240"/>
    </row>
    <row r="660" spans="1:10" x14ac:dyDescent="0.2">
      <c r="A660" s="240"/>
      <c r="C660" s="241"/>
      <c r="D660" s="241"/>
      <c r="H660" s="240"/>
      <c r="J660" s="240"/>
    </row>
    <row r="661" spans="1:10" x14ac:dyDescent="0.2">
      <c r="A661" s="240"/>
      <c r="C661" s="241"/>
      <c r="D661" s="241"/>
      <c r="H661" s="240"/>
      <c r="J661" s="240"/>
    </row>
    <row r="662" spans="1:10" x14ac:dyDescent="0.2">
      <c r="A662" s="240"/>
      <c r="C662" s="241"/>
      <c r="D662" s="241"/>
      <c r="H662" s="240"/>
      <c r="J662" s="240"/>
    </row>
    <row r="663" spans="1:10" x14ac:dyDescent="0.2">
      <c r="A663" s="240"/>
      <c r="C663" s="241"/>
      <c r="D663" s="241"/>
      <c r="H663" s="240"/>
      <c r="J663" s="240"/>
    </row>
    <row r="664" spans="1:10" x14ac:dyDescent="0.2">
      <c r="A664" s="240"/>
      <c r="C664" s="241"/>
      <c r="D664" s="241"/>
      <c r="H664" s="240"/>
      <c r="J664" s="240"/>
    </row>
    <row r="665" spans="1:10" x14ac:dyDescent="0.2">
      <c r="A665" s="240"/>
      <c r="C665" s="241"/>
      <c r="D665" s="241"/>
      <c r="H665" s="240"/>
      <c r="J665" s="240"/>
    </row>
    <row r="666" spans="1:10" x14ac:dyDescent="0.2">
      <c r="A666" s="240"/>
      <c r="C666" s="241"/>
      <c r="D666" s="241"/>
      <c r="H666" s="240"/>
      <c r="J666" s="240"/>
    </row>
    <row r="667" spans="1:10" x14ac:dyDescent="0.2">
      <c r="A667" s="240"/>
      <c r="C667" s="241"/>
      <c r="D667" s="241"/>
      <c r="H667" s="240"/>
      <c r="J667" s="240"/>
    </row>
    <row r="668" spans="1:10" x14ac:dyDescent="0.2">
      <c r="A668" s="240"/>
      <c r="C668" s="241"/>
      <c r="D668" s="241"/>
      <c r="H668" s="240"/>
      <c r="J668" s="240"/>
    </row>
    <row r="669" spans="1:10" x14ac:dyDescent="0.2">
      <c r="A669" s="240"/>
      <c r="C669" s="241"/>
      <c r="D669" s="241"/>
      <c r="H669" s="240"/>
      <c r="J669" s="240"/>
    </row>
    <row r="670" spans="1:10" x14ac:dyDescent="0.2">
      <c r="A670" s="240"/>
      <c r="C670" s="241"/>
      <c r="D670" s="241"/>
      <c r="H670" s="240"/>
      <c r="J670" s="240"/>
    </row>
    <row r="671" spans="1:10" x14ac:dyDescent="0.2">
      <c r="A671" s="240"/>
      <c r="C671" s="241"/>
      <c r="D671" s="241"/>
      <c r="H671" s="240"/>
      <c r="J671" s="240"/>
    </row>
    <row r="672" spans="1:10" x14ac:dyDescent="0.2">
      <c r="A672" s="240"/>
      <c r="C672" s="241"/>
      <c r="D672" s="241"/>
      <c r="H672" s="240"/>
      <c r="J672" s="240"/>
    </row>
    <row r="673" spans="1:10" x14ac:dyDescent="0.2">
      <c r="A673" s="240"/>
      <c r="C673" s="241"/>
      <c r="D673" s="241"/>
      <c r="H673" s="240"/>
      <c r="J673" s="240"/>
    </row>
    <row r="674" spans="1:10" x14ac:dyDescent="0.2">
      <c r="A674" s="240"/>
      <c r="C674" s="241"/>
      <c r="D674" s="241"/>
      <c r="H674" s="240"/>
      <c r="J674" s="240"/>
    </row>
    <row r="675" spans="1:10" x14ac:dyDescent="0.2">
      <c r="A675" s="240"/>
      <c r="C675" s="241"/>
      <c r="D675" s="241"/>
      <c r="H675" s="240"/>
      <c r="J675" s="240"/>
    </row>
    <row r="676" spans="1:10" x14ac:dyDescent="0.2">
      <c r="A676" s="240"/>
      <c r="C676" s="241"/>
      <c r="D676" s="241"/>
      <c r="H676" s="240"/>
      <c r="J676" s="240"/>
    </row>
    <row r="677" spans="1:10" x14ac:dyDescent="0.2">
      <c r="A677" s="240"/>
      <c r="C677" s="241"/>
      <c r="D677" s="241"/>
      <c r="H677" s="240"/>
      <c r="J677" s="240"/>
    </row>
    <row r="678" spans="1:10" x14ac:dyDescent="0.2">
      <c r="A678" s="240"/>
      <c r="C678" s="241"/>
      <c r="D678" s="241"/>
      <c r="H678" s="240"/>
      <c r="J678" s="240"/>
    </row>
    <row r="679" spans="1:10" x14ac:dyDescent="0.2">
      <c r="A679" s="240"/>
      <c r="C679" s="241"/>
      <c r="D679" s="241"/>
      <c r="H679" s="240"/>
      <c r="J679" s="240"/>
    </row>
    <row r="680" spans="1:10" x14ac:dyDescent="0.2">
      <c r="A680" s="240"/>
      <c r="C680" s="241"/>
      <c r="D680" s="241"/>
      <c r="H680" s="240"/>
      <c r="J680" s="240"/>
    </row>
    <row r="681" spans="1:10" x14ac:dyDescent="0.2">
      <c r="A681" s="240"/>
      <c r="C681" s="241"/>
      <c r="D681" s="241"/>
      <c r="H681" s="240"/>
      <c r="J681" s="240"/>
    </row>
    <row r="682" spans="1:10" x14ac:dyDescent="0.2">
      <c r="A682" s="240"/>
      <c r="C682" s="241"/>
      <c r="D682" s="241"/>
      <c r="H682" s="240"/>
      <c r="J682" s="240"/>
    </row>
    <row r="683" spans="1:10" x14ac:dyDescent="0.2">
      <c r="A683" s="240"/>
      <c r="C683" s="241"/>
      <c r="D683" s="241"/>
      <c r="H683" s="240"/>
      <c r="J683" s="240"/>
    </row>
    <row r="684" spans="1:10" x14ac:dyDescent="0.2">
      <c r="A684" s="240"/>
      <c r="C684" s="241"/>
      <c r="D684" s="241"/>
      <c r="H684" s="240"/>
      <c r="J684" s="240"/>
    </row>
    <row r="685" spans="1:10" x14ac:dyDescent="0.2">
      <c r="A685" s="240"/>
      <c r="C685" s="241"/>
      <c r="D685" s="241"/>
      <c r="H685" s="240"/>
      <c r="J685" s="240"/>
    </row>
    <row r="686" spans="1:10" x14ac:dyDescent="0.2">
      <c r="A686" s="240"/>
      <c r="C686" s="241"/>
      <c r="D686" s="241"/>
      <c r="H686" s="240"/>
      <c r="J686" s="240"/>
    </row>
    <row r="687" spans="1:10" x14ac:dyDescent="0.2">
      <c r="A687" s="240"/>
      <c r="C687" s="241"/>
      <c r="D687" s="241"/>
      <c r="H687" s="240"/>
      <c r="J687" s="240"/>
    </row>
    <row r="688" spans="1:10" x14ac:dyDescent="0.2">
      <c r="A688" s="240"/>
      <c r="C688" s="241"/>
      <c r="D688" s="241"/>
      <c r="H688" s="240"/>
      <c r="J688" s="240"/>
    </row>
    <row r="689" spans="1:10" x14ac:dyDescent="0.2">
      <c r="A689" s="240"/>
      <c r="C689" s="241"/>
      <c r="D689" s="241"/>
      <c r="H689" s="240"/>
      <c r="J689" s="240"/>
    </row>
    <row r="690" spans="1:10" x14ac:dyDescent="0.2">
      <c r="A690" s="240"/>
      <c r="C690" s="241"/>
      <c r="D690" s="241"/>
      <c r="H690" s="240"/>
      <c r="J690" s="240"/>
    </row>
    <row r="691" spans="1:10" x14ac:dyDescent="0.2">
      <c r="A691" s="240"/>
      <c r="C691" s="241"/>
      <c r="D691" s="241"/>
      <c r="H691" s="240"/>
      <c r="J691" s="240"/>
    </row>
    <row r="692" spans="1:10" x14ac:dyDescent="0.2">
      <c r="A692" s="240"/>
      <c r="C692" s="241"/>
      <c r="D692" s="241"/>
      <c r="H692" s="240"/>
      <c r="J692" s="240"/>
    </row>
    <row r="693" spans="1:10" x14ac:dyDescent="0.2">
      <c r="A693" s="240"/>
      <c r="C693" s="241"/>
      <c r="D693" s="241"/>
      <c r="H693" s="240"/>
      <c r="J693" s="240"/>
    </row>
    <row r="694" spans="1:10" x14ac:dyDescent="0.2">
      <c r="A694" s="240"/>
      <c r="C694" s="241"/>
      <c r="D694" s="241"/>
      <c r="H694" s="240"/>
      <c r="J694" s="240"/>
    </row>
    <row r="695" spans="1:10" x14ac:dyDescent="0.2">
      <c r="A695" s="240"/>
      <c r="C695" s="241"/>
      <c r="D695" s="241"/>
      <c r="H695" s="240"/>
      <c r="J695" s="240"/>
    </row>
    <row r="696" spans="1:10" x14ac:dyDescent="0.2">
      <c r="A696" s="240"/>
      <c r="C696" s="241"/>
      <c r="D696" s="241"/>
      <c r="H696" s="240"/>
      <c r="J696" s="240"/>
    </row>
    <row r="697" spans="1:10" x14ac:dyDescent="0.2">
      <c r="A697" s="240"/>
      <c r="C697" s="241"/>
      <c r="D697" s="241"/>
      <c r="H697" s="240"/>
      <c r="J697" s="240"/>
    </row>
    <row r="698" spans="1:10" x14ac:dyDescent="0.2">
      <c r="A698" s="240"/>
      <c r="C698" s="241"/>
      <c r="D698" s="241"/>
      <c r="H698" s="240"/>
      <c r="J698" s="240"/>
    </row>
    <row r="699" spans="1:10" x14ac:dyDescent="0.2">
      <c r="A699" s="240"/>
      <c r="C699" s="241"/>
      <c r="D699" s="241"/>
      <c r="H699" s="240"/>
      <c r="J699" s="240"/>
    </row>
    <row r="700" spans="1:10" x14ac:dyDescent="0.2">
      <c r="A700" s="240"/>
      <c r="C700" s="241"/>
      <c r="D700" s="241"/>
      <c r="H700" s="240"/>
      <c r="J700" s="240"/>
    </row>
    <row r="701" spans="1:10" x14ac:dyDescent="0.2">
      <c r="A701" s="240"/>
      <c r="C701" s="241"/>
      <c r="D701" s="241"/>
      <c r="H701" s="240"/>
      <c r="J701" s="240"/>
    </row>
    <row r="702" spans="1:10" x14ac:dyDescent="0.2">
      <c r="A702" s="240"/>
      <c r="C702" s="241"/>
      <c r="D702" s="241"/>
      <c r="H702" s="240"/>
      <c r="J702" s="240"/>
    </row>
    <row r="703" spans="1:10" x14ac:dyDescent="0.2">
      <c r="A703" s="240"/>
      <c r="C703" s="241"/>
      <c r="D703" s="241"/>
      <c r="H703" s="240"/>
      <c r="J703" s="240"/>
    </row>
    <row r="704" spans="1:10" x14ac:dyDescent="0.2">
      <c r="A704" s="240"/>
      <c r="C704" s="241"/>
      <c r="D704" s="241"/>
      <c r="H704" s="240"/>
      <c r="J704" s="240"/>
    </row>
    <row r="705" spans="1:10" x14ac:dyDescent="0.2">
      <c r="A705" s="240"/>
      <c r="C705" s="241"/>
      <c r="D705" s="241"/>
      <c r="H705" s="240"/>
      <c r="J705" s="240"/>
    </row>
    <row r="706" spans="1:10" x14ac:dyDescent="0.2">
      <c r="A706" s="240"/>
      <c r="C706" s="241"/>
      <c r="D706" s="241"/>
      <c r="H706" s="240"/>
      <c r="J706" s="240"/>
    </row>
    <row r="707" spans="1:10" x14ac:dyDescent="0.2">
      <c r="A707" s="240"/>
      <c r="C707" s="241"/>
      <c r="D707" s="241"/>
      <c r="H707" s="240"/>
      <c r="J707" s="240"/>
    </row>
    <row r="708" spans="1:10" x14ac:dyDescent="0.2">
      <c r="A708" s="240"/>
      <c r="C708" s="241"/>
      <c r="D708" s="241"/>
      <c r="H708" s="240"/>
      <c r="J708" s="240"/>
    </row>
    <row r="709" spans="1:10" x14ac:dyDescent="0.2">
      <c r="A709" s="240"/>
      <c r="C709" s="241"/>
      <c r="D709" s="241"/>
      <c r="H709" s="240"/>
      <c r="J709" s="240"/>
    </row>
    <row r="710" spans="1:10" x14ac:dyDescent="0.2">
      <c r="A710" s="240"/>
      <c r="C710" s="241"/>
      <c r="D710" s="241"/>
      <c r="H710" s="240"/>
      <c r="J710" s="240"/>
    </row>
    <row r="711" spans="1:10" x14ac:dyDescent="0.2">
      <c r="A711" s="240"/>
      <c r="C711" s="241"/>
      <c r="D711" s="241"/>
      <c r="H711" s="240"/>
      <c r="J711" s="240"/>
    </row>
    <row r="712" spans="1:10" x14ac:dyDescent="0.2">
      <c r="A712" s="240"/>
      <c r="C712" s="241"/>
      <c r="D712" s="241"/>
      <c r="H712" s="240"/>
      <c r="J712" s="240"/>
    </row>
    <row r="713" spans="1:10" x14ac:dyDescent="0.2">
      <c r="A713" s="240"/>
      <c r="C713" s="241"/>
      <c r="D713" s="241"/>
      <c r="H713" s="240"/>
      <c r="J713" s="240"/>
    </row>
    <row r="714" spans="1:10" x14ac:dyDescent="0.2">
      <c r="A714" s="240"/>
      <c r="C714" s="241"/>
      <c r="D714" s="241"/>
      <c r="H714" s="240"/>
      <c r="J714" s="240"/>
    </row>
    <row r="715" spans="1:10" x14ac:dyDescent="0.2">
      <c r="A715" s="240"/>
      <c r="C715" s="241"/>
      <c r="D715" s="241"/>
      <c r="H715" s="240"/>
      <c r="J715" s="240"/>
    </row>
    <row r="716" spans="1:10" x14ac:dyDescent="0.2">
      <c r="A716" s="240"/>
      <c r="C716" s="241"/>
      <c r="D716" s="241"/>
      <c r="H716" s="240"/>
      <c r="J716" s="240"/>
    </row>
    <row r="717" spans="1:10" x14ac:dyDescent="0.2">
      <c r="A717" s="240"/>
      <c r="C717" s="241"/>
      <c r="D717" s="241"/>
      <c r="H717" s="240"/>
      <c r="J717" s="240"/>
    </row>
    <row r="718" spans="1:10" x14ac:dyDescent="0.2">
      <c r="A718" s="240"/>
      <c r="C718" s="241"/>
      <c r="D718" s="241"/>
      <c r="H718" s="240"/>
      <c r="J718" s="240"/>
    </row>
    <row r="719" spans="1:10" x14ac:dyDescent="0.2">
      <c r="A719" s="240"/>
      <c r="C719" s="241"/>
      <c r="D719" s="241"/>
      <c r="H719" s="240"/>
      <c r="J719" s="240"/>
    </row>
    <row r="720" spans="1:10" x14ac:dyDescent="0.2">
      <c r="A720" s="240"/>
      <c r="C720" s="241"/>
      <c r="D720" s="241"/>
      <c r="H720" s="240"/>
      <c r="J720" s="240"/>
    </row>
    <row r="721" spans="1:10" x14ac:dyDescent="0.2">
      <c r="A721" s="240"/>
      <c r="C721" s="241"/>
      <c r="D721" s="241"/>
      <c r="H721" s="240"/>
      <c r="J721" s="240"/>
    </row>
    <row r="722" spans="1:10" x14ac:dyDescent="0.2">
      <c r="A722" s="240"/>
      <c r="C722" s="241"/>
      <c r="D722" s="241"/>
      <c r="H722" s="240"/>
      <c r="J722" s="240"/>
    </row>
    <row r="723" spans="1:10" x14ac:dyDescent="0.2">
      <c r="A723" s="240"/>
      <c r="C723" s="241"/>
      <c r="D723" s="241"/>
      <c r="H723" s="240"/>
      <c r="J723" s="240"/>
    </row>
    <row r="724" spans="1:10" x14ac:dyDescent="0.2">
      <c r="A724" s="240"/>
      <c r="C724" s="241"/>
      <c r="D724" s="241"/>
      <c r="H724" s="240"/>
      <c r="J724" s="240"/>
    </row>
    <row r="725" spans="1:10" x14ac:dyDescent="0.2">
      <c r="A725" s="240"/>
      <c r="C725" s="241"/>
      <c r="D725" s="241"/>
      <c r="H725" s="240"/>
      <c r="J725" s="240"/>
    </row>
    <row r="726" spans="1:10" x14ac:dyDescent="0.2">
      <c r="A726" s="240"/>
      <c r="C726" s="241"/>
      <c r="D726" s="241"/>
      <c r="H726" s="240"/>
      <c r="J726" s="240"/>
    </row>
    <row r="727" spans="1:10" x14ac:dyDescent="0.2">
      <c r="A727" s="240"/>
      <c r="C727" s="241"/>
      <c r="D727" s="241"/>
      <c r="H727" s="240"/>
      <c r="J727" s="240"/>
    </row>
    <row r="728" spans="1:10" x14ac:dyDescent="0.2">
      <c r="A728" s="240"/>
      <c r="C728" s="241"/>
      <c r="D728" s="241"/>
      <c r="H728" s="240"/>
      <c r="J728" s="240"/>
    </row>
    <row r="729" spans="1:10" x14ac:dyDescent="0.2">
      <c r="A729" s="240"/>
      <c r="C729" s="241"/>
      <c r="D729" s="241"/>
      <c r="H729" s="240"/>
      <c r="J729" s="240"/>
    </row>
    <row r="730" spans="1:10" x14ac:dyDescent="0.2">
      <c r="A730" s="240"/>
      <c r="C730" s="241"/>
      <c r="D730" s="241"/>
      <c r="H730" s="240"/>
      <c r="J730" s="240"/>
    </row>
    <row r="731" spans="1:10" x14ac:dyDescent="0.2">
      <c r="A731" s="240"/>
      <c r="C731" s="241"/>
      <c r="D731" s="241"/>
      <c r="H731" s="240"/>
      <c r="J731" s="240"/>
    </row>
    <row r="732" spans="1:10" x14ac:dyDescent="0.2">
      <c r="A732" s="240"/>
      <c r="C732" s="241"/>
      <c r="D732" s="241"/>
      <c r="H732" s="240"/>
      <c r="J732" s="240"/>
    </row>
    <row r="733" spans="1:10" x14ac:dyDescent="0.2">
      <c r="A733" s="240"/>
      <c r="C733" s="241"/>
      <c r="D733" s="241"/>
      <c r="H733" s="240"/>
      <c r="J733" s="240"/>
    </row>
    <row r="734" spans="1:10" x14ac:dyDescent="0.2">
      <c r="A734" s="240"/>
      <c r="C734" s="241"/>
      <c r="D734" s="241"/>
      <c r="H734" s="240"/>
      <c r="J734" s="240"/>
    </row>
    <row r="735" spans="1:10" x14ac:dyDescent="0.2">
      <c r="A735" s="240"/>
      <c r="C735" s="241"/>
      <c r="D735" s="241"/>
      <c r="H735" s="240"/>
      <c r="J735" s="240"/>
    </row>
    <row r="736" spans="1:10" x14ac:dyDescent="0.2">
      <c r="A736" s="240"/>
      <c r="C736" s="241"/>
      <c r="D736" s="241"/>
      <c r="H736" s="240"/>
      <c r="J736" s="240"/>
    </row>
    <row r="737" spans="1:10" x14ac:dyDescent="0.2">
      <c r="A737" s="240"/>
      <c r="C737" s="241"/>
      <c r="D737" s="241"/>
      <c r="H737" s="240"/>
      <c r="J737" s="240"/>
    </row>
    <row r="738" spans="1:10" x14ac:dyDescent="0.2">
      <c r="A738" s="240"/>
      <c r="C738" s="241"/>
      <c r="D738" s="241"/>
      <c r="H738" s="240"/>
      <c r="J738" s="240"/>
    </row>
    <row r="739" spans="1:10" x14ac:dyDescent="0.2">
      <c r="A739" s="240"/>
      <c r="C739" s="241"/>
      <c r="D739" s="241"/>
      <c r="H739" s="240"/>
      <c r="J739" s="240"/>
    </row>
    <row r="740" spans="1:10" x14ac:dyDescent="0.2">
      <c r="A740" s="240"/>
      <c r="C740" s="241"/>
      <c r="D740" s="241"/>
      <c r="H740" s="240"/>
      <c r="J740" s="240"/>
    </row>
    <row r="741" spans="1:10" x14ac:dyDescent="0.2">
      <c r="A741" s="240"/>
      <c r="C741" s="241"/>
      <c r="D741" s="241"/>
      <c r="H741" s="240"/>
      <c r="J741" s="240"/>
    </row>
    <row r="742" spans="1:10" x14ac:dyDescent="0.2">
      <c r="A742" s="240"/>
      <c r="C742" s="241"/>
      <c r="D742" s="241"/>
      <c r="H742" s="240"/>
      <c r="J742" s="240"/>
    </row>
    <row r="743" spans="1:10" x14ac:dyDescent="0.2">
      <c r="A743" s="240"/>
      <c r="C743" s="241"/>
      <c r="D743" s="241"/>
      <c r="H743" s="240"/>
      <c r="J743" s="240"/>
    </row>
    <row r="744" spans="1:10" x14ac:dyDescent="0.2">
      <c r="A744" s="240"/>
      <c r="C744" s="241"/>
      <c r="D744" s="241"/>
      <c r="H744" s="240"/>
      <c r="J744" s="240"/>
    </row>
    <row r="745" spans="1:10" x14ac:dyDescent="0.2">
      <c r="A745" s="240"/>
      <c r="C745" s="241"/>
      <c r="D745" s="241"/>
      <c r="H745" s="240"/>
      <c r="J745" s="240"/>
    </row>
    <row r="746" spans="1:10" x14ac:dyDescent="0.2">
      <c r="A746" s="240"/>
      <c r="C746" s="241"/>
      <c r="D746" s="241"/>
      <c r="H746" s="240"/>
      <c r="J746" s="240"/>
    </row>
    <row r="747" spans="1:10" x14ac:dyDescent="0.2">
      <c r="A747" s="240"/>
      <c r="C747" s="241"/>
      <c r="D747" s="241"/>
      <c r="H747" s="240"/>
      <c r="J747" s="240"/>
    </row>
    <row r="748" spans="1:10" x14ac:dyDescent="0.2">
      <c r="A748" s="240"/>
      <c r="C748" s="241"/>
      <c r="D748" s="241"/>
      <c r="H748" s="240"/>
      <c r="J748" s="240"/>
    </row>
    <row r="749" spans="1:10" x14ac:dyDescent="0.2">
      <c r="A749" s="240"/>
      <c r="C749" s="241"/>
      <c r="D749" s="241"/>
      <c r="H749" s="240"/>
      <c r="J749" s="240"/>
    </row>
    <row r="750" spans="1:10" x14ac:dyDescent="0.2">
      <c r="A750" s="240"/>
      <c r="C750" s="241"/>
      <c r="D750" s="241"/>
      <c r="H750" s="240"/>
      <c r="J750" s="240"/>
    </row>
    <row r="751" spans="1:10" x14ac:dyDescent="0.2">
      <c r="A751" s="240"/>
      <c r="C751" s="241"/>
      <c r="D751" s="241"/>
      <c r="H751" s="240"/>
      <c r="J751" s="240"/>
    </row>
    <row r="752" spans="1:10" x14ac:dyDescent="0.2">
      <c r="A752" s="240"/>
      <c r="C752" s="241"/>
      <c r="D752" s="241"/>
      <c r="H752" s="240"/>
      <c r="J752" s="240"/>
    </row>
    <row r="753" spans="1:10" x14ac:dyDescent="0.2">
      <c r="A753" s="240"/>
      <c r="C753" s="241"/>
      <c r="D753" s="241"/>
      <c r="H753" s="240"/>
      <c r="J753" s="240"/>
    </row>
    <row r="754" spans="1:10" x14ac:dyDescent="0.2">
      <c r="A754" s="240"/>
      <c r="C754" s="241"/>
      <c r="D754" s="241"/>
      <c r="H754" s="240"/>
      <c r="J754" s="240"/>
    </row>
    <row r="755" spans="1:10" x14ac:dyDescent="0.2">
      <c r="A755" s="240"/>
      <c r="C755" s="241"/>
      <c r="D755" s="241"/>
      <c r="H755" s="240"/>
      <c r="J755" s="240"/>
    </row>
    <row r="756" spans="1:10" x14ac:dyDescent="0.2">
      <c r="A756" s="240"/>
      <c r="C756" s="241"/>
      <c r="D756" s="241"/>
      <c r="H756" s="240"/>
      <c r="J756" s="240"/>
    </row>
    <row r="757" spans="1:10" x14ac:dyDescent="0.2">
      <c r="A757" s="240"/>
      <c r="C757" s="241"/>
      <c r="D757" s="241"/>
      <c r="H757" s="240"/>
      <c r="J757" s="240"/>
    </row>
    <row r="758" spans="1:10" x14ac:dyDescent="0.2">
      <c r="A758" s="240"/>
      <c r="C758" s="241"/>
      <c r="D758" s="241"/>
      <c r="H758" s="240"/>
      <c r="J758" s="240"/>
    </row>
    <row r="759" spans="1:10" x14ac:dyDescent="0.2">
      <c r="A759" s="240"/>
      <c r="C759" s="241"/>
      <c r="D759" s="241"/>
      <c r="H759" s="240"/>
      <c r="J759" s="240"/>
    </row>
    <row r="760" spans="1:10" x14ac:dyDescent="0.2">
      <c r="A760" s="240"/>
      <c r="C760" s="241"/>
      <c r="D760" s="241"/>
      <c r="H760" s="240"/>
      <c r="J760" s="240"/>
    </row>
    <row r="761" spans="1:10" x14ac:dyDescent="0.2">
      <c r="A761" s="240"/>
      <c r="C761" s="241"/>
      <c r="D761" s="241"/>
      <c r="H761" s="240"/>
      <c r="J761" s="240"/>
    </row>
    <row r="762" spans="1:10" x14ac:dyDescent="0.2">
      <c r="A762" s="240"/>
      <c r="C762" s="241"/>
      <c r="D762" s="241"/>
      <c r="H762" s="240"/>
      <c r="J762" s="240"/>
    </row>
    <row r="763" spans="1:10" x14ac:dyDescent="0.2">
      <c r="A763" s="240"/>
      <c r="C763" s="241"/>
      <c r="D763" s="241"/>
      <c r="H763" s="240"/>
      <c r="J763" s="240"/>
    </row>
    <row r="764" spans="1:10" x14ac:dyDescent="0.2">
      <c r="A764" s="240"/>
      <c r="C764" s="241"/>
      <c r="D764" s="241"/>
      <c r="H764" s="240"/>
      <c r="J764" s="240"/>
    </row>
    <row r="765" spans="1:10" x14ac:dyDescent="0.2">
      <c r="A765" s="240"/>
      <c r="C765" s="241"/>
      <c r="D765" s="241"/>
      <c r="H765" s="240"/>
      <c r="J765" s="240"/>
    </row>
    <row r="766" spans="1:10" x14ac:dyDescent="0.2">
      <c r="A766" s="240"/>
      <c r="C766" s="241"/>
      <c r="D766" s="241"/>
      <c r="H766" s="240"/>
      <c r="J766" s="240"/>
    </row>
    <row r="767" spans="1:10" x14ac:dyDescent="0.2">
      <c r="A767" s="240"/>
      <c r="C767" s="241"/>
      <c r="D767" s="241"/>
      <c r="H767" s="240"/>
      <c r="J767" s="240"/>
    </row>
    <row r="768" spans="1:10" x14ac:dyDescent="0.2">
      <c r="A768" s="240"/>
      <c r="C768" s="241"/>
      <c r="D768" s="241"/>
      <c r="H768" s="240"/>
      <c r="J768" s="240"/>
    </row>
    <row r="769" spans="1:10" x14ac:dyDescent="0.2">
      <c r="A769" s="240"/>
      <c r="C769" s="241"/>
      <c r="D769" s="241"/>
      <c r="H769" s="240"/>
      <c r="J769" s="240"/>
    </row>
    <row r="770" spans="1:10" x14ac:dyDescent="0.2">
      <c r="A770" s="240"/>
      <c r="C770" s="241"/>
      <c r="D770" s="241"/>
      <c r="H770" s="240"/>
      <c r="J770" s="240"/>
    </row>
    <row r="771" spans="1:10" x14ac:dyDescent="0.2">
      <c r="A771" s="240"/>
      <c r="C771" s="241"/>
      <c r="D771" s="241"/>
      <c r="H771" s="240"/>
      <c r="J771" s="240"/>
    </row>
    <row r="772" spans="1:10" x14ac:dyDescent="0.2">
      <c r="A772" s="240"/>
      <c r="C772" s="241"/>
      <c r="D772" s="241"/>
      <c r="H772" s="240"/>
      <c r="J772" s="240"/>
    </row>
    <row r="773" spans="1:10" x14ac:dyDescent="0.2">
      <c r="A773" s="240"/>
      <c r="C773" s="241"/>
      <c r="D773" s="241"/>
      <c r="H773" s="240"/>
      <c r="J773" s="240"/>
    </row>
    <row r="774" spans="1:10" x14ac:dyDescent="0.2">
      <c r="A774" s="240"/>
      <c r="C774" s="241"/>
      <c r="D774" s="241"/>
      <c r="H774" s="240"/>
      <c r="J774" s="240"/>
    </row>
    <row r="775" spans="1:10" x14ac:dyDescent="0.2">
      <c r="A775" s="240"/>
      <c r="C775" s="241"/>
      <c r="D775" s="241"/>
      <c r="H775" s="240"/>
      <c r="J775" s="240"/>
    </row>
    <row r="776" spans="1:10" x14ac:dyDescent="0.2">
      <c r="A776" s="240"/>
      <c r="C776" s="241"/>
      <c r="D776" s="241"/>
      <c r="H776" s="240"/>
      <c r="J776" s="240"/>
    </row>
    <row r="777" spans="1:10" x14ac:dyDescent="0.2">
      <c r="A777" s="240"/>
      <c r="C777" s="241"/>
      <c r="D777" s="241"/>
      <c r="H777" s="240"/>
      <c r="J777" s="240"/>
    </row>
    <row r="778" spans="1:10" x14ac:dyDescent="0.2">
      <c r="A778" s="240"/>
      <c r="C778" s="241"/>
      <c r="D778" s="241"/>
      <c r="H778" s="240"/>
      <c r="J778" s="240"/>
    </row>
    <row r="779" spans="1:10" x14ac:dyDescent="0.2">
      <c r="A779" s="240"/>
      <c r="C779" s="241"/>
      <c r="D779" s="241"/>
      <c r="H779" s="240"/>
      <c r="J779" s="240"/>
    </row>
    <row r="780" spans="1:10" x14ac:dyDescent="0.2">
      <c r="A780" s="240"/>
      <c r="C780" s="241"/>
      <c r="D780" s="241"/>
      <c r="H780" s="240"/>
      <c r="J780" s="240"/>
    </row>
    <row r="781" spans="1:10" x14ac:dyDescent="0.2">
      <c r="A781" s="240"/>
      <c r="C781" s="241"/>
      <c r="D781" s="241"/>
      <c r="H781" s="240"/>
      <c r="J781" s="240"/>
    </row>
    <row r="782" spans="1:10" x14ac:dyDescent="0.2">
      <c r="A782" s="240"/>
      <c r="C782" s="241"/>
      <c r="D782" s="241"/>
      <c r="H782" s="240"/>
      <c r="J782" s="240"/>
    </row>
    <row r="783" spans="1:10" x14ac:dyDescent="0.2">
      <c r="A783" s="240"/>
      <c r="C783" s="241"/>
      <c r="D783" s="241"/>
      <c r="H783" s="240"/>
      <c r="J783" s="240"/>
    </row>
    <row r="784" spans="1:10" x14ac:dyDescent="0.2">
      <c r="A784" s="240"/>
      <c r="C784" s="241"/>
      <c r="D784" s="241"/>
      <c r="H784" s="240"/>
      <c r="J784" s="240"/>
    </row>
    <row r="785" spans="1:10" x14ac:dyDescent="0.2">
      <c r="A785" s="240"/>
      <c r="C785" s="241"/>
      <c r="D785" s="241"/>
      <c r="H785" s="240"/>
      <c r="J785" s="240"/>
    </row>
    <row r="786" spans="1:10" x14ac:dyDescent="0.2">
      <c r="A786" s="240"/>
      <c r="C786" s="241"/>
      <c r="D786" s="241"/>
      <c r="H786" s="240"/>
      <c r="J786" s="240"/>
    </row>
    <row r="787" spans="1:10" x14ac:dyDescent="0.2">
      <c r="A787" s="240"/>
      <c r="C787" s="241"/>
      <c r="D787" s="241"/>
      <c r="H787" s="240"/>
      <c r="J787" s="240"/>
    </row>
    <row r="788" spans="1:10" x14ac:dyDescent="0.2">
      <c r="A788" s="240"/>
      <c r="C788" s="241"/>
      <c r="D788" s="241"/>
      <c r="H788" s="240"/>
      <c r="J788" s="240"/>
    </row>
    <row r="789" spans="1:10" x14ac:dyDescent="0.2">
      <c r="A789" s="240"/>
      <c r="C789" s="241"/>
      <c r="D789" s="241"/>
      <c r="H789" s="240"/>
      <c r="J789" s="240"/>
    </row>
    <row r="790" spans="1:10" x14ac:dyDescent="0.2">
      <c r="A790" s="240"/>
      <c r="C790" s="241"/>
      <c r="D790" s="241"/>
      <c r="H790" s="240"/>
      <c r="J790" s="240"/>
    </row>
    <row r="791" spans="1:10" x14ac:dyDescent="0.2">
      <c r="A791" s="240"/>
      <c r="C791" s="241"/>
      <c r="D791" s="241"/>
      <c r="H791" s="240"/>
      <c r="J791" s="240"/>
    </row>
    <row r="792" spans="1:10" x14ac:dyDescent="0.2">
      <c r="A792" s="240"/>
      <c r="C792" s="241"/>
      <c r="D792" s="241"/>
      <c r="H792" s="240"/>
      <c r="J792" s="240"/>
    </row>
    <row r="793" spans="1:10" x14ac:dyDescent="0.2">
      <c r="A793" s="240"/>
      <c r="C793" s="241"/>
      <c r="D793" s="241"/>
      <c r="H793" s="240"/>
      <c r="J793" s="240"/>
    </row>
    <row r="794" spans="1:10" x14ac:dyDescent="0.2">
      <c r="A794" s="240"/>
      <c r="C794" s="241"/>
      <c r="D794" s="241"/>
      <c r="H794" s="240"/>
      <c r="J794" s="240"/>
    </row>
    <row r="795" spans="1:10" x14ac:dyDescent="0.2">
      <c r="A795" s="240"/>
      <c r="C795" s="241"/>
      <c r="D795" s="241"/>
      <c r="H795" s="240"/>
      <c r="J795" s="240"/>
    </row>
    <row r="796" spans="1:10" x14ac:dyDescent="0.2">
      <c r="A796" s="240"/>
      <c r="C796" s="241"/>
      <c r="D796" s="241"/>
      <c r="H796" s="240"/>
      <c r="J796" s="240"/>
    </row>
    <row r="797" spans="1:10" x14ac:dyDescent="0.2">
      <c r="A797" s="240"/>
      <c r="C797" s="241"/>
      <c r="D797" s="241"/>
      <c r="H797" s="240"/>
      <c r="J797" s="240"/>
    </row>
    <row r="798" spans="1:10" x14ac:dyDescent="0.2">
      <c r="A798" s="240"/>
      <c r="C798" s="241"/>
      <c r="D798" s="241"/>
      <c r="H798" s="240"/>
      <c r="J798" s="240"/>
    </row>
    <row r="799" spans="1:10" x14ac:dyDescent="0.2">
      <c r="A799" s="240"/>
      <c r="C799" s="241"/>
      <c r="D799" s="241"/>
      <c r="H799" s="240"/>
      <c r="J799" s="240"/>
    </row>
    <row r="800" spans="1:10" x14ac:dyDescent="0.2">
      <c r="A800" s="240"/>
      <c r="C800" s="241"/>
      <c r="D800" s="241"/>
      <c r="H800" s="240"/>
      <c r="J800" s="240"/>
    </row>
    <row r="801" spans="1:10" x14ac:dyDescent="0.2">
      <c r="A801" s="240"/>
      <c r="C801" s="241"/>
      <c r="D801" s="241"/>
      <c r="H801" s="240"/>
      <c r="J801" s="240"/>
    </row>
    <row r="802" spans="1:10" x14ac:dyDescent="0.2">
      <c r="A802" s="240"/>
      <c r="C802" s="241"/>
      <c r="D802" s="241"/>
      <c r="H802" s="240"/>
      <c r="J802" s="240"/>
    </row>
    <row r="803" spans="1:10" x14ac:dyDescent="0.2">
      <c r="A803" s="240"/>
      <c r="C803" s="241"/>
      <c r="D803" s="241"/>
      <c r="H803" s="240"/>
      <c r="J803" s="240"/>
    </row>
    <row r="804" spans="1:10" x14ac:dyDescent="0.2">
      <c r="A804" s="240"/>
      <c r="C804" s="241"/>
      <c r="D804" s="241"/>
      <c r="H804" s="240"/>
      <c r="J804" s="240"/>
    </row>
    <row r="805" spans="1:10" x14ac:dyDescent="0.2">
      <c r="A805" s="240"/>
      <c r="C805" s="241"/>
      <c r="D805" s="241"/>
      <c r="H805" s="240"/>
      <c r="J805" s="240"/>
    </row>
    <row r="806" spans="1:10" x14ac:dyDescent="0.2">
      <c r="A806" s="240"/>
      <c r="C806" s="241"/>
      <c r="D806" s="241"/>
      <c r="H806" s="240"/>
      <c r="J806" s="240"/>
    </row>
    <row r="807" spans="1:10" x14ac:dyDescent="0.2">
      <c r="A807" s="240"/>
      <c r="C807" s="241"/>
      <c r="D807" s="241"/>
      <c r="H807" s="240"/>
      <c r="J807" s="240"/>
    </row>
    <row r="808" spans="1:10" x14ac:dyDescent="0.2">
      <c r="A808" s="240"/>
      <c r="C808" s="241"/>
      <c r="D808" s="241"/>
      <c r="H808" s="240"/>
      <c r="J808" s="240"/>
    </row>
    <row r="809" spans="1:10" x14ac:dyDescent="0.2">
      <c r="A809" s="240"/>
      <c r="C809" s="241"/>
      <c r="D809" s="241"/>
      <c r="H809" s="240"/>
      <c r="J809" s="240"/>
    </row>
    <row r="810" spans="1:10" x14ac:dyDescent="0.2">
      <c r="A810" s="240"/>
      <c r="C810" s="241"/>
      <c r="D810" s="241"/>
      <c r="H810" s="240"/>
      <c r="J810" s="240"/>
    </row>
    <row r="811" spans="1:10" x14ac:dyDescent="0.2">
      <c r="A811" s="240"/>
      <c r="C811" s="241"/>
      <c r="D811" s="241"/>
      <c r="H811" s="240"/>
      <c r="J811" s="240"/>
    </row>
    <row r="812" spans="1:10" x14ac:dyDescent="0.2">
      <c r="A812" s="240"/>
      <c r="C812" s="241"/>
      <c r="D812" s="241"/>
      <c r="H812" s="240"/>
      <c r="J812" s="240"/>
    </row>
    <row r="813" spans="1:10" x14ac:dyDescent="0.2">
      <c r="A813" s="240"/>
      <c r="C813" s="241"/>
      <c r="D813" s="241"/>
      <c r="H813" s="240"/>
      <c r="J813" s="240"/>
    </row>
    <row r="814" spans="1:10" x14ac:dyDescent="0.2">
      <c r="A814" s="240"/>
      <c r="C814" s="241"/>
      <c r="D814" s="241"/>
      <c r="H814" s="240"/>
      <c r="J814" s="240"/>
    </row>
    <row r="815" spans="1:10" x14ac:dyDescent="0.2">
      <c r="A815" s="240"/>
      <c r="C815" s="241"/>
      <c r="D815" s="241"/>
      <c r="H815" s="240"/>
      <c r="J815" s="240"/>
    </row>
    <row r="816" spans="1:10" x14ac:dyDescent="0.2">
      <c r="A816" s="240"/>
      <c r="C816" s="241"/>
      <c r="D816" s="241"/>
      <c r="H816" s="240"/>
      <c r="J816" s="240"/>
    </row>
    <row r="817" spans="1:10" x14ac:dyDescent="0.2">
      <c r="A817" s="240"/>
      <c r="C817" s="241"/>
      <c r="D817" s="241"/>
      <c r="H817" s="240"/>
      <c r="J817" s="240"/>
    </row>
    <row r="818" spans="1:10" x14ac:dyDescent="0.2">
      <c r="A818" s="240"/>
      <c r="C818" s="241"/>
      <c r="D818" s="241"/>
      <c r="H818" s="240"/>
      <c r="J818" s="240"/>
    </row>
    <row r="819" spans="1:10" x14ac:dyDescent="0.2">
      <c r="A819" s="240"/>
      <c r="C819" s="241"/>
      <c r="D819" s="241"/>
      <c r="H819" s="240"/>
      <c r="J819" s="240"/>
    </row>
    <row r="820" spans="1:10" x14ac:dyDescent="0.2">
      <c r="A820" s="240"/>
      <c r="C820" s="241"/>
      <c r="D820" s="241"/>
      <c r="H820" s="240"/>
      <c r="J820" s="240"/>
    </row>
    <row r="821" spans="1:10" x14ac:dyDescent="0.2">
      <c r="A821" s="240"/>
      <c r="C821" s="241"/>
      <c r="D821" s="241"/>
      <c r="H821" s="240"/>
      <c r="J821" s="240"/>
    </row>
    <row r="822" spans="1:10" x14ac:dyDescent="0.2">
      <c r="A822" s="240"/>
      <c r="C822" s="241"/>
      <c r="D822" s="241"/>
      <c r="H822" s="240"/>
      <c r="J822" s="240"/>
    </row>
    <row r="823" spans="1:10" x14ac:dyDescent="0.2">
      <c r="A823" s="240"/>
      <c r="C823" s="241"/>
      <c r="D823" s="241"/>
      <c r="H823" s="240"/>
      <c r="J823" s="240"/>
    </row>
    <row r="824" spans="1:10" x14ac:dyDescent="0.2">
      <c r="A824" s="240"/>
      <c r="C824" s="241"/>
      <c r="D824" s="241"/>
      <c r="H824" s="240"/>
      <c r="J824" s="240"/>
    </row>
    <row r="825" spans="1:10" x14ac:dyDescent="0.2">
      <c r="A825" s="240"/>
      <c r="C825" s="241"/>
      <c r="D825" s="241"/>
      <c r="H825" s="240"/>
      <c r="J825" s="240"/>
    </row>
    <row r="826" spans="1:10" x14ac:dyDescent="0.2">
      <c r="A826" s="240"/>
      <c r="C826" s="241"/>
      <c r="D826" s="241"/>
      <c r="H826" s="240"/>
      <c r="J826" s="240"/>
    </row>
    <row r="827" spans="1:10" x14ac:dyDescent="0.2">
      <c r="A827" s="240"/>
      <c r="C827" s="241"/>
      <c r="D827" s="241"/>
      <c r="H827" s="240"/>
      <c r="J827" s="240"/>
    </row>
    <row r="828" spans="1:10" x14ac:dyDescent="0.2">
      <c r="A828" s="240"/>
      <c r="C828" s="241"/>
      <c r="D828" s="241"/>
      <c r="H828" s="240"/>
      <c r="J828" s="240"/>
    </row>
    <row r="829" spans="1:10" x14ac:dyDescent="0.2">
      <c r="A829" s="240"/>
      <c r="C829" s="241"/>
      <c r="D829" s="241"/>
      <c r="H829" s="240"/>
      <c r="J829" s="240"/>
    </row>
    <row r="830" spans="1:10" x14ac:dyDescent="0.2">
      <c r="A830" s="240"/>
      <c r="C830" s="241"/>
      <c r="D830" s="241"/>
      <c r="H830" s="240"/>
      <c r="J830" s="240"/>
    </row>
    <row r="831" spans="1:10" x14ac:dyDescent="0.2">
      <c r="A831" s="240"/>
      <c r="C831" s="241"/>
      <c r="D831" s="241"/>
      <c r="H831" s="240"/>
      <c r="J831" s="240"/>
    </row>
    <row r="832" spans="1:10" x14ac:dyDescent="0.2">
      <c r="A832" s="240"/>
      <c r="C832" s="241"/>
      <c r="D832" s="241"/>
      <c r="H832" s="240"/>
      <c r="J832" s="240"/>
    </row>
    <row r="833" spans="1:10" x14ac:dyDescent="0.2">
      <c r="A833" s="240"/>
      <c r="C833" s="241"/>
      <c r="D833" s="241"/>
      <c r="H833" s="240"/>
      <c r="J833" s="240"/>
    </row>
    <row r="834" spans="1:10" x14ac:dyDescent="0.2">
      <c r="A834" s="240"/>
      <c r="C834" s="241"/>
      <c r="D834" s="241"/>
      <c r="H834" s="240"/>
      <c r="J834" s="240"/>
    </row>
    <row r="835" spans="1:10" x14ac:dyDescent="0.2">
      <c r="A835" s="240"/>
      <c r="C835" s="241"/>
      <c r="D835" s="241"/>
      <c r="H835" s="240"/>
      <c r="J835" s="240"/>
    </row>
    <row r="836" spans="1:10" x14ac:dyDescent="0.2">
      <c r="A836" s="240"/>
      <c r="C836" s="241"/>
      <c r="D836" s="241"/>
      <c r="H836" s="240"/>
      <c r="J836" s="240"/>
    </row>
    <row r="837" spans="1:10" x14ac:dyDescent="0.2">
      <c r="A837" s="240"/>
      <c r="C837" s="241"/>
      <c r="D837" s="241"/>
      <c r="H837" s="240"/>
      <c r="J837" s="240"/>
    </row>
    <row r="838" spans="1:10" x14ac:dyDescent="0.2">
      <c r="A838" s="240"/>
      <c r="C838" s="241"/>
      <c r="D838" s="241"/>
      <c r="H838" s="240"/>
      <c r="J838" s="240"/>
    </row>
    <row r="839" spans="1:10" x14ac:dyDescent="0.2">
      <c r="A839" s="240"/>
      <c r="C839" s="241"/>
      <c r="D839" s="241"/>
      <c r="H839" s="240"/>
      <c r="J839" s="240"/>
    </row>
    <row r="840" spans="1:10" x14ac:dyDescent="0.2">
      <c r="A840" s="240"/>
      <c r="C840" s="241"/>
      <c r="D840" s="241"/>
      <c r="H840" s="240"/>
      <c r="J840" s="240"/>
    </row>
    <row r="841" spans="1:10" x14ac:dyDescent="0.2">
      <c r="A841" s="240"/>
      <c r="C841" s="241"/>
      <c r="D841" s="241"/>
      <c r="H841" s="240"/>
      <c r="J841" s="240"/>
    </row>
    <row r="842" spans="1:10" x14ac:dyDescent="0.2">
      <c r="A842" s="240"/>
      <c r="C842" s="241"/>
      <c r="D842" s="241"/>
      <c r="H842" s="240"/>
      <c r="J842" s="240"/>
    </row>
    <row r="843" spans="1:10" x14ac:dyDescent="0.2">
      <c r="A843" s="240"/>
      <c r="C843" s="241"/>
      <c r="D843" s="241"/>
      <c r="H843" s="240"/>
      <c r="J843" s="240"/>
    </row>
    <row r="844" spans="1:10" x14ac:dyDescent="0.2">
      <c r="A844" s="240"/>
      <c r="C844" s="241"/>
      <c r="D844" s="241"/>
      <c r="H844" s="240"/>
      <c r="J844" s="240"/>
    </row>
    <row r="845" spans="1:10" x14ac:dyDescent="0.2">
      <c r="A845" s="240"/>
      <c r="C845" s="241"/>
      <c r="D845" s="241"/>
      <c r="H845" s="240"/>
      <c r="J845" s="240"/>
    </row>
    <row r="846" spans="1:10" x14ac:dyDescent="0.2">
      <c r="A846" s="240"/>
      <c r="C846" s="241"/>
      <c r="D846" s="241"/>
      <c r="H846" s="240"/>
      <c r="J846" s="240"/>
    </row>
    <row r="847" spans="1:10" x14ac:dyDescent="0.2">
      <c r="A847" s="240"/>
      <c r="C847" s="241"/>
      <c r="D847" s="241"/>
      <c r="H847" s="240"/>
      <c r="J847" s="240"/>
    </row>
    <row r="848" spans="1:10" x14ac:dyDescent="0.2">
      <c r="A848" s="240"/>
      <c r="C848" s="241"/>
      <c r="D848" s="241"/>
      <c r="H848" s="240"/>
      <c r="J848" s="240"/>
    </row>
    <row r="849" spans="1:10" x14ac:dyDescent="0.2">
      <c r="A849" s="240"/>
      <c r="C849" s="241"/>
      <c r="D849" s="241"/>
      <c r="H849" s="240"/>
      <c r="J849" s="240"/>
    </row>
    <row r="850" spans="1:10" x14ac:dyDescent="0.2">
      <c r="A850" s="240"/>
      <c r="C850" s="241"/>
      <c r="D850" s="241"/>
      <c r="H850" s="240"/>
      <c r="J850" s="240"/>
    </row>
    <row r="851" spans="1:10" x14ac:dyDescent="0.2">
      <c r="A851" s="240"/>
      <c r="C851" s="241"/>
      <c r="D851" s="241"/>
      <c r="H851" s="240"/>
      <c r="J851" s="240"/>
    </row>
    <row r="852" spans="1:10" x14ac:dyDescent="0.2">
      <c r="A852" s="240"/>
      <c r="C852" s="241"/>
      <c r="D852" s="241"/>
      <c r="H852" s="240"/>
      <c r="J852" s="240"/>
    </row>
    <row r="853" spans="1:10" x14ac:dyDescent="0.2">
      <c r="A853" s="240"/>
      <c r="C853" s="241"/>
      <c r="D853" s="241"/>
      <c r="H853" s="240"/>
      <c r="J853" s="240"/>
    </row>
    <row r="854" spans="1:10" x14ac:dyDescent="0.2">
      <c r="A854" s="240"/>
      <c r="C854" s="241"/>
      <c r="D854" s="241"/>
      <c r="H854" s="240"/>
      <c r="J854" s="240"/>
    </row>
    <row r="855" spans="1:10" x14ac:dyDescent="0.2">
      <c r="A855" s="240"/>
      <c r="C855" s="241"/>
      <c r="D855" s="241"/>
      <c r="H855" s="240"/>
      <c r="J855" s="240"/>
    </row>
    <row r="856" spans="1:10" x14ac:dyDescent="0.2">
      <c r="A856" s="240"/>
      <c r="C856" s="241"/>
      <c r="D856" s="241"/>
      <c r="H856" s="240"/>
      <c r="J856" s="240"/>
    </row>
    <row r="857" spans="1:10" x14ac:dyDescent="0.2">
      <c r="A857" s="240"/>
      <c r="C857" s="241"/>
      <c r="D857" s="241"/>
      <c r="H857" s="240"/>
      <c r="J857" s="240"/>
    </row>
    <row r="858" spans="1:10" x14ac:dyDescent="0.2">
      <c r="A858" s="240"/>
      <c r="C858" s="241"/>
      <c r="D858" s="241"/>
      <c r="H858" s="240"/>
      <c r="J858" s="240"/>
    </row>
    <row r="859" spans="1:10" x14ac:dyDescent="0.2">
      <c r="A859" s="240"/>
      <c r="C859" s="241"/>
      <c r="D859" s="241"/>
      <c r="H859" s="240"/>
      <c r="J859" s="240"/>
    </row>
    <row r="860" spans="1:10" x14ac:dyDescent="0.2">
      <c r="A860" s="240"/>
      <c r="C860" s="241"/>
      <c r="D860" s="241"/>
      <c r="H860" s="240"/>
      <c r="J860" s="240"/>
    </row>
    <row r="861" spans="1:10" x14ac:dyDescent="0.2">
      <c r="A861" s="240"/>
      <c r="C861" s="241"/>
      <c r="D861" s="241"/>
      <c r="H861" s="240"/>
      <c r="J861" s="240"/>
    </row>
    <row r="862" spans="1:10" x14ac:dyDescent="0.2">
      <c r="A862" s="240"/>
      <c r="C862" s="241"/>
      <c r="D862" s="241"/>
      <c r="H862" s="240"/>
      <c r="J862" s="240"/>
    </row>
    <row r="863" spans="1:10" x14ac:dyDescent="0.2">
      <c r="A863" s="240"/>
      <c r="C863" s="241"/>
      <c r="D863" s="241"/>
      <c r="H863" s="240"/>
      <c r="J863" s="240"/>
    </row>
    <row r="864" spans="1:10" x14ac:dyDescent="0.2">
      <c r="A864" s="240"/>
      <c r="C864" s="241"/>
      <c r="D864" s="241"/>
      <c r="H864" s="240"/>
      <c r="J864" s="240"/>
    </row>
    <row r="865" spans="1:10" x14ac:dyDescent="0.2">
      <c r="A865" s="240"/>
      <c r="C865" s="241"/>
      <c r="D865" s="241"/>
      <c r="H865" s="240"/>
      <c r="J865" s="240"/>
    </row>
    <row r="866" spans="1:10" x14ac:dyDescent="0.2">
      <c r="A866" s="240"/>
      <c r="C866" s="241"/>
      <c r="D866" s="241"/>
      <c r="H866" s="240"/>
      <c r="J866" s="240"/>
    </row>
    <row r="867" spans="1:10" x14ac:dyDescent="0.2">
      <c r="A867" s="240"/>
      <c r="C867" s="241"/>
      <c r="D867" s="241"/>
      <c r="H867" s="240"/>
      <c r="J867" s="240"/>
    </row>
    <row r="868" spans="1:10" x14ac:dyDescent="0.2">
      <c r="A868" s="240"/>
      <c r="C868" s="241"/>
      <c r="D868" s="241"/>
      <c r="H868" s="240"/>
      <c r="J868" s="240"/>
    </row>
    <row r="869" spans="1:10" x14ac:dyDescent="0.2">
      <c r="A869" s="240"/>
      <c r="C869" s="241"/>
      <c r="D869" s="241"/>
      <c r="H869" s="240"/>
      <c r="J869" s="240"/>
    </row>
    <row r="870" spans="1:10" x14ac:dyDescent="0.2">
      <c r="A870" s="240"/>
      <c r="C870" s="241"/>
      <c r="D870" s="241"/>
      <c r="H870" s="240"/>
      <c r="J870" s="240"/>
    </row>
    <row r="871" spans="1:10" x14ac:dyDescent="0.2">
      <c r="A871" s="240"/>
      <c r="C871" s="241"/>
      <c r="D871" s="241"/>
      <c r="H871" s="240"/>
      <c r="J871" s="240"/>
    </row>
    <row r="872" spans="1:10" x14ac:dyDescent="0.2">
      <c r="A872" s="240"/>
      <c r="C872" s="241"/>
      <c r="D872" s="241"/>
      <c r="H872" s="240"/>
      <c r="J872" s="240"/>
    </row>
    <row r="873" spans="1:10" x14ac:dyDescent="0.2">
      <c r="A873" s="240"/>
      <c r="C873" s="241"/>
      <c r="D873" s="241"/>
      <c r="H873" s="240"/>
      <c r="J873" s="240"/>
    </row>
    <row r="874" spans="1:10" x14ac:dyDescent="0.2">
      <c r="A874" s="240"/>
      <c r="C874" s="241"/>
      <c r="D874" s="241"/>
      <c r="H874" s="240"/>
      <c r="J874" s="240"/>
    </row>
    <row r="875" spans="1:10" x14ac:dyDescent="0.2">
      <c r="A875" s="240"/>
      <c r="C875" s="241"/>
      <c r="D875" s="241"/>
      <c r="H875" s="240"/>
      <c r="J875" s="240"/>
    </row>
    <row r="876" spans="1:10" x14ac:dyDescent="0.2">
      <c r="A876" s="240"/>
      <c r="C876" s="241"/>
      <c r="D876" s="241"/>
      <c r="H876" s="240"/>
      <c r="J876" s="240"/>
    </row>
    <row r="877" spans="1:10" x14ac:dyDescent="0.2">
      <c r="A877" s="240"/>
      <c r="C877" s="241"/>
      <c r="D877" s="241"/>
      <c r="H877" s="240"/>
      <c r="J877" s="240"/>
    </row>
    <row r="878" spans="1:10" x14ac:dyDescent="0.2">
      <c r="A878" s="240"/>
      <c r="C878" s="241"/>
      <c r="D878" s="241"/>
      <c r="H878" s="240"/>
      <c r="J878" s="240"/>
    </row>
    <row r="879" spans="1:10" x14ac:dyDescent="0.2">
      <c r="A879" s="240"/>
      <c r="C879" s="241"/>
      <c r="D879" s="241"/>
      <c r="H879" s="240"/>
      <c r="J879" s="240"/>
    </row>
    <row r="880" spans="1:10" x14ac:dyDescent="0.2">
      <c r="A880" s="240"/>
      <c r="C880" s="241"/>
      <c r="D880" s="241"/>
      <c r="H880" s="240"/>
      <c r="J880" s="240"/>
    </row>
    <row r="881" spans="1:10" x14ac:dyDescent="0.2">
      <c r="A881" s="240"/>
      <c r="C881" s="241"/>
      <c r="D881" s="241"/>
      <c r="H881" s="240"/>
      <c r="J881" s="240"/>
    </row>
    <row r="882" spans="1:10" x14ac:dyDescent="0.2">
      <c r="A882" s="240"/>
      <c r="C882" s="241"/>
      <c r="D882" s="241"/>
      <c r="H882" s="240"/>
      <c r="J882" s="240"/>
    </row>
    <row r="883" spans="1:10" x14ac:dyDescent="0.2">
      <c r="A883" s="240"/>
      <c r="C883" s="241"/>
      <c r="D883" s="241"/>
      <c r="H883" s="240"/>
      <c r="J883" s="240"/>
    </row>
    <row r="884" spans="1:10" x14ac:dyDescent="0.2">
      <c r="A884" s="240"/>
      <c r="C884" s="241"/>
      <c r="D884" s="241"/>
      <c r="H884" s="240"/>
      <c r="J884" s="240"/>
    </row>
    <row r="885" spans="1:10" x14ac:dyDescent="0.2">
      <c r="A885" s="240"/>
      <c r="C885" s="241"/>
      <c r="D885" s="241"/>
      <c r="H885" s="240"/>
      <c r="J885" s="240"/>
    </row>
    <row r="886" spans="1:10" x14ac:dyDescent="0.2">
      <c r="A886" s="240"/>
      <c r="C886" s="241"/>
      <c r="D886" s="241"/>
      <c r="H886" s="240"/>
      <c r="J886" s="240"/>
    </row>
    <row r="887" spans="1:10" x14ac:dyDescent="0.2">
      <c r="A887" s="240"/>
      <c r="C887" s="241"/>
      <c r="D887" s="241"/>
      <c r="H887" s="240"/>
      <c r="J887" s="240"/>
    </row>
    <row r="888" spans="1:10" x14ac:dyDescent="0.2">
      <c r="A888" s="240"/>
      <c r="C888" s="241"/>
      <c r="D888" s="241"/>
      <c r="H888" s="240"/>
      <c r="J888" s="240"/>
    </row>
    <row r="889" spans="1:10" x14ac:dyDescent="0.2">
      <c r="A889" s="240"/>
      <c r="C889" s="241"/>
      <c r="D889" s="241"/>
      <c r="H889" s="240"/>
      <c r="J889" s="240"/>
    </row>
    <row r="890" spans="1:10" x14ac:dyDescent="0.2">
      <c r="A890" s="240"/>
      <c r="C890" s="241"/>
      <c r="D890" s="241"/>
      <c r="H890" s="240"/>
      <c r="J890" s="240"/>
    </row>
    <row r="891" spans="1:10" x14ac:dyDescent="0.2">
      <c r="A891" s="240"/>
      <c r="C891" s="241"/>
      <c r="D891" s="241"/>
      <c r="H891" s="240"/>
      <c r="J891" s="240"/>
    </row>
    <row r="892" spans="1:10" x14ac:dyDescent="0.2">
      <c r="A892" s="240"/>
      <c r="C892" s="241"/>
      <c r="D892" s="241"/>
      <c r="H892" s="240"/>
      <c r="J892" s="240"/>
    </row>
    <row r="893" spans="1:10" x14ac:dyDescent="0.2">
      <c r="A893" s="240"/>
      <c r="C893" s="241"/>
      <c r="D893" s="241"/>
      <c r="H893" s="240"/>
      <c r="J893" s="240"/>
    </row>
    <row r="894" spans="1:10" x14ac:dyDescent="0.2">
      <c r="A894" s="240"/>
      <c r="C894" s="241"/>
      <c r="D894" s="241"/>
      <c r="H894" s="240"/>
      <c r="J894" s="240"/>
    </row>
    <row r="895" spans="1:10" x14ac:dyDescent="0.2">
      <c r="A895" s="240"/>
      <c r="C895" s="241"/>
      <c r="D895" s="241"/>
      <c r="H895" s="240"/>
      <c r="J895" s="240"/>
    </row>
    <row r="896" spans="1:10" x14ac:dyDescent="0.2">
      <c r="A896" s="240"/>
      <c r="C896" s="241"/>
      <c r="D896" s="241"/>
      <c r="H896" s="240"/>
      <c r="J896" s="240"/>
    </row>
    <row r="897" spans="1:10" x14ac:dyDescent="0.2">
      <c r="A897" s="240"/>
      <c r="C897" s="241"/>
      <c r="D897" s="241"/>
      <c r="H897" s="240"/>
      <c r="J897" s="240"/>
    </row>
    <row r="898" spans="1:10" x14ac:dyDescent="0.2">
      <c r="A898" s="240"/>
      <c r="C898" s="241"/>
      <c r="D898" s="241"/>
      <c r="H898" s="240"/>
      <c r="J898" s="240"/>
    </row>
    <row r="899" spans="1:10" x14ac:dyDescent="0.2">
      <c r="A899" s="240"/>
      <c r="C899" s="241"/>
      <c r="D899" s="241"/>
      <c r="H899" s="240"/>
      <c r="J899" s="240"/>
    </row>
    <row r="900" spans="1:10" x14ac:dyDescent="0.2">
      <c r="A900" s="240"/>
      <c r="C900" s="241"/>
      <c r="D900" s="241"/>
      <c r="H900" s="240"/>
      <c r="J900" s="240"/>
    </row>
    <row r="901" spans="1:10" x14ac:dyDescent="0.2">
      <c r="A901" s="240"/>
      <c r="C901" s="241"/>
      <c r="D901" s="241"/>
      <c r="H901" s="240"/>
      <c r="J901" s="240"/>
    </row>
    <row r="902" spans="1:10" x14ac:dyDescent="0.2">
      <c r="A902" s="240"/>
      <c r="C902" s="241"/>
      <c r="D902" s="241"/>
      <c r="H902" s="240"/>
      <c r="J902" s="240"/>
    </row>
    <row r="903" spans="1:10" x14ac:dyDescent="0.2">
      <c r="A903" s="240"/>
      <c r="C903" s="241"/>
      <c r="D903" s="241"/>
      <c r="H903" s="240"/>
      <c r="J903" s="240"/>
    </row>
    <row r="904" spans="1:10" x14ac:dyDescent="0.2">
      <c r="A904" s="240"/>
      <c r="C904" s="241"/>
      <c r="D904" s="241"/>
      <c r="H904" s="240"/>
      <c r="J904" s="240"/>
    </row>
    <row r="905" spans="1:10" x14ac:dyDescent="0.2">
      <c r="A905" s="240"/>
      <c r="C905" s="241"/>
      <c r="D905" s="241"/>
      <c r="H905" s="240"/>
      <c r="J905" s="240"/>
    </row>
    <row r="906" spans="1:10" x14ac:dyDescent="0.2">
      <c r="A906" s="240"/>
      <c r="C906" s="241"/>
      <c r="D906" s="241"/>
      <c r="H906" s="240"/>
      <c r="J906" s="240"/>
    </row>
    <row r="907" spans="1:10" x14ac:dyDescent="0.2">
      <c r="A907" s="240"/>
      <c r="C907" s="241"/>
      <c r="D907" s="241"/>
      <c r="H907" s="240"/>
      <c r="J907" s="240"/>
    </row>
    <row r="908" spans="1:10" x14ac:dyDescent="0.2">
      <c r="A908" s="240"/>
      <c r="C908" s="241"/>
      <c r="D908" s="241"/>
      <c r="H908" s="240"/>
      <c r="J908" s="240"/>
    </row>
    <row r="909" spans="1:10" x14ac:dyDescent="0.2">
      <c r="A909" s="240"/>
      <c r="C909" s="241"/>
      <c r="D909" s="241"/>
      <c r="H909" s="240"/>
      <c r="J909" s="240"/>
    </row>
    <row r="910" spans="1:10" x14ac:dyDescent="0.2">
      <c r="A910" s="240"/>
      <c r="C910" s="241"/>
      <c r="D910" s="241"/>
      <c r="H910" s="240"/>
      <c r="J910" s="240"/>
    </row>
    <row r="911" spans="1:10" x14ac:dyDescent="0.2">
      <c r="A911" s="240"/>
      <c r="C911" s="241"/>
      <c r="D911" s="241"/>
      <c r="H911" s="240"/>
      <c r="J911" s="240"/>
    </row>
    <row r="912" spans="1:10" x14ac:dyDescent="0.2">
      <c r="A912" s="240"/>
      <c r="C912" s="241"/>
      <c r="D912" s="241"/>
      <c r="H912" s="240"/>
      <c r="J912" s="240"/>
    </row>
    <row r="913" spans="1:10" x14ac:dyDescent="0.2">
      <c r="A913" s="240"/>
      <c r="C913" s="241"/>
      <c r="D913" s="241"/>
      <c r="H913" s="240"/>
      <c r="J913" s="240"/>
    </row>
    <row r="914" spans="1:10" x14ac:dyDescent="0.2">
      <c r="A914" s="240"/>
      <c r="C914" s="241"/>
      <c r="D914" s="241"/>
      <c r="H914" s="240"/>
      <c r="J914" s="240"/>
    </row>
    <row r="915" spans="1:10" x14ac:dyDescent="0.2">
      <c r="A915" s="240"/>
      <c r="C915" s="241"/>
      <c r="D915" s="241"/>
      <c r="H915" s="240"/>
      <c r="J915" s="240"/>
    </row>
    <row r="916" spans="1:10" x14ac:dyDescent="0.2">
      <c r="A916" s="240"/>
      <c r="C916" s="241"/>
      <c r="D916" s="241"/>
      <c r="H916" s="240"/>
      <c r="J916" s="240"/>
    </row>
    <row r="917" spans="1:10" x14ac:dyDescent="0.2">
      <c r="A917" s="240"/>
      <c r="C917" s="241"/>
      <c r="D917" s="241"/>
      <c r="H917" s="240"/>
      <c r="J917" s="240"/>
    </row>
    <row r="918" spans="1:10" x14ac:dyDescent="0.2">
      <c r="A918" s="240"/>
      <c r="C918" s="241"/>
      <c r="D918" s="241"/>
      <c r="H918" s="240"/>
      <c r="J918" s="240"/>
    </row>
    <row r="919" spans="1:10" x14ac:dyDescent="0.2">
      <c r="A919" s="240"/>
      <c r="C919" s="241"/>
      <c r="D919" s="241"/>
      <c r="H919" s="240"/>
      <c r="J919" s="240"/>
    </row>
    <row r="920" spans="1:10" x14ac:dyDescent="0.2">
      <c r="A920" s="240"/>
      <c r="C920" s="241"/>
      <c r="D920" s="241"/>
      <c r="H920" s="240"/>
      <c r="J920" s="240"/>
    </row>
    <row r="921" spans="1:10" x14ac:dyDescent="0.2">
      <c r="A921" s="240"/>
      <c r="C921" s="241"/>
      <c r="D921" s="241"/>
      <c r="H921" s="240"/>
      <c r="J921" s="240"/>
    </row>
    <row r="922" spans="1:10" x14ac:dyDescent="0.2">
      <c r="A922" s="240"/>
      <c r="C922" s="241"/>
      <c r="D922" s="241"/>
      <c r="H922" s="240"/>
      <c r="J922" s="240"/>
    </row>
    <row r="923" spans="1:10" x14ac:dyDescent="0.2">
      <c r="A923" s="240"/>
      <c r="C923" s="241"/>
      <c r="D923" s="241"/>
      <c r="H923" s="240"/>
      <c r="J923" s="240"/>
    </row>
    <row r="924" spans="1:10" x14ac:dyDescent="0.2">
      <c r="A924" s="240"/>
      <c r="C924" s="241"/>
      <c r="D924" s="241"/>
      <c r="H924" s="240"/>
      <c r="J924" s="240"/>
    </row>
    <row r="925" spans="1:10" x14ac:dyDescent="0.2">
      <c r="A925" s="240"/>
      <c r="C925" s="241"/>
      <c r="D925" s="241"/>
      <c r="H925" s="240"/>
      <c r="J925" s="240"/>
    </row>
    <row r="926" spans="1:10" x14ac:dyDescent="0.2">
      <c r="A926" s="240"/>
      <c r="C926" s="241"/>
      <c r="D926" s="241"/>
      <c r="H926" s="240"/>
      <c r="J926" s="240"/>
    </row>
    <row r="927" spans="1:10" x14ac:dyDescent="0.2">
      <c r="A927" s="240"/>
      <c r="C927" s="241"/>
      <c r="D927" s="241"/>
      <c r="H927" s="240"/>
      <c r="J927" s="240"/>
    </row>
    <row r="928" spans="1:10" x14ac:dyDescent="0.2">
      <c r="A928" s="240"/>
      <c r="C928" s="241"/>
      <c r="D928" s="241"/>
      <c r="H928" s="240"/>
      <c r="J928" s="240"/>
    </row>
    <row r="929" spans="1:10" x14ac:dyDescent="0.2">
      <c r="A929" s="240"/>
      <c r="C929" s="241"/>
      <c r="D929" s="241"/>
      <c r="H929" s="240"/>
      <c r="J929" s="240"/>
    </row>
    <row r="930" spans="1:10" x14ac:dyDescent="0.2">
      <c r="A930" s="240"/>
      <c r="C930" s="241"/>
      <c r="D930" s="241"/>
      <c r="H930" s="240"/>
      <c r="J930" s="240"/>
    </row>
    <row r="931" spans="1:10" x14ac:dyDescent="0.2">
      <c r="A931" s="240"/>
      <c r="C931" s="241"/>
      <c r="D931" s="241"/>
      <c r="H931" s="240"/>
      <c r="J931" s="240"/>
    </row>
    <row r="932" spans="1:10" x14ac:dyDescent="0.2">
      <c r="A932" s="240"/>
      <c r="C932" s="241"/>
      <c r="D932" s="241"/>
      <c r="H932" s="240"/>
      <c r="J932" s="240"/>
    </row>
    <row r="933" spans="1:10" x14ac:dyDescent="0.2">
      <c r="A933" s="240"/>
      <c r="C933" s="241"/>
      <c r="D933" s="241"/>
      <c r="H933" s="240"/>
      <c r="J933" s="240"/>
    </row>
    <row r="934" spans="1:10" x14ac:dyDescent="0.2">
      <c r="A934" s="240"/>
      <c r="C934" s="241"/>
      <c r="D934" s="241"/>
      <c r="H934" s="240"/>
      <c r="J934" s="240"/>
    </row>
    <row r="935" spans="1:10" x14ac:dyDescent="0.2">
      <c r="A935" s="240"/>
      <c r="C935" s="241"/>
      <c r="D935" s="241"/>
      <c r="H935" s="240"/>
      <c r="J935" s="240"/>
    </row>
    <row r="936" spans="1:10" x14ac:dyDescent="0.2">
      <c r="A936" s="240"/>
      <c r="C936" s="241"/>
      <c r="D936" s="241"/>
      <c r="H936" s="240"/>
      <c r="J936" s="240"/>
    </row>
    <row r="937" spans="1:10" x14ac:dyDescent="0.2">
      <c r="A937" s="240"/>
      <c r="C937" s="241"/>
      <c r="D937" s="241"/>
      <c r="H937" s="240"/>
      <c r="J937" s="240"/>
    </row>
    <row r="938" spans="1:10" x14ac:dyDescent="0.2">
      <c r="A938" s="240"/>
      <c r="C938" s="241"/>
      <c r="D938" s="241"/>
      <c r="H938" s="240"/>
      <c r="J938" s="240"/>
    </row>
    <row r="939" spans="1:10" x14ac:dyDescent="0.2">
      <c r="A939" s="240"/>
      <c r="C939" s="241"/>
      <c r="D939" s="241"/>
      <c r="H939" s="240"/>
      <c r="J939" s="240"/>
    </row>
    <row r="940" spans="1:10" x14ac:dyDescent="0.2">
      <c r="A940" s="240"/>
      <c r="C940" s="241"/>
      <c r="D940" s="241"/>
      <c r="H940" s="240"/>
      <c r="J940" s="240"/>
    </row>
    <row r="941" spans="1:10" x14ac:dyDescent="0.2">
      <c r="A941" s="240"/>
      <c r="C941" s="241"/>
      <c r="D941" s="241"/>
      <c r="H941" s="240"/>
      <c r="J941" s="240"/>
    </row>
    <row r="942" spans="1:10" x14ac:dyDescent="0.2">
      <c r="A942" s="240"/>
      <c r="C942" s="241"/>
      <c r="D942" s="241"/>
      <c r="H942" s="240"/>
      <c r="J942" s="240"/>
    </row>
    <row r="943" spans="1:10" x14ac:dyDescent="0.2">
      <c r="A943" s="240"/>
      <c r="C943" s="241"/>
      <c r="D943" s="241"/>
      <c r="H943" s="240"/>
      <c r="J943" s="240"/>
    </row>
    <row r="944" spans="1:10" x14ac:dyDescent="0.2">
      <c r="A944" s="240"/>
      <c r="C944" s="241"/>
      <c r="D944" s="241"/>
      <c r="H944" s="240"/>
      <c r="J944" s="240"/>
    </row>
    <row r="945" spans="1:10" x14ac:dyDescent="0.2">
      <c r="A945" s="240"/>
      <c r="C945" s="241"/>
      <c r="D945" s="241"/>
      <c r="H945" s="240"/>
      <c r="J945" s="240"/>
    </row>
    <row r="946" spans="1:10" x14ac:dyDescent="0.2">
      <c r="A946" s="240"/>
      <c r="C946" s="241"/>
      <c r="D946" s="241"/>
      <c r="H946" s="240"/>
      <c r="J946" s="240"/>
    </row>
    <row r="947" spans="1:10" x14ac:dyDescent="0.2">
      <c r="A947" s="240"/>
      <c r="C947" s="241"/>
      <c r="D947" s="241"/>
      <c r="H947" s="240"/>
      <c r="J947" s="240"/>
    </row>
    <row r="948" spans="1:10" x14ac:dyDescent="0.2">
      <c r="A948" s="240"/>
      <c r="C948" s="241"/>
      <c r="D948" s="241"/>
      <c r="H948" s="240"/>
      <c r="J948" s="240"/>
    </row>
    <row r="949" spans="1:10" x14ac:dyDescent="0.2">
      <c r="A949" s="240"/>
      <c r="C949" s="241"/>
      <c r="D949" s="241"/>
      <c r="H949" s="240"/>
      <c r="J949" s="240"/>
    </row>
    <row r="950" spans="1:10" x14ac:dyDescent="0.2">
      <c r="A950" s="240"/>
      <c r="C950" s="241"/>
      <c r="D950" s="241"/>
      <c r="H950" s="240"/>
      <c r="J950" s="240"/>
    </row>
    <row r="951" spans="1:10" x14ac:dyDescent="0.2">
      <c r="A951" s="240"/>
      <c r="C951" s="241"/>
      <c r="D951" s="241"/>
      <c r="H951" s="240"/>
      <c r="J951" s="240"/>
    </row>
    <row r="952" spans="1:10" x14ac:dyDescent="0.2">
      <c r="A952" s="240"/>
      <c r="C952" s="241"/>
      <c r="D952" s="241"/>
      <c r="H952" s="240"/>
      <c r="J952" s="240"/>
    </row>
    <row r="953" spans="1:10" x14ac:dyDescent="0.2">
      <c r="A953" s="240"/>
      <c r="C953" s="241"/>
      <c r="D953" s="241"/>
      <c r="H953" s="240"/>
      <c r="J953" s="240"/>
    </row>
    <row r="954" spans="1:10" x14ac:dyDescent="0.2">
      <c r="A954" s="240"/>
      <c r="C954" s="241"/>
      <c r="D954" s="241"/>
      <c r="H954" s="240"/>
      <c r="J954" s="240"/>
    </row>
    <row r="955" spans="1:10" x14ac:dyDescent="0.2">
      <c r="A955" s="240"/>
      <c r="C955" s="241"/>
      <c r="D955" s="241"/>
      <c r="H955" s="240"/>
      <c r="J955" s="240"/>
    </row>
    <row r="956" spans="1:10" x14ac:dyDescent="0.2">
      <c r="A956" s="240"/>
      <c r="C956" s="241"/>
      <c r="D956" s="241"/>
      <c r="H956" s="240"/>
      <c r="J956" s="240"/>
    </row>
    <row r="957" spans="1:10" x14ac:dyDescent="0.2">
      <c r="A957" s="240"/>
      <c r="C957" s="241"/>
      <c r="D957" s="241"/>
      <c r="H957" s="240"/>
      <c r="J957" s="240"/>
    </row>
    <row r="958" spans="1:10" x14ac:dyDescent="0.2">
      <c r="A958" s="240"/>
      <c r="C958" s="241"/>
      <c r="D958" s="241"/>
      <c r="H958" s="240"/>
      <c r="J958" s="240"/>
    </row>
    <row r="959" spans="1:10" x14ac:dyDescent="0.2">
      <c r="A959" s="240"/>
      <c r="C959" s="241"/>
      <c r="D959" s="241"/>
      <c r="H959" s="240"/>
      <c r="J959" s="240"/>
    </row>
    <row r="960" spans="1:10" x14ac:dyDescent="0.2">
      <c r="A960" s="240"/>
      <c r="C960" s="241"/>
      <c r="D960" s="241"/>
      <c r="H960" s="240"/>
      <c r="J960" s="240"/>
    </row>
    <row r="961" spans="1:10" x14ac:dyDescent="0.2">
      <c r="A961" s="240"/>
      <c r="C961" s="241"/>
      <c r="D961" s="241"/>
      <c r="H961" s="240"/>
      <c r="J961" s="240"/>
    </row>
    <row r="962" spans="1:10" x14ac:dyDescent="0.2">
      <c r="A962" s="240"/>
      <c r="C962" s="241"/>
      <c r="D962" s="241"/>
      <c r="H962" s="240"/>
      <c r="J962" s="240"/>
    </row>
    <row r="963" spans="1:10" x14ac:dyDescent="0.2">
      <c r="A963" s="240"/>
      <c r="C963" s="241"/>
      <c r="D963" s="241"/>
      <c r="H963" s="240"/>
      <c r="J963" s="240"/>
    </row>
    <row r="964" spans="1:10" x14ac:dyDescent="0.2">
      <c r="A964" s="240"/>
      <c r="C964" s="241"/>
      <c r="D964" s="241"/>
      <c r="H964" s="240"/>
      <c r="J964" s="240"/>
    </row>
    <row r="965" spans="1:10" x14ac:dyDescent="0.2">
      <c r="A965" s="240"/>
      <c r="C965" s="241"/>
      <c r="D965" s="241"/>
      <c r="H965" s="240"/>
      <c r="J965" s="240"/>
    </row>
    <row r="966" spans="1:10" x14ac:dyDescent="0.2">
      <c r="A966" s="240"/>
      <c r="C966" s="241"/>
      <c r="D966" s="241"/>
      <c r="H966" s="240"/>
      <c r="J966" s="240"/>
    </row>
    <row r="967" spans="1:10" x14ac:dyDescent="0.2">
      <c r="A967" s="240"/>
      <c r="C967" s="241"/>
      <c r="D967" s="241"/>
      <c r="H967" s="240"/>
      <c r="J967" s="240"/>
    </row>
    <row r="968" spans="1:10" x14ac:dyDescent="0.2">
      <c r="A968" s="240"/>
      <c r="C968" s="241"/>
      <c r="D968" s="241"/>
      <c r="H968" s="240"/>
      <c r="J968" s="240"/>
    </row>
    <row r="969" spans="1:10" x14ac:dyDescent="0.2">
      <c r="A969" s="240"/>
      <c r="C969" s="241"/>
      <c r="D969" s="241"/>
      <c r="H969" s="240"/>
      <c r="J969" s="240"/>
    </row>
    <row r="970" spans="1:10" x14ac:dyDescent="0.2">
      <c r="A970" s="240"/>
      <c r="C970" s="241"/>
      <c r="D970" s="241"/>
      <c r="H970" s="240"/>
      <c r="J970" s="240"/>
    </row>
    <row r="971" spans="1:10" x14ac:dyDescent="0.2">
      <c r="A971" s="240"/>
      <c r="C971" s="241"/>
      <c r="D971" s="241"/>
      <c r="H971" s="240"/>
      <c r="J971" s="240"/>
    </row>
    <row r="972" spans="1:10" x14ac:dyDescent="0.2">
      <c r="A972" s="240"/>
      <c r="C972" s="241"/>
      <c r="D972" s="241"/>
      <c r="H972" s="240"/>
      <c r="J972" s="240"/>
    </row>
    <row r="973" spans="1:10" x14ac:dyDescent="0.2">
      <c r="A973" s="240"/>
      <c r="C973" s="241"/>
      <c r="D973" s="241"/>
      <c r="H973" s="240"/>
      <c r="J973" s="240"/>
    </row>
    <row r="974" spans="1:10" x14ac:dyDescent="0.2">
      <c r="A974" s="240"/>
      <c r="C974" s="241"/>
      <c r="D974" s="241"/>
      <c r="H974" s="240"/>
      <c r="J974" s="240"/>
    </row>
    <row r="975" spans="1:10" x14ac:dyDescent="0.2">
      <c r="A975" s="240"/>
      <c r="C975" s="241"/>
      <c r="D975" s="241"/>
      <c r="H975" s="240"/>
      <c r="J975" s="240"/>
    </row>
    <row r="976" spans="1:10" x14ac:dyDescent="0.2">
      <c r="A976" s="240"/>
      <c r="C976" s="241"/>
      <c r="D976" s="241"/>
      <c r="H976" s="240"/>
      <c r="J976" s="240"/>
    </row>
    <row r="977" spans="1:10" x14ac:dyDescent="0.2">
      <c r="A977" s="240"/>
      <c r="C977" s="241"/>
      <c r="D977" s="241"/>
      <c r="H977" s="240"/>
      <c r="J977" s="240"/>
    </row>
    <row r="978" spans="1:10" x14ac:dyDescent="0.2">
      <c r="A978" s="240"/>
      <c r="C978" s="241"/>
      <c r="D978" s="241"/>
      <c r="H978" s="240"/>
      <c r="J978" s="240"/>
    </row>
    <row r="979" spans="1:10" x14ac:dyDescent="0.2">
      <c r="A979" s="240"/>
      <c r="C979" s="241"/>
      <c r="D979" s="241"/>
      <c r="H979" s="240"/>
      <c r="J979" s="240"/>
    </row>
    <row r="980" spans="1:10" x14ac:dyDescent="0.2">
      <c r="A980" s="240"/>
      <c r="C980" s="241"/>
      <c r="D980" s="241"/>
      <c r="H980" s="240"/>
      <c r="J980" s="240"/>
    </row>
    <row r="981" spans="1:10" x14ac:dyDescent="0.2">
      <c r="A981" s="240"/>
      <c r="C981" s="241"/>
      <c r="D981" s="241"/>
      <c r="H981" s="240"/>
      <c r="J981" s="240"/>
    </row>
    <row r="982" spans="1:10" x14ac:dyDescent="0.2">
      <c r="A982" s="240"/>
      <c r="C982" s="241"/>
      <c r="D982" s="241"/>
      <c r="H982" s="240"/>
      <c r="J982" s="240"/>
    </row>
    <row r="983" spans="1:10" x14ac:dyDescent="0.2">
      <c r="A983" s="240"/>
      <c r="C983" s="241"/>
      <c r="D983" s="241"/>
      <c r="H983" s="240"/>
      <c r="J983" s="240"/>
    </row>
    <row r="984" spans="1:10" x14ac:dyDescent="0.2">
      <c r="A984" s="240"/>
      <c r="C984" s="241"/>
      <c r="D984" s="241"/>
      <c r="H984" s="240"/>
      <c r="J984" s="240"/>
    </row>
    <row r="985" spans="1:10" x14ac:dyDescent="0.2">
      <c r="A985" s="240"/>
      <c r="C985" s="241"/>
      <c r="D985" s="241"/>
      <c r="H985" s="240"/>
      <c r="J985" s="240"/>
    </row>
    <row r="986" spans="1:10" x14ac:dyDescent="0.2">
      <c r="A986" s="240"/>
      <c r="C986" s="241"/>
      <c r="D986" s="241"/>
      <c r="H986" s="240"/>
      <c r="J986" s="240"/>
    </row>
    <row r="987" spans="1:10" x14ac:dyDescent="0.2">
      <c r="A987" s="240"/>
      <c r="C987" s="241"/>
      <c r="D987" s="241"/>
      <c r="H987" s="240"/>
      <c r="J987" s="240"/>
    </row>
    <row r="988" spans="1:10" x14ac:dyDescent="0.2">
      <c r="A988" s="240"/>
      <c r="C988" s="241"/>
      <c r="D988" s="241"/>
      <c r="H988" s="240"/>
      <c r="J988" s="240"/>
    </row>
    <row r="989" spans="1:10" x14ac:dyDescent="0.2">
      <c r="A989" s="240"/>
      <c r="C989" s="241"/>
      <c r="D989" s="241"/>
      <c r="H989" s="240"/>
      <c r="J989" s="240"/>
    </row>
    <row r="990" spans="1:10" x14ac:dyDescent="0.2">
      <c r="A990" s="240"/>
      <c r="C990" s="241"/>
      <c r="D990" s="241"/>
      <c r="H990" s="240"/>
      <c r="J990" s="240"/>
    </row>
    <row r="991" spans="1:10" x14ac:dyDescent="0.2">
      <c r="A991" s="240"/>
      <c r="C991" s="241"/>
      <c r="D991" s="241"/>
      <c r="H991" s="240"/>
      <c r="J991" s="240"/>
    </row>
    <row r="992" spans="1:10" x14ac:dyDescent="0.2">
      <c r="A992" s="240"/>
      <c r="C992" s="241"/>
      <c r="D992" s="241"/>
      <c r="H992" s="240"/>
      <c r="J992" s="240"/>
    </row>
    <row r="993" spans="1:10" x14ac:dyDescent="0.2">
      <c r="A993" s="240"/>
      <c r="C993" s="241"/>
      <c r="D993" s="241"/>
      <c r="H993" s="240"/>
      <c r="J993" s="240"/>
    </row>
    <row r="994" spans="1:10" x14ac:dyDescent="0.2">
      <c r="A994" s="240"/>
      <c r="C994" s="241"/>
      <c r="D994" s="241"/>
      <c r="H994" s="240"/>
      <c r="J994" s="240"/>
    </row>
    <row r="995" spans="1:10" x14ac:dyDescent="0.2">
      <c r="A995" s="240"/>
      <c r="C995" s="241"/>
      <c r="D995" s="241"/>
      <c r="H995" s="240"/>
      <c r="J995" s="240"/>
    </row>
    <row r="996" spans="1:10" x14ac:dyDescent="0.2">
      <c r="A996" s="240"/>
      <c r="C996" s="241"/>
      <c r="D996" s="241"/>
      <c r="H996" s="240"/>
      <c r="J996" s="240"/>
    </row>
    <row r="997" spans="1:10" x14ac:dyDescent="0.2">
      <c r="A997" s="240"/>
      <c r="C997" s="241"/>
      <c r="D997" s="241"/>
      <c r="H997" s="240"/>
      <c r="J997" s="240"/>
    </row>
    <row r="998" spans="1:10" x14ac:dyDescent="0.2">
      <c r="A998" s="240"/>
      <c r="C998" s="241"/>
      <c r="D998" s="241"/>
      <c r="H998" s="240"/>
      <c r="J998" s="240"/>
    </row>
    <row r="999" spans="1:10" x14ac:dyDescent="0.2">
      <c r="A999" s="240"/>
      <c r="C999" s="241"/>
      <c r="D999" s="241"/>
      <c r="H999" s="240"/>
      <c r="J999" s="240"/>
    </row>
    <row r="1000" spans="1:10" x14ac:dyDescent="0.2">
      <c r="A1000" s="240"/>
      <c r="C1000" s="241"/>
      <c r="D1000" s="241"/>
      <c r="H1000" s="240"/>
      <c r="J1000" s="240"/>
    </row>
    <row r="1001" spans="1:10" x14ac:dyDescent="0.2">
      <c r="A1001" s="240"/>
      <c r="C1001" s="241"/>
      <c r="D1001" s="241"/>
      <c r="H1001" s="240"/>
      <c r="J1001" s="240"/>
    </row>
    <row r="1002" spans="1:10" x14ac:dyDescent="0.2">
      <c r="A1002" s="240"/>
      <c r="C1002" s="241"/>
      <c r="D1002" s="241"/>
      <c r="H1002" s="240"/>
      <c r="J1002" s="240"/>
    </row>
    <row r="1003" spans="1:10" x14ac:dyDescent="0.2">
      <c r="A1003" s="240"/>
      <c r="C1003" s="241"/>
      <c r="D1003" s="241"/>
      <c r="H1003" s="240"/>
      <c r="J1003" s="240"/>
    </row>
    <row r="1004" spans="1:10" x14ac:dyDescent="0.2">
      <c r="A1004" s="240"/>
      <c r="C1004" s="241"/>
      <c r="D1004" s="241"/>
      <c r="H1004" s="240"/>
      <c r="J1004" s="240"/>
    </row>
    <row r="1005" spans="1:10" x14ac:dyDescent="0.2">
      <c r="A1005" s="240"/>
      <c r="C1005" s="241"/>
      <c r="D1005" s="241"/>
      <c r="H1005" s="240"/>
      <c r="J1005" s="240"/>
    </row>
    <row r="1006" spans="1:10" x14ac:dyDescent="0.2">
      <c r="A1006" s="240"/>
      <c r="C1006" s="241"/>
      <c r="D1006" s="241"/>
      <c r="H1006" s="240"/>
      <c r="J1006" s="240"/>
    </row>
    <row r="1007" spans="1:10" x14ac:dyDescent="0.2">
      <c r="A1007" s="240"/>
      <c r="C1007" s="241"/>
      <c r="D1007" s="241"/>
      <c r="H1007" s="240"/>
      <c r="J1007" s="240"/>
    </row>
    <row r="1008" spans="1:10" x14ac:dyDescent="0.2">
      <c r="A1008" s="240"/>
      <c r="C1008" s="241"/>
      <c r="D1008" s="241"/>
      <c r="H1008" s="240"/>
      <c r="J1008" s="240"/>
    </row>
    <row r="1009" spans="1:10" x14ac:dyDescent="0.2">
      <c r="A1009" s="240"/>
      <c r="C1009" s="241"/>
      <c r="D1009" s="241"/>
      <c r="H1009" s="240"/>
      <c r="J1009" s="240"/>
    </row>
    <row r="1010" spans="1:10" x14ac:dyDescent="0.2">
      <c r="A1010" s="240"/>
      <c r="C1010" s="241"/>
      <c r="D1010" s="241"/>
      <c r="H1010" s="240"/>
      <c r="J1010" s="240"/>
    </row>
    <row r="1011" spans="1:10" x14ac:dyDescent="0.2">
      <c r="A1011" s="240"/>
      <c r="C1011" s="241"/>
      <c r="D1011" s="241"/>
      <c r="H1011" s="240"/>
      <c r="J1011" s="240"/>
    </row>
    <row r="1012" spans="1:10" x14ac:dyDescent="0.2">
      <c r="A1012" s="240"/>
      <c r="C1012" s="241"/>
      <c r="D1012" s="241"/>
      <c r="H1012" s="240"/>
      <c r="J1012" s="240"/>
    </row>
    <row r="1013" spans="1:10" x14ac:dyDescent="0.2">
      <c r="A1013" s="240"/>
      <c r="C1013" s="241"/>
      <c r="D1013" s="241"/>
      <c r="H1013" s="240"/>
      <c r="J1013" s="240"/>
    </row>
    <row r="1014" spans="1:10" x14ac:dyDescent="0.2">
      <c r="A1014" s="240"/>
      <c r="C1014" s="241"/>
      <c r="D1014" s="241"/>
      <c r="H1014" s="240"/>
      <c r="J1014" s="240"/>
    </row>
    <row r="1015" spans="1:10" x14ac:dyDescent="0.2">
      <c r="A1015" s="240"/>
      <c r="C1015" s="241"/>
      <c r="D1015" s="241"/>
      <c r="H1015" s="240"/>
      <c r="J1015" s="240"/>
    </row>
    <row r="1016" spans="1:10" x14ac:dyDescent="0.2">
      <c r="A1016" s="240"/>
      <c r="C1016" s="241"/>
      <c r="D1016" s="241"/>
      <c r="H1016" s="240"/>
      <c r="J1016" s="240"/>
    </row>
    <row r="1017" spans="1:10" x14ac:dyDescent="0.2">
      <c r="A1017" s="240"/>
      <c r="C1017" s="241"/>
      <c r="D1017" s="241"/>
      <c r="H1017" s="240"/>
      <c r="J1017" s="240"/>
    </row>
    <row r="1018" spans="1:10" x14ac:dyDescent="0.2">
      <c r="A1018" s="240"/>
      <c r="C1018" s="241"/>
      <c r="D1018" s="241"/>
      <c r="H1018" s="240"/>
      <c r="J1018" s="240"/>
    </row>
    <row r="1019" spans="1:10" x14ac:dyDescent="0.2">
      <c r="A1019" s="240"/>
      <c r="C1019" s="241"/>
      <c r="D1019" s="241"/>
      <c r="H1019" s="240"/>
      <c r="J1019" s="240"/>
    </row>
    <row r="1020" spans="1:10" x14ac:dyDescent="0.2">
      <c r="A1020" s="240"/>
      <c r="C1020" s="241"/>
      <c r="D1020" s="241"/>
      <c r="H1020" s="240"/>
      <c r="J1020" s="240"/>
    </row>
    <row r="1021" spans="1:10" x14ac:dyDescent="0.2">
      <c r="A1021" s="240"/>
      <c r="C1021" s="241"/>
      <c r="D1021" s="241"/>
      <c r="H1021" s="240"/>
      <c r="J1021" s="240"/>
    </row>
    <row r="1022" spans="1:10" x14ac:dyDescent="0.2">
      <c r="A1022" s="240"/>
      <c r="C1022" s="241"/>
      <c r="D1022" s="241"/>
      <c r="H1022" s="240"/>
      <c r="J1022" s="240"/>
    </row>
    <row r="1023" spans="1:10" x14ac:dyDescent="0.2">
      <c r="A1023" s="240"/>
      <c r="C1023" s="241"/>
      <c r="D1023" s="241"/>
      <c r="H1023" s="240"/>
      <c r="J1023" s="240"/>
    </row>
    <row r="1024" spans="1:10" x14ac:dyDescent="0.2">
      <c r="A1024" s="240"/>
      <c r="C1024" s="241"/>
      <c r="D1024" s="241"/>
      <c r="H1024" s="240"/>
      <c r="J1024" s="240"/>
    </row>
    <row r="1025" spans="1:10" x14ac:dyDescent="0.2">
      <c r="A1025" s="240"/>
      <c r="C1025" s="241"/>
      <c r="D1025" s="241"/>
      <c r="H1025" s="240"/>
      <c r="J1025" s="240"/>
    </row>
    <row r="1026" spans="1:10" x14ac:dyDescent="0.2">
      <c r="A1026" s="240"/>
      <c r="C1026" s="241"/>
      <c r="D1026" s="241"/>
      <c r="H1026" s="240"/>
      <c r="J1026" s="240"/>
    </row>
    <row r="1027" spans="1:10" x14ac:dyDescent="0.2">
      <c r="A1027" s="240"/>
      <c r="C1027" s="241"/>
      <c r="D1027" s="241"/>
      <c r="H1027" s="240"/>
      <c r="J1027" s="240"/>
    </row>
    <row r="1028" spans="1:10" x14ac:dyDescent="0.2">
      <c r="A1028" s="240"/>
      <c r="C1028" s="241"/>
      <c r="D1028" s="241"/>
      <c r="H1028" s="240"/>
      <c r="J1028" s="240"/>
    </row>
    <row r="1029" spans="1:10" x14ac:dyDescent="0.2">
      <c r="A1029" s="240"/>
      <c r="C1029" s="241"/>
      <c r="D1029" s="241"/>
      <c r="H1029" s="240"/>
      <c r="J1029" s="240"/>
    </row>
    <row r="1030" spans="1:10" x14ac:dyDescent="0.2">
      <c r="A1030" s="240"/>
      <c r="C1030" s="241"/>
      <c r="D1030" s="241"/>
      <c r="H1030" s="240"/>
      <c r="J1030" s="240"/>
    </row>
    <row r="1031" spans="1:10" x14ac:dyDescent="0.2">
      <c r="A1031" s="240"/>
      <c r="C1031" s="241"/>
      <c r="D1031" s="241"/>
      <c r="H1031" s="240"/>
      <c r="J1031" s="240"/>
    </row>
    <row r="1032" spans="1:10" x14ac:dyDescent="0.2">
      <c r="A1032" s="240"/>
      <c r="C1032" s="241"/>
      <c r="D1032" s="241"/>
      <c r="H1032" s="240"/>
      <c r="J1032" s="240"/>
    </row>
    <row r="1033" spans="1:10" x14ac:dyDescent="0.2">
      <c r="A1033" s="240"/>
      <c r="C1033" s="241"/>
      <c r="D1033" s="241"/>
      <c r="H1033" s="240"/>
      <c r="J1033" s="240"/>
    </row>
    <row r="1034" spans="1:10" x14ac:dyDescent="0.2">
      <c r="A1034" s="240"/>
      <c r="C1034" s="241"/>
      <c r="D1034" s="241"/>
      <c r="H1034" s="240"/>
      <c r="J1034" s="240"/>
    </row>
    <row r="1035" spans="1:10" x14ac:dyDescent="0.2">
      <c r="A1035" s="240"/>
      <c r="C1035" s="241"/>
      <c r="D1035" s="241"/>
      <c r="H1035" s="240"/>
      <c r="J1035" s="240"/>
    </row>
    <row r="1036" spans="1:10" x14ac:dyDescent="0.2">
      <c r="A1036" s="240"/>
      <c r="C1036" s="241"/>
      <c r="D1036" s="241"/>
      <c r="H1036" s="240"/>
      <c r="J1036" s="240"/>
    </row>
    <row r="1037" spans="1:10" x14ac:dyDescent="0.2">
      <c r="A1037" s="240"/>
      <c r="C1037" s="241"/>
      <c r="D1037" s="241"/>
      <c r="H1037" s="240"/>
      <c r="J1037" s="240"/>
    </row>
    <row r="1038" spans="1:10" x14ac:dyDescent="0.2">
      <c r="A1038" s="240"/>
      <c r="C1038" s="241"/>
      <c r="D1038" s="241"/>
      <c r="H1038" s="240"/>
      <c r="J1038" s="240"/>
    </row>
    <row r="1039" spans="1:10" x14ac:dyDescent="0.2">
      <c r="A1039" s="240"/>
      <c r="C1039" s="241"/>
      <c r="D1039" s="241"/>
      <c r="H1039" s="240"/>
      <c r="J1039" s="240"/>
    </row>
    <row r="1040" spans="1:10" x14ac:dyDescent="0.2">
      <c r="A1040" s="240"/>
      <c r="C1040" s="241"/>
      <c r="D1040" s="241"/>
      <c r="H1040" s="240"/>
      <c r="J1040" s="240"/>
    </row>
    <row r="1041" spans="1:10" x14ac:dyDescent="0.2">
      <c r="A1041" s="240"/>
      <c r="C1041" s="241"/>
      <c r="D1041" s="241"/>
      <c r="H1041" s="240"/>
      <c r="J1041" s="240"/>
    </row>
    <row r="1042" spans="1:10" x14ac:dyDescent="0.2">
      <c r="A1042" s="240"/>
      <c r="C1042" s="241"/>
      <c r="D1042" s="241"/>
      <c r="H1042" s="240"/>
      <c r="J1042" s="240"/>
    </row>
    <row r="1043" spans="1:10" x14ac:dyDescent="0.2">
      <c r="A1043" s="240"/>
      <c r="C1043" s="241"/>
      <c r="D1043" s="241"/>
      <c r="H1043" s="240"/>
      <c r="J1043" s="240"/>
    </row>
    <row r="1044" spans="1:10" x14ac:dyDescent="0.2">
      <c r="A1044" s="240"/>
      <c r="C1044" s="241"/>
      <c r="D1044" s="241"/>
      <c r="H1044" s="240"/>
      <c r="J1044" s="240"/>
    </row>
    <row r="1045" spans="1:10" x14ac:dyDescent="0.2">
      <c r="A1045" s="240"/>
      <c r="C1045" s="241"/>
      <c r="D1045" s="241"/>
      <c r="H1045" s="240"/>
      <c r="J1045" s="240"/>
    </row>
    <row r="1046" spans="1:10" x14ac:dyDescent="0.2">
      <c r="A1046" s="240"/>
      <c r="C1046" s="241"/>
      <c r="D1046" s="241"/>
      <c r="H1046" s="240"/>
      <c r="J1046" s="240"/>
    </row>
    <row r="1047" spans="1:10" x14ac:dyDescent="0.2">
      <c r="A1047" s="240"/>
      <c r="C1047" s="241"/>
      <c r="D1047" s="241"/>
      <c r="H1047" s="240"/>
      <c r="J1047" s="240"/>
    </row>
    <row r="1048" spans="1:10" x14ac:dyDescent="0.2">
      <c r="A1048" s="240"/>
      <c r="C1048" s="241"/>
      <c r="D1048" s="241"/>
      <c r="H1048" s="240"/>
      <c r="J1048" s="240"/>
    </row>
    <row r="1049" spans="1:10" x14ac:dyDescent="0.2">
      <c r="A1049" s="240"/>
      <c r="C1049" s="241"/>
      <c r="D1049" s="241"/>
      <c r="H1049" s="240"/>
      <c r="J1049" s="240"/>
    </row>
    <row r="1050" spans="1:10" x14ac:dyDescent="0.2">
      <c r="A1050" s="240"/>
      <c r="C1050" s="241"/>
      <c r="D1050" s="241"/>
      <c r="H1050" s="240"/>
      <c r="J1050" s="240"/>
    </row>
    <row r="1051" spans="1:10" x14ac:dyDescent="0.2">
      <c r="A1051" s="240"/>
      <c r="C1051" s="241"/>
      <c r="D1051" s="241"/>
      <c r="H1051" s="240"/>
      <c r="J1051" s="240"/>
    </row>
    <row r="1052" spans="1:10" x14ac:dyDescent="0.2">
      <c r="A1052" s="240"/>
      <c r="C1052" s="241"/>
      <c r="D1052" s="241"/>
      <c r="H1052" s="240"/>
      <c r="J1052" s="240"/>
    </row>
    <row r="1053" spans="1:10" x14ac:dyDescent="0.2">
      <c r="A1053" s="240"/>
      <c r="C1053" s="241"/>
      <c r="D1053" s="241"/>
      <c r="H1053" s="240"/>
      <c r="J1053" s="240"/>
    </row>
    <row r="1054" spans="1:10" x14ac:dyDescent="0.2">
      <c r="A1054" s="240"/>
      <c r="C1054" s="241"/>
      <c r="D1054" s="241"/>
      <c r="H1054" s="240"/>
      <c r="J1054" s="240"/>
    </row>
    <row r="1055" spans="1:10" x14ac:dyDescent="0.2">
      <c r="A1055" s="240"/>
      <c r="C1055" s="241"/>
      <c r="D1055" s="241"/>
      <c r="H1055" s="240"/>
      <c r="J1055" s="240"/>
    </row>
    <row r="1056" spans="1:10" x14ac:dyDescent="0.2">
      <c r="A1056" s="240"/>
      <c r="C1056" s="241"/>
      <c r="D1056" s="241"/>
      <c r="H1056" s="240"/>
      <c r="J1056" s="240"/>
    </row>
    <row r="1057" spans="1:10" x14ac:dyDescent="0.2">
      <c r="A1057" s="240"/>
      <c r="C1057" s="241"/>
      <c r="D1057" s="241"/>
      <c r="H1057" s="240"/>
      <c r="J1057" s="240"/>
    </row>
    <row r="1058" spans="1:10" x14ac:dyDescent="0.2">
      <c r="A1058" s="240"/>
      <c r="C1058" s="241"/>
      <c r="D1058" s="241"/>
      <c r="H1058" s="240"/>
      <c r="J1058" s="240"/>
    </row>
    <row r="1059" spans="1:10" x14ac:dyDescent="0.2">
      <c r="A1059" s="240"/>
      <c r="C1059" s="241"/>
      <c r="D1059" s="241"/>
      <c r="H1059" s="240"/>
      <c r="J1059" s="240"/>
    </row>
  </sheetData>
  <autoFilter ref="A1:J449" xr:uid="{00000000-0009-0000-0000-000001000000}">
    <sortState xmlns:xlrd2="http://schemas.microsoft.com/office/spreadsheetml/2017/richdata2" ref="A2:J449">
      <sortCondition ref="H1:H449"/>
    </sortState>
  </autoFilter>
  <customSheetViews>
    <customSheetView guid="{391ED413-B519-42B5-B0F8-A9E49CD8514B}" scale="130" showAutoFilter="1">
      <pane ySplit="1" topLeftCell="A11" activePane="bottomLeft" state="frozen"/>
      <selection pane="bottomLeft" activeCell="C37" sqref="C37"/>
      <pageMargins left="0.7" right="0.7" top="0.78740157499999996" bottom="0.78740157499999996" header="0.3" footer="0.3"/>
      <pageSetup paperSize="9" orientation="portrait" r:id="rId1"/>
      <autoFilter ref="A1:J335" xr:uid="{EB6F459E-2C72-49F2-93FB-223EA94E921B}"/>
    </customSheetView>
  </customSheetViews>
  <pageMargins left="0.7" right="0.7" top="0.78740157499999996" bottom="0.78740157499999996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>
    <tabColor theme="3" tint="0.59999389629810485"/>
  </sheetPr>
  <dimension ref="A1:Z404"/>
  <sheetViews>
    <sheetView zoomScale="115" zoomScaleNormal="115" zoomScaleSheetLayoutView="85" workbookViewId="0">
      <pane ySplit="3" topLeftCell="A4" activePane="bottomLeft" state="frozen"/>
      <selection pane="bottomLeft" activeCell="I72" sqref="I72"/>
    </sheetView>
  </sheetViews>
  <sheetFormatPr baseColWidth="10" defaultRowHeight="12.6" x14ac:dyDescent="0.2"/>
  <cols>
    <col min="1" max="1" width="2.453125" customWidth="1"/>
    <col min="2" max="2" width="18.90625" customWidth="1"/>
    <col min="3" max="3" width="18.6328125" customWidth="1"/>
    <col min="4" max="4" width="13.90625" bestFit="1" customWidth="1"/>
    <col min="5" max="5" width="32.08984375" customWidth="1"/>
    <col min="6" max="6" width="22.26953125" customWidth="1"/>
    <col min="7" max="7" width="13.54296875" customWidth="1"/>
    <col min="8" max="8" width="14" customWidth="1"/>
    <col min="9" max="9" width="30.453125" customWidth="1"/>
    <col min="10" max="10" width="12.6328125" hidden="1" customWidth="1"/>
    <col min="11" max="11" width="7" customWidth="1"/>
    <col min="12" max="12" width="24.36328125" customWidth="1"/>
    <col min="13" max="13" width="16.08984375" customWidth="1"/>
    <col min="14" max="14" width="15.08984375" customWidth="1"/>
    <col min="15" max="15" width="16" customWidth="1"/>
    <col min="16" max="16" width="14.90625" customWidth="1"/>
    <col min="17" max="17" width="30.90625" customWidth="1"/>
    <col min="18" max="18" width="4.453125" customWidth="1"/>
    <col min="19" max="19" width="11"/>
    <col min="20" max="21" width="15.453125" customWidth="1"/>
    <col min="22" max="23" width="18.6328125" customWidth="1"/>
    <col min="24" max="24" width="21.08984375" customWidth="1"/>
    <col min="25" max="25" width="12.7265625" customWidth="1"/>
    <col min="26" max="26" width="24.6328125" customWidth="1"/>
  </cols>
  <sheetData>
    <row r="1" spans="2:23" ht="13.2" thickBot="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K1">
        <v>9</v>
      </c>
    </row>
    <row r="2" spans="2:23" ht="24.75" customHeight="1" thickBot="1" x14ac:dyDescent="0.25">
      <c r="B2" s="429" t="s">
        <v>498</v>
      </c>
      <c r="C2" s="430"/>
      <c r="D2" s="430"/>
      <c r="E2" s="430"/>
      <c r="F2" s="430"/>
      <c r="G2" s="430"/>
      <c r="H2" s="430"/>
      <c r="I2" s="431"/>
    </row>
    <row r="3" spans="2:23" ht="24.75" customHeight="1" thickBot="1" x14ac:dyDescent="0.25">
      <c r="B3" s="200" t="s">
        <v>0</v>
      </c>
      <c r="C3" s="201" t="s">
        <v>74</v>
      </c>
      <c r="D3" s="201" t="s">
        <v>15</v>
      </c>
      <c r="E3" s="201" t="s">
        <v>0</v>
      </c>
      <c r="F3" s="201" t="s">
        <v>16</v>
      </c>
      <c r="G3" s="201"/>
      <c r="H3" s="201"/>
      <c r="I3" s="202"/>
      <c r="R3" s="11"/>
      <c r="S3" s="11"/>
      <c r="U3" s="13"/>
      <c r="V3" s="13"/>
      <c r="W3" s="13"/>
    </row>
    <row r="4" spans="2:23" ht="27.75" customHeight="1" x14ac:dyDescent="0.2">
      <c r="B4" s="26">
        <v>1</v>
      </c>
      <c r="C4" s="65" t="str">
        <f>VLOOKUP(B4,Ausschreibung!$B$5:$I$35,2,FALSE)</f>
        <v>Ergocup</v>
      </c>
      <c r="D4" s="27">
        <f>VLOOKUP(B4,Ausschreibung!$B$5:$I$35,3,FALSE)</f>
        <v>0.375</v>
      </c>
      <c r="E4" s="65" t="s">
        <v>96</v>
      </c>
      <c r="F4" s="65" t="str">
        <f>VLOOKUP(B4,Ausschreibung!$B$5:$I$35,5,FALSE)</f>
        <v>-</v>
      </c>
      <c r="G4" s="65" t="str">
        <f>VLOOKUP(B4,Ausschreibung!$B$5:$I$35,6,FALSE)</f>
        <v>27 und älter  </v>
      </c>
      <c r="H4" s="65" t="str">
        <f>VLOOKUP(B4,Ausschreibung!$B$5:$I$35,8,FALSE)</f>
        <v>30 min.</v>
      </c>
      <c r="I4" s="28"/>
      <c r="R4" s="11"/>
      <c r="S4" s="11"/>
      <c r="U4" s="16"/>
      <c r="V4" s="16"/>
    </row>
    <row r="5" spans="2:23" ht="13.2" thickBot="1" x14ac:dyDescent="0.25">
      <c r="B5" s="19" t="s">
        <v>1</v>
      </c>
      <c r="C5" s="18" t="s">
        <v>2</v>
      </c>
      <c r="D5" s="17" t="s">
        <v>49</v>
      </c>
      <c r="E5" s="130" t="s">
        <v>16</v>
      </c>
      <c r="F5" s="17" t="s">
        <v>18</v>
      </c>
      <c r="G5" s="73" t="s">
        <v>50</v>
      </c>
      <c r="H5" s="17" t="s">
        <v>51</v>
      </c>
      <c r="I5" s="30" t="s">
        <v>17</v>
      </c>
      <c r="R5" s="11"/>
      <c r="S5" s="11"/>
      <c r="U5" s="16"/>
      <c r="V5" s="16"/>
    </row>
    <row r="6" spans="2:23" x14ac:dyDescent="0.2">
      <c r="B6" s="131" t="str">
        <f t="array" ref="B6">IF(ISERROR(INDEX('Eingabe Meldungen'!$C$2:$C$492,LARGE(('Eingabe Meldungen'!$A$2:$A$492=$B$4)*(ROW('Eingabe Meldungen'!$A$2:$A$492)-1),COUNTIF('Eingabe Meldungen'!$A$2:$A$492,$B$4)+1-ROW('Eingabe Meldungen'!A1)))),"",INDEX('Eingabe Meldungen'!$C$2:$C$492,LARGE(('Eingabe Meldungen'!$A$2:$A$492=$B$4)*(ROW('Eingabe Meldungen'!$A$2:$A$492)-1),COUNTIF('Eingabe Meldungen'!$A$2:$A$492,$B$4)+1-ROW('Eingabe Meldungen'!A1))))</f>
        <v>Reinert</v>
      </c>
      <c r="C6" s="132" t="str">
        <f t="array" ref="C6">IF(ISERROR(INDEX('Eingabe Meldungen'!$D$2:$D$492,LARGE(('Eingabe Meldungen'!$A$2:$A$492=$B$4)*(ROW('Eingabe Meldungen'!$A$2:$A$492)-1),COUNTIF('Eingabe Meldungen'!$A$2:$A$492,$B$4)+1-ROW('Eingabe Meldungen'!A1)))),"",INDEX('Eingabe Meldungen'!$D$2:$D$492,LARGE(('Eingabe Meldungen'!$A$2:$A$492=$B$4)*(ROW('Eingabe Meldungen'!$A$2:$A$492)-1),COUNTIF('Eingabe Meldungen'!$A$2:$A$492,$B$4)+1-ROW('Eingabe Meldungen'!A1))))</f>
        <v>Ingrid</v>
      </c>
      <c r="D6" s="78">
        <f t="array" ref="D6">IF(B6&lt;&gt;"",INDEX('Eingabe Meldungen'!$C$2:$H$492,MATCH(B6&amp;C6,'Eingabe Meldungen'!$C$2:$C$492&amp;'Eingabe Meldungen'!$D$2:$D$492,0),6),"")</f>
        <v>1960</v>
      </c>
      <c r="E6" s="78" t="str">
        <f t="array" ref="E6">IF(B6&lt;&gt;"",INDEX('Eingabe Meldungen'!$C$2:$H$492,MATCH(B6&amp;C6,'Eingabe Meldungen'!$C$2:$C$492&amp;'Eingabe Meldungen'!$D$2:$D$492,0),4),"")</f>
        <v>F</v>
      </c>
      <c r="F6" s="78">
        <v>1</v>
      </c>
      <c r="G6" s="133"/>
      <c r="H6" s="132" t="e">
        <f t="shared" ref="H6:H11" si="0">RANK(G6,$G$6:$G$18,1)</f>
        <v>#N/A</v>
      </c>
      <c r="I6" s="134" t="str">
        <f t="array" ref="I6">IF(B6&lt;&gt;"",INDEX('Eingabe Meldungen'!$C$2:$J$492,MATCH(B6&amp;C6,'Eingabe Meldungen'!$C$2:$C$492&amp;'Eingabe Meldungen'!$D$2:$D$492,0),8),"")</f>
        <v>HRG Schwaben</v>
      </c>
      <c r="R6" s="11"/>
      <c r="S6" s="11"/>
      <c r="W6" s="15"/>
    </row>
    <row r="7" spans="2:23" ht="13.5" customHeight="1" x14ac:dyDescent="0.2">
      <c r="B7" s="100" t="str">
        <f t="array" ref="B7">IF(ISERROR(INDEX('Eingabe Meldungen'!$C$2:$C$492,LARGE(('Eingabe Meldungen'!$A$2:$A$492=$B$4)*(ROW('Eingabe Meldungen'!$A$2:$A$492)-1),COUNTIF('Eingabe Meldungen'!$A$2:$A$492,$B$4)+1-ROW('Eingabe Meldungen'!A2)))),"",INDEX('Eingabe Meldungen'!$C$2:$C$492,LARGE(('Eingabe Meldungen'!$A$2:$A$492=$B$4)*(ROW('Eingabe Meldungen'!$A$2:$A$492)-1),COUNTIF('Eingabe Meldungen'!$A$2:$A$492,$B$4)+1-ROW('Eingabe Meldungen'!A2))))</f>
        <v>Schmidt</v>
      </c>
      <c r="C7" s="4" t="str">
        <f t="array" ref="C7">IF(ISERROR(INDEX('Eingabe Meldungen'!$D$2:$D$492,LARGE(('Eingabe Meldungen'!$A$2:$A$492=$B$4)*(ROW('Eingabe Meldungen'!$A$2:$A$492)-1),COUNTIF('Eingabe Meldungen'!$A$2:$A$492,$B$4)+1-ROW('Eingabe Meldungen'!A2)))),"",INDEX('Eingabe Meldungen'!$D$2:$D$492,LARGE(('Eingabe Meldungen'!$A$2:$A$492=$B$4)*(ROW('Eingabe Meldungen'!$A$2:$A$492)-1),COUNTIF('Eingabe Meldungen'!$A$2:$A$492,$B$4)+1-ROW('Eingabe Meldungen'!A2))))</f>
        <v>Henriette</v>
      </c>
      <c r="D7" s="66">
        <f t="array" ref="D7">IF(B7&lt;&gt;"",INDEX('Eingabe Meldungen'!$C$2:$H$492,MATCH(B7&amp;C7,'Eingabe Meldungen'!$C$2:$C$492&amp;'Eingabe Meldungen'!$D$2:$D$492,0),6),"")</f>
        <v>1965</v>
      </c>
      <c r="E7" s="66" t="s">
        <v>146</v>
      </c>
      <c r="F7" s="66">
        <v>2</v>
      </c>
      <c r="G7" s="135"/>
      <c r="H7" s="4" t="e">
        <f t="shared" si="0"/>
        <v>#N/A</v>
      </c>
      <c r="I7" s="136" t="str">
        <f t="array" ref="I7">IF(B7&lt;&gt;"",INDEX('Eingabe Meldungen'!$C$2:$J$492,MATCH(B7&amp;C7,'Eingabe Meldungen'!$C$2:$C$492&amp;'Eingabe Meldungen'!$D$2:$D$492,0),8),"")</f>
        <v>Marbacher Ruderverein</v>
      </c>
      <c r="R7" s="11"/>
      <c r="S7" s="11"/>
      <c r="W7" s="15"/>
    </row>
    <row r="8" spans="2:23" x14ac:dyDescent="0.2">
      <c r="B8" s="100" t="str">
        <f t="array" ref="B8">IF(ISERROR(INDEX('Eingabe Meldungen'!$C$2:$C$492,LARGE(('Eingabe Meldungen'!$A$2:$A$492=$B$4)*(ROW('Eingabe Meldungen'!$A$2:$A$492)-1),COUNTIF('Eingabe Meldungen'!$A$2:$A$492,$B$4)+1-ROW('Eingabe Meldungen'!A3)))),"",INDEX('Eingabe Meldungen'!$C$2:$C$492,LARGE(('Eingabe Meldungen'!$A$2:$A$492=$B$4)*(ROW('Eingabe Meldungen'!$A$2:$A$492)-1),COUNTIF('Eingabe Meldungen'!$A$2:$A$492,$B$4)+1-ROW('Eingabe Meldungen'!A3))))</f>
        <v>Young</v>
      </c>
      <c r="C8" s="4" t="str">
        <f t="array" ref="C8">IF(ISERROR(INDEX('Eingabe Meldungen'!$D$2:$D$492,LARGE(('Eingabe Meldungen'!$A$2:$A$492=$B$4)*(ROW('Eingabe Meldungen'!$A$2:$A$492)-1),COUNTIF('Eingabe Meldungen'!$A$2:$A$492,$B$4)+1-ROW('Eingabe Meldungen'!A3)))),"",INDEX('Eingabe Meldungen'!$D$2:$D$492,LARGE(('Eingabe Meldungen'!$A$2:$A$492=$B$4)*(ROW('Eingabe Meldungen'!$A$2:$A$492)-1),COUNTIF('Eingabe Meldungen'!$A$2:$A$492,$B$4)+1-ROW('Eingabe Meldungen'!A3))))</f>
        <v>Susan</v>
      </c>
      <c r="D8" s="66">
        <f t="array" ref="D8">IF(B8&lt;&gt;"",INDEX('Eingabe Meldungen'!$C$2:$H$492,MATCH(B8&amp;C8,'Eingabe Meldungen'!$C$2:$C$492&amp;'Eingabe Meldungen'!$D$2:$D$492,0),6),"")</f>
        <v>1965</v>
      </c>
      <c r="E8" s="66" t="s">
        <v>146</v>
      </c>
      <c r="F8" s="66">
        <v>3</v>
      </c>
      <c r="G8" s="135"/>
      <c r="H8" s="4" t="e">
        <f t="shared" si="0"/>
        <v>#N/A</v>
      </c>
      <c r="I8" s="136" t="str">
        <f t="array" ref="I8">IF(B8&lt;&gt;"",INDEX('Eingabe Meldungen'!$C$2:$J$492,MATCH(B8&amp;C8,'Eingabe Meldungen'!$C$2:$C$492&amp;'Eingabe Meldungen'!$D$2:$D$492,0),8),"")</f>
        <v>Sub7 IRC</v>
      </c>
      <c r="R8" s="11"/>
      <c r="S8" s="11"/>
      <c r="W8" s="15"/>
    </row>
    <row r="9" spans="2:23" x14ac:dyDescent="0.2">
      <c r="B9" s="100" t="str">
        <f t="array" ref="B9">IF(ISERROR(INDEX('Eingabe Meldungen'!$C$2:$C$492,LARGE(('Eingabe Meldungen'!$A$2:$A$492=$B$4)*(ROW('Eingabe Meldungen'!$A$2:$A$492)-1),COUNTIF('Eingabe Meldungen'!$A$2:$A$492,$B$4)+1-ROW('Eingabe Meldungen'!A4)))),"",INDEX('Eingabe Meldungen'!$C$2:$C$492,LARGE(('Eingabe Meldungen'!$A$2:$A$492=$B$4)*(ROW('Eingabe Meldungen'!$A$2:$A$492)-1),COUNTIF('Eingabe Meldungen'!$A$2:$A$492,$B$4)+1-ROW('Eingabe Meldungen'!A4))))</f>
        <v>Breitenbücher</v>
      </c>
      <c r="C9" s="4" t="str">
        <f t="array" ref="C9">IF(ISERROR(INDEX('Eingabe Meldungen'!$D$2:$D$492,LARGE(('Eingabe Meldungen'!$A$2:$A$492=$B$4)*(ROW('Eingabe Meldungen'!$A$2:$A$492)-1),COUNTIF('Eingabe Meldungen'!$A$2:$A$492,$B$4)+1-ROW('Eingabe Meldungen'!A4)))),"",INDEX('Eingabe Meldungen'!$D$2:$D$492,LARGE(('Eingabe Meldungen'!$A$2:$A$492=$B$4)*(ROW('Eingabe Meldungen'!$A$2:$A$492)-1),COUNTIF('Eingabe Meldungen'!$A$2:$A$492,$B$4)+1-ROW('Eingabe Meldungen'!A4))))</f>
        <v>Heike</v>
      </c>
      <c r="D9" s="66">
        <f t="array" ref="D9">IF(B9&lt;&gt;"",INDEX('Eingabe Meldungen'!$C$2:$H$492,MATCH(B9&amp;C9,'Eingabe Meldungen'!$C$2:$C$492&amp;'Eingabe Meldungen'!$D$2:$D$492,0),6),"")</f>
        <v>1967</v>
      </c>
      <c r="E9" s="66" t="str">
        <f t="array" ref="E9">IF(B9&lt;&gt;"",INDEX('Eingabe Meldungen'!$C$2:$H$492,MATCH(B9&amp;C9,'Eingabe Meldungen'!$C$2:$C$492&amp;'Eingabe Meldungen'!$D$2:$D$492,0),4),"")</f>
        <v>D</v>
      </c>
      <c r="F9" s="66">
        <v>4</v>
      </c>
      <c r="G9" s="135"/>
      <c r="H9" s="4" t="e">
        <f t="shared" si="0"/>
        <v>#N/A</v>
      </c>
      <c r="I9" s="136" t="str">
        <f t="array" ref="I9">IF(B9&lt;&gt;"",INDEX('Eingabe Meldungen'!$C$2:$J$492,MATCH(B9&amp;C9,'Eingabe Meldungen'!$C$2:$C$492&amp;'Eingabe Meldungen'!$D$2:$D$492,0),8),"")</f>
        <v>Marbacher Ruderverein</v>
      </c>
      <c r="R9" s="11"/>
      <c r="S9" s="11"/>
      <c r="W9" s="15"/>
    </row>
    <row r="10" spans="2:23" x14ac:dyDescent="0.2">
      <c r="B10" s="100" t="str">
        <f t="array" ref="B10">IF(ISERROR(INDEX('Eingabe Meldungen'!$C$2:$C$492,LARGE(('Eingabe Meldungen'!$A$2:$A$492=$B$4)*(ROW('Eingabe Meldungen'!$A$2:$A$492)-1),COUNTIF('Eingabe Meldungen'!$A$2:$A$492,$B$4)+1-ROW('Eingabe Meldungen'!A5)))),"",INDEX('Eingabe Meldungen'!$C$2:$C$492,LARGE(('Eingabe Meldungen'!$A$2:$A$492=$B$4)*(ROW('Eingabe Meldungen'!$A$2:$A$492)-1),COUNTIF('Eingabe Meldungen'!$A$2:$A$492,$B$4)+1-ROW('Eingabe Meldungen'!A5))))</f>
        <v>Schmidt</v>
      </c>
      <c r="C10" s="4" t="str">
        <f t="array" ref="C10">IF(ISERROR(INDEX('Eingabe Meldungen'!$D$2:$D$492,LARGE(('Eingabe Meldungen'!$A$2:$A$492=$B$4)*(ROW('Eingabe Meldungen'!$A$2:$A$492)-1),COUNTIF('Eingabe Meldungen'!$A$2:$A$492,$B$4)+1-ROW('Eingabe Meldungen'!A5)))),"",INDEX('Eingabe Meldungen'!$D$2:$D$492,LARGE(('Eingabe Meldungen'!$A$2:$A$492=$B$4)*(ROW('Eingabe Meldungen'!$A$2:$A$492)-1),COUNTIF('Eingabe Meldungen'!$A$2:$A$492,$B$4)+1-ROW('Eingabe Meldungen'!A5))))</f>
        <v>Uta</v>
      </c>
      <c r="D10" s="66">
        <f t="array" ref="D10">IF(B10&lt;&gt;"",INDEX('Eingabe Meldungen'!$C$2:$H$492,MATCH(B10&amp;C10,'Eingabe Meldungen'!$C$2:$C$492&amp;'Eingabe Meldungen'!$D$2:$D$492,0),6),"")</f>
        <v>1972</v>
      </c>
      <c r="E10" s="66" t="str">
        <f t="array" ref="E10">IF(B10&lt;&gt;"",INDEX('Eingabe Meldungen'!$C$2:$H$492,MATCH(B10&amp;C10,'Eingabe Meldungen'!$C$2:$C$492&amp;'Eingabe Meldungen'!$D$2:$D$492,0),4),"")</f>
        <v>C</v>
      </c>
      <c r="F10" s="66">
        <v>5</v>
      </c>
      <c r="G10" s="135"/>
      <c r="H10" s="4" t="e">
        <f t="shared" si="0"/>
        <v>#N/A</v>
      </c>
      <c r="I10" s="136" t="str">
        <f t="array" ref="I10">IF(B10&lt;&gt;"",INDEX('Eingabe Meldungen'!$C$2:$J$492,MATCH(B10&amp;C10,'Eingabe Meldungen'!$C$2:$C$492&amp;'Eingabe Meldungen'!$D$2:$D$492,0),8),"")</f>
        <v>Marbacher Ruderverein</v>
      </c>
      <c r="R10" s="11"/>
      <c r="S10" s="11"/>
      <c r="W10" s="15"/>
    </row>
    <row r="11" spans="2:23" x14ac:dyDescent="0.2">
      <c r="B11" s="100" t="str">
        <f t="array" ref="B11">IF(ISERROR(INDEX('Eingabe Meldungen'!$C$2:$C$492,LARGE(('Eingabe Meldungen'!$A$2:$A$492=$B$4)*(ROW('Eingabe Meldungen'!$A$2:$A$492)-1),COUNTIF('Eingabe Meldungen'!$A$2:$A$492,$B$4)+1-ROW('Eingabe Meldungen'!A6)))),"",INDEX('Eingabe Meldungen'!$C$2:$C$492,LARGE(('Eingabe Meldungen'!$A$2:$A$492=$B$4)*(ROW('Eingabe Meldungen'!$A$2:$A$492)-1),COUNTIF('Eingabe Meldungen'!$A$2:$A$492,$B$4)+1-ROW('Eingabe Meldungen'!A6))))</f>
        <v>Vogt</v>
      </c>
      <c r="C11" s="4" t="str">
        <f t="array" ref="C11">IF(ISERROR(INDEX('Eingabe Meldungen'!$D$2:$D$492,LARGE(('Eingabe Meldungen'!$A$2:$A$492=$B$4)*(ROW('Eingabe Meldungen'!$A$2:$A$492)-1),COUNTIF('Eingabe Meldungen'!$A$2:$A$492,$B$4)+1-ROW('Eingabe Meldungen'!A6)))),"",INDEX('Eingabe Meldungen'!$D$2:$D$492,LARGE(('Eingabe Meldungen'!$A$2:$A$492=$B$4)*(ROW('Eingabe Meldungen'!$A$2:$A$492)-1),COUNTIF('Eingabe Meldungen'!$A$2:$A$492,$B$4)+1-ROW('Eingabe Meldungen'!A6))))</f>
        <v>Antje</v>
      </c>
      <c r="D11" s="66">
        <f t="array" ref="D11">IF(B11&lt;&gt;"",INDEX('Eingabe Meldungen'!$C$2:$H$492,MATCH(B11&amp;C11,'Eingabe Meldungen'!$C$2:$C$492&amp;'Eingabe Meldungen'!$D$2:$D$492,0),6),"")</f>
        <v>1975</v>
      </c>
      <c r="E11" s="66" t="str">
        <f t="array" ref="E11">IF(B11&lt;&gt;"",INDEX('Eingabe Meldungen'!$C$2:$H$492,MATCH(B11&amp;C11,'Eingabe Meldungen'!$C$2:$C$492&amp;'Eingabe Meldungen'!$D$2:$D$492,0),4),"")</f>
        <v>C</v>
      </c>
      <c r="F11" s="66">
        <v>6</v>
      </c>
      <c r="G11" s="135"/>
      <c r="H11" s="4" t="e">
        <f t="shared" si="0"/>
        <v>#N/A</v>
      </c>
      <c r="I11" s="136" t="str">
        <f t="array" ref="I11">IF(B11&lt;&gt;"",INDEX('Eingabe Meldungen'!$C$2:$J$492,MATCH(B11&amp;C11,'Eingabe Meldungen'!$C$2:$C$492&amp;'Eingabe Meldungen'!$D$2:$D$492,0),8),"")</f>
        <v>HRG Schwaben</v>
      </c>
      <c r="R11" s="11"/>
      <c r="S11" s="11"/>
      <c r="W11" s="15"/>
    </row>
    <row r="12" spans="2:23" x14ac:dyDescent="0.2">
      <c r="B12" s="100" t="str">
        <f t="array" ref="B12">IF(ISERROR(INDEX('Eingabe Meldungen'!$C$2:$C$492,LARGE(('Eingabe Meldungen'!$A$2:$A$492=$B$4)*(ROW('Eingabe Meldungen'!$A$2:$A$492)-1),COUNTIF('Eingabe Meldungen'!$A$2:$A$492,$B$4)+1-ROW('Eingabe Meldungen'!A7)))),"",INDEX('Eingabe Meldungen'!$C$2:$C$492,LARGE(('Eingabe Meldungen'!$A$2:$A$492=$B$4)*(ROW('Eingabe Meldungen'!$A$2:$A$492)-1),COUNTIF('Eingabe Meldungen'!$A$2:$A$492,$B$4)+1-ROW('Eingabe Meldungen'!A7))))</f>
        <v>Munke</v>
      </c>
      <c r="C12" s="4" t="str">
        <f t="array" ref="C12">IF(ISERROR(INDEX('Eingabe Meldungen'!$D$2:$D$492,LARGE(('Eingabe Meldungen'!$A$2:$A$492=$B$4)*(ROW('Eingabe Meldungen'!$A$2:$A$492)-1),COUNTIF('Eingabe Meldungen'!$A$2:$A$492,$B$4)+1-ROW('Eingabe Meldungen'!A7)))),"",INDEX('Eingabe Meldungen'!$D$2:$D$492,LARGE(('Eingabe Meldungen'!$A$2:$A$492=$B$4)*(ROW('Eingabe Meldungen'!$A$2:$A$492)-1),COUNTIF('Eingabe Meldungen'!$A$2:$A$492,$B$4)+1-ROW('Eingabe Meldungen'!A7))))</f>
        <v>Steffi</v>
      </c>
      <c r="D12" s="66">
        <f t="array" ref="D12">IF(B12&lt;&gt;"",INDEX('Eingabe Meldungen'!$C$2:$H$492,MATCH(B12&amp;C12,'Eingabe Meldungen'!$C$2:$C$492&amp;'Eingabe Meldungen'!$D$2:$D$492,0),6),"")</f>
        <v>1968</v>
      </c>
      <c r="E12" s="66" t="str">
        <f t="array" ref="E12">IF(B12&lt;&gt;"",INDEX('Eingabe Meldungen'!$C$2:$H$492,MATCH(B12&amp;C12,'Eingabe Meldungen'!$C$2:$C$492&amp;'Eingabe Meldungen'!$D$2:$D$492,0),4),"")</f>
        <v>D</v>
      </c>
      <c r="F12" s="66">
        <v>7</v>
      </c>
      <c r="G12" s="135"/>
      <c r="H12" s="4" t="e">
        <f t="shared" ref="H12:H18" si="1">RANK(G12,$G$6:$G$18,1)</f>
        <v>#N/A</v>
      </c>
      <c r="I12" s="136" t="str">
        <f t="array" ref="I12">IF(B12&lt;&gt;"",INDEX('Eingabe Meldungen'!$C$2:$J$492,MATCH(B12&amp;C12,'Eingabe Meldungen'!$C$2:$C$492&amp;'Eingabe Meldungen'!$D$2:$D$492,0),8),"")</f>
        <v xml:space="preserve">WSV Schifferclub Neckarrems </v>
      </c>
      <c r="R12" s="11"/>
      <c r="S12" s="11"/>
      <c r="W12" s="15"/>
    </row>
    <row r="13" spans="2:23" x14ac:dyDescent="0.2">
      <c r="B13" s="100" t="str">
        <f t="array" ref="B13">IF(ISERROR(INDEX('Eingabe Meldungen'!$C$2:$C$492,LARGE(('Eingabe Meldungen'!$A$2:$A$492=$B$4)*(ROW('Eingabe Meldungen'!$A$2:$A$492)-1),COUNTIF('Eingabe Meldungen'!$A$2:$A$492,$B$4)+1-ROW('Eingabe Meldungen'!A8)))),"",INDEX('Eingabe Meldungen'!$C$2:$C$492,LARGE(('Eingabe Meldungen'!$A$2:$A$492=$B$4)*(ROW('Eingabe Meldungen'!$A$2:$A$492)-1),COUNTIF('Eingabe Meldungen'!$A$2:$A$492,$B$4)+1-ROW('Eingabe Meldungen'!A8))))</f>
        <v>Wöppel</v>
      </c>
      <c r="C13" s="4" t="str">
        <f t="array" ref="C13">IF(ISERROR(INDEX('Eingabe Meldungen'!$D$2:$D$492,LARGE(('Eingabe Meldungen'!$A$2:$A$492=$B$4)*(ROW('Eingabe Meldungen'!$A$2:$A$492)-1),COUNTIF('Eingabe Meldungen'!$A$2:$A$492,$B$4)+1-ROW('Eingabe Meldungen'!A8)))),"",INDEX('Eingabe Meldungen'!$D$2:$D$492,LARGE(('Eingabe Meldungen'!$A$2:$A$492=$B$4)*(ROW('Eingabe Meldungen'!$A$2:$A$492)-1),COUNTIF('Eingabe Meldungen'!$A$2:$A$492,$B$4)+1-ROW('Eingabe Meldungen'!A8))))</f>
        <v>Stefanie</v>
      </c>
      <c r="D13" s="66">
        <f t="array" ref="D13">IF(B13&lt;&gt;"",INDEX('Eingabe Meldungen'!$C$2:$H$492,MATCH(B13&amp;C13,'Eingabe Meldungen'!$C$2:$C$492&amp;'Eingabe Meldungen'!$D$2:$D$492,0),6),"")</f>
        <v>1971</v>
      </c>
      <c r="E13" s="66" t="str">
        <f t="array" ref="E13">IF(B13&lt;&gt;"",INDEX('Eingabe Meldungen'!$C$2:$H$492,MATCH(B13&amp;C13,'Eingabe Meldungen'!$C$2:$C$492&amp;'Eingabe Meldungen'!$D$2:$D$492,0),4),"")</f>
        <v>C</v>
      </c>
      <c r="F13" s="66">
        <v>8</v>
      </c>
      <c r="G13" s="135"/>
      <c r="H13" s="4" t="e">
        <f t="shared" si="1"/>
        <v>#N/A</v>
      </c>
      <c r="I13" s="136" t="str">
        <f t="array" ref="I13">IF(B13&lt;&gt;"",INDEX('Eingabe Meldungen'!$C$2:$J$492,MATCH(B13&amp;C13,'Eingabe Meldungen'!$C$2:$C$492&amp;'Eingabe Meldungen'!$D$2:$D$492,0),8),"")</f>
        <v xml:space="preserve">WSV Schifferclub Neckarrems </v>
      </c>
      <c r="R13" s="11"/>
      <c r="S13" s="11"/>
      <c r="W13" s="15"/>
    </row>
    <row r="14" spans="2:23" x14ac:dyDescent="0.2">
      <c r="B14" s="100" t="str">
        <f t="array" ref="B14">IF(ISERROR(INDEX('Eingabe Meldungen'!$C$2:$C$492,LARGE(('Eingabe Meldungen'!$A$2:$A$492=$B$4)*(ROW('Eingabe Meldungen'!$A$2:$A$492)-1),COUNTIF('Eingabe Meldungen'!$A$2:$A$492,$B$4)+1-ROW('Eingabe Meldungen'!A9)))),"",INDEX('Eingabe Meldungen'!$C$2:$C$492,LARGE(('Eingabe Meldungen'!$A$2:$A$492=$B$4)*(ROW('Eingabe Meldungen'!$A$2:$A$492)-1),COUNTIF('Eingabe Meldungen'!$A$2:$A$492,$B$4)+1-ROW('Eingabe Meldungen'!A9))))</f>
        <v/>
      </c>
      <c r="C14" s="4" t="str">
        <f t="array" ref="C14">IF(ISERROR(INDEX('Eingabe Meldungen'!$D$2:$D$492,LARGE(('Eingabe Meldungen'!$A$2:$A$492=$B$4)*(ROW('Eingabe Meldungen'!$A$2:$A$492)-1),COUNTIF('Eingabe Meldungen'!$A$2:$A$492,$B$4)+1-ROW('Eingabe Meldungen'!A9)))),"",INDEX('Eingabe Meldungen'!$D$2:$D$492,LARGE(('Eingabe Meldungen'!$A$2:$A$492=$B$4)*(ROW('Eingabe Meldungen'!$A$2:$A$492)-1),COUNTIF('Eingabe Meldungen'!$A$2:$A$492,$B$4)+1-ROW('Eingabe Meldungen'!A9))))</f>
        <v/>
      </c>
      <c r="D14" s="66" t="str">
        <f t="array" ref="D14">IF(B14&lt;&gt;"",INDEX('Eingabe Meldungen'!$C$2:$H$492,MATCH(B14&amp;C14,'Eingabe Meldungen'!$C$2:$C$492&amp;'Eingabe Meldungen'!$D$2:$D$492,0),6),"")</f>
        <v/>
      </c>
      <c r="E14" s="66" t="str">
        <f t="array" ref="E14">IF(B14&lt;&gt;"",INDEX('Eingabe Meldungen'!$C$2:$H$492,MATCH(B14&amp;C14,'Eingabe Meldungen'!$C$2:$C$492&amp;'Eingabe Meldungen'!$D$2:$D$492,0),4),"")</f>
        <v/>
      </c>
      <c r="F14" s="66">
        <v>9</v>
      </c>
      <c r="G14" s="135"/>
      <c r="H14" s="4" t="e">
        <f t="shared" si="1"/>
        <v>#N/A</v>
      </c>
      <c r="I14" s="136" t="str">
        <f t="array" ref="I14">IF(B14&lt;&gt;"",INDEX('Eingabe Meldungen'!$C$2:$J$492,MATCH(B14&amp;C14,'Eingabe Meldungen'!$C$2:$C$492&amp;'Eingabe Meldungen'!$D$2:$D$492,0),8),"")</f>
        <v/>
      </c>
      <c r="R14" s="11"/>
      <c r="S14" s="11"/>
      <c r="W14" s="15"/>
    </row>
    <row r="15" spans="2:23" ht="13.2" thickBot="1" x14ac:dyDescent="0.25">
      <c r="B15" s="138" t="str">
        <f t="array" ref="B15">IF(ISERROR(INDEX('Eingabe Meldungen'!$C$2:$C$492,LARGE(('Eingabe Meldungen'!$A$2:$A$492=$B$4)*(ROW('Eingabe Meldungen'!$A$2:$A$492)-1),COUNTIF('Eingabe Meldungen'!$A$2:$A$492,$B$4)+1-ROW('Eingabe Meldungen'!A10)))),"",INDEX('Eingabe Meldungen'!$C$2:$C$492,LARGE(('Eingabe Meldungen'!$A$2:$A$492=$B$4)*(ROW('Eingabe Meldungen'!$A$2:$A$492)-1),COUNTIF('Eingabe Meldungen'!$A$2:$A$492,$B$4)+1-ROW('Eingabe Meldungen'!A10))))</f>
        <v/>
      </c>
      <c r="C15" s="139" t="str">
        <f t="array" ref="C15">IF(ISERROR(INDEX('Eingabe Meldungen'!$D$2:$D$492,LARGE(('Eingabe Meldungen'!$A$2:$A$492=$B$4)*(ROW('Eingabe Meldungen'!$A$2:$A$492)-1),COUNTIF('Eingabe Meldungen'!$A$2:$A$492,$B$4)+1-ROW('Eingabe Meldungen'!A10)))),"",INDEX('Eingabe Meldungen'!$D$2:$D$492,LARGE(('Eingabe Meldungen'!$A$2:$A$492=$B$4)*(ROW('Eingabe Meldungen'!$A$2:$A$492)-1),COUNTIF('Eingabe Meldungen'!$A$2:$A$492,$B$4)+1-ROW('Eingabe Meldungen'!A10))))</f>
        <v/>
      </c>
      <c r="D15" s="99" t="str">
        <f t="array" ref="D15">IF(B15&lt;&gt;"",INDEX('Eingabe Meldungen'!$C$2:$H$492,MATCH(B15&amp;C15,'Eingabe Meldungen'!$C$2:$C$492&amp;'Eingabe Meldungen'!$D$2:$D$492,0),6),"")</f>
        <v/>
      </c>
      <c r="E15" s="99" t="str">
        <f t="array" ref="E15">IF(B15&lt;&gt;"",INDEX('Eingabe Meldungen'!$C$2:$H$492,MATCH(B15&amp;C15,'Eingabe Meldungen'!$C$2:$C$492&amp;'Eingabe Meldungen'!$D$2:$D$492,0),4),"")</f>
        <v/>
      </c>
      <c r="F15" s="99">
        <v>10</v>
      </c>
      <c r="G15" s="143"/>
      <c r="H15" s="139" t="e">
        <f t="shared" si="1"/>
        <v>#N/A</v>
      </c>
      <c r="I15" s="141" t="str">
        <f t="array" ref="I15">IF(B15&lt;&gt;"",INDEX('Eingabe Meldungen'!$C$2:$J$492,MATCH(B15&amp;C15,'Eingabe Meldungen'!$C$2:$C$492&amp;'Eingabe Meldungen'!$D$2:$D$492,0),8),"")</f>
        <v/>
      </c>
      <c r="R15" s="11"/>
      <c r="S15" s="11"/>
      <c r="W15" s="15"/>
    </row>
    <row r="16" spans="2:23" hidden="1" x14ac:dyDescent="0.2">
      <c r="B16" s="100" t="str">
        <f t="array" ref="B16">IF(ISERROR(INDEX('Eingabe Meldungen'!$C$2:$C$492,LARGE(('Eingabe Meldungen'!$A$2:$A$492=$B$4)*(ROW('Eingabe Meldungen'!$A$2:$A$492)-1),COUNTIF('Eingabe Meldungen'!$A$2:$A$492,$B$4)+1-ROW('Eingabe Meldungen'!A11)))),"",INDEX('Eingabe Meldungen'!$C$2:$C$492,LARGE(('Eingabe Meldungen'!$A$2:$A$492=$B$4)*(ROW('Eingabe Meldungen'!$A$2:$A$492)-1),COUNTIF('Eingabe Meldungen'!$A$2:$A$492,$B$4)+1-ROW('Eingabe Meldungen'!A11))))</f>
        <v/>
      </c>
      <c r="C16" s="4" t="str">
        <f t="array" ref="C16">IF(ISERROR(INDEX('Eingabe Meldungen'!$D$2:$D$492,LARGE(('Eingabe Meldungen'!$A$2:$A$492=$B$4)*(ROW('Eingabe Meldungen'!$A$2:$A$492)-1),COUNTIF('Eingabe Meldungen'!$A$2:$A$492,$B$4)+1-ROW('Eingabe Meldungen'!A11)))),"",INDEX('Eingabe Meldungen'!$D$2:$D$492,LARGE(('Eingabe Meldungen'!$A$2:$A$492=$B$4)*(ROW('Eingabe Meldungen'!$A$2:$A$492)-1),COUNTIF('Eingabe Meldungen'!$A$2:$A$492,$B$4)+1-ROW('Eingabe Meldungen'!A11))))</f>
        <v/>
      </c>
      <c r="D16" s="66" t="str">
        <f t="array" ref="D16">IF(B16&lt;&gt;"",INDEX('Eingabe Meldungen'!$C$2:$H$492,MATCH(B16&amp;C16,'Eingabe Meldungen'!$C$2:$C$492&amp;'Eingabe Meldungen'!$D$2:$D$492,0),6),"")</f>
        <v/>
      </c>
      <c r="E16" s="66" t="str">
        <f t="array" ref="E16">IF(B16&lt;&gt;"",INDEX('Eingabe Meldungen'!$C$2:$H$492,MATCH(B16&amp;C16,'Eingabe Meldungen'!$C$2:$C$492&amp;'Eingabe Meldungen'!$D$2:$D$492,0),4),"")</f>
        <v/>
      </c>
      <c r="F16" s="66">
        <v>11</v>
      </c>
      <c r="G16" s="135"/>
      <c r="H16" s="4" t="e">
        <f t="shared" si="1"/>
        <v>#N/A</v>
      </c>
      <c r="I16" s="136" t="str">
        <f t="array" ref="I16">IF(B16&lt;&gt;"",INDEX('Eingabe Meldungen'!$C$2:$J$492,MATCH(B16&amp;C16,'Eingabe Meldungen'!$C$2:$C$492&amp;'Eingabe Meldungen'!$D$2:$D$492,0),8),"")</f>
        <v/>
      </c>
      <c r="R16" s="11"/>
      <c r="S16" s="11"/>
      <c r="W16" s="15"/>
    </row>
    <row r="17" spans="2:23" hidden="1" x14ac:dyDescent="0.2">
      <c r="B17" s="100" t="str">
        <f t="array" ref="B17">IF(ISERROR(INDEX('Eingabe Meldungen'!$C$2:$C$492,LARGE(('Eingabe Meldungen'!$A$2:$A$492=$B$4)*(ROW('Eingabe Meldungen'!$A$2:$A$492)-1),COUNTIF('Eingabe Meldungen'!$A$2:$A$492,$B$4)+1-ROW('Eingabe Meldungen'!A12)))),"",INDEX('Eingabe Meldungen'!$C$2:$C$492,LARGE(('Eingabe Meldungen'!$A$2:$A$492=$B$4)*(ROW('Eingabe Meldungen'!$A$2:$A$492)-1),COUNTIF('Eingabe Meldungen'!$A$2:$A$492,$B$4)+1-ROW('Eingabe Meldungen'!A12))))</f>
        <v/>
      </c>
      <c r="C17" s="4" t="str">
        <f t="array" ref="C17">IF(ISERROR(INDEX('Eingabe Meldungen'!$D$2:$D$492,LARGE(('Eingabe Meldungen'!$A$2:$A$492=$B$4)*(ROW('Eingabe Meldungen'!$A$2:$A$492)-1),COUNTIF('Eingabe Meldungen'!$A$2:$A$492,$B$4)+1-ROW('Eingabe Meldungen'!A12)))),"",INDEX('Eingabe Meldungen'!$D$2:$D$492,LARGE(('Eingabe Meldungen'!$A$2:$A$492=$B$4)*(ROW('Eingabe Meldungen'!$A$2:$A$492)-1),COUNTIF('Eingabe Meldungen'!$A$2:$A$492,$B$4)+1-ROW('Eingabe Meldungen'!A12))))</f>
        <v/>
      </c>
      <c r="D17" s="66" t="str">
        <f t="array" ref="D17">IF(B17&lt;&gt;"",INDEX('Eingabe Meldungen'!$C$2:$H$492,MATCH(B17&amp;C17,'Eingabe Meldungen'!$C$2:$C$492&amp;'Eingabe Meldungen'!$D$2:$D$492,0),6),"")</f>
        <v/>
      </c>
      <c r="E17" s="66" t="str">
        <f t="array" ref="E17">IF(B17&lt;&gt;"",INDEX('Eingabe Meldungen'!$C$2:$H$492,MATCH(B17&amp;C17,'Eingabe Meldungen'!$C$2:$C$492&amp;'Eingabe Meldungen'!$D$2:$D$492,0),4),"")</f>
        <v/>
      </c>
      <c r="F17" s="66">
        <v>12</v>
      </c>
      <c r="G17" s="135"/>
      <c r="H17" s="4" t="e">
        <f t="shared" si="1"/>
        <v>#N/A</v>
      </c>
      <c r="I17" s="136" t="str">
        <f t="array" ref="I17">IF(B17&lt;&gt;"",INDEX('Eingabe Meldungen'!$C$2:$J$492,MATCH(B17&amp;C17,'Eingabe Meldungen'!$C$2:$C$492&amp;'Eingabe Meldungen'!$D$2:$D$492,0),8),"")</f>
        <v/>
      </c>
      <c r="R17" s="11"/>
      <c r="S17" s="11"/>
      <c r="W17" s="15"/>
    </row>
    <row r="18" spans="2:23" hidden="1" x14ac:dyDescent="0.2">
      <c r="B18" s="100" t="str">
        <f t="array" ref="B18">IF(ISERROR(INDEX('Eingabe Meldungen'!$C$2:$C$492,LARGE(('Eingabe Meldungen'!$A$2:$A$492=$B$4)*(ROW('Eingabe Meldungen'!$A$2:$A$492)-1),COUNTIF('Eingabe Meldungen'!$A$2:$A$492,$B$4)+1-ROW('Eingabe Meldungen'!A13)))),"",INDEX('Eingabe Meldungen'!$C$2:$C$492,LARGE(('Eingabe Meldungen'!$A$2:$A$492=$B$4)*(ROW('Eingabe Meldungen'!$A$2:$A$492)-1),COUNTIF('Eingabe Meldungen'!$A$2:$A$492,$B$4)+1-ROW('Eingabe Meldungen'!A13))))</f>
        <v/>
      </c>
      <c r="C18" s="4" t="str">
        <f t="array" ref="C18">IF(ISERROR(INDEX('Eingabe Meldungen'!$D$2:$D$492,LARGE(('Eingabe Meldungen'!$A$2:$A$492=$B$4)*(ROW('Eingabe Meldungen'!$A$2:$A$492)-1),COUNTIF('Eingabe Meldungen'!$A$2:$A$492,$B$4)+1-ROW('Eingabe Meldungen'!A13)))),"",INDEX('Eingabe Meldungen'!$D$2:$D$492,LARGE(('Eingabe Meldungen'!$A$2:$A$492=$B$4)*(ROW('Eingabe Meldungen'!$A$2:$A$492)-1),COUNTIF('Eingabe Meldungen'!$A$2:$A$492,$B$4)+1-ROW('Eingabe Meldungen'!A13))))</f>
        <v/>
      </c>
      <c r="D18" s="66" t="str">
        <f t="array" ref="D18">IF(B18&lt;&gt;"",INDEX('Eingabe Meldungen'!$C$2:$H$492,MATCH(B18&amp;C18,'Eingabe Meldungen'!$C$2:$C$492&amp;'Eingabe Meldungen'!$D$2:$D$492,0),6),"")</f>
        <v/>
      </c>
      <c r="E18" s="66" t="str">
        <f t="array" ref="E18">IF(B18&lt;&gt;"",INDEX('Eingabe Meldungen'!$C$2:$H$492,MATCH(B18&amp;C18,'Eingabe Meldungen'!$C$2:$C$492&amp;'Eingabe Meldungen'!$D$2:$D$492,0),4),"")</f>
        <v/>
      </c>
      <c r="F18" s="66">
        <v>13</v>
      </c>
      <c r="G18" s="135"/>
      <c r="H18" s="4" t="e">
        <f t="shared" si="1"/>
        <v>#N/A</v>
      </c>
      <c r="I18" s="136" t="str">
        <f t="array" ref="I18">IF(B18&lt;&gt;"",INDEX('Eingabe Meldungen'!$C$2:$J$492,MATCH(B18&amp;C18,'Eingabe Meldungen'!$C$2:$C$492&amp;'Eingabe Meldungen'!$D$2:$D$492,0),8),"")</f>
        <v/>
      </c>
      <c r="R18" s="11"/>
      <c r="S18" s="11"/>
      <c r="W18" s="15"/>
    </row>
    <row r="19" spans="2:23" ht="13.2" thickBot="1" x14ac:dyDescent="0.25">
      <c r="B19" s="4"/>
      <c r="C19" s="4"/>
      <c r="D19" s="66"/>
      <c r="E19" s="4"/>
      <c r="F19" s="15"/>
      <c r="G19" s="66"/>
      <c r="H19" s="4"/>
      <c r="I19" s="4"/>
      <c r="L19" s="11"/>
      <c r="M19" s="11"/>
      <c r="N19" s="15"/>
      <c r="O19" s="11"/>
      <c r="Q19" s="11"/>
      <c r="R19" s="11"/>
      <c r="S19" s="11"/>
      <c r="W19" s="15"/>
    </row>
    <row r="20" spans="2:23" ht="37.799999999999997" x14ac:dyDescent="0.2">
      <c r="B20" s="26">
        <f>B4+1</f>
        <v>2</v>
      </c>
      <c r="C20" s="65" t="str">
        <f>VLOOKUP(B20,Ausschreibung!$B$5:$I$35,2,FALSE)</f>
        <v>Ergocup</v>
      </c>
      <c r="D20" s="27" t="s">
        <v>489</v>
      </c>
      <c r="E20" s="65" t="s">
        <v>95</v>
      </c>
      <c r="F20" s="65" t="str">
        <f>VLOOKUP(B20,Ausschreibung!$B$5:$I$35,5,FALSE)</f>
        <v>-</v>
      </c>
      <c r="G20" s="65" t="str">
        <f>VLOOKUP(B20,Ausschreibung!$B$5:$I$35,6,FALSE)</f>
        <v>27 und älter</v>
      </c>
      <c r="H20" s="65" t="str">
        <f>VLOOKUP(B20,Ausschreibung!$B$5:$I$35,8,FALSE)</f>
        <v>30 min.</v>
      </c>
      <c r="I20" s="28"/>
      <c r="L20" s="11"/>
      <c r="M20" s="11"/>
      <c r="N20" s="15"/>
      <c r="O20" s="11"/>
      <c r="Q20" s="11"/>
      <c r="R20" s="11"/>
      <c r="S20" s="11"/>
    </row>
    <row r="21" spans="2:23" ht="14.25" customHeight="1" thickBot="1" x14ac:dyDescent="0.25">
      <c r="B21" s="19" t="s">
        <v>1</v>
      </c>
      <c r="C21" s="18" t="s">
        <v>2</v>
      </c>
      <c r="D21" s="17" t="s">
        <v>49</v>
      </c>
      <c r="E21" s="130" t="s">
        <v>16</v>
      </c>
      <c r="F21" s="17" t="s">
        <v>18</v>
      </c>
      <c r="G21" s="73" t="s">
        <v>50</v>
      </c>
      <c r="H21" s="17" t="s">
        <v>51</v>
      </c>
      <c r="I21" s="30" t="s">
        <v>17</v>
      </c>
      <c r="L21" s="11"/>
      <c r="M21" s="11"/>
      <c r="N21" s="15"/>
      <c r="O21" s="11"/>
      <c r="Q21" s="11"/>
      <c r="R21" s="11"/>
      <c r="S21" s="11"/>
    </row>
    <row r="22" spans="2:23" ht="12.75" customHeight="1" x14ac:dyDescent="0.2">
      <c r="B22" s="131" t="str">
        <f t="array" ref="B22">IF(ISERROR(INDEX('Eingabe Meldungen'!$C$2:$C$492,LARGE(('Eingabe Meldungen'!$A$2:$A$492=$B$20)*(ROW('Eingabe Meldungen'!$A$2:$A$492)-1),COUNTIF('Eingabe Meldungen'!$A$2:$A$492,$B$20)+1-ROW('Eingabe Meldungen'!A1)))),"",INDEX('Eingabe Meldungen'!$C$2:$C$492,LARGE(('Eingabe Meldungen'!$A$2:$A$492=$B$20)*(ROW('Eingabe Meldungen'!$A$2:$A$492)-1),COUNTIF('Eingabe Meldungen'!$A$2:$A$492,$B$20)+1-ROW('Eingabe Meldungen'!A1))))</f>
        <v>Gocke</v>
      </c>
      <c r="C22" s="132" t="str">
        <f t="array" ref="C22">IF(ISERROR(INDEX('Eingabe Meldungen'!$D$2:$D$492,LARGE(('Eingabe Meldungen'!$A$2:$A$492=$B$20)*(ROW('Eingabe Meldungen'!$A$2:$A$492)-1),COUNTIF('Eingabe Meldungen'!$A$2:$A$492,$B$20)+1-ROW('Eingabe Meldungen'!A1)))),"",INDEX('Eingabe Meldungen'!$D$2:$D$492,LARGE(('Eingabe Meldungen'!$A$2:$A$492=$B$20)*(ROW('Eingabe Meldungen'!$A$2:$A$492)-1),COUNTIF('Eingabe Meldungen'!$A$2:$A$492,$B$20)+1-ROW('Eingabe Meldungen'!A1))))</f>
        <v>Eberhard</v>
      </c>
      <c r="D22" s="78">
        <f t="array" ref="D22">IF(B22&lt;&gt;"",INDEX('Eingabe Meldungen'!$C$2:$H$492,MATCH(B22&amp;C22,'Eingabe Meldungen'!$C$2:$C$492&amp;'Eingabe Meldungen'!$D$2:$D$492,0),6),"")</f>
        <v>1940</v>
      </c>
      <c r="E22" s="78" t="str">
        <f t="array" ref="E22">IF(B22&lt;&gt;"",INDEX('Eingabe Meldungen'!$C$2:$H$492,MATCH(B22&amp;C22,'Eingabe Meldungen'!$C$2:$C$492&amp;'Eingabe Meldungen'!$D$2:$D$492,0),4),"")</f>
        <v>J</v>
      </c>
      <c r="F22" s="78">
        <v>1</v>
      </c>
      <c r="G22" s="133"/>
      <c r="H22" s="132" t="e">
        <f t="shared" ref="H22:H40" si="2">RANK(G22,$G$22:$G$51,1)</f>
        <v>#N/A</v>
      </c>
      <c r="I22" s="134" t="str">
        <f t="array" ref="I22">IF(B22&lt;&gt;"",INDEX('Eingabe Meldungen'!$C$2:$J$492,MATCH(B22&amp;C22,'Eingabe Meldungen'!$C$2:$C$492&amp;'Eingabe Meldungen'!$D$2:$D$492,0),8),"")</f>
        <v>RC Neptun Neckarelz</v>
      </c>
      <c r="K22" s="426" t="s">
        <v>454</v>
      </c>
      <c r="L22" s="11"/>
      <c r="M22" s="11"/>
      <c r="N22" s="15"/>
      <c r="O22" s="11"/>
      <c r="Q22" s="11"/>
      <c r="R22" s="11"/>
      <c r="S22" s="11"/>
      <c r="W22" s="15"/>
    </row>
    <row r="23" spans="2:23" x14ac:dyDescent="0.2">
      <c r="B23" s="100" t="str">
        <f t="array" ref="B23">IF(ISERROR(INDEX('Eingabe Meldungen'!$C$2:$C$492,LARGE(('Eingabe Meldungen'!$A$2:$A$492=$B$20)*(ROW('Eingabe Meldungen'!$A$2:$A$492)-1),COUNTIF('Eingabe Meldungen'!$A$2:$A$492,$B$20)+1-ROW('Eingabe Meldungen'!A2)))),"",INDEX('Eingabe Meldungen'!$C$2:$C$492,LARGE(('Eingabe Meldungen'!$A$2:$A$492=$B$20)*(ROW('Eingabe Meldungen'!$A$2:$A$492)-1),COUNTIF('Eingabe Meldungen'!$A$2:$A$492,$B$20)+1-ROW('Eingabe Meldungen'!A2))))</f>
        <v>Schultheiß</v>
      </c>
      <c r="C23" s="4" t="str">
        <f t="array" ref="C23">IF(ISERROR(INDEX('Eingabe Meldungen'!$D$2:$D$492,LARGE(('Eingabe Meldungen'!$A$2:$A$492=$B$20)*(ROW('Eingabe Meldungen'!$A$2:$A$492)-1),COUNTIF('Eingabe Meldungen'!$A$2:$A$492,$B$20)+1-ROW('Eingabe Meldungen'!A2)))),"",INDEX('Eingabe Meldungen'!$D$2:$D$492,LARGE(('Eingabe Meldungen'!$A$2:$A$492=$B$20)*(ROW('Eingabe Meldungen'!$A$2:$A$492)-1),COUNTIF('Eingabe Meldungen'!$A$2:$A$492,$B$20)+1-ROW('Eingabe Meldungen'!A2))))</f>
        <v>Günther</v>
      </c>
      <c r="D23" s="66">
        <f t="array" ref="D23">IF(B23&lt;&gt;"",INDEX('Eingabe Meldungen'!$C$2:$H$492,MATCH(B23&amp;C23,'Eingabe Meldungen'!$C$2:$C$492&amp;'Eingabe Meldungen'!$D$2:$D$492,0),6),"")</f>
        <v>1942</v>
      </c>
      <c r="E23" s="402" t="s">
        <v>453</v>
      </c>
      <c r="F23" s="66">
        <v>2</v>
      </c>
      <c r="G23" s="135"/>
      <c r="H23" s="4" t="e">
        <f t="shared" si="2"/>
        <v>#N/A</v>
      </c>
      <c r="I23" s="136" t="str">
        <f t="array" ref="I23">IF(B23&lt;&gt;"",INDEX('Eingabe Meldungen'!$C$2:$J$492,MATCH(B23&amp;C23,'Eingabe Meldungen'!$C$2:$C$492&amp;'Eingabe Meldungen'!$D$2:$D$492,0),8),"")</f>
        <v>RC Neptun Neckarelz</v>
      </c>
      <c r="K23" s="427"/>
      <c r="L23" s="11"/>
      <c r="M23" s="11"/>
      <c r="N23" s="15"/>
      <c r="O23" s="11"/>
      <c r="Q23" s="11"/>
      <c r="R23" s="11"/>
      <c r="S23" s="11"/>
      <c r="W23" s="15"/>
    </row>
    <row r="24" spans="2:23" ht="13.2" thickBot="1" x14ac:dyDescent="0.25">
      <c r="B24" s="100" t="str">
        <f t="array" ref="B24">IF(ISERROR(INDEX('Eingabe Meldungen'!$C$2:$C$492,LARGE(('Eingabe Meldungen'!$A$2:$A$492=$B$20)*(ROW('Eingabe Meldungen'!$A$2:$A$492)-1),COUNTIF('Eingabe Meldungen'!$A$2:$A$492,$B$20)+1-ROW('Eingabe Meldungen'!A3)))),"",INDEX('Eingabe Meldungen'!$C$2:$C$492,LARGE(('Eingabe Meldungen'!$A$2:$A$492=$B$20)*(ROW('Eingabe Meldungen'!$A$2:$A$492)-1),COUNTIF('Eingabe Meldungen'!$A$2:$A$492,$B$20)+1-ROW('Eingabe Meldungen'!A3))))</f>
        <v>Diem</v>
      </c>
      <c r="C24" s="4" t="str">
        <f t="array" ref="C24">IF(ISERROR(INDEX('Eingabe Meldungen'!$D$2:$D$492,LARGE(('Eingabe Meldungen'!$A$2:$A$492=$B$20)*(ROW('Eingabe Meldungen'!$A$2:$A$492)-1),COUNTIF('Eingabe Meldungen'!$A$2:$A$492,$B$20)+1-ROW('Eingabe Meldungen'!A3)))),"",INDEX('Eingabe Meldungen'!$D$2:$D$492,LARGE(('Eingabe Meldungen'!$A$2:$A$492=$B$20)*(ROW('Eingabe Meldungen'!$A$2:$A$492)-1),COUNTIF('Eingabe Meldungen'!$A$2:$A$492,$B$20)+1-ROW('Eingabe Meldungen'!A3))))</f>
        <v>Werner</v>
      </c>
      <c r="D24" s="66">
        <f t="array" ref="D24">IF(B24&lt;&gt;"",INDEX('Eingabe Meldungen'!$C$2:$H$492,MATCH(B24&amp;C24,'Eingabe Meldungen'!$C$2:$C$492&amp;'Eingabe Meldungen'!$D$2:$D$492,0),6),"")</f>
        <v>1943</v>
      </c>
      <c r="E24" s="402" t="s">
        <v>126</v>
      </c>
      <c r="F24" s="66">
        <v>3</v>
      </c>
      <c r="G24" s="135"/>
      <c r="H24" s="4" t="e">
        <f t="shared" si="2"/>
        <v>#N/A</v>
      </c>
      <c r="I24" s="136" t="str">
        <f t="array" ref="I24">IF(B24&lt;&gt;"",INDEX('Eingabe Meldungen'!$C$2:$J$492,MATCH(B24&amp;C24,'Eingabe Meldungen'!$C$2:$C$492&amp;'Eingabe Meldungen'!$D$2:$D$492,0),8),"")</f>
        <v>RC Neptun Neckarelz</v>
      </c>
      <c r="J24" s="14"/>
      <c r="K24" s="427"/>
      <c r="L24" s="11"/>
      <c r="M24" s="11"/>
      <c r="N24" s="15"/>
      <c r="O24" s="11"/>
      <c r="Q24" s="11"/>
      <c r="R24" s="11"/>
      <c r="S24" s="11"/>
      <c r="W24" s="15"/>
    </row>
    <row r="25" spans="2:23" ht="12.75" customHeight="1" x14ac:dyDescent="0.2">
      <c r="B25" s="100" t="str">
        <f t="array" ref="B25">IF(ISERROR(INDEX('Eingabe Meldungen'!$C$2:$C$492,LARGE(('Eingabe Meldungen'!$A$2:$A$492=$B$20)*(ROW('Eingabe Meldungen'!$A$2:$A$492)-1),COUNTIF('Eingabe Meldungen'!$A$2:$A$492,$B$20)+1-ROW('Eingabe Meldungen'!A4)))),"",INDEX('Eingabe Meldungen'!$C$2:$C$492,LARGE(('Eingabe Meldungen'!$A$2:$A$492=$B$20)*(ROW('Eingabe Meldungen'!$A$2:$A$492)-1),COUNTIF('Eingabe Meldungen'!$A$2:$A$492,$B$20)+1-ROW('Eingabe Meldungen'!A4))))</f>
        <v>Schmiedeknecht</v>
      </c>
      <c r="C25" s="4" t="str">
        <f t="array" ref="C25">IF(ISERROR(INDEX('Eingabe Meldungen'!$D$2:$D$492,LARGE(('Eingabe Meldungen'!$A$2:$A$492=$B$20)*(ROW('Eingabe Meldungen'!$A$2:$A$492)-1),COUNTIF('Eingabe Meldungen'!$A$2:$A$492,$B$20)+1-ROW('Eingabe Meldungen'!A4)))),"",INDEX('Eingabe Meldungen'!$D$2:$D$492,LARGE(('Eingabe Meldungen'!$A$2:$A$492=$B$20)*(ROW('Eingabe Meldungen'!$A$2:$A$492)-1),COUNTIF('Eingabe Meldungen'!$A$2:$A$492,$B$20)+1-ROW('Eingabe Meldungen'!A4))))</f>
        <v>Helmut</v>
      </c>
      <c r="D25" s="66">
        <f t="array" ref="D25">IF(B25&lt;&gt;"",INDEX('Eingabe Meldungen'!$C$2:$H$492,MATCH(B25&amp;C25,'Eingabe Meldungen'!$C$2:$C$492&amp;'Eingabe Meldungen'!$D$2:$D$492,0),6),"")</f>
        <v>1947</v>
      </c>
      <c r="E25" s="66" t="str">
        <f t="array" ref="E25">IF(B25&lt;&gt;"",INDEX('Eingabe Meldungen'!$C$2:$H$492,MATCH(B25&amp;C25,'Eingabe Meldungen'!$C$2:$C$492&amp;'Eingabe Meldungen'!$D$2:$D$492,0),4),"")</f>
        <v>H</v>
      </c>
      <c r="F25" s="66">
        <v>4</v>
      </c>
      <c r="G25" s="142"/>
      <c r="H25" s="4" t="e">
        <f t="shared" si="2"/>
        <v>#N/A</v>
      </c>
      <c r="I25" s="136" t="str">
        <f t="array" ref="I25">IF(B25&lt;&gt;"",INDEX('Eingabe Meldungen'!$C$2:$J$492,MATCH(B25&amp;C25,'Eingabe Meldungen'!$C$2:$C$492&amp;'Eingabe Meldungen'!$D$2:$D$492,0),8),"")</f>
        <v>Ruderverein Bad Wimpfen</v>
      </c>
      <c r="K25" s="427"/>
      <c r="L25" s="11"/>
      <c r="M25" s="11"/>
      <c r="N25" s="15"/>
      <c r="O25" s="11"/>
      <c r="Q25" s="11"/>
      <c r="R25" s="11"/>
      <c r="S25" s="11"/>
      <c r="W25" s="15"/>
    </row>
    <row r="26" spans="2:23" x14ac:dyDescent="0.2">
      <c r="B26" s="100" t="str">
        <f t="array" ref="B26">IF(ISERROR(INDEX('Eingabe Meldungen'!$C$2:$C$492,LARGE(('Eingabe Meldungen'!$A$2:$A$492=$B$20)*(ROW('Eingabe Meldungen'!$A$2:$A$492)-1),COUNTIF('Eingabe Meldungen'!$A$2:$A$492,$B$20)+1-ROW('Eingabe Meldungen'!A5)))),"",INDEX('Eingabe Meldungen'!$C$2:$C$492,LARGE(('Eingabe Meldungen'!$A$2:$A$492=$B$20)*(ROW('Eingabe Meldungen'!$A$2:$A$492)-1),COUNTIF('Eingabe Meldungen'!$A$2:$A$492,$B$20)+1-ROW('Eingabe Meldungen'!A5))))</f>
        <v>Vollmer</v>
      </c>
      <c r="C26" s="4" t="str">
        <f t="array" ref="C26">IF(ISERROR(INDEX('Eingabe Meldungen'!$D$2:$D$492,LARGE(('Eingabe Meldungen'!$A$2:$A$492=$B$20)*(ROW('Eingabe Meldungen'!$A$2:$A$492)-1),COUNTIF('Eingabe Meldungen'!$A$2:$A$492,$B$20)+1-ROW('Eingabe Meldungen'!A5)))),"",INDEX('Eingabe Meldungen'!$D$2:$D$492,LARGE(('Eingabe Meldungen'!$A$2:$A$492=$B$20)*(ROW('Eingabe Meldungen'!$A$2:$A$492)-1),COUNTIF('Eingabe Meldungen'!$A$2:$A$492,$B$20)+1-ROW('Eingabe Meldungen'!A5))))</f>
        <v>Gerhard</v>
      </c>
      <c r="D26" s="66">
        <f t="array" ref="D26">IF(B26&lt;&gt;"",INDEX('Eingabe Meldungen'!$C$2:$H$492,MATCH(B26&amp;C26,'Eingabe Meldungen'!$C$2:$C$492&amp;'Eingabe Meldungen'!$D$2:$D$492,0),6),"")</f>
        <v>1948</v>
      </c>
      <c r="E26" s="66" t="str">
        <f t="array" ref="E26">IF(B26&lt;&gt;"",INDEX('Eingabe Meldungen'!$C$2:$H$492,MATCH(B26&amp;C26,'Eingabe Meldungen'!$C$2:$C$492&amp;'Eingabe Meldungen'!$D$2:$D$492,0),4),"")</f>
        <v>H</v>
      </c>
      <c r="F26" s="66">
        <v>5</v>
      </c>
      <c r="G26" s="142"/>
      <c r="H26" s="4" t="e">
        <f t="shared" si="2"/>
        <v>#N/A</v>
      </c>
      <c r="I26" s="136" t="str">
        <f t="array" ref="I26">IF(B26&lt;&gt;"",INDEX('Eingabe Meldungen'!$C$2:$J$492,MATCH(B26&amp;C26,'Eingabe Meldungen'!$C$2:$C$492&amp;'Eingabe Meldungen'!$D$2:$D$492,0),8),"")</f>
        <v>HRG Schwaben</v>
      </c>
      <c r="K26" s="427"/>
      <c r="L26" s="11"/>
      <c r="M26" s="11"/>
      <c r="N26" s="15"/>
      <c r="O26" s="11"/>
      <c r="Q26" s="11"/>
      <c r="R26" s="11"/>
      <c r="S26" s="11"/>
      <c r="W26" s="15"/>
    </row>
    <row r="27" spans="2:23" x14ac:dyDescent="0.2">
      <c r="B27" s="100" t="str">
        <f t="array" ref="B27">IF(ISERROR(INDEX('Eingabe Meldungen'!$C$2:$C$492,LARGE(('Eingabe Meldungen'!$A$2:$A$492=$B$20)*(ROW('Eingabe Meldungen'!$A$2:$A$492)-1),COUNTIF('Eingabe Meldungen'!$A$2:$A$492,$B$20)+1-ROW('Eingabe Meldungen'!A6)))),"",INDEX('Eingabe Meldungen'!$C$2:$C$492,LARGE(('Eingabe Meldungen'!$A$2:$A$492=$B$20)*(ROW('Eingabe Meldungen'!$A$2:$A$492)-1),COUNTIF('Eingabe Meldungen'!$A$2:$A$492,$B$20)+1-ROW('Eingabe Meldungen'!A6))))</f>
        <v>Schmidt</v>
      </c>
      <c r="C27" s="4" t="str">
        <f t="array" ref="C27">IF(ISERROR(INDEX('Eingabe Meldungen'!$D$2:$D$492,LARGE(('Eingabe Meldungen'!$A$2:$A$492=$B$20)*(ROW('Eingabe Meldungen'!$A$2:$A$492)-1),COUNTIF('Eingabe Meldungen'!$A$2:$A$492,$B$20)+1-ROW('Eingabe Meldungen'!A6)))),"",INDEX('Eingabe Meldungen'!$D$2:$D$492,LARGE(('Eingabe Meldungen'!$A$2:$A$492=$B$20)*(ROW('Eingabe Meldungen'!$A$2:$A$492)-1),COUNTIF('Eingabe Meldungen'!$A$2:$A$492,$B$20)+1-ROW('Eingabe Meldungen'!A6))))</f>
        <v>Rolf</v>
      </c>
      <c r="D27" s="66">
        <f t="array" ref="D27">IF(B27&lt;&gt;"",INDEX('Eingabe Meldungen'!$C$2:$H$492,MATCH(B27&amp;C27,'Eingabe Meldungen'!$C$2:$C$492&amp;'Eingabe Meldungen'!$D$2:$D$492,0),6),"")</f>
        <v>1950</v>
      </c>
      <c r="E27" s="66" t="str">
        <f t="array" ref="E27">IF(B27&lt;&gt;"",INDEX('Eingabe Meldungen'!$C$2:$H$492,MATCH(B27&amp;C27,'Eingabe Meldungen'!$C$2:$C$492&amp;'Eingabe Meldungen'!$D$2:$D$492,0),4),"")</f>
        <v>H</v>
      </c>
      <c r="F27" s="66">
        <v>6</v>
      </c>
      <c r="G27" s="142"/>
      <c r="H27" s="4" t="e">
        <f t="shared" si="2"/>
        <v>#N/A</v>
      </c>
      <c r="I27" s="136" t="str">
        <f t="array" ref="I27">IF(B27&lt;&gt;"",INDEX('Eingabe Meldungen'!$C$2:$J$492,MATCH(B27&amp;C27,'Eingabe Meldungen'!$C$2:$C$492&amp;'Eingabe Meldungen'!$D$2:$D$492,0),8),"")</f>
        <v>Marbacher Ruderverein</v>
      </c>
      <c r="K27" s="427"/>
      <c r="L27" s="11"/>
      <c r="M27" s="11"/>
      <c r="N27" s="15"/>
      <c r="O27" s="11"/>
      <c r="Q27" s="11"/>
      <c r="R27" s="11"/>
      <c r="S27" s="11"/>
      <c r="W27" s="15"/>
    </row>
    <row r="28" spans="2:23" ht="12.75" customHeight="1" x14ac:dyDescent="0.2">
      <c r="B28" s="100" t="str">
        <f t="array" ref="B28">IF(ISERROR(INDEX('Eingabe Meldungen'!$C$2:$C$492,LARGE(('Eingabe Meldungen'!$A$2:$A$492=$B$20)*(ROW('Eingabe Meldungen'!$A$2:$A$492)-1),COUNTIF('Eingabe Meldungen'!$A$2:$A$492,$B$20)+1-ROW('Eingabe Meldungen'!A7)))),"",INDEX('Eingabe Meldungen'!$C$2:$C$492,LARGE(('Eingabe Meldungen'!$A$2:$A$492=$B$20)*(ROW('Eingabe Meldungen'!$A$2:$A$492)-1),COUNTIF('Eingabe Meldungen'!$A$2:$A$492,$B$20)+1-ROW('Eingabe Meldungen'!A7))))</f>
        <v>Rentz</v>
      </c>
      <c r="C28" s="4" t="str">
        <f t="array" ref="C28">IF(ISERROR(INDEX('Eingabe Meldungen'!$D$2:$D$492,LARGE(('Eingabe Meldungen'!$A$2:$A$492=$B$20)*(ROW('Eingabe Meldungen'!$A$2:$A$492)-1),COUNTIF('Eingabe Meldungen'!$A$2:$A$492,$B$20)+1-ROW('Eingabe Meldungen'!A7)))),"",INDEX('Eingabe Meldungen'!$D$2:$D$492,LARGE(('Eingabe Meldungen'!$A$2:$A$492=$B$20)*(ROW('Eingabe Meldungen'!$A$2:$A$492)-1),COUNTIF('Eingabe Meldungen'!$A$2:$A$492,$B$20)+1-ROW('Eingabe Meldungen'!A7))))</f>
        <v>Jürgen</v>
      </c>
      <c r="D28" s="66">
        <f t="array" ref="D28">IF(B28&lt;&gt;"",INDEX('Eingabe Meldungen'!$C$2:$H$492,MATCH(B28&amp;C28,'Eingabe Meldungen'!$C$2:$C$492&amp;'Eingabe Meldungen'!$D$2:$D$492,0),6),"")</f>
        <v>1955</v>
      </c>
      <c r="E28" s="66" t="str">
        <f t="array" ref="E28">IF(B28&lt;&gt;"",INDEX('Eingabe Meldungen'!$C$2:$H$492,MATCH(B28&amp;C28,'Eingabe Meldungen'!$C$2:$C$492&amp;'Eingabe Meldungen'!$D$2:$D$492,0),4),"")</f>
        <v>G</v>
      </c>
      <c r="F28" s="66">
        <v>7</v>
      </c>
      <c r="G28" s="142"/>
      <c r="H28" s="4" t="e">
        <f t="shared" si="2"/>
        <v>#N/A</v>
      </c>
      <c r="I28" s="136" t="str">
        <f t="array" ref="I28">IF(B28&lt;&gt;"",INDEX('Eingabe Meldungen'!$C$2:$J$492,MATCH(B28&amp;C28,'Eingabe Meldungen'!$C$2:$C$492&amp;'Eingabe Meldungen'!$D$2:$D$492,0),8),"")</f>
        <v>Marbacher Ruderverein</v>
      </c>
      <c r="K28" s="427"/>
      <c r="L28" s="11"/>
      <c r="M28" s="11"/>
      <c r="N28" s="15"/>
      <c r="O28" s="11"/>
      <c r="Q28" s="11"/>
      <c r="R28" s="11"/>
      <c r="S28" s="11"/>
      <c r="W28" s="15"/>
    </row>
    <row r="29" spans="2:23" x14ac:dyDescent="0.2">
      <c r="B29" s="100" t="str">
        <f t="array" ref="B29">IF(ISERROR(INDEX('Eingabe Meldungen'!$C$2:$C$492,LARGE(('Eingabe Meldungen'!$A$2:$A$492=$B$20)*(ROW('Eingabe Meldungen'!$A$2:$A$492)-1),COUNTIF('Eingabe Meldungen'!$A$2:$A$492,$B$20)+1-ROW('Eingabe Meldungen'!A8)))),"",INDEX('Eingabe Meldungen'!$C$2:$C$492,LARGE(('Eingabe Meldungen'!$A$2:$A$492=$B$20)*(ROW('Eingabe Meldungen'!$A$2:$A$492)-1),COUNTIF('Eingabe Meldungen'!$A$2:$A$492,$B$20)+1-ROW('Eingabe Meldungen'!A8))))</f>
        <v>Klinge</v>
      </c>
      <c r="C29" s="4" t="str">
        <f t="array" ref="C29">IF(ISERROR(INDEX('Eingabe Meldungen'!$D$2:$D$492,LARGE(('Eingabe Meldungen'!$A$2:$A$492=$B$20)*(ROW('Eingabe Meldungen'!$A$2:$A$492)-1),COUNTIF('Eingabe Meldungen'!$A$2:$A$492,$B$20)+1-ROW('Eingabe Meldungen'!A8)))),"",INDEX('Eingabe Meldungen'!$D$2:$D$492,LARGE(('Eingabe Meldungen'!$A$2:$A$492=$B$20)*(ROW('Eingabe Meldungen'!$A$2:$A$492)-1),COUNTIF('Eingabe Meldungen'!$A$2:$A$492,$B$20)+1-ROW('Eingabe Meldungen'!A8))))</f>
        <v>Achim</v>
      </c>
      <c r="D29" s="66">
        <f t="array" ref="D29">IF(B29&lt;&gt;"",INDEX('Eingabe Meldungen'!$C$2:$H$492,MATCH(B29&amp;C29,'Eingabe Meldungen'!$C$2:$C$492&amp;'Eingabe Meldungen'!$D$2:$D$492,0),6),"")</f>
        <v>1957</v>
      </c>
      <c r="E29" s="66" t="str">
        <f t="array" ref="E29">IF(B29&lt;&gt;"",INDEX('Eingabe Meldungen'!$C$2:$H$492,MATCH(B29&amp;C29,'Eingabe Meldungen'!$C$2:$C$492&amp;'Eingabe Meldungen'!$D$2:$D$492,0),4),"")</f>
        <v>F</v>
      </c>
      <c r="F29" s="66">
        <v>8</v>
      </c>
      <c r="G29" s="142"/>
      <c r="H29" s="4" t="e">
        <f t="shared" si="2"/>
        <v>#N/A</v>
      </c>
      <c r="I29" s="136" t="str">
        <f t="array" ref="I29">IF(B29&lt;&gt;"",INDEX('Eingabe Meldungen'!$C$2:$J$492,MATCH(B29&amp;C29,'Eingabe Meldungen'!$C$2:$C$492&amp;'Eingabe Meldungen'!$D$2:$D$492,0),8),"")</f>
        <v>SSG Bensheim</v>
      </c>
      <c r="K29" s="427"/>
      <c r="L29" s="11"/>
      <c r="M29" s="11"/>
      <c r="N29" s="15"/>
      <c r="O29" s="11"/>
      <c r="Q29" s="11"/>
      <c r="R29" s="11"/>
      <c r="S29" s="11"/>
      <c r="W29" s="15"/>
    </row>
    <row r="30" spans="2:23" x14ac:dyDescent="0.2">
      <c r="B30" s="100" t="str">
        <f t="array" ref="B30">IF(ISERROR(INDEX('Eingabe Meldungen'!$C$2:$C$492,LARGE(('Eingabe Meldungen'!$A$2:$A$492=$B$20)*(ROW('Eingabe Meldungen'!$A$2:$A$492)-1),COUNTIF('Eingabe Meldungen'!$A$2:$A$492,$B$20)+1-ROW('Eingabe Meldungen'!A9)))),"",INDEX('Eingabe Meldungen'!$C$2:$C$492,LARGE(('Eingabe Meldungen'!$A$2:$A$492=$B$20)*(ROW('Eingabe Meldungen'!$A$2:$A$492)-1),COUNTIF('Eingabe Meldungen'!$A$2:$A$492,$B$20)+1-ROW('Eingabe Meldungen'!A9))))</f>
        <v>Köhler</v>
      </c>
      <c r="C30" s="4" t="str">
        <f t="array" ref="C30">IF(ISERROR(INDEX('Eingabe Meldungen'!$D$2:$D$492,LARGE(('Eingabe Meldungen'!$A$2:$A$492=$B$20)*(ROW('Eingabe Meldungen'!$A$2:$A$492)-1),COUNTIF('Eingabe Meldungen'!$A$2:$A$492,$B$20)+1-ROW('Eingabe Meldungen'!A9)))),"",INDEX('Eingabe Meldungen'!$D$2:$D$492,LARGE(('Eingabe Meldungen'!$A$2:$A$492=$B$20)*(ROW('Eingabe Meldungen'!$A$2:$A$492)-1),COUNTIF('Eingabe Meldungen'!$A$2:$A$492,$B$20)+1-ROW('Eingabe Meldungen'!A9))))</f>
        <v>Bernhard</v>
      </c>
      <c r="D30" s="66">
        <f t="array" ref="D30">IF(B30&lt;&gt;"",INDEX('Eingabe Meldungen'!$C$2:$H$492,MATCH(B30&amp;C30,'Eingabe Meldungen'!$C$2:$C$492&amp;'Eingabe Meldungen'!$D$2:$D$492,0),6),"")</f>
        <v>1958</v>
      </c>
      <c r="E30" s="66" t="str">
        <f t="array" ref="E30">IF(B30&lt;&gt;"",INDEX('Eingabe Meldungen'!$C$2:$H$492,MATCH(B30&amp;C30,'Eingabe Meldungen'!$C$2:$C$492&amp;'Eingabe Meldungen'!$D$2:$D$492,0),4),"")</f>
        <v>F</v>
      </c>
      <c r="F30" s="66">
        <v>9</v>
      </c>
      <c r="G30" s="142"/>
      <c r="H30" s="4" t="e">
        <f t="shared" si="2"/>
        <v>#N/A</v>
      </c>
      <c r="I30" s="136" t="str">
        <f t="array" ref="I30">IF(B30&lt;&gt;"",INDEX('Eingabe Meldungen'!$C$2:$J$492,MATCH(B30&amp;C30,'Eingabe Meldungen'!$C$2:$C$492&amp;'Eingabe Meldungen'!$D$2:$D$492,0),8),"")</f>
        <v>Fitness Oase in Regen</v>
      </c>
      <c r="K30" s="427"/>
      <c r="L30" s="11"/>
      <c r="M30" s="11"/>
      <c r="N30" s="15"/>
      <c r="O30" s="11"/>
      <c r="Q30" s="11"/>
      <c r="R30" s="11"/>
      <c r="S30" s="11"/>
      <c r="W30" s="15"/>
    </row>
    <row r="31" spans="2:23" ht="13.2" thickBot="1" x14ac:dyDescent="0.25">
      <c r="B31" s="138" t="str">
        <f t="array" ref="B31">IF(ISERROR(INDEX('Eingabe Meldungen'!$C$2:$C$492,LARGE(('Eingabe Meldungen'!$A$2:$A$492=$B$20)*(ROW('Eingabe Meldungen'!$A$2:$A$492)-1),COUNTIF('Eingabe Meldungen'!$A$2:$A$492,$B$20)+1-ROW('Eingabe Meldungen'!A10)))),"",INDEX('Eingabe Meldungen'!$C$2:$C$492,LARGE(('Eingabe Meldungen'!$A$2:$A$492=$B$20)*(ROW('Eingabe Meldungen'!$A$2:$A$492)-1),COUNTIF('Eingabe Meldungen'!$A$2:$A$492,$B$20)+1-ROW('Eingabe Meldungen'!A10))))</f>
        <v>Schuhn</v>
      </c>
      <c r="C31" s="139" t="str">
        <f t="array" ref="C31">IF(ISERROR(INDEX('Eingabe Meldungen'!$D$2:$D$492,LARGE(('Eingabe Meldungen'!$A$2:$A$492=$B$20)*(ROW('Eingabe Meldungen'!$A$2:$A$492)-1),COUNTIF('Eingabe Meldungen'!$A$2:$A$492,$B$20)+1-ROW('Eingabe Meldungen'!A10)))),"",INDEX('Eingabe Meldungen'!$D$2:$D$492,LARGE(('Eingabe Meldungen'!$A$2:$A$492=$B$20)*(ROW('Eingabe Meldungen'!$A$2:$A$492)-1),COUNTIF('Eingabe Meldungen'!$A$2:$A$492,$B$20)+1-ROW('Eingabe Meldungen'!A10))))</f>
        <v>Peter</v>
      </c>
      <c r="D31" s="99">
        <f t="array" ref="D31">IF(B31&lt;&gt;"",INDEX('Eingabe Meldungen'!$C$2:$H$492,MATCH(B31&amp;C31,'Eingabe Meldungen'!$C$2:$C$492&amp;'Eingabe Meldungen'!$D$2:$D$492,0),6),"")</f>
        <v>1959</v>
      </c>
      <c r="E31" s="99" t="str">
        <f t="array" ref="E31">IF(B31&lt;&gt;"",INDEX('Eingabe Meldungen'!$C$2:$H$492,MATCH(B31&amp;C31,'Eingabe Meldungen'!$C$2:$C$492&amp;'Eingabe Meldungen'!$D$2:$D$492,0),4),"")</f>
        <v>F</v>
      </c>
      <c r="F31" s="99">
        <v>10</v>
      </c>
      <c r="G31" s="410"/>
      <c r="H31" s="139" t="e">
        <f t="shared" si="2"/>
        <v>#N/A</v>
      </c>
      <c r="I31" s="141" t="str">
        <f t="array" ref="I31">IF(B31&lt;&gt;"",INDEX('Eingabe Meldungen'!$C$2:$J$492,MATCH(B31&amp;C31,'Eingabe Meldungen'!$C$2:$C$492&amp;'Eingabe Meldungen'!$D$2:$D$492,0),8),"")</f>
        <v>ErgoRudern Saarlouis</v>
      </c>
      <c r="K31" s="427"/>
      <c r="L31" s="11"/>
      <c r="M31" s="11"/>
      <c r="N31" s="15"/>
      <c r="O31" s="11"/>
      <c r="Q31" s="11"/>
      <c r="R31" s="11"/>
      <c r="S31" s="11"/>
      <c r="W31" s="15"/>
    </row>
    <row r="32" spans="2:23" ht="12.75" customHeight="1" x14ac:dyDescent="0.2">
      <c r="B32" s="131" t="str">
        <f t="array" ref="B32">IF(ISERROR(INDEX('Eingabe Meldungen'!$C$2:$C$492,LARGE(('Eingabe Meldungen'!$A$2:$A$492=$B$20)*(ROW('Eingabe Meldungen'!$A$2:$A$492)-1),COUNTIF('Eingabe Meldungen'!$A$2:$A$492,$B$20)+1-ROW('Eingabe Meldungen'!A11)))),"",INDEX('Eingabe Meldungen'!$C$2:$C$492,LARGE(('Eingabe Meldungen'!$A$2:$A$492=$B$20)*(ROW('Eingabe Meldungen'!$A$2:$A$492)-1),COUNTIF('Eingabe Meldungen'!$A$2:$A$492,$B$20)+1-ROW('Eingabe Meldungen'!A11))))</f>
        <v>Marx</v>
      </c>
      <c r="C32" s="132" t="str">
        <f t="array" ref="C32">IF(ISERROR(INDEX('Eingabe Meldungen'!$D$2:$D$492,LARGE(('Eingabe Meldungen'!$A$2:$A$492=$B$20)*(ROW('Eingabe Meldungen'!$A$2:$A$492)-1),COUNTIF('Eingabe Meldungen'!$A$2:$A$492,$B$20)+1-ROW('Eingabe Meldungen'!A11)))),"",INDEX('Eingabe Meldungen'!$D$2:$D$492,LARGE(('Eingabe Meldungen'!$A$2:$A$492=$B$20)*(ROW('Eingabe Meldungen'!$A$2:$A$492)-1),COUNTIF('Eingabe Meldungen'!$A$2:$A$492,$B$20)+1-ROW('Eingabe Meldungen'!A11))))</f>
        <v>Johannes</v>
      </c>
      <c r="D32" s="78">
        <f t="array" ref="D32">IF(B32&lt;&gt;"",INDEX('Eingabe Meldungen'!$C$2:$H$492,MATCH(B32&amp;C32,'Eingabe Meldungen'!$C$2:$C$492&amp;'Eingabe Meldungen'!$D$2:$D$492,0),6),"")</f>
        <v>1962</v>
      </c>
      <c r="E32" s="78" t="str">
        <f t="array" ref="E32">IF(B32&lt;&gt;"",INDEX('Eingabe Meldungen'!$C$2:$H$492,MATCH(B32&amp;C32,'Eingabe Meldungen'!$C$2:$C$492&amp;'Eingabe Meldungen'!$D$2:$D$492,0),4),"")</f>
        <v>E</v>
      </c>
      <c r="F32" s="78">
        <v>11</v>
      </c>
      <c r="G32" s="411"/>
      <c r="H32" s="132" t="e">
        <f t="shared" si="2"/>
        <v>#N/A</v>
      </c>
      <c r="I32" s="134" t="str">
        <f t="array" ref="I32">IF(B32&lt;&gt;"",INDEX('Eingabe Meldungen'!$C$2:$J$492,MATCH(B32&amp;C32,'Eingabe Meldungen'!$C$2:$C$492&amp;'Eingabe Meldungen'!$D$2:$D$492,0),8),"")</f>
        <v>RC Neptun Neckarelz</v>
      </c>
      <c r="K32" s="426" t="s">
        <v>455</v>
      </c>
      <c r="L32" s="11"/>
      <c r="M32" s="11"/>
      <c r="N32" s="15"/>
      <c r="O32" s="11"/>
      <c r="Q32" s="11"/>
      <c r="R32" s="11"/>
      <c r="S32" s="11"/>
      <c r="W32" s="15"/>
    </row>
    <row r="33" spans="2:23" x14ac:dyDescent="0.2">
      <c r="B33" s="100" t="str">
        <f t="array" ref="B33">IF(ISERROR(INDEX('Eingabe Meldungen'!$C$2:$C$492,LARGE(('Eingabe Meldungen'!$A$2:$A$492=$B$20)*(ROW('Eingabe Meldungen'!$A$2:$A$492)-1),COUNTIF('Eingabe Meldungen'!$A$2:$A$492,$B$20)+1-ROW('Eingabe Meldungen'!A12)))),"",INDEX('Eingabe Meldungen'!$C$2:$C$492,LARGE(('Eingabe Meldungen'!$A$2:$A$492=$B$20)*(ROW('Eingabe Meldungen'!$A$2:$A$492)-1),COUNTIF('Eingabe Meldungen'!$A$2:$A$492,$B$20)+1-ROW('Eingabe Meldungen'!A12))))</f>
        <v>Reinert</v>
      </c>
      <c r="C33" s="4" t="str">
        <f t="array" ref="C33">IF(ISERROR(INDEX('Eingabe Meldungen'!$D$2:$D$492,LARGE(('Eingabe Meldungen'!$A$2:$A$492=$B$20)*(ROW('Eingabe Meldungen'!$A$2:$A$492)-1),COUNTIF('Eingabe Meldungen'!$A$2:$A$492,$B$20)+1-ROW('Eingabe Meldungen'!A12)))),"",INDEX('Eingabe Meldungen'!$D$2:$D$492,LARGE(('Eingabe Meldungen'!$A$2:$A$492=$B$20)*(ROW('Eingabe Meldungen'!$A$2:$A$492)-1),COUNTIF('Eingabe Meldungen'!$A$2:$A$492,$B$20)+1-ROW('Eingabe Meldungen'!A12))))</f>
        <v>Gerhard</v>
      </c>
      <c r="D33" s="66">
        <f t="array" ref="D33">IF(B33&lt;&gt;"",INDEX('Eingabe Meldungen'!$C$2:$H$492,MATCH(B33&amp;C33,'Eingabe Meldungen'!$C$2:$C$492&amp;'Eingabe Meldungen'!$D$2:$D$492,0),6),"")</f>
        <v>1964</v>
      </c>
      <c r="E33" s="66" t="str">
        <f t="array" ref="E33">IF(B33&lt;&gt;"",INDEX('Eingabe Meldungen'!$C$2:$H$492,MATCH(B33&amp;C33,'Eingabe Meldungen'!$C$2:$C$492&amp;'Eingabe Meldungen'!$D$2:$D$492,0),4),"")</f>
        <v>E</v>
      </c>
      <c r="F33" s="66">
        <v>12</v>
      </c>
      <c r="G33" s="142"/>
      <c r="H33" s="4" t="e">
        <f t="shared" si="2"/>
        <v>#N/A</v>
      </c>
      <c r="I33" s="136" t="str">
        <f t="array" ref="I33">IF(B33&lt;&gt;"",INDEX('Eingabe Meldungen'!$C$2:$J$492,MATCH(B33&amp;C33,'Eingabe Meldungen'!$C$2:$C$492&amp;'Eingabe Meldungen'!$D$2:$D$492,0),8),"")</f>
        <v>HRG Schwaben</v>
      </c>
      <c r="K33" s="427"/>
      <c r="L33" s="11"/>
      <c r="M33" s="11"/>
      <c r="N33" s="15"/>
      <c r="O33" s="11"/>
      <c r="Q33" s="11"/>
      <c r="R33" s="11"/>
      <c r="S33" s="11"/>
      <c r="W33" s="15"/>
    </row>
    <row r="34" spans="2:23" x14ac:dyDescent="0.2">
      <c r="B34" s="100" t="str">
        <f t="array" ref="B34">IF(ISERROR(INDEX('Eingabe Meldungen'!$C$2:$C$492,LARGE(('Eingabe Meldungen'!$A$2:$A$492=$B$20)*(ROW('Eingabe Meldungen'!$A$2:$A$492)-1),COUNTIF('Eingabe Meldungen'!$A$2:$A$492,$B$20)+1-ROW('Eingabe Meldungen'!A13)))),"",INDEX('Eingabe Meldungen'!$C$2:$C$492,LARGE(('Eingabe Meldungen'!$A$2:$A$492=$B$20)*(ROW('Eingabe Meldungen'!$A$2:$A$492)-1),COUNTIF('Eingabe Meldungen'!$A$2:$A$492,$B$20)+1-ROW('Eingabe Meldungen'!A13))))</f>
        <v>Marion</v>
      </c>
      <c r="C34" s="4" t="str">
        <f t="array" ref="C34">IF(ISERROR(INDEX('Eingabe Meldungen'!$D$2:$D$492,LARGE(('Eingabe Meldungen'!$A$2:$A$492=$B$20)*(ROW('Eingabe Meldungen'!$A$2:$A$492)-1),COUNTIF('Eingabe Meldungen'!$A$2:$A$492,$B$20)+1-ROW('Eingabe Meldungen'!A13)))),"",INDEX('Eingabe Meldungen'!$D$2:$D$492,LARGE(('Eingabe Meldungen'!$A$2:$A$492=$B$20)*(ROW('Eingabe Meldungen'!$A$2:$A$492)-1),COUNTIF('Eingabe Meldungen'!$A$2:$A$492,$B$20)+1-ROW('Eingabe Meldungen'!A13))))</f>
        <v>Markus</v>
      </c>
      <c r="D34" s="66">
        <f t="array" ref="D34">IF(B34&lt;&gt;"",INDEX('Eingabe Meldungen'!$C$2:$H$492,MATCH(B34&amp;C34,'Eingabe Meldungen'!$C$2:$C$492&amp;'Eingabe Meldungen'!$D$2:$D$492,0),6),"")</f>
        <v>1966</v>
      </c>
      <c r="E34" s="66" t="str">
        <f t="array" ref="E34">IF(B34&lt;&gt;"",INDEX('Eingabe Meldungen'!$C$2:$H$492,MATCH(B34&amp;C34,'Eingabe Meldungen'!$C$2:$C$492&amp;'Eingabe Meldungen'!$D$2:$D$492,0),4),"")</f>
        <v>D</v>
      </c>
      <c r="F34" s="66">
        <v>13</v>
      </c>
      <c r="G34" s="142"/>
      <c r="H34" s="4" t="e">
        <f t="shared" si="2"/>
        <v>#N/A</v>
      </c>
      <c r="I34" s="136" t="str">
        <f t="array" ref="I34">IF(B34&lt;&gt;"",INDEX('Eingabe Meldungen'!$C$2:$J$492,MATCH(B34&amp;C34,'Eingabe Meldungen'!$C$2:$C$492&amp;'Eingabe Meldungen'!$D$2:$D$492,0),8),"")</f>
        <v>ErgoRudern Saarlouis</v>
      </c>
      <c r="K34" s="427"/>
      <c r="L34" s="11"/>
      <c r="M34" s="11"/>
      <c r="N34" s="15"/>
      <c r="O34" s="11"/>
      <c r="Q34" s="11"/>
      <c r="R34" s="11"/>
      <c r="S34" s="11"/>
      <c r="W34" s="15"/>
    </row>
    <row r="35" spans="2:23" ht="12.75" customHeight="1" x14ac:dyDescent="0.2">
      <c r="B35" s="100" t="str">
        <f t="array" ref="B35">IF(ISERROR(INDEX('Eingabe Meldungen'!$C$2:$C$492,LARGE(('Eingabe Meldungen'!$A$2:$A$492=$B$20)*(ROW('Eingabe Meldungen'!$A$2:$A$492)-1),COUNTIF('Eingabe Meldungen'!$A$2:$A$492,$B$20)+1-ROW('Eingabe Meldungen'!A14)))),"",INDEX('Eingabe Meldungen'!$C$2:$C$492,LARGE(('Eingabe Meldungen'!$A$2:$A$492=$B$20)*(ROW('Eingabe Meldungen'!$A$2:$A$492)-1),COUNTIF('Eingabe Meldungen'!$A$2:$A$492,$B$20)+1-ROW('Eingabe Meldungen'!A14))))</f>
        <v>Grünewald</v>
      </c>
      <c r="C35" s="4" t="str">
        <f t="array" ref="C35">IF(ISERROR(INDEX('Eingabe Meldungen'!$D$2:$D$492,LARGE(('Eingabe Meldungen'!$A$2:$A$492=$B$20)*(ROW('Eingabe Meldungen'!$A$2:$A$492)-1),COUNTIF('Eingabe Meldungen'!$A$2:$A$492,$B$20)+1-ROW('Eingabe Meldungen'!A14)))),"",INDEX('Eingabe Meldungen'!$D$2:$D$492,LARGE(('Eingabe Meldungen'!$A$2:$A$492=$B$20)*(ROW('Eingabe Meldungen'!$A$2:$A$492)-1),COUNTIF('Eingabe Meldungen'!$A$2:$A$492,$B$20)+1-ROW('Eingabe Meldungen'!A14))))</f>
        <v>Christoph</v>
      </c>
      <c r="D35" s="66">
        <f t="array" ref="D35">IF(B35&lt;&gt;"",INDEX('Eingabe Meldungen'!$C$2:$H$492,MATCH(B35&amp;C35,'Eingabe Meldungen'!$C$2:$C$492&amp;'Eingabe Meldungen'!$D$2:$D$492,0),6),"")</f>
        <v>1968</v>
      </c>
      <c r="E35" s="66" t="str">
        <f t="array" ref="E35">IF(B35&lt;&gt;"",INDEX('Eingabe Meldungen'!$C$2:$H$492,MATCH(B35&amp;C35,'Eingabe Meldungen'!$C$2:$C$492&amp;'Eingabe Meldungen'!$D$2:$D$492,0),4),"")</f>
        <v>D</v>
      </c>
      <c r="F35" s="66">
        <v>14</v>
      </c>
      <c r="G35" s="142"/>
      <c r="H35" s="4" t="e">
        <f t="shared" si="2"/>
        <v>#N/A</v>
      </c>
      <c r="I35" s="136" t="str">
        <f t="array" ref="I35">IF(B35&lt;&gt;"",INDEX('Eingabe Meldungen'!$C$2:$J$492,MATCH(B35&amp;C35,'Eingabe Meldungen'!$C$2:$C$492&amp;'Eingabe Meldungen'!$D$2:$D$492,0),8),"")</f>
        <v>Marbacher Ruderverein</v>
      </c>
      <c r="K35" s="427"/>
      <c r="L35" s="11"/>
      <c r="M35" s="11"/>
      <c r="N35" s="15"/>
      <c r="O35" s="11"/>
      <c r="Q35" s="11"/>
      <c r="R35" s="11"/>
      <c r="S35" s="11"/>
      <c r="W35" s="15"/>
    </row>
    <row r="36" spans="2:23" x14ac:dyDescent="0.2">
      <c r="B36" s="100" t="str">
        <f t="array" ref="B36">IF(ISERROR(INDEX('Eingabe Meldungen'!$C$2:$C$492,LARGE(('Eingabe Meldungen'!$A$2:$A$492=$B$20)*(ROW('Eingabe Meldungen'!$A$2:$A$492)-1),COUNTIF('Eingabe Meldungen'!$A$2:$A$492,$B$20)+1-ROW('Eingabe Meldungen'!A15)))),"",INDEX('Eingabe Meldungen'!$C$2:$C$492,LARGE(('Eingabe Meldungen'!$A$2:$A$492=$B$20)*(ROW('Eingabe Meldungen'!$A$2:$A$492)-1),COUNTIF('Eingabe Meldungen'!$A$2:$A$492,$B$20)+1-ROW('Eingabe Meldungen'!A15))))</f>
        <v>Rottler</v>
      </c>
      <c r="C36" s="4" t="str">
        <f t="array" ref="C36">IF(ISERROR(INDEX('Eingabe Meldungen'!$D$2:$D$492,LARGE(('Eingabe Meldungen'!$A$2:$A$492=$B$20)*(ROW('Eingabe Meldungen'!$A$2:$A$492)-1),COUNTIF('Eingabe Meldungen'!$A$2:$A$492,$B$20)+1-ROW('Eingabe Meldungen'!A15)))),"",INDEX('Eingabe Meldungen'!$D$2:$D$492,LARGE(('Eingabe Meldungen'!$A$2:$A$492=$B$20)*(ROW('Eingabe Meldungen'!$A$2:$A$492)-1),COUNTIF('Eingabe Meldungen'!$A$2:$A$492,$B$20)+1-ROW('Eingabe Meldungen'!A15))))</f>
        <v>Christoph</v>
      </c>
      <c r="D36" s="66">
        <f t="array" ref="D36">IF(B36&lt;&gt;"",INDEX('Eingabe Meldungen'!$C$2:$H$492,MATCH(B36&amp;C36,'Eingabe Meldungen'!$C$2:$C$492&amp;'Eingabe Meldungen'!$D$2:$D$492,0),6),"")</f>
        <v>1968</v>
      </c>
      <c r="E36" s="66" t="str">
        <f t="array" ref="E36">IF(B36&lt;&gt;"",INDEX('Eingabe Meldungen'!$C$2:$H$492,MATCH(B36&amp;C36,'Eingabe Meldungen'!$C$2:$C$492&amp;'Eingabe Meldungen'!$D$2:$D$492,0),4),"")</f>
        <v>D</v>
      </c>
      <c r="F36" s="66">
        <v>15</v>
      </c>
      <c r="G36" s="142"/>
      <c r="H36" s="4" t="e">
        <f t="shared" si="2"/>
        <v>#N/A</v>
      </c>
      <c r="I36" s="136" t="str">
        <f t="array" ref="I36">IF(B36&lt;&gt;"",INDEX('Eingabe Meldungen'!$C$2:$J$492,MATCH(B36&amp;C36,'Eingabe Meldungen'!$C$2:$C$492&amp;'Eingabe Meldungen'!$D$2:$D$492,0),8),"")</f>
        <v>HRG Schwaben</v>
      </c>
      <c r="K36" s="427"/>
      <c r="L36" s="11"/>
      <c r="M36" s="11"/>
      <c r="N36" s="15"/>
      <c r="O36" s="11"/>
      <c r="Q36" s="11"/>
      <c r="R36" s="11"/>
      <c r="S36" s="11"/>
      <c r="W36" s="15"/>
    </row>
    <row r="37" spans="2:23" x14ac:dyDescent="0.2">
      <c r="B37" s="100" t="str">
        <f t="array" ref="B37">IF(ISERROR(INDEX('Eingabe Meldungen'!$C$2:$C$492,LARGE(('Eingabe Meldungen'!$A$2:$A$492=$B$20)*(ROW('Eingabe Meldungen'!$A$2:$A$492)-1),COUNTIF('Eingabe Meldungen'!$A$2:$A$492,$B$20)+1-ROW('Eingabe Meldungen'!A16)))),"",INDEX('Eingabe Meldungen'!$C$2:$C$492,LARGE(('Eingabe Meldungen'!$A$2:$A$492=$B$20)*(ROW('Eingabe Meldungen'!$A$2:$A$492)-1),COUNTIF('Eingabe Meldungen'!$A$2:$A$492,$B$20)+1-ROW('Eingabe Meldungen'!A16))))</f>
        <v>Grün</v>
      </c>
      <c r="C37" s="4" t="str">
        <f t="array" ref="C37">IF(ISERROR(INDEX('Eingabe Meldungen'!$D$2:$D$492,LARGE(('Eingabe Meldungen'!$A$2:$A$492=$B$20)*(ROW('Eingabe Meldungen'!$A$2:$A$492)-1),COUNTIF('Eingabe Meldungen'!$A$2:$A$492,$B$20)+1-ROW('Eingabe Meldungen'!A16)))),"",INDEX('Eingabe Meldungen'!$D$2:$D$492,LARGE(('Eingabe Meldungen'!$A$2:$A$492=$B$20)*(ROW('Eingabe Meldungen'!$A$2:$A$492)-1),COUNTIF('Eingabe Meldungen'!$A$2:$A$492,$B$20)+1-ROW('Eingabe Meldungen'!A16))))</f>
        <v>Michael</v>
      </c>
      <c r="D37" s="66">
        <f t="array" ref="D37">IF(B37&lt;&gt;"",INDEX('Eingabe Meldungen'!$C$2:$H$492,MATCH(B37&amp;C37,'Eingabe Meldungen'!$C$2:$C$492&amp;'Eingabe Meldungen'!$D$2:$D$492,0),6),"")</f>
        <v>1968</v>
      </c>
      <c r="E37" s="402" t="s">
        <v>446</v>
      </c>
      <c r="F37" s="66">
        <v>16</v>
      </c>
      <c r="G37" s="142"/>
      <c r="H37" s="4" t="e">
        <f t="shared" si="2"/>
        <v>#N/A</v>
      </c>
      <c r="I37" s="136" t="str">
        <f t="array" ref="I37">IF(B37&lt;&gt;"",INDEX('Eingabe Meldungen'!$C$2:$J$492,MATCH(B37&amp;C37,'Eingabe Meldungen'!$C$2:$C$492&amp;'Eingabe Meldungen'!$D$2:$D$492,0),8),"")</f>
        <v>HRG Schwaben</v>
      </c>
      <c r="K37" s="427"/>
      <c r="L37" s="11"/>
      <c r="M37" s="11"/>
      <c r="N37" s="15"/>
      <c r="O37" s="11"/>
      <c r="Q37" s="11"/>
      <c r="R37" s="11"/>
      <c r="S37" s="11"/>
      <c r="W37" s="15"/>
    </row>
    <row r="38" spans="2:23" x14ac:dyDescent="0.2">
      <c r="B38" s="100" t="str">
        <f t="array" ref="B38">IF(ISERROR(INDEX('Eingabe Meldungen'!$C$2:$C$492,LARGE(('Eingabe Meldungen'!$A$2:$A$492=$B$20)*(ROW('Eingabe Meldungen'!$A$2:$A$492)-1),COUNTIF('Eingabe Meldungen'!$A$2:$A$492,$B$20)+1-ROW('Eingabe Meldungen'!A17)))),"",INDEX('Eingabe Meldungen'!$C$2:$C$492,LARGE(('Eingabe Meldungen'!$A$2:$A$492=$B$20)*(ROW('Eingabe Meldungen'!$A$2:$A$492)-1),COUNTIF('Eingabe Meldungen'!$A$2:$A$492,$B$20)+1-ROW('Eingabe Meldungen'!A17))))</f>
        <v>Demmer</v>
      </c>
      <c r="C38" s="4" t="str">
        <f t="array" ref="C38">IF(ISERROR(INDEX('Eingabe Meldungen'!$D$2:$D$492,LARGE(('Eingabe Meldungen'!$A$2:$A$492=$B$20)*(ROW('Eingabe Meldungen'!$A$2:$A$492)-1),COUNTIF('Eingabe Meldungen'!$A$2:$A$492,$B$20)+1-ROW('Eingabe Meldungen'!A17)))),"",INDEX('Eingabe Meldungen'!$D$2:$D$492,LARGE(('Eingabe Meldungen'!$A$2:$A$492=$B$20)*(ROW('Eingabe Meldungen'!$A$2:$A$492)-1),COUNTIF('Eingabe Meldungen'!$A$2:$A$492,$B$20)+1-ROW('Eingabe Meldungen'!A17))))</f>
        <v>Patrick</v>
      </c>
      <c r="D38" s="66">
        <f t="array" ref="D38">IF(B38&lt;&gt;"",INDEX('Eingabe Meldungen'!$C$2:$H$492,MATCH(B38&amp;C38,'Eingabe Meldungen'!$C$2:$C$492&amp;'Eingabe Meldungen'!$D$2:$D$492,0),6),"")</f>
        <v>1969</v>
      </c>
      <c r="E38" s="66" t="str">
        <f t="array" ref="E38">IF(B38&lt;&gt;"",INDEX('Eingabe Meldungen'!$C$2:$H$492,MATCH(B38&amp;C38,'Eingabe Meldungen'!$C$2:$C$492&amp;'Eingabe Meldungen'!$D$2:$D$492,0),4),"")</f>
        <v>D</v>
      </c>
      <c r="F38" s="66">
        <v>17</v>
      </c>
      <c r="G38" s="142"/>
      <c r="H38" s="4" t="e">
        <f t="shared" si="2"/>
        <v>#N/A</v>
      </c>
      <c r="I38" s="136" t="str">
        <f t="array" ref="I38">IF(B38&lt;&gt;"",INDEX('Eingabe Meldungen'!$C$2:$J$492,MATCH(B38&amp;C38,'Eingabe Meldungen'!$C$2:$C$492&amp;'Eingabe Meldungen'!$D$2:$D$492,0),8),"")</f>
        <v>HRG Schwaben</v>
      </c>
      <c r="K38" s="427"/>
      <c r="L38" s="11"/>
      <c r="M38" s="11"/>
      <c r="N38" s="15"/>
      <c r="O38" s="11"/>
      <c r="Q38" s="11"/>
      <c r="R38" s="11"/>
      <c r="S38" s="11"/>
      <c r="W38" s="15"/>
    </row>
    <row r="39" spans="2:23" x14ac:dyDescent="0.2">
      <c r="B39" s="100" t="str">
        <f t="array" ref="B39">IF(ISERROR(INDEX('Eingabe Meldungen'!$C$2:$C$492,LARGE(('Eingabe Meldungen'!$A$2:$A$492=$B$20)*(ROW('Eingabe Meldungen'!$A$2:$A$492)-1),COUNTIF('Eingabe Meldungen'!$A$2:$A$492,$B$20)+1-ROW('Eingabe Meldungen'!A18)))),"",INDEX('Eingabe Meldungen'!$C$2:$C$492,LARGE(('Eingabe Meldungen'!$A$2:$A$492=$B$20)*(ROW('Eingabe Meldungen'!$A$2:$A$492)-1),COUNTIF('Eingabe Meldungen'!$A$2:$A$492,$B$20)+1-ROW('Eingabe Meldungen'!A18))))</f>
        <v>Bischoff</v>
      </c>
      <c r="C39" s="4" t="str">
        <f t="array" ref="C39">IF(ISERROR(INDEX('Eingabe Meldungen'!$D$2:$D$492,LARGE(('Eingabe Meldungen'!$A$2:$A$492=$B$20)*(ROW('Eingabe Meldungen'!$A$2:$A$492)-1),COUNTIF('Eingabe Meldungen'!$A$2:$A$492,$B$20)+1-ROW('Eingabe Meldungen'!A18)))),"",INDEX('Eingabe Meldungen'!$D$2:$D$492,LARGE(('Eingabe Meldungen'!$A$2:$A$492=$B$20)*(ROW('Eingabe Meldungen'!$A$2:$A$492)-1),COUNTIF('Eingabe Meldungen'!$A$2:$A$492,$B$20)+1-ROW('Eingabe Meldungen'!A18))))</f>
        <v>Rene´</v>
      </c>
      <c r="D39" s="66">
        <f t="array" ref="D39">IF(B39&lt;&gt;"",INDEX('Eingabe Meldungen'!$C$2:$H$492,MATCH(B39&amp;C39,'Eingabe Meldungen'!$C$2:$C$492&amp;'Eingabe Meldungen'!$D$2:$D$492,0),6),"")</f>
        <v>1969</v>
      </c>
      <c r="E39" s="66" t="str">
        <f t="array" ref="E39">IF(B39&lt;&gt;"",INDEX('Eingabe Meldungen'!$C$2:$H$492,MATCH(B39&amp;C39,'Eingabe Meldungen'!$C$2:$C$492&amp;'Eingabe Meldungen'!$D$2:$D$492,0),4),"")</f>
        <v>D</v>
      </c>
      <c r="F39" s="66">
        <v>18</v>
      </c>
      <c r="G39" s="142"/>
      <c r="H39" s="4" t="e">
        <f t="shared" si="2"/>
        <v>#N/A</v>
      </c>
      <c r="I39" s="136" t="str">
        <f t="array" ref="I39">IF(B39&lt;&gt;"",INDEX('Eingabe Meldungen'!$C$2:$J$492,MATCH(B39&amp;C39,'Eingabe Meldungen'!$C$2:$C$492&amp;'Eingabe Meldungen'!$D$2:$D$492,0),8),"")</f>
        <v>HRG Schwaben</v>
      </c>
      <c r="K39" s="427"/>
      <c r="L39" s="11"/>
      <c r="M39" s="11"/>
      <c r="N39" s="15"/>
      <c r="O39" s="11"/>
      <c r="Q39" s="11"/>
      <c r="R39" s="11"/>
      <c r="S39" s="11"/>
      <c r="W39" s="15"/>
    </row>
    <row r="40" spans="2:23" x14ac:dyDescent="0.2">
      <c r="B40" s="100" t="str">
        <f t="array" ref="B40">IF(ISERROR(INDEX('Eingabe Meldungen'!$C$2:$C$492,LARGE(('Eingabe Meldungen'!$A$2:$A$492=$B$20)*(ROW('Eingabe Meldungen'!$A$2:$A$492)-1),COUNTIF('Eingabe Meldungen'!$A$2:$A$492,$B$20)+1-ROW('Eingabe Meldungen'!A19)))),"",INDEX('Eingabe Meldungen'!$C$2:$C$492,LARGE(('Eingabe Meldungen'!$A$2:$A$492=$B$20)*(ROW('Eingabe Meldungen'!$A$2:$A$492)-1),COUNTIF('Eingabe Meldungen'!$A$2:$A$492,$B$20)+1-ROW('Eingabe Meldungen'!A19))))</f>
        <v>Veigel</v>
      </c>
      <c r="C40" s="4" t="str">
        <f t="array" ref="C40">IF(ISERROR(INDEX('Eingabe Meldungen'!$D$2:$D$492,LARGE(('Eingabe Meldungen'!$A$2:$A$492=$B$20)*(ROW('Eingabe Meldungen'!$A$2:$A$492)-1),COUNTIF('Eingabe Meldungen'!$A$2:$A$492,$B$20)+1-ROW('Eingabe Meldungen'!A19)))),"",INDEX('Eingabe Meldungen'!$D$2:$D$492,LARGE(('Eingabe Meldungen'!$A$2:$A$492=$B$20)*(ROW('Eingabe Meldungen'!$A$2:$A$492)-1),COUNTIF('Eingabe Meldungen'!$A$2:$A$492,$B$20)+1-ROW('Eingabe Meldungen'!A19))))</f>
        <v>Wolfram</v>
      </c>
      <c r="D40" s="66">
        <f t="array" ref="D40">IF(B40&lt;&gt;"",INDEX('Eingabe Meldungen'!$C$2:$H$492,MATCH(B40&amp;C40,'Eingabe Meldungen'!$C$2:$C$492&amp;'Eingabe Meldungen'!$D$2:$D$492,0),6),"")</f>
        <v>1969</v>
      </c>
      <c r="E40" s="66" t="str">
        <f t="array" ref="E40">IF(B40&lt;&gt;"",INDEX('Eingabe Meldungen'!$C$2:$H$492,MATCH(B40&amp;C40,'Eingabe Meldungen'!$C$2:$C$492&amp;'Eingabe Meldungen'!$D$2:$D$492,0),4),"")</f>
        <v>D</v>
      </c>
      <c r="F40" s="66">
        <v>19</v>
      </c>
      <c r="G40" s="142"/>
      <c r="H40" s="4" t="e">
        <f t="shared" si="2"/>
        <v>#N/A</v>
      </c>
      <c r="I40" s="136" t="str">
        <f t="array" ref="I40">IF(B40&lt;&gt;"",INDEX('Eingabe Meldungen'!$C$2:$J$492,MATCH(B40&amp;C40,'Eingabe Meldungen'!$C$2:$C$492&amp;'Eingabe Meldungen'!$D$2:$D$492,0),8),"")</f>
        <v>Marbacher Ruderverein</v>
      </c>
      <c r="K40" s="427"/>
      <c r="L40" s="11"/>
      <c r="M40" s="11"/>
      <c r="N40" s="15"/>
      <c r="O40" s="11"/>
      <c r="Q40" s="11"/>
      <c r="R40" s="11"/>
      <c r="S40" s="11"/>
      <c r="W40" s="15"/>
    </row>
    <row r="41" spans="2:23" ht="13.2" thickBot="1" x14ac:dyDescent="0.25">
      <c r="B41" s="138"/>
      <c r="C41" s="139"/>
      <c r="D41" s="99"/>
      <c r="E41" s="99"/>
      <c r="F41" s="99">
        <v>10</v>
      </c>
      <c r="G41" s="140"/>
      <c r="H41" s="139"/>
      <c r="I41" s="141"/>
      <c r="K41" s="428"/>
      <c r="L41" s="11"/>
      <c r="M41" s="11"/>
      <c r="N41" s="15"/>
      <c r="O41" s="11"/>
      <c r="Q41" s="11"/>
      <c r="R41" s="11"/>
      <c r="S41" s="11"/>
      <c r="W41" s="15"/>
    </row>
    <row r="42" spans="2:23" x14ac:dyDescent="0.2">
      <c r="B42" s="131" t="str">
        <f t="array" ref="B42">IF(ISERROR(INDEX('Eingabe Meldungen'!$C$2:$C$492,LARGE(('Eingabe Meldungen'!$A$2:$A$492=$B$20)*(ROW('Eingabe Meldungen'!$A$2:$A$492)-1),COUNTIF('Eingabe Meldungen'!$A$2:$A$492,$B$20)+1-ROW('Eingabe Meldungen'!A20)))),"",INDEX('Eingabe Meldungen'!$C$2:$C$492,LARGE(('Eingabe Meldungen'!$A$2:$A$492=$B$20)*(ROW('Eingabe Meldungen'!$A$2:$A$492)-1),COUNTIF('Eingabe Meldungen'!$A$2:$A$492,$B$20)+1-ROW('Eingabe Meldungen'!A20))))</f>
        <v>Blank</v>
      </c>
      <c r="C42" s="132" t="str">
        <f t="array" ref="C42">IF(ISERROR(INDEX('Eingabe Meldungen'!$D$2:$D$492,LARGE(('Eingabe Meldungen'!$A$2:$A$492=$B$20)*(ROW('Eingabe Meldungen'!$A$2:$A$492)-1),COUNTIF('Eingabe Meldungen'!$A$2:$A$492,$B$20)+1-ROW('Eingabe Meldungen'!A20)))),"",INDEX('Eingabe Meldungen'!$D$2:$D$492,LARGE(('Eingabe Meldungen'!$A$2:$A$492=$B$20)*(ROW('Eingabe Meldungen'!$A$2:$A$492)-1),COUNTIF('Eingabe Meldungen'!$A$2:$A$492,$B$20)+1-ROW('Eingabe Meldungen'!A20))))</f>
        <v>Hannes</v>
      </c>
      <c r="D42" s="78">
        <f t="array" ref="D42">IF(B42&lt;&gt;"",INDEX('Eingabe Meldungen'!$C$2:$H$492,MATCH(B42&amp;C42,'Eingabe Meldungen'!$C$2:$C$492&amp;'Eingabe Meldungen'!$D$2:$D$492,0),6),"")</f>
        <v>1971</v>
      </c>
      <c r="E42" s="78" t="str">
        <f t="array" ref="E42">IF(B42&lt;&gt;"",INDEX('Eingabe Meldungen'!$C$2:$H$492,MATCH(B42&amp;C42,'Eingabe Meldungen'!$C$2:$C$492&amp;'Eingabe Meldungen'!$D$2:$D$492,0),4),"")</f>
        <v>C</v>
      </c>
      <c r="F42" s="78">
        <v>1</v>
      </c>
      <c r="G42" s="144"/>
      <c r="H42" s="132" t="e">
        <f>RANK(G42,$G$22:$G$51,1)</f>
        <v>#N/A</v>
      </c>
      <c r="I42" s="134" t="str">
        <f t="array" ref="I42">IF(B42&lt;&gt;"",INDEX('Eingabe Meldungen'!$C$2:$J$492,MATCH(B42&amp;C42,'Eingabe Meldungen'!$C$2:$C$492&amp;'Eingabe Meldungen'!$D$2:$D$492,0),8),"")</f>
        <v>Karlsruher Ruder-Verein Wiking</v>
      </c>
      <c r="K42" s="426" t="s">
        <v>456</v>
      </c>
      <c r="L42" s="11"/>
      <c r="M42" s="11"/>
      <c r="N42" s="15"/>
      <c r="O42" s="11"/>
      <c r="Q42" s="11"/>
      <c r="R42" s="11"/>
      <c r="S42" s="11"/>
      <c r="W42" s="15"/>
    </row>
    <row r="43" spans="2:23" x14ac:dyDescent="0.2">
      <c r="B43" s="100" t="str">
        <f t="array" ref="B43">IF(ISERROR(INDEX('Eingabe Meldungen'!$C$2:$C$492,LARGE(('Eingabe Meldungen'!$A$2:$A$492=$B$20)*(ROW('Eingabe Meldungen'!$A$2:$A$492)-1),COUNTIF('Eingabe Meldungen'!$A$2:$A$492,$B$20)+1-ROW('Eingabe Meldungen'!A21)))),"",INDEX('Eingabe Meldungen'!$C$2:$C$492,LARGE(('Eingabe Meldungen'!$A$2:$A$492=$B$20)*(ROW('Eingabe Meldungen'!$A$2:$A$492)-1),COUNTIF('Eingabe Meldungen'!$A$2:$A$492,$B$20)+1-ROW('Eingabe Meldungen'!A21))))</f>
        <v>Fouque</v>
      </c>
      <c r="C43" s="4" t="str">
        <f t="array" ref="C43">IF(ISERROR(INDEX('Eingabe Meldungen'!$D$2:$D$492,LARGE(('Eingabe Meldungen'!$A$2:$A$492=$B$20)*(ROW('Eingabe Meldungen'!$A$2:$A$492)-1),COUNTIF('Eingabe Meldungen'!$A$2:$A$492,$B$20)+1-ROW('Eingabe Meldungen'!A21)))),"",INDEX('Eingabe Meldungen'!$D$2:$D$492,LARGE(('Eingabe Meldungen'!$A$2:$A$492=$B$20)*(ROW('Eingabe Meldungen'!$A$2:$A$492)-1),COUNTIF('Eingabe Meldungen'!$A$2:$A$492,$B$20)+1-ROW('Eingabe Meldungen'!A21))))</f>
        <v>Martin</v>
      </c>
      <c r="D43" s="66">
        <f t="array" ref="D43">IF(B43&lt;&gt;"",INDEX('Eingabe Meldungen'!$C$2:$H$492,MATCH(B43&amp;C43,'Eingabe Meldungen'!$C$2:$C$492&amp;'Eingabe Meldungen'!$D$2:$D$492,0),6),"")</f>
        <v>1971</v>
      </c>
      <c r="E43" s="66" t="str">
        <f t="array" ref="E43">IF(B43&lt;&gt;"",INDEX('Eingabe Meldungen'!$C$2:$H$492,MATCH(B43&amp;C43,'Eingabe Meldungen'!$C$2:$C$492&amp;'Eingabe Meldungen'!$D$2:$D$492,0),4),"")</f>
        <v>C</v>
      </c>
      <c r="F43" s="66">
        <v>2</v>
      </c>
      <c r="G43" s="137"/>
      <c r="H43" s="4" t="e">
        <f>RANK(G43,$G$22:$G$51,1)</f>
        <v>#N/A</v>
      </c>
      <c r="I43" s="136" t="str">
        <f t="array" ref="I43">IF(B43&lt;&gt;"",INDEX('Eingabe Meldungen'!$C$2:$J$492,MATCH(B43&amp;C43,'Eingabe Meldungen'!$C$2:$C$492&amp;'Eingabe Meldungen'!$D$2:$D$492,0),8),"")</f>
        <v>RC Nürtingen</v>
      </c>
      <c r="K43" s="427"/>
      <c r="L43" s="11"/>
      <c r="M43" s="11"/>
      <c r="N43" s="15"/>
      <c r="O43" s="11"/>
      <c r="Q43" s="11"/>
      <c r="R43" s="11"/>
      <c r="S43" s="11"/>
      <c r="W43" s="15"/>
    </row>
    <row r="44" spans="2:23" x14ac:dyDescent="0.2">
      <c r="B44" s="100" t="str">
        <f t="array" ref="B44">IF(ISERROR(INDEX('Eingabe Meldungen'!$C$2:$C$492,LARGE(('Eingabe Meldungen'!$A$2:$A$492=$B$20)*(ROW('Eingabe Meldungen'!$A$2:$A$492)-1),COUNTIF('Eingabe Meldungen'!$A$2:$A$492,$B$20)+1-ROW('Eingabe Meldungen'!A22)))),"",INDEX('Eingabe Meldungen'!$C$2:$C$492,LARGE(('Eingabe Meldungen'!$A$2:$A$492=$B$20)*(ROW('Eingabe Meldungen'!$A$2:$A$492)-1),COUNTIF('Eingabe Meldungen'!$A$2:$A$492,$B$20)+1-ROW('Eingabe Meldungen'!A22))))</f>
        <v>Burger</v>
      </c>
      <c r="C44" s="4" t="str">
        <f t="array" ref="C44">IF(ISERROR(INDEX('Eingabe Meldungen'!$D$2:$D$492,LARGE(('Eingabe Meldungen'!$A$2:$A$492=$B$20)*(ROW('Eingabe Meldungen'!$A$2:$A$492)-1),COUNTIF('Eingabe Meldungen'!$A$2:$A$492,$B$20)+1-ROW('Eingabe Meldungen'!A22)))),"",INDEX('Eingabe Meldungen'!$D$2:$D$492,LARGE(('Eingabe Meldungen'!$A$2:$A$492=$B$20)*(ROW('Eingabe Meldungen'!$A$2:$A$492)-1),COUNTIF('Eingabe Meldungen'!$A$2:$A$492,$B$20)+1-ROW('Eingabe Meldungen'!A22))))</f>
        <v>Max</v>
      </c>
      <c r="D44" s="66">
        <f t="array" ref="D44">IF(B44&lt;&gt;"",INDEX('Eingabe Meldungen'!$C$2:$H$492,MATCH(B44&amp;C44,'Eingabe Meldungen'!$C$2:$C$492&amp;'Eingabe Meldungen'!$D$2:$D$492,0),6),"")</f>
        <v>1975</v>
      </c>
      <c r="E44" s="66" t="str">
        <f t="array" ref="E44">IF(B44&lt;&gt;"",INDEX('Eingabe Meldungen'!$C$2:$H$492,MATCH(B44&amp;C44,'Eingabe Meldungen'!$C$2:$C$492&amp;'Eingabe Meldungen'!$D$2:$D$492,0),4),"")</f>
        <v>C</v>
      </c>
      <c r="F44" s="66">
        <v>3</v>
      </c>
      <c r="G44" s="137"/>
      <c r="H44" s="4" t="e">
        <f>RANK(G44,$G$22:$G$51,1)</f>
        <v>#N/A</v>
      </c>
      <c r="I44" s="136" t="str">
        <f t="array" ref="I44">IF(B44&lt;&gt;"",INDEX('Eingabe Meldungen'!$C$2:$J$492,MATCH(B44&amp;C44,'Eingabe Meldungen'!$C$2:$C$492&amp;'Eingabe Meldungen'!$D$2:$D$492,0),8),"")</f>
        <v>Heidelberger Ruderklub</v>
      </c>
      <c r="K44" s="427"/>
      <c r="L44" s="11"/>
      <c r="M44" s="11"/>
      <c r="N44" s="15"/>
      <c r="O44" s="11"/>
      <c r="Q44" s="11"/>
      <c r="R44" s="11"/>
      <c r="S44" s="11"/>
      <c r="W44" s="15"/>
    </row>
    <row r="45" spans="2:23" x14ac:dyDescent="0.2">
      <c r="B45" s="100" t="str">
        <f t="array" ref="B45">IF(ISERROR(INDEX('Eingabe Meldungen'!$C$2:$C$492,LARGE(('Eingabe Meldungen'!$A$2:$A$492=$B$20)*(ROW('Eingabe Meldungen'!$A$2:$A$492)-1),COUNTIF('Eingabe Meldungen'!$A$2:$A$492,$B$20)+1-ROW('Eingabe Meldungen'!A23)))),"",INDEX('Eingabe Meldungen'!$C$2:$C$492,LARGE(('Eingabe Meldungen'!$A$2:$A$492=$B$20)*(ROW('Eingabe Meldungen'!$A$2:$A$492)-1),COUNTIF('Eingabe Meldungen'!$A$2:$A$492,$B$20)+1-ROW('Eingabe Meldungen'!A23))))</f>
        <v>Schönmann Fink</v>
      </c>
      <c r="C45" s="4" t="str">
        <f t="array" ref="C45">IF(ISERROR(INDEX('Eingabe Meldungen'!$D$2:$D$492,LARGE(('Eingabe Meldungen'!$A$2:$A$492=$B$20)*(ROW('Eingabe Meldungen'!$A$2:$A$492)-1),COUNTIF('Eingabe Meldungen'!$A$2:$A$492,$B$20)+1-ROW('Eingabe Meldungen'!A23)))),"",INDEX('Eingabe Meldungen'!$D$2:$D$492,LARGE(('Eingabe Meldungen'!$A$2:$A$492=$B$20)*(ROW('Eingabe Meldungen'!$A$2:$A$492)-1),COUNTIF('Eingabe Meldungen'!$A$2:$A$492,$B$20)+1-ROW('Eingabe Meldungen'!A23))))</f>
        <v>Matthias</v>
      </c>
      <c r="D45" s="66">
        <f t="array" ref="D45">IF(B45&lt;&gt;"",INDEX('Eingabe Meldungen'!$C$2:$H$492,MATCH(B45&amp;C45,'Eingabe Meldungen'!$C$2:$C$492&amp;'Eingabe Meldungen'!$D$2:$D$492,0),6),"")</f>
        <v>1979</v>
      </c>
      <c r="E45" s="66" t="str">
        <f t="array" ref="E45">IF(B45&lt;&gt;"",INDEX('Eingabe Meldungen'!$C$2:$H$492,MATCH(B45&amp;C45,'Eingabe Meldungen'!$C$2:$C$492&amp;'Eingabe Meldungen'!$D$2:$D$492,0),4),"")</f>
        <v>B</v>
      </c>
      <c r="F45" s="66">
        <v>4</v>
      </c>
      <c r="G45" s="137"/>
      <c r="H45" s="4" t="e">
        <f>RANK(G45,$G$22:$G$51,1)</f>
        <v>#N/A</v>
      </c>
      <c r="I45" s="136" t="str">
        <f t="array" ref="I45">IF(B45&lt;&gt;"",INDEX('Eingabe Meldungen'!$C$2:$J$492,MATCH(B45&amp;C45,'Eingabe Meldungen'!$C$2:$C$492&amp;'Eingabe Meldungen'!$D$2:$D$492,0),8),"")</f>
        <v>RC Neptun Neckarelz</v>
      </c>
      <c r="K45" s="427"/>
      <c r="L45" s="11"/>
      <c r="M45" s="11"/>
      <c r="N45" s="15"/>
      <c r="O45" s="11"/>
      <c r="Q45" s="11"/>
      <c r="R45" s="11"/>
      <c r="S45" s="11"/>
      <c r="W45" s="15"/>
    </row>
    <row r="46" spans="2:23" x14ac:dyDescent="0.2">
      <c r="B46" s="100" t="str">
        <f t="array" ref="B46">IF(ISERROR(INDEX('Eingabe Meldungen'!$C$2:$C$492,LARGE(('Eingabe Meldungen'!$A$2:$A$492=$B$20)*(ROW('Eingabe Meldungen'!$A$2:$A$492)-1),COUNTIF('Eingabe Meldungen'!$A$2:$A$492,$B$20)+1-ROW('Eingabe Meldungen'!A24)))),"",INDEX('Eingabe Meldungen'!$C$2:$C$492,LARGE(('Eingabe Meldungen'!$A$2:$A$492=$B$20)*(ROW('Eingabe Meldungen'!$A$2:$A$492)-1),COUNTIF('Eingabe Meldungen'!$A$2:$A$492,$B$20)+1-ROW('Eingabe Meldungen'!A24))))</f>
        <v>Wöppel</v>
      </c>
      <c r="C46" s="4" t="str">
        <f t="array" ref="C46">IF(ISERROR(INDEX('Eingabe Meldungen'!$D$2:$D$492,LARGE(('Eingabe Meldungen'!$A$2:$A$492=$B$20)*(ROW('Eingabe Meldungen'!$A$2:$A$492)-1),COUNTIF('Eingabe Meldungen'!$A$2:$A$492,$B$20)+1-ROW('Eingabe Meldungen'!A24)))),"",INDEX('Eingabe Meldungen'!$D$2:$D$492,LARGE(('Eingabe Meldungen'!$A$2:$A$492=$B$20)*(ROW('Eingabe Meldungen'!$A$2:$A$492)-1),COUNTIF('Eingabe Meldungen'!$A$2:$A$492,$B$20)+1-ROW('Eingabe Meldungen'!A24))))</f>
        <v>Stefan</v>
      </c>
      <c r="D46" s="66">
        <f t="array" ref="D46">IF(B46&lt;&gt;"",INDEX('Eingabe Meldungen'!$C$2:$H$492,MATCH(B46&amp;C46,'Eingabe Meldungen'!$C$2:$C$492&amp;'Eingabe Meldungen'!$D$2:$D$492,0),6),"")</f>
        <v>1967</v>
      </c>
      <c r="E46" s="66" t="str">
        <f t="array" ref="E46">IF(B46&lt;&gt;"",INDEX('Eingabe Meldungen'!$C$2:$H$492,MATCH(B46&amp;C46,'Eingabe Meldungen'!$C$2:$C$492&amp;'Eingabe Meldungen'!$D$2:$D$492,0),4),"")</f>
        <v>D</v>
      </c>
      <c r="F46" s="66">
        <v>5</v>
      </c>
      <c r="G46" s="137"/>
      <c r="H46" s="4" t="e">
        <f t="shared" ref="H46:H51" si="3">RANK(G46,$G$22:$G$51,1)</f>
        <v>#N/A</v>
      </c>
      <c r="I46" s="136" t="str">
        <f t="array" ref="I46">IF(B46&lt;&gt;"",INDEX('Eingabe Meldungen'!$C$2:$J$492,MATCH(B46&amp;C46,'Eingabe Meldungen'!$C$2:$C$492&amp;'Eingabe Meldungen'!$D$2:$D$492,0),8),"")</f>
        <v xml:space="preserve">WSV Schifferclub Neckarrems </v>
      </c>
      <c r="K46" s="427"/>
      <c r="L46" s="11"/>
      <c r="M46" s="11"/>
      <c r="N46" s="15"/>
      <c r="O46" s="11"/>
      <c r="Q46" s="11"/>
      <c r="R46" s="11"/>
      <c r="S46" s="11"/>
      <c r="W46" s="15"/>
    </row>
    <row r="47" spans="2:23" x14ac:dyDescent="0.2">
      <c r="B47" s="100" t="str">
        <f t="array" ref="B47">IF(ISERROR(INDEX('Eingabe Meldungen'!$C$2:$C$492,LARGE(('Eingabe Meldungen'!$A$2:$A$492=$B$20)*(ROW('Eingabe Meldungen'!$A$2:$A$492)-1),COUNTIF('Eingabe Meldungen'!$A$2:$A$492,$B$20)+1-ROW('Eingabe Meldungen'!A25)))),"",INDEX('Eingabe Meldungen'!$C$2:$C$492,LARGE(('Eingabe Meldungen'!$A$2:$A$492=$B$20)*(ROW('Eingabe Meldungen'!$A$2:$A$492)-1),COUNTIF('Eingabe Meldungen'!$A$2:$A$492,$B$20)+1-ROW('Eingabe Meldungen'!A25))))</f>
        <v>Lentner</v>
      </c>
      <c r="C47" s="4" t="str">
        <f t="array" ref="C47">IF(ISERROR(INDEX('Eingabe Meldungen'!$D$2:$D$492,LARGE(('Eingabe Meldungen'!$A$2:$A$492=$B$20)*(ROW('Eingabe Meldungen'!$A$2:$A$492)-1),COUNTIF('Eingabe Meldungen'!$A$2:$A$492,$B$20)+1-ROW('Eingabe Meldungen'!A25)))),"",INDEX('Eingabe Meldungen'!$D$2:$D$492,LARGE(('Eingabe Meldungen'!$A$2:$A$492=$B$20)*(ROW('Eingabe Meldungen'!$A$2:$A$492)-1),COUNTIF('Eingabe Meldungen'!$A$2:$A$492,$B$20)+1-ROW('Eingabe Meldungen'!A25))))</f>
        <v>Bernhard</v>
      </c>
      <c r="D47" s="66">
        <f t="array" ref="D47">IF(B47&lt;&gt;"",INDEX('Eingabe Meldungen'!$C$2:$H$492,MATCH(B47&amp;C47,'Eingabe Meldungen'!$C$2:$C$492&amp;'Eingabe Meldungen'!$D$2:$D$492,0),6),"")</f>
        <v>1959</v>
      </c>
      <c r="E47" s="66" t="str">
        <f t="array" ref="E47">IF(B47&lt;&gt;"",INDEX('Eingabe Meldungen'!$C$2:$H$492,MATCH(B47&amp;C47,'Eingabe Meldungen'!$C$2:$C$492&amp;'Eingabe Meldungen'!$D$2:$D$492,0),4),"")</f>
        <v>F</v>
      </c>
      <c r="F47" s="66">
        <v>6</v>
      </c>
      <c r="G47" s="137"/>
      <c r="H47" s="4" t="e">
        <f t="shared" si="3"/>
        <v>#N/A</v>
      </c>
      <c r="I47" s="136" t="str">
        <f t="array" ref="I47">IF(B47&lt;&gt;"",INDEX('Eingabe Meldungen'!$C$2:$J$492,MATCH(B47&amp;C47,'Eingabe Meldungen'!$C$2:$C$492&amp;'Eingabe Meldungen'!$D$2:$D$492,0),8),"")</f>
        <v xml:space="preserve">WSV Schifferclub Neckarrems </v>
      </c>
      <c r="K47" s="427"/>
      <c r="L47" s="11"/>
      <c r="M47" s="11"/>
      <c r="N47" s="15"/>
      <c r="O47" s="11"/>
      <c r="Q47" s="11"/>
      <c r="R47" s="11"/>
      <c r="S47" s="11"/>
      <c r="W47" s="15"/>
    </row>
    <row r="48" spans="2:23" x14ac:dyDescent="0.2">
      <c r="B48" s="100" t="str">
        <f t="array" ref="B48">IF(ISERROR(INDEX('Eingabe Meldungen'!$C$2:$C$492,LARGE(('Eingabe Meldungen'!$A$2:$A$492=$B$20)*(ROW('Eingabe Meldungen'!$A$2:$A$492)-1),COUNTIF('Eingabe Meldungen'!$A$2:$A$492,$B$20)+1-ROW('Eingabe Meldungen'!A26)))),"",INDEX('Eingabe Meldungen'!$C$2:$C$492,LARGE(('Eingabe Meldungen'!$A$2:$A$492=$B$20)*(ROW('Eingabe Meldungen'!$A$2:$A$492)-1),COUNTIF('Eingabe Meldungen'!$A$2:$A$492,$B$20)+1-ROW('Eingabe Meldungen'!A26))))</f>
        <v/>
      </c>
      <c r="C48" s="4" t="str">
        <f t="array" ref="C48">IF(ISERROR(INDEX('Eingabe Meldungen'!$D$2:$D$492,LARGE(('Eingabe Meldungen'!$A$2:$A$492=$B$20)*(ROW('Eingabe Meldungen'!$A$2:$A$492)-1),COUNTIF('Eingabe Meldungen'!$A$2:$A$492,$B$20)+1-ROW('Eingabe Meldungen'!A26)))),"",INDEX('Eingabe Meldungen'!$D$2:$D$492,LARGE(('Eingabe Meldungen'!$A$2:$A$492=$B$20)*(ROW('Eingabe Meldungen'!$A$2:$A$492)-1),COUNTIF('Eingabe Meldungen'!$A$2:$A$492,$B$20)+1-ROW('Eingabe Meldungen'!A26))))</f>
        <v/>
      </c>
      <c r="D48" s="66" t="str">
        <f t="array" ref="D48">IF(B48&lt;&gt;"",INDEX('Eingabe Meldungen'!$C$2:$H$492,MATCH(B48&amp;C48,'Eingabe Meldungen'!$C$2:$C$492&amp;'Eingabe Meldungen'!$D$2:$D$492,0),6),"")</f>
        <v/>
      </c>
      <c r="E48" s="66" t="str">
        <f t="array" ref="E48">IF(B48&lt;&gt;"",INDEX('Eingabe Meldungen'!$C$2:$H$492,MATCH(B48&amp;C48,'Eingabe Meldungen'!$C$2:$C$492&amp;'Eingabe Meldungen'!$D$2:$D$492,0),4),"")</f>
        <v/>
      </c>
      <c r="F48" s="66">
        <v>7</v>
      </c>
      <c r="G48" s="137"/>
      <c r="H48" s="4" t="e">
        <f t="shared" si="3"/>
        <v>#N/A</v>
      </c>
      <c r="I48" s="136" t="str">
        <f t="array" ref="I48">IF(B48&lt;&gt;"",INDEX('Eingabe Meldungen'!$C$2:$J$492,MATCH(B48&amp;C48,'Eingabe Meldungen'!$C$2:$C$492&amp;'Eingabe Meldungen'!$D$2:$D$492,0),8),"")</f>
        <v/>
      </c>
      <c r="K48" s="427"/>
      <c r="L48" s="11"/>
      <c r="M48" s="11"/>
      <c r="N48" s="15"/>
      <c r="O48" s="11"/>
      <c r="Q48" s="11"/>
      <c r="R48" s="11"/>
      <c r="S48" s="11"/>
      <c r="W48" s="15"/>
    </row>
    <row r="49" spans="2:23" x14ac:dyDescent="0.2">
      <c r="B49" s="100" t="str">
        <f t="array" ref="B49">IF(ISERROR(INDEX('Eingabe Meldungen'!$C$2:$C$492,LARGE(('Eingabe Meldungen'!$A$2:$A$492=$B$20)*(ROW('Eingabe Meldungen'!$A$2:$A$492)-1),COUNTIF('Eingabe Meldungen'!$A$2:$A$492,$B$20)+1-ROW('Eingabe Meldungen'!A27)))),"",INDEX('Eingabe Meldungen'!$C$2:$C$492,LARGE(('Eingabe Meldungen'!$A$2:$A$492=$B$20)*(ROW('Eingabe Meldungen'!$A$2:$A$492)-1),COUNTIF('Eingabe Meldungen'!$A$2:$A$492,$B$20)+1-ROW('Eingabe Meldungen'!A27))))</f>
        <v/>
      </c>
      <c r="C49" s="4" t="str">
        <f t="array" ref="C49">IF(ISERROR(INDEX('Eingabe Meldungen'!$D$2:$D$492,LARGE(('Eingabe Meldungen'!$A$2:$A$492=$B$20)*(ROW('Eingabe Meldungen'!$A$2:$A$492)-1),COUNTIF('Eingabe Meldungen'!$A$2:$A$492,$B$20)+1-ROW('Eingabe Meldungen'!A27)))),"",INDEX('Eingabe Meldungen'!$D$2:$D$492,LARGE(('Eingabe Meldungen'!$A$2:$A$492=$B$20)*(ROW('Eingabe Meldungen'!$A$2:$A$492)-1),COUNTIF('Eingabe Meldungen'!$A$2:$A$492,$B$20)+1-ROW('Eingabe Meldungen'!A27))))</f>
        <v/>
      </c>
      <c r="D49" s="66" t="str">
        <f t="array" ref="D49">IF(B49&lt;&gt;"",INDEX('Eingabe Meldungen'!$C$2:$H$492,MATCH(B49&amp;C49,'Eingabe Meldungen'!$C$2:$C$492&amp;'Eingabe Meldungen'!$D$2:$D$492,0),6),"")</f>
        <v/>
      </c>
      <c r="E49" s="66" t="str">
        <f t="array" ref="E49">IF(B49&lt;&gt;"",INDEX('Eingabe Meldungen'!$C$2:$H$492,MATCH(B49&amp;C49,'Eingabe Meldungen'!$C$2:$C$492&amp;'Eingabe Meldungen'!$D$2:$D$492,0),4),"")</f>
        <v/>
      </c>
      <c r="F49" s="66">
        <v>8</v>
      </c>
      <c r="G49" s="137"/>
      <c r="H49" s="4" t="e">
        <f t="shared" si="3"/>
        <v>#N/A</v>
      </c>
      <c r="I49" s="136" t="str">
        <f t="array" ref="I49">IF(B49&lt;&gt;"",INDEX('Eingabe Meldungen'!$C$2:$J$492,MATCH(B49&amp;C49,'Eingabe Meldungen'!$C$2:$C$492&amp;'Eingabe Meldungen'!$D$2:$D$492,0),8),"")</f>
        <v/>
      </c>
      <c r="K49" s="427"/>
      <c r="L49" s="11"/>
      <c r="M49" s="11"/>
      <c r="N49" s="15"/>
      <c r="O49" s="11"/>
      <c r="Q49" s="11"/>
      <c r="R49" s="11"/>
      <c r="S49" s="11"/>
      <c r="W49" s="15"/>
    </row>
    <row r="50" spans="2:23" x14ac:dyDescent="0.2">
      <c r="B50" s="100" t="str">
        <f t="array" ref="B50">IF(ISERROR(INDEX('Eingabe Meldungen'!$C$2:$C$492,LARGE(('Eingabe Meldungen'!$A$2:$A$492=$B$20)*(ROW('Eingabe Meldungen'!$A$2:$A$492)-1),COUNTIF('Eingabe Meldungen'!$A$2:$A$492,$B$20)+1-ROW('Eingabe Meldungen'!A28)))),"",INDEX('Eingabe Meldungen'!$C$2:$C$492,LARGE(('Eingabe Meldungen'!$A$2:$A$492=$B$20)*(ROW('Eingabe Meldungen'!$A$2:$A$492)-1),COUNTIF('Eingabe Meldungen'!$A$2:$A$492,$B$20)+1-ROW('Eingabe Meldungen'!A28))))</f>
        <v/>
      </c>
      <c r="C50" s="4" t="str">
        <f t="array" ref="C50">IF(ISERROR(INDEX('Eingabe Meldungen'!$D$2:$D$492,LARGE(('Eingabe Meldungen'!$A$2:$A$492=$B$20)*(ROW('Eingabe Meldungen'!$A$2:$A$492)-1),COUNTIF('Eingabe Meldungen'!$A$2:$A$492,$B$20)+1-ROW('Eingabe Meldungen'!A28)))),"",INDEX('Eingabe Meldungen'!$D$2:$D$492,LARGE(('Eingabe Meldungen'!$A$2:$A$492=$B$20)*(ROW('Eingabe Meldungen'!$A$2:$A$492)-1),COUNTIF('Eingabe Meldungen'!$A$2:$A$492,$B$20)+1-ROW('Eingabe Meldungen'!A28))))</f>
        <v/>
      </c>
      <c r="D50" s="66" t="str">
        <f t="array" ref="D50">IF(B50&lt;&gt;"",INDEX('Eingabe Meldungen'!$C$2:$H$492,MATCH(B50&amp;C50,'Eingabe Meldungen'!$C$2:$C$492&amp;'Eingabe Meldungen'!$D$2:$D$492,0),6),"")</f>
        <v/>
      </c>
      <c r="E50" s="66" t="str">
        <f t="array" ref="E50">IF(B50&lt;&gt;"",INDEX('Eingabe Meldungen'!$C$2:$H$492,MATCH(B50&amp;C50,'Eingabe Meldungen'!$C$2:$C$492&amp;'Eingabe Meldungen'!$D$2:$D$492,0),4),"")</f>
        <v/>
      </c>
      <c r="F50" s="66">
        <v>9</v>
      </c>
      <c r="G50" s="137"/>
      <c r="H50" s="4" t="e">
        <f t="shared" si="3"/>
        <v>#N/A</v>
      </c>
      <c r="I50" s="136" t="str">
        <f t="array" ref="I50">IF(B50&lt;&gt;"",INDEX('Eingabe Meldungen'!$C$2:$J$492,MATCH(B50&amp;C50,'Eingabe Meldungen'!$C$2:$C$492&amp;'Eingabe Meldungen'!$D$2:$D$492,0),8),"")</f>
        <v/>
      </c>
      <c r="K50" s="427"/>
      <c r="L50" s="11"/>
      <c r="M50" s="11"/>
      <c r="N50" s="15"/>
      <c r="O50" s="11"/>
      <c r="Q50" s="11"/>
      <c r="R50" s="11"/>
      <c r="S50" s="11"/>
      <c r="W50" s="15"/>
    </row>
    <row r="51" spans="2:23" ht="13.2" thickBot="1" x14ac:dyDescent="0.25">
      <c r="B51" s="138" t="str">
        <f t="array" ref="B51">IF(ISERROR(INDEX('Eingabe Meldungen'!$C$2:$C$492,LARGE(('Eingabe Meldungen'!$A$2:$A$492=$B$20)*(ROW('Eingabe Meldungen'!$A$2:$A$492)-1),COUNTIF('Eingabe Meldungen'!$A$2:$A$492,$B$20)+1-ROW('Eingabe Meldungen'!A29)))),"",INDEX('Eingabe Meldungen'!$C$2:$C$492,LARGE(('Eingabe Meldungen'!$A$2:$A$492=$B$20)*(ROW('Eingabe Meldungen'!$A$2:$A$492)-1),COUNTIF('Eingabe Meldungen'!$A$2:$A$492,$B$20)+1-ROW('Eingabe Meldungen'!A29))))</f>
        <v/>
      </c>
      <c r="C51" s="139" t="str">
        <f t="array" ref="C51">IF(ISERROR(INDEX('Eingabe Meldungen'!$D$2:$D$492,LARGE(('Eingabe Meldungen'!$A$2:$A$492=$B$20)*(ROW('Eingabe Meldungen'!$A$2:$A$492)-1),COUNTIF('Eingabe Meldungen'!$A$2:$A$492,$B$20)+1-ROW('Eingabe Meldungen'!A29)))),"",INDEX('Eingabe Meldungen'!$D$2:$D$492,LARGE(('Eingabe Meldungen'!$A$2:$A$492=$B$20)*(ROW('Eingabe Meldungen'!$A$2:$A$492)-1),COUNTIF('Eingabe Meldungen'!$A$2:$A$492,$B$20)+1-ROW('Eingabe Meldungen'!A29))))</f>
        <v/>
      </c>
      <c r="D51" s="99" t="str">
        <f t="array" ref="D51">IF(B51&lt;&gt;"",INDEX('Eingabe Meldungen'!$C$2:$H$492,MATCH(B51&amp;C51,'Eingabe Meldungen'!$C$2:$C$492&amp;'Eingabe Meldungen'!$D$2:$D$492,0),6),"")</f>
        <v/>
      </c>
      <c r="E51" s="99" t="str">
        <f t="array" ref="E51">IF(B51&lt;&gt;"",INDEX('Eingabe Meldungen'!$C$2:$H$492,MATCH(B51&amp;C51,'Eingabe Meldungen'!$C$2:$C$492&amp;'Eingabe Meldungen'!$D$2:$D$492,0),4),"")</f>
        <v/>
      </c>
      <c r="F51" s="99">
        <v>10</v>
      </c>
      <c r="G51" s="140"/>
      <c r="H51" s="139" t="e">
        <f t="shared" si="3"/>
        <v>#N/A</v>
      </c>
      <c r="I51" s="141" t="str">
        <f t="array" ref="I51">IF(B51&lt;&gt;"",INDEX('Eingabe Meldungen'!$C$2:$J$492,MATCH(B51&amp;C51,'Eingabe Meldungen'!$C$2:$C$492&amp;'Eingabe Meldungen'!$D$2:$D$492,0),8),"")</f>
        <v/>
      </c>
      <c r="K51" s="428"/>
      <c r="L51" s="11"/>
      <c r="M51" s="11"/>
      <c r="N51" s="15"/>
      <c r="O51" s="11"/>
      <c r="Q51" s="11"/>
      <c r="R51" s="11"/>
      <c r="S51" s="11"/>
      <c r="W51" s="15"/>
    </row>
    <row r="52" spans="2:23" ht="13.2" thickBot="1" x14ac:dyDescent="0.25">
      <c r="B52" s="4"/>
      <c r="C52" s="4"/>
      <c r="D52" s="66"/>
      <c r="E52" s="66"/>
      <c r="F52" s="15"/>
      <c r="G52" s="137"/>
      <c r="H52" s="4"/>
      <c r="I52" s="66"/>
      <c r="R52" s="11"/>
      <c r="S52" s="11"/>
      <c r="W52" s="15"/>
    </row>
    <row r="53" spans="2:23" ht="26.25" customHeight="1" thickBot="1" x14ac:dyDescent="0.25">
      <c r="B53" s="26">
        <v>3</v>
      </c>
      <c r="C53" s="65" t="str">
        <f>VLOOKUP(B53,Ausschreibung!$B$5:$I$35,2,FALSE)</f>
        <v>Ergocup</v>
      </c>
      <c r="D53" s="27" t="s">
        <v>490</v>
      </c>
      <c r="E53" s="65" t="s">
        <v>493</v>
      </c>
      <c r="F53" s="65" t="str">
        <f>VLOOKUP(B53,Ausschreibung!$B$5:$I$35,5,FALSE)</f>
        <v>Lgw. bis 50 kg</v>
      </c>
      <c r="G53" s="65" t="str">
        <f>VLOOKUP(B53,Ausschreibung!$B$5:$I$35,6,FALSE)</f>
        <v>13 und jünger</v>
      </c>
      <c r="H53" s="65" t="str">
        <f>VLOOKUP(B53,Ausschreibung!$B$5:$I$35,8,FALSE)</f>
        <v>1000 m</v>
      </c>
      <c r="I53" s="28" t="s">
        <v>491</v>
      </c>
      <c r="R53" s="11"/>
      <c r="S53" s="11"/>
      <c r="W53" s="15"/>
    </row>
    <row r="54" spans="2:23" ht="12.75" customHeight="1" thickBot="1" x14ac:dyDescent="0.25">
      <c r="B54" s="205" t="s">
        <v>1</v>
      </c>
      <c r="C54" s="56" t="s">
        <v>2</v>
      </c>
      <c r="D54" s="85" t="s">
        <v>49</v>
      </c>
      <c r="E54" s="206" t="s">
        <v>16</v>
      </c>
      <c r="F54" s="85" t="s">
        <v>18</v>
      </c>
      <c r="G54" s="207" t="s">
        <v>50</v>
      </c>
      <c r="H54" s="85" t="s">
        <v>51</v>
      </c>
      <c r="I54" s="208" t="s">
        <v>17</v>
      </c>
      <c r="L54" s="11"/>
      <c r="M54" s="11"/>
      <c r="N54" s="15"/>
      <c r="O54" s="11"/>
      <c r="Q54" s="11"/>
      <c r="R54" s="11"/>
      <c r="S54" s="11"/>
      <c r="W54" s="15"/>
    </row>
    <row r="55" spans="2:23" ht="13.5" customHeight="1" x14ac:dyDescent="0.2">
      <c r="B55" s="131" t="str">
        <f t="array" ref="B55">IF(ISERROR(INDEX('Eingabe Meldungen'!$C$2:$C$492,LARGE(('Eingabe Meldungen'!$A$2:$A$492=$B$53)*(ROW('Eingabe Meldungen'!$A$2:$A$492)-1),COUNTIF('Eingabe Meldungen'!$A$2:$A$492,$B$53)+1-ROW('Eingabe Meldungen'!A1)))),"",INDEX('Eingabe Meldungen'!$C$2:$C$492,LARGE(('Eingabe Meldungen'!$A$2:$A$492=$B$53)*(ROW('Eingabe Meldungen'!$A$2:$A$492)-1),COUNTIF('Eingabe Meldungen'!$A$2:$A$492,$B$53)+1-ROW('Eingabe Meldungen'!A1))))</f>
        <v>Hartig</v>
      </c>
      <c r="C55" s="132" t="str">
        <f t="array" ref="C55">IF(ISERROR(INDEX('Eingabe Meldungen'!$D$2:$D$492,LARGE(('Eingabe Meldungen'!$A$2:$A$492=$B$53)*(ROW('Eingabe Meldungen'!$A$2:$A$492)-1),COUNTIF('Eingabe Meldungen'!$A$2:$A$492,$B$53)+1-ROW('Eingabe Meldungen'!A1)))),"",INDEX('Eingabe Meldungen'!$D$2:$D$492,LARGE(('Eingabe Meldungen'!$A$2:$A$492=$B$53)*(ROW('Eingabe Meldungen'!$A$2:$A$492)-1),COUNTIF('Eingabe Meldungen'!$A$2:$A$492,$B$53)+1-ROW('Eingabe Meldungen'!A1))))</f>
        <v>Ben</v>
      </c>
      <c r="D55" s="78">
        <f t="array" ref="D55">IF(B55&lt;&gt;"",INDEX('Eingabe Meldungen'!$C$2:$H$492,MATCH(B55&amp;C55,'Eingabe Meldungen'!$C$2:$C$492&amp;'Eingabe Meldungen'!$D$2:$D$492,0),6),"")</f>
        <v>2007</v>
      </c>
      <c r="E55" s="78" t="str">
        <f t="array" ref="E55">IF(B55&lt;&gt;"",INDEX('Eingabe Meldungen'!$C$2:$H$492,MATCH(B55&amp;C55,'Eingabe Meldungen'!$C$2:$C$492&amp;'Eingabe Meldungen'!$D$2:$D$492,0),4),"")</f>
        <v>Lgw. bis 50 kg</v>
      </c>
      <c r="F55" s="78">
        <v>1</v>
      </c>
      <c r="G55" s="133"/>
      <c r="H55" s="132" t="e">
        <f t="shared" ref="H55:H62" si="4">RANK(G55,$G$55:$G$70,1)</f>
        <v>#N/A</v>
      </c>
      <c r="I55" s="134" t="str">
        <f t="array" ref="I55">IF(B55&lt;&gt;"",INDEX('Eingabe Meldungen'!$C$2:$J$492,MATCH(B55&amp;C55,'Eingabe Meldungen'!$C$2:$C$492&amp;'Eingabe Meldungen'!$D$2:$D$492,0),8),"")</f>
        <v>Heidelberger Ruderklub</v>
      </c>
      <c r="K55" s="426" t="s">
        <v>454</v>
      </c>
      <c r="L55" s="11"/>
      <c r="M55" s="11"/>
      <c r="N55" s="15"/>
      <c r="O55" s="11"/>
      <c r="Q55" s="11"/>
      <c r="R55" s="11"/>
      <c r="S55" s="11"/>
      <c r="W55" s="15"/>
    </row>
    <row r="56" spans="2:23" x14ac:dyDescent="0.2">
      <c r="B56" s="100" t="str">
        <f t="array" ref="B56">IF(ISERROR(INDEX('Eingabe Meldungen'!$C$2:$C$492,LARGE(('Eingabe Meldungen'!$A$2:$A$492=$B$53)*(ROW('Eingabe Meldungen'!$A$2:$A$492)-1),COUNTIF('Eingabe Meldungen'!$A$2:$A$492,$B$53)+1-ROW('Eingabe Meldungen'!A2)))),"",INDEX('Eingabe Meldungen'!$C$2:$C$492,LARGE(('Eingabe Meldungen'!$A$2:$A$492=$B$53)*(ROW('Eingabe Meldungen'!$A$2:$A$492)-1),COUNTIF('Eingabe Meldungen'!$A$2:$A$492,$B$53)+1-ROW('Eingabe Meldungen'!A2))))</f>
        <v>Wieland</v>
      </c>
      <c r="C56" s="4" t="str">
        <f t="array" ref="C56">IF(ISERROR(INDEX('Eingabe Meldungen'!$D$2:$D$492,LARGE(('Eingabe Meldungen'!$A$2:$A$492=$B$53)*(ROW('Eingabe Meldungen'!$A$2:$A$492)-1),COUNTIF('Eingabe Meldungen'!$A$2:$A$492,$B$53)+1-ROW('Eingabe Meldungen'!A2)))),"",INDEX('Eingabe Meldungen'!$D$2:$D$492,LARGE(('Eingabe Meldungen'!$A$2:$A$492=$B$53)*(ROW('Eingabe Meldungen'!$A$2:$A$492)-1),COUNTIF('Eingabe Meldungen'!$A$2:$A$492,$B$53)+1-ROW('Eingabe Meldungen'!A2))))</f>
        <v>Lennart</v>
      </c>
      <c r="D56" s="66">
        <f t="array" ref="D56">IF(B56&lt;&gt;"",INDEX('Eingabe Meldungen'!$C$2:$H$492,MATCH(B56&amp;C56,'Eingabe Meldungen'!$C$2:$C$492&amp;'Eingabe Meldungen'!$D$2:$D$492,0),6),"")</f>
        <v>2007</v>
      </c>
      <c r="E56" s="66" t="str">
        <f t="array" ref="E56">IF(B56&lt;&gt;"",INDEX('Eingabe Meldungen'!$C$2:$H$492,MATCH(B56&amp;C56,'Eingabe Meldungen'!$C$2:$C$492&amp;'Eingabe Meldungen'!$D$2:$D$492,0),4),"")</f>
        <v>Lgw. bis 50 kg</v>
      </c>
      <c r="F56" s="66">
        <v>2</v>
      </c>
      <c r="G56" s="135"/>
      <c r="H56" s="4" t="e">
        <f t="shared" si="4"/>
        <v>#N/A</v>
      </c>
      <c r="I56" s="136" t="str">
        <f t="array" ref="I56">IF(B56&lt;&gt;"",INDEX('Eingabe Meldungen'!$C$2:$J$492,MATCH(B56&amp;C56,'Eingabe Meldungen'!$C$2:$C$492&amp;'Eingabe Meldungen'!$D$2:$D$492,0),8),"")</f>
        <v>RV Waldsee</v>
      </c>
      <c r="K56" s="427"/>
      <c r="L56" s="11"/>
      <c r="M56" s="11"/>
      <c r="N56" s="15"/>
      <c r="O56" s="11"/>
      <c r="Q56" s="11"/>
      <c r="R56" s="11"/>
      <c r="S56" s="11"/>
      <c r="W56" s="15"/>
    </row>
    <row r="57" spans="2:23" x14ac:dyDescent="0.2">
      <c r="B57" s="100" t="str">
        <f t="array" ref="B57">IF(ISERROR(INDEX('Eingabe Meldungen'!$C$2:$C$492,LARGE(('Eingabe Meldungen'!$A$2:$A$492=$B$53)*(ROW('Eingabe Meldungen'!$A$2:$A$492)-1),COUNTIF('Eingabe Meldungen'!$A$2:$A$492,$B$53)+1-ROW('Eingabe Meldungen'!A3)))),"",INDEX('Eingabe Meldungen'!$C$2:$C$492,LARGE(('Eingabe Meldungen'!$A$2:$A$492=$B$53)*(ROW('Eingabe Meldungen'!$A$2:$A$492)-1),COUNTIF('Eingabe Meldungen'!$A$2:$A$492,$B$53)+1-ROW('Eingabe Meldungen'!A3))))</f>
        <v>Sprauer</v>
      </c>
      <c r="C57" s="4" t="str">
        <f t="array" ref="C57">IF(ISERROR(INDEX('Eingabe Meldungen'!$D$2:$D$492,LARGE(('Eingabe Meldungen'!$A$2:$A$492=$B$53)*(ROW('Eingabe Meldungen'!$A$2:$A$492)-1),COUNTIF('Eingabe Meldungen'!$A$2:$A$492,$B$53)+1-ROW('Eingabe Meldungen'!A3)))),"",INDEX('Eingabe Meldungen'!$D$2:$D$492,LARGE(('Eingabe Meldungen'!$A$2:$A$492=$B$53)*(ROW('Eingabe Meldungen'!$A$2:$A$492)-1),COUNTIF('Eingabe Meldungen'!$A$2:$A$492,$B$53)+1-ROW('Eingabe Meldungen'!A3))))</f>
        <v>Levin</v>
      </c>
      <c r="D57" s="66">
        <f t="array" ref="D57">IF(B57&lt;&gt;"",INDEX('Eingabe Meldungen'!$C$2:$H$492,MATCH(B57&amp;C57,'Eingabe Meldungen'!$C$2:$C$492&amp;'Eingabe Meldungen'!$D$2:$D$492,0),6),"")</f>
        <v>2007</v>
      </c>
      <c r="E57" s="66" t="str">
        <f t="array" ref="E57">IF(B57&lt;&gt;"",INDEX('Eingabe Meldungen'!$C$2:$H$492,MATCH(B57&amp;C57,'Eingabe Meldungen'!$C$2:$C$492&amp;'Eingabe Meldungen'!$D$2:$D$492,0),4),"")</f>
        <v>Lgw. bis 50 kg</v>
      </c>
      <c r="F57" s="66">
        <v>3</v>
      </c>
      <c r="G57" s="135"/>
      <c r="H57" s="4" t="e">
        <f t="shared" si="4"/>
        <v>#N/A</v>
      </c>
      <c r="I57" s="136" t="str">
        <f t="array" ref="I57">IF(B57&lt;&gt;"",INDEX('Eingabe Meldungen'!$C$2:$J$492,MATCH(B57&amp;C57,'Eingabe Meldungen'!$C$2:$C$492&amp;'Eingabe Meldungen'!$D$2:$D$492,0),8),"")</f>
        <v>Mannheimer RV "Amicitia"</v>
      </c>
      <c r="K57" s="427"/>
      <c r="L57" s="11"/>
      <c r="M57" s="11"/>
      <c r="N57" s="15"/>
      <c r="O57" s="11"/>
      <c r="Q57" s="11"/>
      <c r="R57" s="11"/>
      <c r="S57" s="11"/>
      <c r="W57" s="15"/>
    </row>
    <row r="58" spans="2:23" x14ac:dyDescent="0.2">
      <c r="B58" s="100" t="str">
        <f t="array" ref="B58">IF(ISERROR(INDEX('Eingabe Meldungen'!$C$2:$C$492,LARGE(('Eingabe Meldungen'!$A$2:$A$492=$B$53)*(ROW('Eingabe Meldungen'!$A$2:$A$492)-1),COUNTIF('Eingabe Meldungen'!$A$2:$A$492,$B$53)+1-ROW('Eingabe Meldungen'!A4)))),"",INDEX('Eingabe Meldungen'!$C$2:$C$492,LARGE(('Eingabe Meldungen'!$A$2:$A$492=$B$53)*(ROW('Eingabe Meldungen'!$A$2:$A$492)-1),COUNTIF('Eingabe Meldungen'!$A$2:$A$492,$B$53)+1-ROW('Eingabe Meldungen'!A4))))</f>
        <v>Deuter</v>
      </c>
      <c r="C58" s="4" t="str">
        <f t="array" ref="C58">IF(ISERROR(INDEX('Eingabe Meldungen'!$D$2:$D$492,LARGE(('Eingabe Meldungen'!$A$2:$A$492=$B$53)*(ROW('Eingabe Meldungen'!$A$2:$A$492)-1),COUNTIF('Eingabe Meldungen'!$A$2:$A$492,$B$53)+1-ROW('Eingabe Meldungen'!A4)))),"",INDEX('Eingabe Meldungen'!$D$2:$D$492,LARGE(('Eingabe Meldungen'!$A$2:$A$492=$B$53)*(ROW('Eingabe Meldungen'!$A$2:$A$492)-1),COUNTIF('Eingabe Meldungen'!$A$2:$A$492,$B$53)+1-ROW('Eingabe Meldungen'!A4))))</f>
        <v>Lucius</v>
      </c>
      <c r="D58" s="66">
        <f t="array" ref="D58">IF(B58&lt;&gt;"",INDEX('Eingabe Meldungen'!$C$2:$H$492,MATCH(B58&amp;C58,'Eingabe Meldungen'!$C$2:$C$492&amp;'Eingabe Meldungen'!$D$2:$D$492,0),6),"")</f>
        <v>2007</v>
      </c>
      <c r="E58" s="66" t="str">
        <f t="array" ref="E58">IF(B58&lt;&gt;"",INDEX('Eingabe Meldungen'!$C$2:$H$492,MATCH(B58&amp;C58,'Eingabe Meldungen'!$C$2:$C$492&amp;'Eingabe Meldungen'!$D$2:$D$492,0),4),"")</f>
        <v>Lgw. bis 50 kg</v>
      </c>
      <c r="F58" s="66">
        <v>4</v>
      </c>
      <c r="G58" s="135"/>
      <c r="H58" s="4" t="e">
        <f t="shared" si="4"/>
        <v>#N/A</v>
      </c>
      <c r="I58" s="136" t="str">
        <f t="array" ref="I58">IF(B58&lt;&gt;"",INDEX('Eingabe Meldungen'!$C$2:$J$492,MATCH(B58&amp;C58,'Eingabe Meldungen'!$C$2:$C$492&amp;'Eingabe Meldungen'!$D$2:$D$492,0),8),"")</f>
        <v>Mannheimer RV "Amicitia"</v>
      </c>
      <c r="K58" s="427"/>
      <c r="L58" s="11"/>
      <c r="M58" s="11"/>
      <c r="N58" s="15"/>
      <c r="O58" s="11"/>
      <c r="Q58" s="11"/>
      <c r="R58" s="11"/>
      <c r="S58" s="11"/>
      <c r="W58" s="15"/>
    </row>
    <row r="59" spans="2:23" x14ac:dyDescent="0.2">
      <c r="B59" s="100" t="str">
        <f t="array" ref="B59">IF(ISERROR(INDEX('Eingabe Meldungen'!$C$2:$C$492,LARGE(('Eingabe Meldungen'!$A$2:$A$492=$B$53)*(ROW('Eingabe Meldungen'!$A$2:$A$492)-1),COUNTIF('Eingabe Meldungen'!$A$2:$A$492,$B$53)+1-ROW('Eingabe Meldungen'!A5)))),"",INDEX('Eingabe Meldungen'!$C$2:$C$492,LARGE(('Eingabe Meldungen'!$A$2:$A$492=$B$53)*(ROW('Eingabe Meldungen'!$A$2:$A$492)-1),COUNTIF('Eingabe Meldungen'!$A$2:$A$492,$B$53)+1-ROW('Eingabe Meldungen'!A5))))</f>
        <v>Roob</v>
      </c>
      <c r="C59" s="4" t="str">
        <f t="array" ref="C59">IF(ISERROR(INDEX('Eingabe Meldungen'!$D$2:$D$492,LARGE(('Eingabe Meldungen'!$A$2:$A$492=$B$53)*(ROW('Eingabe Meldungen'!$A$2:$A$492)-1),COUNTIF('Eingabe Meldungen'!$A$2:$A$492,$B$53)+1-ROW('Eingabe Meldungen'!A5)))),"",INDEX('Eingabe Meldungen'!$D$2:$D$492,LARGE(('Eingabe Meldungen'!$A$2:$A$492=$B$53)*(ROW('Eingabe Meldungen'!$A$2:$A$492)-1),COUNTIF('Eingabe Meldungen'!$A$2:$A$492,$B$53)+1-ROW('Eingabe Meldungen'!A5))))</f>
        <v>Milo</v>
      </c>
      <c r="D59" s="66">
        <f t="array" ref="D59">IF(B59&lt;&gt;"",INDEX('Eingabe Meldungen'!$C$2:$H$492,MATCH(B59&amp;C59,'Eingabe Meldungen'!$C$2:$C$492&amp;'Eingabe Meldungen'!$D$2:$D$492,0),6),"")</f>
        <v>2007</v>
      </c>
      <c r="E59" s="66" t="str">
        <f t="array" ref="E59">IF(B59&lt;&gt;"",INDEX('Eingabe Meldungen'!$C$2:$H$492,MATCH(B59&amp;C59,'Eingabe Meldungen'!$C$2:$C$492&amp;'Eingabe Meldungen'!$D$2:$D$492,0),4),"")</f>
        <v>Lgw. bis 50 kg</v>
      </c>
      <c r="F59" s="66">
        <v>5</v>
      </c>
      <c r="G59" s="135"/>
      <c r="H59" s="4" t="e">
        <f t="shared" si="4"/>
        <v>#N/A</v>
      </c>
      <c r="I59" s="136" t="str">
        <f t="array" ref="I59">IF(B59&lt;&gt;"",INDEX('Eingabe Meldungen'!$C$2:$J$492,MATCH(B59&amp;C59,'Eingabe Meldungen'!$C$2:$C$492&amp;'Eingabe Meldungen'!$D$2:$D$492,0),8),"")</f>
        <v>Mannheimer RV "Amicitia"</v>
      </c>
      <c r="K59" s="427"/>
      <c r="L59" s="11"/>
      <c r="M59" s="11"/>
      <c r="N59" s="15"/>
      <c r="O59" s="11"/>
      <c r="Q59" s="11"/>
      <c r="R59" s="11"/>
      <c r="S59" s="11"/>
      <c r="W59" s="15"/>
    </row>
    <row r="60" spans="2:23" ht="13.2" thickBot="1" x14ac:dyDescent="0.25">
      <c r="B60" s="100" t="str">
        <f t="array" ref="B60">IF(ISERROR(INDEX('Eingabe Meldungen'!$C$2:$C$492,LARGE(('Eingabe Meldungen'!$A$2:$A$492=$B$53)*(ROW('Eingabe Meldungen'!$A$2:$A$492)-1),COUNTIF('Eingabe Meldungen'!$A$2:$A$492,$B$53)+1-ROW('Eingabe Meldungen'!A6)))),"",INDEX('Eingabe Meldungen'!$C$2:$C$492,LARGE(('Eingabe Meldungen'!$A$2:$A$492=$B$53)*(ROW('Eingabe Meldungen'!$A$2:$A$492)-1),COUNTIF('Eingabe Meldungen'!$A$2:$A$492,$B$53)+1-ROW('Eingabe Meldungen'!A6))))</f>
        <v>Klisch</v>
      </c>
      <c r="C60" s="4" t="str">
        <f t="array" ref="C60">IF(ISERROR(INDEX('Eingabe Meldungen'!$D$2:$D$492,LARGE(('Eingabe Meldungen'!$A$2:$A$492=$B$53)*(ROW('Eingabe Meldungen'!$A$2:$A$492)-1),COUNTIF('Eingabe Meldungen'!$A$2:$A$492,$B$53)+1-ROW('Eingabe Meldungen'!A6)))),"",INDEX('Eingabe Meldungen'!$D$2:$D$492,LARGE(('Eingabe Meldungen'!$A$2:$A$492=$B$53)*(ROW('Eingabe Meldungen'!$A$2:$A$492)-1),COUNTIF('Eingabe Meldungen'!$A$2:$A$492,$B$53)+1-ROW('Eingabe Meldungen'!A6))))</f>
        <v>Lars</v>
      </c>
      <c r="D60" s="66">
        <f t="array" ref="D60">IF(B60&lt;&gt;"",INDEX('Eingabe Meldungen'!$C$2:$H$492,MATCH(B60&amp;C60,'Eingabe Meldungen'!$C$2:$C$492&amp;'Eingabe Meldungen'!$D$2:$D$492,0),6),"")</f>
        <v>2008</v>
      </c>
      <c r="E60" s="66" t="str">
        <f t="array" ref="E60">IF(B60&lt;&gt;"",INDEX('Eingabe Meldungen'!$C$2:$H$492,MATCH(B60&amp;C60,'Eingabe Meldungen'!$C$2:$C$492&amp;'Eingabe Meldungen'!$D$2:$D$492,0),4),"")</f>
        <v>Lgw. bis 50 kg</v>
      </c>
      <c r="F60" s="66">
        <v>6</v>
      </c>
      <c r="G60" s="135"/>
      <c r="H60" s="4" t="e">
        <f t="shared" si="4"/>
        <v>#N/A</v>
      </c>
      <c r="I60" s="136" t="str">
        <f t="array" ref="I60">IF(B60&lt;&gt;"",INDEX('Eingabe Meldungen'!$C$2:$J$492,MATCH(B60&amp;C60,'Eingabe Meldungen'!$C$2:$C$492&amp;'Eingabe Meldungen'!$D$2:$D$492,0),8),"")</f>
        <v>Mannheimer RV "Amicitia"</v>
      </c>
      <c r="J60" s="14"/>
      <c r="K60" s="427"/>
      <c r="L60" s="11"/>
      <c r="M60" s="11"/>
      <c r="N60" s="15"/>
      <c r="O60" s="11"/>
      <c r="Q60" s="11"/>
      <c r="R60" s="11"/>
      <c r="S60" s="11"/>
      <c r="W60" s="15"/>
    </row>
    <row r="61" spans="2:23" x14ac:dyDescent="0.2">
      <c r="B61" s="100" t="str">
        <f t="array" ref="B61">IF(ISERROR(INDEX('Eingabe Meldungen'!$C$2:$C$492,LARGE(('Eingabe Meldungen'!$A$2:$A$492=$B$53)*(ROW('Eingabe Meldungen'!$A$2:$A$492)-1),COUNTIF('Eingabe Meldungen'!$A$2:$A$492,$B$53)+1-ROW('Eingabe Meldungen'!A7)))),"",INDEX('Eingabe Meldungen'!$C$2:$C$492,LARGE(('Eingabe Meldungen'!$A$2:$A$492=$B$53)*(ROW('Eingabe Meldungen'!$A$2:$A$492)-1),COUNTIF('Eingabe Meldungen'!$A$2:$A$492,$B$53)+1-ROW('Eingabe Meldungen'!A7))))</f>
        <v>Kibele</v>
      </c>
      <c r="C61" s="4" t="str">
        <f t="array" ref="C61">IF(ISERROR(INDEX('Eingabe Meldungen'!$D$2:$D$492,LARGE(('Eingabe Meldungen'!$A$2:$A$492=$B$53)*(ROW('Eingabe Meldungen'!$A$2:$A$492)-1),COUNTIF('Eingabe Meldungen'!$A$2:$A$492,$B$53)+1-ROW('Eingabe Meldungen'!A7)))),"",INDEX('Eingabe Meldungen'!$D$2:$D$492,LARGE(('Eingabe Meldungen'!$A$2:$A$492=$B$53)*(ROW('Eingabe Meldungen'!$A$2:$A$492)-1),COUNTIF('Eingabe Meldungen'!$A$2:$A$492,$B$53)+1-ROW('Eingabe Meldungen'!A7))))</f>
        <v>Leon</v>
      </c>
      <c r="D61" s="66">
        <f t="array" ref="D61">IF(B61&lt;&gt;"",INDEX('Eingabe Meldungen'!$C$2:$H$492,MATCH(B61&amp;C61,'Eingabe Meldungen'!$C$2:$C$492&amp;'Eingabe Meldungen'!$D$2:$D$492,0),6),"")</f>
        <v>2008</v>
      </c>
      <c r="E61" s="66" t="str">
        <f t="array" ref="E61">IF(B61&lt;&gt;"",INDEX('Eingabe Meldungen'!$C$2:$H$492,MATCH(B61&amp;C61,'Eingabe Meldungen'!$C$2:$C$492&amp;'Eingabe Meldungen'!$D$2:$D$492,0),4),"")</f>
        <v>Lgw. bis 50 kg</v>
      </c>
      <c r="F61" s="66">
        <v>7</v>
      </c>
      <c r="G61" s="135"/>
      <c r="H61" s="4" t="e">
        <f t="shared" si="4"/>
        <v>#N/A</v>
      </c>
      <c r="I61" s="136" t="str">
        <f t="array" ref="I61">IF(B61&lt;&gt;"",INDEX('Eingabe Meldungen'!$C$2:$J$492,MATCH(B61&amp;C61,'Eingabe Meldungen'!$C$2:$C$492&amp;'Eingabe Meldungen'!$D$2:$D$492,0),8),"")</f>
        <v>RV Waldsee</v>
      </c>
      <c r="K61" s="427"/>
      <c r="L61" s="11"/>
      <c r="M61" s="11"/>
      <c r="N61" s="15"/>
      <c r="O61" s="11"/>
      <c r="Q61" s="11"/>
      <c r="R61" s="11"/>
      <c r="S61" s="11"/>
      <c r="W61" s="15"/>
    </row>
    <row r="62" spans="2:23" x14ac:dyDescent="0.2">
      <c r="B62" s="100" t="str">
        <f t="array" ref="B62">IF(ISERROR(INDEX('Eingabe Meldungen'!$C$2:$C$492,LARGE(('Eingabe Meldungen'!$A$2:$A$492=$B$53)*(ROW('Eingabe Meldungen'!$A$2:$A$492)-1),COUNTIF('Eingabe Meldungen'!$A$2:$A$492,$B$53)+1-ROW('Eingabe Meldungen'!A8)))),"",INDEX('Eingabe Meldungen'!$C$2:$C$492,LARGE(('Eingabe Meldungen'!$A$2:$A$492=$B$53)*(ROW('Eingabe Meldungen'!$A$2:$A$492)-1),COUNTIF('Eingabe Meldungen'!$A$2:$A$492,$B$53)+1-ROW('Eingabe Meldungen'!A8))))</f>
        <v>Dorfschmid</v>
      </c>
      <c r="C62" s="4" t="str">
        <f t="array" ref="C62">IF(ISERROR(INDEX('Eingabe Meldungen'!$D$2:$D$492,LARGE(('Eingabe Meldungen'!$A$2:$A$492=$B$53)*(ROW('Eingabe Meldungen'!$A$2:$A$492)-1),COUNTIF('Eingabe Meldungen'!$A$2:$A$492,$B$53)+1-ROW('Eingabe Meldungen'!A8)))),"",INDEX('Eingabe Meldungen'!$D$2:$D$492,LARGE(('Eingabe Meldungen'!$A$2:$A$492=$B$53)*(ROW('Eingabe Meldungen'!$A$2:$A$492)-1),COUNTIF('Eingabe Meldungen'!$A$2:$A$492,$B$53)+1-ROW('Eingabe Meldungen'!A8))))</f>
        <v>Lukas</v>
      </c>
      <c r="D62" s="66">
        <f t="array" ref="D62">IF(B62&lt;&gt;"",INDEX('Eingabe Meldungen'!$C$2:$H$492,MATCH(B62&amp;C62,'Eingabe Meldungen'!$C$2:$C$492&amp;'Eingabe Meldungen'!$D$2:$D$492,0),6),"")</f>
        <v>2008</v>
      </c>
      <c r="E62" s="66" t="str">
        <f t="array" ref="E62">IF(B62&lt;&gt;"",INDEX('Eingabe Meldungen'!$C$2:$H$492,MATCH(B62&amp;C62,'Eingabe Meldungen'!$C$2:$C$492&amp;'Eingabe Meldungen'!$D$2:$D$492,0),4),"")</f>
        <v>Lgw. bis 50 kg</v>
      </c>
      <c r="F62" s="66">
        <v>8</v>
      </c>
      <c r="G62" s="135"/>
      <c r="H62" s="4" t="e">
        <f t="shared" si="4"/>
        <v>#N/A</v>
      </c>
      <c r="I62" s="136" t="str">
        <f t="array" ref="I62">IF(B62&lt;&gt;"",INDEX('Eingabe Meldungen'!$C$2:$J$492,MATCH(B62&amp;C62,'Eingabe Meldungen'!$C$2:$C$492&amp;'Eingabe Meldungen'!$D$2:$D$492,0),8),"")</f>
        <v>RC Nürtingen</v>
      </c>
      <c r="K62" s="427"/>
      <c r="L62" s="11"/>
      <c r="M62" s="11"/>
      <c r="N62" s="15"/>
      <c r="O62" s="11"/>
      <c r="Q62" s="11"/>
      <c r="R62" s="11"/>
      <c r="S62" s="11"/>
      <c r="W62" s="15"/>
    </row>
    <row r="63" spans="2:23" x14ac:dyDescent="0.2">
      <c r="B63" s="100"/>
      <c r="C63" s="4"/>
      <c r="D63" s="66"/>
      <c r="E63" s="66"/>
      <c r="F63" s="66">
        <v>9</v>
      </c>
      <c r="G63" s="135"/>
      <c r="H63" s="4"/>
      <c r="I63" s="136"/>
      <c r="K63" s="427"/>
      <c r="L63" s="11"/>
      <c r="M63" s="11"/>
      <c r="N63" s="15"/>
      <c r="O63" s="11"/>
      <c r="Q63" s="11"/>
      <c r="R63" s="11"/>
      <c r="S63" s="11"/>
      <c r="W63" s="15"/>
    </row>
    <row r="64" spans="2:23" ht="13.2" thickBot="1" x14ac:dyDescent="0.25">
      <c r="B64" s="100"/>
      <c r="C64" s="4"/>
      <c r="D64" s="66"/>
      <c r="E64" s="66"/>
      <c r="F64" s="66">
        <v>10</v>
      </c>
      <c r="G64" s="135"/>
      <c r="H64" s="4"/>
      <c r="I64" s="136"/>
      <c r="K64" s="427"/>
      <c r="L64" s="11"/>
      <c r="M64" s="11"/>
      <c r="N64" s="15"/>
      <c r="O64" s="11"/>
      <c r="Q64" s="11"/>
      <c r="R64" s="11"/>
      <c r="S64" s="11"/>
      <c r="W64" s="15"/>
    </row>
    <row r="65" spans="2:23" x14ac:dyDescent="0.2">
      <c r="B65" s="131" t="str">
        <f t="array" ref="B65">IF(ISERROR(INDEX('Eingabe Meldungen'!$C$2:$C$492,LARGE(('Eingabe Meldungen'!$A$2:$A$492=$B$53)*(ROW('Eingabe Meldungen'!$A$2:$A$492)-1),COUNTIF('Eingabe Meldungen'!$A$2:$A$492,$B$53)+1-ROW('Eingabe Meldungen'!A9)))),"",INDEX('Eingabe Meldungen'!$C$2:$C$492,LARGE(('Eingabe Meldungen'!$A$2:$A$492=$B$53)*(ROW('Eingabe Meldungen'!$A$2:$A$492)-1),COUNTIF('Eingabe Meldungen'!$A$2:$A$492,$B$53)+1-ROW('Eingabe Meldungen'!A9))))</f>
        <v>Hammer</v>
      </c>
      <c r="C65" s="132" t="str">
        <f t="array" ref="C65">IF(ISERROR(INDEX('Eingabe Meldungen'!$D$2:$D$492,LARGE(('Eingabe Meldungen'!$A$2:$A$492=$B$53)*(ROW('Eingabe Meldungen'!$A$2:$A$492)-1),COUNTIF('Eingabe Meldungen'!$A$2:$A$492,$B$53)+1-ROW('Eingabe Meldungen'!A9)))),"",INDEX('Eingabe Meldungen'!$D$2:$D$492,LARGE(('Eingabe Meldungen'!$A$2:$A$492=$B$53)*(ROW('Eingabe Meldungen'!$A$2:$A$492)-1),COUNTIF('Eingabe Meldungen'!$A$2:$A$492,$B$53)+1-ROW('Eingabe Meldungen'!A9))))</f>
        <v>Maximilian</v>
      </c>
      <c r="D65" s="78">
        <f t="array" ref="D65">IF(B65&lt;&gt;"",INDEX('Eingabe Meldungen'!$C$2:$H$492,MATCH(B65&amp;C65,'Eingabe Meldungen'!$C$2:$C$492&amp;'Eingabe Meldungen'!$D$2:$D$492,0),6),"")</f>
        <v>2008</v>
      </c>
      <c r="E65" s="78" t="str">
        <f t="array" ref="E65">IF(B65&lt;&gt;"",INDEX('Eingabe Meldungen'!$C$2:$H$492,MATCH(B65&amp;C65,'Eingabe Meldungen'!$C$2:$C$492&amp;'Eingabe Meldungen'!$D$2:$D$492,0),4),"")</f>
        <v>Lgw. bis 50 kg</v>
      </c>
      <c r="F65" s="78">
        <v>1</v>
      </c>
      <c r="G65" s="133"/>
      <c r="H65" s="132" t="e">
        <f t="shared" ref="H65:H70" si="5">RANK(G65,$G$55:$G$70,1)</f>
        <v>#N/A</v>
      </c>
      <c r="I65" s="134" t="str">
        <f t="array" ref="I65">IF(B65&lt;&gt;"",INDEX('Eingabe Meldungen'!$C$2:$J$492,MATCH(B65&amp;C65,'Eingabe Meldungen'!$C$2:$C$492&amp;'Eingabe Meldungen'!$D$2:$D$492,0),8),"")</f>
        <v>RC Nürtingen</v>
      </c>
      <c r="J65" s="46"/>
      <c r="K65" s="426" t="s">
        <v>455</v>
      </c>
      <c r="L65" s="11"/>
      <c r="M65" s="11"/>
      <c r="N65" s="15"/>
      <c r="O65" s="11"/>
      <c r="Q65" s="11"/>
      <c r="R65" s="11"/>
      <c r="S65" s="11"/>
      <c r="W65" s="15"/>
    </row>
    <row r="66" spans="2:23" x14ac:dyDescent="0.2">
      <c r="B66" s="100" t="str">
        <f t="array" ref="B66">IF(ISERROR(INDEX('Eingabe Meldungen'!$C$2:$C$492,LARGE(('Eingabe Meldungen'!$A$2:$A$492=$B$53)*(ROW('Eingabe Meldungen'!$A$2:$A$492)-1),COUNTIF('Eingabe Meldungen'!$A$2:$A$492,$B$53)+1-ROW('Eingabe Meldungen'!A10)))),"",INDEX('Eingabe Meldungen'!$C$2:$C$492,LARGE(('Eingabe Meldungen'!$A$2:$A$492=$B$53)*(ROW('Eingabe Meldungen'!$A$2:$A$492)-1),COUNTIF('Eingabe Meldungen'!$A$2:$A$492,$B$53)+1-ROW('Eingabe Meldungen'!A10))))</f>
        <v>Rebmann</v>
      </c>
      <c r="C66" s="4" t="str">
        <f t="array" ref="C66">IF(ISERROR(INDEX('Eingabe Meldungen'!$D$2:$D$492,LARGE(('Eingabe Meldungen'!$A$2:$A$492=$B$53)*(ROW('Eingabe Meldungen'!$A$2:$A$492)-1),COUNTIF('Eingabe Meldungen'!$A$2:$A$492,$B$53)+1-ROW('Eingabe Meldungen'!A10)))),"",INDEX('Eingabe Meldungen'!$D$2:$D$492,LARGE(('Eingabe Meldungen'!$A$2:$A$492=$B$53)*(ROW('Eingabe Meldungen'!$A$2:$A$492)-1),COUNTIF('Eingabe Meldungen'!$A$2:$A$492,$B$53)+1-ROW('Eingabe Meldungen'!A10))))</f>
        <v>Morino</v>
      </c>
      <c r="D66" s="66">
        <f t="array" ref="D66">IF(B66&lt;&gt;"",INDEX('Eingabe Meldungen'!$C$2:$H$492,MATCH(B66&amp;C66,'Eingabe Meldungen'!$C$2:$C$492&amp;'Eingabe Meldungen'!$D$2:$D$492,0),6),"")</f>
        <v>2008</v>
      </c>
      <c r="E66" s="66" t="str">
        <f t="array" ref="E66">IF(B66&lt;&gt;"",INDEX('Eingabe Meldungen'!$C$2:$H$492,MATCH(B66&amp;C66,'Eingabe Meldungen'!$C$2:$C$492&amp;'Eingabe Meldungen'!$D$2:$D$492,0),4),"")</f>
        <v>Lgw. bis 50 kg</v>
      </c>
      <c r="F66" s="66">
        <v>2</v>
      </c>
      <c r="G66" s="135"/>
      <c r="H66" s="4" t="e">
        <f t="shared" si="5"/>
        <v>#N/A</v>
      </c>
      <c r="I66" s="136" t="str">
        <f t="array" ref="I66">IF(B66&lt;&gt;"",INDEX('Eingabe Meldungen'!$C$2:$J$492,MATCH(B66&amp;C66,'Eingabe Meldungen'!$C$2:$C$492&amp;'Eingabe Meldungen'!$D$2:$D$492,0),8),"")</f>
        <v>Marbacher Ruderverein</v>
      </c>
      <c r="K66" s="427"/>
      <c r="L66" s="11"/>
      <c r="M66" s="11"/>
      <c r="N66" s="15"/>
      <c r="O66" s="11"/>
      <c r="Q66" s="11"/>
      <c r="R66" s="11"/>
      <c r="S66" s="11"/>
      <c r="W66" s="15"/>
    </row>
    <row r="67" spans="2:23" x14ac:dyDescent="0.2">
      <c r="B67" s="100" t="str">
        <f t="array" ref="B67">IF(ISERROR(INDEX('Eingabe Meldungen'!$C$2:$C$492,LARGE(('Eingabe Meldungen'!$A$2:$A$492=$B$53)*(ROW('Eingabe Meldungen'!$A$2:$A$492)-1),COUNTIF('Eingabe Meldungen'!$A$2:$A$492,$B$53)+1-ROW('Eingabe Meldungen'!A11)))),"",INDEX('Eingabe Meldungen'!$C$2:$C$492,LARGE(('Eingabe Meldungen'!$A$2:$A$492=$B$53)*(ROW('Eingabe Meldungen'!$A$2:$A$492)-1),COUNTIF('Eingabe Meldungen'!$A$2:$A$492,$B$53)+1-ROW('Eingabe Meldungen'!A11))))</f>
        <v>Rebmann</v>
      </c>
      <c r="C67" s="4" t="str">
        <f t="array" ref="C67">IF(ISERROR(INDEX('Eingabe Meldungen'!$D$2:$D$492,LARGE(('Eingabe Meldungen'!$A$2:$A$492=$B$53)*(ROW('Eingabe Meldungen'!$A$2:$A$492)-1),COUNTIF('Eingabe Meldungen'!$A$2:$A$492,$B$53)+1-ROW('Eingabe Meldungen'!A11)))),"",INDEX('Eingabe Meldungen'!$D$2:$D$492,LARGE(('Eingabe Meldungen'!$A$2:$A$492=$B$53)*(ROW('Eingabe Meldungen'!$A$2:$A$492)-1),COUNTIF('Eingabe Meldungen'!$A$2:$A$492,$B$53)+1-ROW('Eingabe Meldungen'!A11))))</f>
        <v>Florentin</v>
      </c>
      <c r="D67" s="66">
        <f t="array" ref="D67">IF(B67&lt;&gt;"",INDEX('Eingabe Meldungen'!$C$2:$H$492,MATCH(B67&amp;C67,'Eingabe Meldungen'!$C$2:$C$492&amp;'Eingabe Meldungen'!$D$2:$D$492,0),6),"")</f>
        <v>2010</v>
      </c>
      <c r="E67" s="66" t="str">
        <f t="array" ref="E67">IF(B67&lt;&gt;"",INDEX('Eingabe Meldungen'!$C$2:$H$492,MATCH(B67&amp;C67,'Eingabe Meldungen'!$C$2:$C$492&amp;'Eingabe Meldungen'!$D$2:$D$492,0),4),"")</f>
        <v>Lgw. bis 50 kg</v>
      </c>
      <c r="F67" s="66">
        <v>3</v>
      </c>
      <c r="G67" s="135"/>
      <c r="H67" s="4" t="e">
        <f t="shared" si="5"/>
        <v>#N/A</v>
      </c>
      <c r="I67" s="136" t="str">
        <f t="array" ref="I67">IF(B67&lt;&gt;"",INDEX('Eingabe Meldungen'!$C$2:$J$492,MATCH(B67&amp;C67,'Eingabe Meldungen'!$C$2:$C$492&amp;'Eingabe Meldungen'!$D$2:$D$492,0),8),"")</f>
        <v>Marbacher Ruderverein</v>
      </c>
      <c r="K67" s="427"/>
      <c r="L67" s="11"/>
      <c r="M67" s="11"/>
      <c r="N67" s="15"/>
      <c r="O67" s="11"/>
      <c r="Q67" s="11"/>
      <c r="R67" s="11"/>
      <c r="S67" s="11"/>
      <c r="W67" s="15"/>
    </row>
    <row r="68" spans="2:23" x14ac:dyDescent="0.2">
      <c r="B68" s="100" t="str">
        <f t="array" ref="B68">IF(ISERROR(INDEX('Eingabe Meldungen'!$C$2:$C$492,LARGE(('Eingabe Meldungen'!$A$2:$A$492=$B$53)*(ROW('Eingabe Meldungen'!$A$2:$A$492)-1),COUNTIF('Eingabe Meldungen'!$A$2:$A$492,$B$53)+1-ROW('Eingabe Meldungen'!A12)))),"",INDEX('Eingabe Meldungen'!$C$2:$C$492,LARGE(('Eingabe Meldungen'!$A$2:$A$492=$B$53)*(ROW('Eingabe Meldungen'!$A$2:$A$492)-1),COUNTIF('Eingabe Meldungen'!$A$2:$A$492,$B$53)+1-ROW('Eingabe Meldungen'!A12))))</f>
        <v>Sigloch</v>
      </c>
      <c r="C68" s="4" t="str">
        <f t="array" ref="C68">IF(ISERROR(INDEX('Eingabe Meldungen'!$D$2:$D$492,LARGE(('Eingabe Meldungen'!$A$2:$A$492=$B$53)*(ROW('Eingabe Meldungen'!$A$2:$A$492)-1),COUNTIF('Eingabe Meldungen'!$A$2:$A$492,$B$53)+1-ROW('Eingabe Meldungen'!A12)))),"",INDEX('Eingabe Meldungen'!$D$2:$D$492,LARGE(('Eingabe Meldungen'!$A$2:$A$492=$B$53)*(ROW('Eingabe Meldungen'!$A$2:$A$492)-1),COUNTIF('Eingabe Meldungen'!$A$2:$A$492,$B$53)+1-ROW('Eingabe Meldungen'!A12))))</f>
        <v>Malte</v>
      </c>
      <c r="D68" s="66">
        <f t="array" ref="D68">IF(B68&lt;&gt;"",INDEX('Eingabe Meldungen'!$C$2:$H$492,MATCH(B68&amp;C68,'Eingabe Meldungen'!$C$2:$C$492&amp;'Eingabe Meldungen'!$D$2:$D$492,0),6),"")</f>
        <v>2008</v>
      </c>
      <c r="E68" s="66" t="str">
        <f t="array" ref="E68">IF(B68&lt;&gt;"",INDEX('Eingabe Meldungen'!$C$2:$H$492,MATCH(B68&amp;C68,'Eingabe Meldungen'!$C$2:$C$492&amp;'Eingabe Meldungen'!$D$2:$D$492,0),4),"")</f>
        <v>Lgw. bis 50 kg</v>
      </c>
      <c r="F68" s="66">
        <v>4</v>
      </c>
      <c r="G68" s="135"/>
      <c r="H68" s="4" t="e">
        <f t="shared" si="5"/>
        <v>#N/A</v>
      </c>
      <c r="I68" s="136" t="str">
        <f t="array" ref="I68">IF(B68&lt;&gt;"",INDEX('Eingabe Meldungen'!$C$2:$J$492,MATCH(B68&amp;C68,'Eingabe Meldungen'!$C$2:$C$492&amp;'Eingabe Meldungen'!$D$2:$D$492,0),8),"")</f>
        <v xml:space="preserve">WSV Schifferclub Neckarrems </v>
      </c>
      <c r="K68" s="427"/>
      <c r="L68" s="11"/>
      <c r="M68" s="11"/>
      <c r="N68" s="15"/>
      <c r="O68" s="11"/>
      <c r="Q68" s="11"/>
      <c r="R68" s="11"/>
      <c r="S68" s="11"/>
      <c r="W68" s="15"/>
    </row>
    <row r="69" spans="2:23" ht="13.2" thickBot="1" x14ac:dyDescent="0.25">
      <c r="B69" s="138" t="str">
        <f t="array" ref="B69">IF(ISERROR(INDEX('Eingabe Meldungen'!$C$2:$C$492,LARGE(('Eingabe Meldungen'!$A$2:$A$492=$B$53)*(ROW('Eingabe Meldungen'!$A$2:$A$492)-1),COUNTIF('Eingabe Meldungen'!$A$2:$A$492,$B$53)+1-ROW('Eingabe Meldungen'!A13)))),"",INDEX('Eingabe Meldungen'!$C$2:$C$492,LARGE(('Eingabe Meldungen'!$A$2:$A$492=$B$53)*(ROW('Eingabe Meldungen'!$A$2:$A$492)-1),COUNTIF('Eingabe Meldungen'!$A$2:$A$492,$B$53)+1-ROW('Eingabe Meldungen'!A13))))</f>
        <v/>
      </c>
      <c r="C69" s="139" t="str">
        <f t="array" ref="C69">IF(ISERROR(INDEX('Eingabe Meldungen'!$D$2:$D$492,LARGE(('Eingabe Meldungen'!$A$2:$A$492=$B$53)*(ROW('Eingabe Meldungen'!$A$2:$A$492)-1),COUNTIF('Eingabe Meldungen'!$A$2:$A$492,$B$53)+1-ROW('Eingabe Meldungen'!A13)))),"",INDEX('Eingabe Meldungen'!$D$2:$D$492,LARGE(('Eingabe Meldungen'!$A$2:$A$492=$B$53)*(ROW('Eingabe Meldungen'!$A$2:$A$492)-1),COUNTIF('Eingabe Meldungen'!$A$2:$A$492,$B$53)+1-ROW('Eingabe Meldungen'!A13))))</f>
        <v/>
      </c>
      <c r="D69" s="99" t="str">
        <f t="array" ref="D69">IF(B69&lt;&gt;"",INDEX('Eingabe Meldungen'!$C$2:$H$492,MATCH(B69&amp;C69,'Eingabe Meldungen'!$C$2:$C$492&amp;'Eingabe Meldungen'!$D$2:$D$492,0),6),"")</f>
        <v/>
      </c>
      <c r="E69" s="99" t="str">
        <f t="array" ref="E69">IF(B69&lt;&gt;"",INDEX('Eingabe Meldungen'!$C$2:$H$492,MATCH(B69&amp;C69,'Eingabe Meldungen'!$C$2:$C$492&amp;'Eingabe Meldungen'!$D$2:$D$492,0),4),"")</f>
        <v/>
      </c>
      <c r="F69" s="99">
        <v>5</v>
      </c>
      <c r="G69" s="143"/>
      <c r="H69" s="139" t="e">
        <f t="shared" si="5"/>
        <v>#N/A</v>
      </c>
      <c r="I69" s="141" t="str">
        <f t="array" ref="I69">IF(B69&lt;&gt;"",INDEX('Eingabe Meldungen'!$C$2:$J$492,MATCH(B69&amp;C69,'Eingabe Meldungen'!$C$2:$C$492&amp;'Eingabe Meldungen'!$D$2:$D$492,0),8),"")</f>
        <v/>
      </c>
      <c r="J69" s="14"/>
      <c r="K69" s="428"/>
      <c r="L69" s="11"/>
      <c r="M69" s="11"/>
      <c r="N69" s="15"/>
      <c r="O69" s="11"/>
      <c r="Q69" s="11"/>
      <c r="R69" s="11"/>
      <c r="S69" s="11"/>
      <c r="W69" s="15"/>
    </row>
    <row r="70" spans="2:23" ht="13.5" hidden="1" customHeight="1" thickBot="1" x14ac:dyDescent="0.25">
      <c r="B70" s="100" t="str">
        <f t="array" ref="B70">IF(ISERROR(INDEX('Eingabe Meldungen'!$C$2:$C$492,LARGE(('Eingabe Meldungen'!$A$2:$A$492=$B$53)*(ROW('Eingabe Meldungen'!$A$2:$A$492)-1),COUNTIF('Eingabe Meldungen'!$A$2:$A$492,$B$53)+1-ROW('Eingabe Meldungen'!A17)))),"",INDEX('Eingabe Meldungen'!$C$2:$C$492,LARGE(('Eingabe Meldungen'!$A$2:$A$492=$B$53)*(ROW('Eingabe Meldungen'!$A$2:$A$492)-1),COUNTIF('Eingabe Meldungen'!$A$2:$A$492,$B$53)+1-ROW('Eingabe Meldungen'!A17))))</f>
        <v/>
      </c>
      <c r="C70" s="4" t="str">
        <f t="array" ref="C70">IF(ISERROR(INDEX('Eingabe Meldungen'!$D$2:$D$492,LARGE(('Eingabe Meldungen'!$A$2:$A$492=$B$53)*(ROW('Eingabe Meldungen'!$A$2:$A$492)-1),COUNTIF('Eingabe Meldungen'!$A$2:$A$492,$B$53)+1-ROW('Eingabe Meldungen'!A17)))),"",INDEX('Eingabe Meldungen'!$D$2:$D$492,LARGE(('Eingabe Meldungen'!$A$2:$A$492=$B$53)*(ROW('Eingabe Meldungen'!$A$2:$A$492)-1),COUNTIF('Eingabe Meldungen'!$A$2:$A$492,$B$53)+1-ROW('Eingabe Meldungen'!A17))))</f>
        <v/>
      </c>
      <c r="D70" s="66" t="str">
        <f t="array" ref="D70">IF(B70&lt;&gt;"",INDEX('Eingabe Meldungen'!$C$2:$H$492,MATCH(B70&amp;C70,'Eingabe Meldungen'!$C$2:$C$492&amp;'Eingabe Meldungen'!$D$2:$D$492,0),6),"")</f>
        <v/>
      </c>
      <c r="E70" s="66" t="str">
        <f t="array" ref="E70">IF(B70&lt;&gt;"",INDEX('Eingabe Meldungen'!$C$2:$H$492,MATCH(B70&amp;C70,'Eingabe Meldungen'!$C$2:$C$492&amp;'Eingabe Meldungen'!$D$2:$D$492,0),4),"")</f>
        <v/>
      </c>
      <c r="F70" s="66">
        <v>17</v>
      </c>
      <c r="G70" s="135"/>
      <c r="H70" s="4" t="e">
        <f t="shared" si="5"/>
        <v>#N/A</v>
      </c>
      <c r="I70" s="136" t="str">
        <f t="array" ref="I70">IF(B70&lt;&gt;"",INDEX('Eingabe Meldungen'!$C$2:$J$492,MATCH(B70&amp;C70,'Eingabe Meldungen'!$C$2:$C$492&amp;'Eingabe Meldungen'!$D$2:$D$492,0),8),"")</f>
        <v/>
      </c>
      <c r="K70" s="308"/>
      <c r="L70" s="11"/>
      <c r="M70" s="11"/>
      <c r="N70" s="15"/>
      <c r="O70" s="11"/>
      <c r="Q70" s="11"/>
      <c r="R70" s="11"/>
      <c r="S70" s="11"/>
      <c r="U70" s="6"/>
      <c r="V70" s="7"/>
      <c r="W70" s="8"/>
    </row>
    <row r="71" spans="2:23" ht="13.2" thickBot="1" x14ac:dyDescent="0.25">
      <c r="R71" s="11"/>
      <c r="S71" s="11"/>
      <c r="W71" s="15"/>
    </row>
    <row r="72" spans="2:23" ht="24.75" customHeight="1" x14ac:dyDescent="0.2">
      <c r="B72" s="26">
        <f>B53+1</f>
        <v>4</v>
      </c>
      <c r="C72" s="65" t="str">
        <f>VLOOKUP(B72,Ausschreibung!$B$5:$I$35,2,FALSE)</f>
        <v>Ergocup</v>
      </c>
      <c r="D72" s="27" t="s">
        <v>116</v>
      </c>
      <c r="E72" s="65" t="s">
        <v>493</v>
      </c>
      <c r="F72" s="65" t="str">
        <f>VLOOKUP(B72,Ausschreibung!$B$5:$I$35,5,FALSE)</f>
        <v>-</v>
      </c>
      <c r="G72" s="65" t="str">
        <f>VLOOKUP(B72,Ausschreibung!$B$5:$I$35,6,FALSE)</f>
        <v>13 und jünger</v>
      </c>
      <c r="H72" s="65" t="str">
        <f>VLOOKUP(B72,Ausschreibung!$B$5:$I$35,8,FALSE)</f>
        <v>1000 m</v>
      </c>
      <c r="I72" s="28" t="s">
        <v>492</v>
      </c>
      <c r="R72" s="11"/>
      <c r="S72" s="11"/>
      <c r="W72" s="15"/>
    </row>
    <row r="73" spans="2:23" ht="13.2" thickBot="1" x14ac:dyDescent="0.25">
      <c r="B73" s="19" t="s">
        <v>1</v>
      </c>
      <c r="C73" s="18" t="s">
        <v>2</v>
      </c>
      <c r="D73" s="17" t="s">
        <v>49</v>
      </c>
      <c r="E73" s="130" t="s">
        <v>16</v>
      </c>
      <c r="F73" s="17" t="s">
        <v>18</v>
      </c>
      <c r="G73" s="73" t="s">
        <v>50</v>
      </c>
      <c r="H73" s="17" t="s">
        <v>51</v>
      </c>
      <c r="I73" s="30" t="s">
        <v>17</v>
      </c>
      <c r="R73" s="11"/>
      <c r="S73" s="11"/>
      <c r="W73" s="15"/>
    </row>
    <row r="74" spans="2:23" ht="12.75" customHeight="1" x14ac:dyDescent="0.2">
      <c r="B74" s="131" t="str">
        <f t="array" ref="B74">IF(ISERROR(INDEX('Eingabe Meldungen'!$C$2:$C$492,LARGE(('Eingabe Meldungen'!$A$2:$A$492=$B$72)*(ROW('Eingabe Meldungen'!$A$2:$A$492)-1),COUNTIF('Eingabe Meldungen'!$A$2:$A$492,$B$72)+1-ROW('Eingabe Meldungen'!A1)))),"",INDEX('Eingabe Meldungen'!$C$2:$C$492,LARGE(('Eingabe Meldungen'!$A$2:$A$492=$B$72)*(ROW('Eingabe Meldungen'!$A$2:$A$492)-1),COUNTIF('Eingabe Meldungen'!$A$2:$A$492,$B$72)+1-ROW('Eingabe Meldungen'!A1))))</f>
        <v>Bittermann</v>
      </c>
      <c r="C74" s="132" t="str">
        <f t="array" ref="C74">IF(ISERROR(INDEX('Eingabe Meldungen'!$D$2:$D$492,LARGE(('Eingabe Meldungen'!$A$2:$A$492=$B$72)*(ROW('Eingabe Meldungen'!$A$2:$A$492)-1),COUNTIF('Eingabe Meldungen'!$A$2:$A$492,$B$72)+1-ROW('Eingabe Meldungen'!A1)))),"",INDEX('Eingabe Meldungen'!$D$2:$D$492,LARGE(('Eingabe Meldungen'!$A$2:$A$492=$B$72)*(ROW('Eingabe Meldungen'!$A$2:$A$492)-1),COUNTIF('Eingabe Meldungen'!$A$2:$A$492,$B$72)+1-ROW('Eingabe Meldungen'!A1))))</f>
        <v>Alfons</v>
      </c>
      <c r="D74" s="78">
        <f t="array" ref="D74">IF(B74&lt;&gt;"",INDEX('Eingabe Meldungen'!$C$2:$H$492,MATCH(B74&amp;C74,'Eingabe Meldungen'!$C$2:$C$492&amp;'Eingabe Meldungen'!$D$2:$D$492,0),6),"")</f>
        <v>2007</v>
      </c>
      <c r="E74" s="78" t="str">
        <f t="array" ref="E74">IF(B74&lt;&gt;"",INDEX('Eingabe Meldungen'!$C$2:$H$492,MATCH(B74&amp;C74,'Eingabe Meldungen'!$C$2:$C$492&amp;'Eingabe Meldungen'!$D$2:$D$492,0),4),"")</f>
        <v>-</v>
      </c>
      <c r="F74" s="78">
        <v>6</v>
      </c>
      <c r="G74" s="133"/>
      <c r="H74" s="132" t="e">
        <f t="shared" ref="H74:H88" si="6">RANK(G74,$G$74:$G$88,1)</f>
        <v>#N/A</v>
      </c>
      <c r="I74" s="134" t="str">
        <f t="array" ref="I74">IF(B74&lt;&gt;"",INDEX('Eingabe Meldungen'!$C$2:$J$492,MATCH(B74&amp;C74,'Eingabe Meldungen'!$C$2:$C$492&amp;'Eingabe Meldungen'!$D$2:$D$492,0),8),"")</f>
        <v>Marbacher Ruderverein</v>
      </c>
      <c r="J74" s="46"/>
      <c r="K74" s="426" t="s">
        <v>454</v>
      </c>
      <c r="R74" s="11"/>
      <c r="S74" s="11"/>
      <c r="W74" s="15"/>
    </row>
    <row r="75" spans="2:23" ht="12.75" customHeight="1" x14ac:dyDescent="0.2">
      <c r="B75" s="100" t="str">
        <f t="array" ref="B75">IF(ISERROR(INDEX('Eingabe Meldungen'!$C$2:$C$492,LARGE(('Eingabe Meldungen'!$A$2:$A$492=$B$72)*(ROW('Eingabe Meldungen'!$A$2:$A$492)-1),COUNTIF('Eingabe Meldungen'!$A$2:$A$492,$B$72)+1-ROW('Eingabe Meldungen'!A2)))),"",INDEX('Eingabe Meldungen'!$C$2:$C$492,LARGE(('Eingabe Meldungen'!$A$2:$A$492=$B$72)*(ROW('Eingabe Meldungen'!$A$2:$A$492)-1),COUNTIF('Eingabe Meldungen'!$A$2:$A$492,$B$72)+1-ROW('Eingabe Meldungen'!A2))))</f>
        <v>Krause</v>
      </c>
      <c r="C75" s="4" t="str">
        <f t="array" ref="C75">IF(ISERROR(INDEX('Eingabe Meldungen'!$D$2:$D$492,LARGE(('Eingabe Meldungen'!$A$2:$A$492=$B$72)*(ROW('Eingabe Meldungen'!$A$2:$A$492)-1),COUNTIF('Eingabe Meldungen'!$A$2:$A$492,$B$72)+1-ROW('Eingabe Meldungen'!A2)))),"",INDEX('Eingabe Meldungen'!$D$2:$D$492,LARGE(('Eingabe Meldungen'!$A$2:$A$492=$B$72)*(ROW('Eingabe Meldungen'!$A$2:$A$492)-1),COUNTIF('Eingabe Meldungen'!$A$2:$A$492,$B$72)+1-ROW('Eingabe Meldungen'!A2))))</f>
        <v>Carl</v>
      </c>
      <c r="D75" s="66">
        <f t="array" ref="D75">IF(B75&lt;&gt;"",INDEX('Eingabe Meldungen'!$C$2:$H$492,MATCH(B75&amp;C75,'Eingabe Meldungen'!$C$2:$C$492&amp;'Eingabe Meldungen'!$D$2:$D$492,0),6),"")</f>
        <v>2007</v>
      </c>
      <c r="E75" s="66" t="str">
        <f t="array" ref="E75">IF(B75&lt;&gt;"",INDEX('Eingabe Meldungen'!$C$2:$H$492,MATCH(B75&amp;C75,'Eingabe Meldungen'!$C$2:$C$492&amp;'Eingabe Meldungen'!$D$2:$D$492,0),4),"")</f>
        <v>-</v>
      </c>
      <c r="F75" s="15">
        <v>7</v>
      </c>
      <c r="G75" s="135"/>
      <c r="H75" s="4" t="e">
        <f t="shared" si="6"/>
        <v>#N/A</v>
      </c>
      <c r="I75" s="136" t="str">
        <f t="array" ref="I75">IF(B75&lt;&gt;"",INDEX('Eingabe Meldungen'!$C$2:$J$492,MATCH(B75&amp;C75,'Eingabe Meldungen'!$C$2:$C$492&amp;'Eingabe Meldungen'!$D$2:$D$492,0),8),"")</f>
        <v>Rudergesellschaft Heidelberg</v>
      </c>
      <c r="K75" s="427"/>
      <c r="R75" s="11"/>
      <c r="S75" s="11"/>
      <c r="W75" s="15"/>
    </row>
    <row r="76" spans="2:23" ht="15" customHeight="1" x14ac:dyDescent="0.2">
      <c r="B76" s="100" t="str">
        <f t="array" ref="B76">IF(ISERROR(INDEX('Eingabe Meldungen'!$C$2:$C$492,LARGE(('Eingabe Meldungen'!$A$2:$A$492=$B$72)*(ROW('Eingabe Meldungen'!$A$2:$A$492)-1),COUNTIF('Eingabe Meldungen'!$A$2:$A$492,$B$72)+1-ROW('Eingabe Meldungen'!A3)))),"",INDEX('Eingabe Meldungen'!$C$2:$C$492,LARGE(('Eingabe Meldungen'!$A$2:$A$492=$B$72)*(ROW('Eingabe Meldungen'!$A$2:$A$492)-1),COUNTIF('Eingabe Meldungen'!$A$2:$A$492,$B$72)+1-ROW('Eingabe Meldungen'!A3))))</f>
        <v>Nestor</v>
      </c>
      <c r="C76" s="4" t="str">
        <f t="array" ref="C76">IF(ISERROR(INDEX('Eingabe Meldungen'!$D$2:$D$492,LARGE(('Eingabe Meldungen'!$A$2:$A$492=$B$72)*(ROW('Eingabe Meldungen'!$A$2:$A$492)-1),COUNTIF('Eingabe Meldungen'!$A$2:$A$492,$B$72)+1-ROW('Eingabe Meldungen'!A3)))),"",INDEX('Eingabe Meldungen'!$D$2:$D$492,LARGE(('Eingabe Meldungen'!$A$2:$A$492=$B$72)*(ROW('Eingabe Meldungen'!$A$2:$A$492)-1),COUNTIF('Eingabe Meldungen'!$A$2:$A$492,$B$72)+1-ROW('Eingabe Meldungen'!A3))))</f>
        <v>David</v>
      </c>
      <c r="D76" s="66">
        <f t="array" ref="D76">IF(B76&lt;&gt;"",INDEX('Eingabe Meldungen'!$C$2:$H$492,MATCH(B76&amp;C76,'Eingabe Meldungen'!$C$2:$C$492&amp;'Eingabe Meldungen'!$D$2:$D$492,0),6),"")</f>
        <v>2007</v>
      </c>
      <c r="E76" s="66" t="str">
        <f t="array" ref="E76">IF(B76&lt;&gt;"",INDEX('Eingabe Meldungen'!$C$2:$H$492,MATCH(B76&amp;C76,'Eingabe Meldungen'!$C$2:$C$492&amp;'Eingabe Meldungen'!$D$2:$D$492,0),4),"")</f>
        <v>-</v>
      </c>
      <c r="F76" s="15">
        <v>8</v>
      </c>
      <c r="G76" s="135"/>
      <c r="H76" s="4" t="e">
        <f t="shared" si="6"/>
        <v>#N/A</v>
      </c>
      <c r="I76" s="136" t="str">
        <f t="array" ref="I76">IF(B76&lt;&gt;"",INDEX('Eingabe Meldungen'!$C$2:$J$492,MATCH(B76&amp;C76,'Eingabe Meldungen'!$C$2:$C$492&amp;'Eingabe Meldungen'!$D$2:$D$492,0),8),"")</f>
        <v>Mannheimer RV "Amicitia"</v>
      </c>
      <c r="K76" s="427"/>
      <c r="R76" s="11"/>
      <c r="S76" s="11"/>
      <c r="W76" s="15"/>
    </row>
    <row r="77" spans="2:23" ht="15" customHeight="1" x14ac:dyDescent="0.2">
      <c r="B77" s="100" t="str">
        <f t="array" ref="B77">IF(ISERROR(INDEX('Eingabe Meldungen'!$C$2:$C$492,LARGE(('Eingabe Meldungen'!$A$2:$A$492=$B$72)*(ROW('Eingabe Meldungen'!$A$2:$A$492)-1),COUNTIF('Eingabe Meldungen'!$A$2:$A$492,$B$72)+1-ROW('Eingabe Meldungen'!A4)))),"",INDEX('Eingabe Meldungen'!$C$2:$C$492,LARGE(('Eingabe Meldungen'!$A$2:$A$492=$B$72)*(ROW('Eingabe Meldungen'!$A$2:$A$492)-1),COUNTIF('Eingabe Meldungen'!$A$2:$A$492,$B$72)+1-ROW('Eingabe Meldungen'!A4))))</f>
        <v>Schilling</v>
      </c>
      <c r="C77" s="4" t="str">
        <f t="array" ref="C77">IF(ISERROR(INDEX('Eingabe Meldungen'!$D$2:$D$492,LARGE(('Eingabe Meldungen'!$A$2:$A$492=$B$72)*(ROW('Eingabe Meldungen'!$A$2:$A$492)-1),COUNTIF('Eingabe Meldungen'!$A$2:$A$492,$B$72)+1-ROW('Eingabe Meldungen'!A4)))),"",INDEX('Eingabe Meldungen'!$D$2:$D$492,LARGE(('Eingabe Meldungen'!$A$2:$A$492=$B$72)*(ROW('Eingabe Meldungen'!$A$2:$A$492)-1),COUNTIF('Eingabe Meldungen'!$A$2:$A$492,$B$72)+1-ROW('Eingabe Meldungen'!A4))))</f>
        <v>Felix</v>
      </c>
      <c r="D77" s="66">
        <f t="array" ref="D77">IF(B77&lt;&gt;"",INDEX('Eingabe Meldungen'!$C$2:$H$492,MATCH(B77&amp;C77,'Eingabe Meldungen'!$C$2:$C$492&amp;'Eingabe Meldungen'!$D$2:$D$492,0),6),"")</f>
        <v>2007</v>
      </c>
      <c r="E77" s="66" t="str">
        <f t="array" ref="E77">IF(B77&lt;&gt;"",INDEX('Eingabe Meldungen'!$C$2:$H$492,MATCH(B77&amp;C77,'Eingabe Meldungen'!$C$2:$C$492&amp;'Eingabe Meldungen'!$D$2:$D$492,0),4),"")</f>
        <v>-</v>
      </c>
      <c r="F77" s="15">
        <v>9</v>
      </c>
      <c r="G77" s="135"/>
      <c r="H77" s="4" t="e">
        <f t="shared" si="6"/>
        <v>#N/A</v>
      </c>
      <c r="I77" s="136" t="str">
        <f t="array" ref="I77">IF(B77&lt;&gt;"",INDEX('Eingabe Meldungen'!$C$2:$J$492,MATCH(B77&amp;C77,'Eingabe Meldungen'!$C$2:$C$492&amp;'Eingabe Meldungen'!$D$2:$D$492,0),8),"")</f>
        <v>Heidelberger Ruderklub</v>
      </c>
      <c r="K77" s="427"/>
      <c r="R77" s="11"/>
      <c r="S77" s="11"/>
      <c r="W77" s="15"/>
    </row>
    <row r="78" spans="2:23" ht="15" customHeight="1" thickBot="1" x14ac:dyDescent="0.25">
      <c r="B78" s="138" t="str">
        <f t="array" ref="B78">IF(ISERROR(INDEX('Eingabe Meldungen'!$C$2:$C$492,LARGE(('Eingabe Meldungen'!$A$2:$A$492=$B$72)*(ROW('Eingabe Meldungen'!$A$2:$A$492)-1),COUNTIF('Eingabe Meldungen'!$A$2:$A$492,$B$72)+1-ROW('Eingabe Meldungen'!A5)))),"",INDEX('Eingabe Meldungen'!$C$2:$C$492,LARGE(('Eingabe Meldungen'!$A$2:$A$492=$B$72)*(ROW('Eingabe Meldungen'!$A$2:$A$492)-1),COUNTIF('Eingabe Meldungen'!$A$2:$A$492,$B$72)+1-ROW('Eingabe Meldungen'!A5))))</f>
        <v>Balke</v>
      </c>
      <c r="C78" s="139" t="str">
        <f t="array" ref="C78">IF(ISERROR(INDEX('Eingabe Meldungen'!$D$2:$D$492,LARGE(('Eingabe Meldungen'!$A$2:$A$492=$B$72)*(ROW('Eingabe Meldungen'!$A$2:$A$492)-1),COUNTIF('Eingabe Meldungen'!$A$2:$A$492,$B$72)+1-ROW('Eingabe Meldungen'!A5)))),"",INDEX('Eingabe Meldungen'!$D$2:$D$492,LARGE(('Eingabe Meldungen'!$A$2:$A$492=$B$72)*(ROW('Eingabe Meldungen'!$A$2:$A$492)-1),COUNTIF('Eingabe Meldungen'!$A$2:$A$492,$B$72)+1-ROW('Eingabe Meldungen'!A5))))</f>
        <v>Frederik</v>
      </c>
      <c r="D78" s="99">
        <f t="array" ref="D78">IF(B78&lt;&gt;"",INDEX('Eingabe Meldungen'!$C$2:$H$492,MATCH(B78&amp;C78,'Eingabe Meldungen'!$C$2:$C$492&amp;'Eingabe Meldungen'!$D$2:$D$492,0),6),"")</f>
        <v>2007</v>
      </c>
      <c r="E78" s="99" t="str">
        <f t="array" ref="E78">IF(B78&lt;&gt;"",INDEX('Eingabe Meldungen'!$C$2:$H$492,MATCH(B78&amp;C78,'Eingabe Meldungen'!$C$2:$C$492&amp;'Eingabe Meldungen'!$D$2:$D$492,0),4),"")</f>
        <v>-</v>
      </c>
      <c r="F78" s="84">
        <v>10</v>
      </c>
      <c r="G78" s="143"/>
      <c r="H78" s="139" t="e">
        <f t="shared" si="6"/>
        <v>#N/A</v>
      </c>
      <c r="I78" s="141" t="str">
        <f t="array" ref="I78">IF(B78&lt;&gt;"",INDEX('Eingabe Meldungen'!$C$2:$J$492,MATCH(B78&amp;C78,'Eingabe Meldungen'!$C$2:$C$492&amp;'Eingabe Meldungen'!$D$2:$D$492,0),8),"")</f>
        <v>RV Waldsee</v>
      </c>
      <c r="J78" s="14"/>
      <c r="K78" s="428"/>
      <c r="R78" s="11"/>
      <c r="S78" s="11"/>
      <c r="W78" s="15"/>
    </row>
    <row r="79" spans="2:23" ht="15" customHeight="1" x14ac:dyDescent="0.2">
      <c r="B79" s="131" t="str">
        <f t="array" ref="B79">IF(ISERROR(INDEX('Eingabe Meldungen'!$C$2:$C$492,LARGE(('Eingabe Meldungen'!$A$2:$A$492=$B$72)*(ROW('Eingabe Meldungen'!$A$2:$A$492)-1),COUNTIF('Eingabe Meldungen'!$A$2:$A$492,$B$72)+1-ROW('Eingabe Meldungen'!A6)))),"",INDEX('Eingabe Meldungen'!$C$2:$C$492,LARGE(('Eingabe Meldungen'!$A$2:$A$492=$B$72)*(ROW('Eingabe Meldungen'!$A$2:$A$492)-1),COUNTIF('Eingabe Meldungen'!$A$2:$A$492,$B$72)+1-ROW('Eingabe Meldungen'!A6))))</f>
        <v>Meyer</v>
      </c>
      <c r="C79" s="132" t="str">
        <f t="array" ref="C79">IF(ISERROR(INDEX('Eingabe Meldungen'!$D$2:$D$492,LARGE(('Eingabe Meldungen'!$A$2:$A$492=$B$72)*(ROW('Eingabe Meldungen'!$A$2:$A$492)-1),COUNTIF('Eingabe Meldungen'!$A$2:$A$492,$B$72)+1-ROW('Eingabe Meldungen'!A6)))),"",INDEX('Eingabe Meldungen'!$D$2:$D$492,LARGE(('Eingabe Meldungen'!$A$2:$A$492=$B$72)*(ROW('Eingabe Meldungen'!$A$2:$A$492)-1),COUNTIF('Eingabe Meldungen'!$A$2:$A$492,$B$72)+1-ROW('Eingabe Meldungen'!A6))))</f>
        <v>Lars</v>
      </c>
      <c r="D79" s="78">
        <f t="array" ref="D79">IF(B79&lt;&gt;"",INDEX('Eingabe Meldungen'!$C$2:$H$492,MATCH(B79&amp;C79,'Eingabe Meldungen'!$C$2:$C$492&amp;'Eingabe Meldungen'!$D$2:$D$492,0),6),"")</f>
        <v>2007</v>
      </c>
      <c r="E79" s="78" t="str">
        <f t="array" ref="E79">IF(B79&lt;&gt;"",INDEX('Eingabe Meldungen'!$C$2:$H$492,MATCH(B79&amp;C79,'Eingabe Meldungen'!$C$2:$C$492&amp;'Eingabe Meldungen'!$D$2:$D$492,0),4),"")</f>
        <v>-</v>
      </c>
      <c r="F79" s="86">
        <v>1</v>
      </c>
      <c r="G79" s="133"/>
      <c r="H79" s="132" t="e">
        <f t="shared" si="6"/>
        <v>#N/A</v>
      </c>
      <c r="I79" s="134" t="str">
        <f t="array" ref="I79">IF(B79&lt;&gt;"",INDEX('Eingabe Meldungen'!$C$2:$J$492,MATCH(B79&amp;C79,'Eingabe Meldungen'!$C$2:$C$492&amp;'Eingabe Meldungen'!$D$2:$D$492,0),8),"")</f>
        <v>Rudergesellschaft Heidelberg</v>
      </c>
      <c r="J79" s="46"/>
      <c r="K79" s="423" t="s">
        <v>455</v>
      </c>
      <c r="R79" s="11"/>
      <c r="S79" s="11"/>
      <c r="W79" s="15"/>
    </row>
    <row r="80" spans="2:23" ht="15" customHeight="1" x14ac:dyDescent="0.2">
      <c r="B80" s="100" t="str">
        <f t="array" ref="B80">IF(ISERROR(INDEX('Eingabe Meldungen'!$C$2:$C$492,LARGE(('Eingabe Meldungen'!$A$2:$A$492=$B$72)*(ROW('Eingabe Meldungen'!$A$2:$A$492)-1),COUNTIF('Eingabe Meldungen'!$A$2:$A$492,$B$72)+1-ROW('Eingabe Meldungen'!A7)))),"",INDEX('Eingabe Meldungen'!$C$2:$C$492,LARGE(('Eingabe Meldungen'!$A$2:$A$492=$B$72)*(ROW('Eingabe Meldungen'!$A$2:$A$492)-1),COUNTIF('Eingabe Meldungen'!$A$2:$A$492,$B$72)+1-ROW('Eingabe Meldungen'!A7))))</f>
        <v>Strahl</v>
      </c>
      <c r="C80" s="4" t="str">
        <f t="array" ref="C80">IF(ISERROR(INDEX('Eingabe Meldungen'!$D$2:$D$492,LARGE(('Eingabe Meldungen'!$A$2:$A$492=$B$72)*(ROW('Eingabe Meldungen'!$A$2:$A$492)-1),COUNTIF('Eingabe Meldungen'!$A$2:$A$492,$B$72)+1-ROW('Eingabe Meldungen'!A7)))),"",INDEX('Eingabe Meldungen'!$D$2:$D$492,LARGE(('Eingabe Meldungen'!$A$2:$A$492=$B$72)*(ROW('Eingabe Meldungen'!$A$2:$A$492)-1),COUNTIF('Eingabe Meldungen'!$A$2:$A$492,$B$72)+1-ROW('Eingabe Meldungen'!A7))))</f>
        <v>Leander</v>
      </c>
      <c r="D80" s="66">
        <f t="array" ref="D80">IF(B80&lt;&gt;"",INDEX('Eingabe Meldungen'!$C$2:$H$492,MATCH(B80&amp;C80,'Eingabe Meldungen'!$C$2:$C$492&amp;'Eingabe Meldungen'!$D$2:$D$492,0),6),"")</f>
        <v>2007</v>
      </c>
      <c r="E80" s="66" t="str">
        <f t="array" ref="E80">IF(B80&lt;&gt;"",INDEX('Eingabe Meldungen'!$C$2:$H$492,MATCH(B80&amp;C80,'Eingabe Meldungen'!$C$2:$C$492&amp;'Eingabe Meldungen'!$D$2:$D$492,0),4),"")</f>
        <v>-</v>
      </c>
      <c r="F80" s="15">
        <v>2</v>
      </c>
      <c r="G80" s="135"/>
      <c r="H80" s="4" t="e">
        <f t="shared" si="6"/>
        <v>#N/A</v>
      </c>
      <c r="I80" s="136" t="str">
        <f t="array" ref="I80">IF(B80&lt;&gt;"",INDEX('Eingabe Meldungen'!$C$2:$J$492,MATCH(B80&amp;C80,'Eingabe Meldungen'!$C$2:$C$492&amp;'Eingabe Meldungen'!$D$2:$D$492,0),8),"")</f>
        <v xml:space="preserve">Schweinfurtrt Ruder-Club Franken </v>
      </c>
      <c r="K80" s="424"/>
      <c r="R80" s="11"/>
      <c r="S80" s="11"/>
      <c r="W80" s="15"/>
    </row>
    <row r="81" spans="1:23" ht="15" customHeight="1" x14ac:dyDescent="0.2">
      <c r="B81" s="100" t="str">
        <f t="array" ref="B81">IF(ISERROR(INDEX('Eingabe Meldungen'!$C$2:$C$492,LARGE(('Eingabe Meldungen'!$A$2:$A$492=$B$72)*(ROW('Eingabe Meldungen'!$A$2:$A$492)-1),COUNTIF('Eingabe Meldungen'!$A$2:$A$492,$B$72)+1-ROW('Eingabe Meldungen'!A8)))),"",INDEX('Eingabe Meldungen'!$C$2:$C$492,LARGE(('Eingabe Meldungen'!$A$2:$A$492=$B$72)*(ROW('Eingabe Meldungen'!$A$2:$A$492)-1),COUNTIF('Eingabe Meldungen'!$A$2:$A$492,$B$72)+1-ROW('Eingabe Meldungen'!A8))))</f>
        <v>Yilmaz</v>
      </c>
      <c r="C81" s="4" t="str">
        <f t="array" ref="C81">IF(ISERROR(INDEX('Eingabe Meldungen'!$D$2:$D$492,LARGE(('Eingabe Meldungen'!$A$2:$A$492=$B$72)*(ROW('Eingabe Meldungen'!$A$2:$A$492)-1),COUNTIF('Eingabe Meldungen'!$A$2:$A$492,$B$72)+1-ROW('Eingabe Meldungen'!A8)))),"",INDEX('Eingabe Meldungen'!$D$2:$D$492,LARGE(('Eingabe Meldungen'!$A$2:$A$492=$B$72)*(ROW('Eingabe Meldungen'!$A$2:$A$492)-1),COUNTIF('Eingabe Meldungen'!$A$2:$A$492,$B$72)+1-ROW('Eingabe Meldungen'!A8))))</f>
        <v>Leon</v>
      </c>
      <c r="D81" s="66">
        <f t="array" ref="D81">IF(B81&lt;&gt;"",INDEX('Eingabe Meldungen'!$C$2:$H$492,MATCH(B81&amp;C81,'Eingabe Meldungen'!$C$2:$C$492&amp;'Eingabe Meldungen'!$D$2:$D$492,0),6),"")</f>
        <v>2007</v>
      </c>
      <c r="E81" s="66" t="str">
        <f t="array" ref="E81">IF(B81&lt;&gt;"",INDEX('Eingabe Meldungen'!$C$2:$H$492,MATCH(B81&amp;C81,'Eingabe Meldungen'!$C$2:$C$492&amp;'Eingabe Meldungen'!$D$2:$D$492,0),4),"")</f>
        <v>-</v>
      </c>
      <c r="F81" s="15">
        <v>3</v>
      </c>
      <c r="G81" s="135"/>
      <c r="H81" s="4" t="e">
        <f t="shared" si="6"/>
        <v>#N/A</v>
      </c>
      <c r="I81" s="136" t="str">
        <f t="array" ref="I81">IF(B81&lt;&gt;"",INDEX('Eingabe Meldungen'!$C$2:$J$492,MATCH(B81&amp;C81,'Eingabe Meldungen'!$C$2:$C$492&amp;'Eingabe Meldungen'!$D$2:$D$492,0),8),"")</f>
        <v>Stuttgart-Cannstatter RC</v>
      </c>
      <c r="K81" s="424"/>
      <c r="R81" s="11"/>
      <c r="S81" s="11"/>
      <c r="W81" s="15"/>
    </row>
    <row r="82" spans="1:23" ht="15" customHeight="1" x14ac:dyDescent="0.2">
      <c r="B82" s="100" t="str">
        <f t="array" ref="B82">IF(ISERROR(INDEX('Eingabe Meldungen'!$C$2:$C$492,LARGE(('Eingabe Meldungen'!$A$2:$A$492=$B$72)*(ROW('Eingabe Meldungen'!$A$2:$A$492)-1),COUNTIF('Eingabe Meldungen'!$A$2:$A$492,$B$72)+1-ROW('Eingabe Meldungen'!A9)))),"",INDEX('Eingabe Meldungen'!$C$2:$C$492,LARGE(('Eingabe Meldungen'!$A$2:$A$492=$B$72)*(ROW('Eingabe Meldungen'!$A$2:$A$492)-1),COUNTIF('Eingabe Meldungen'!$A$2:$A$492,$B$72)+1-ROW('Eingabe Meldungen'!A9))))</f>
        <v>Bitz</v>
      </c>
      <c r="C82" s="4" t="str">
        <f t="array" ref="C82">IF(ISERROR(INDEX('Eingabe Meldungen'!$D$2:$D$492,LARGE(('Eingabe Meldungen'!$A$2:$A$492=$B$72)*(ROW('Eingabe Meldungen'!$A$2:$A$492)-1),COUNTIF('Eingabe Meldungen'!$A$2:$A$492,$B$72)+1-ROW('Eingabe Meldungen'!A9)))),"",INDEX('Eingabe Meldungen'!$D$2:$D$492,LARGE(('Eingabe Meldungen'!$A$2:$A$492=$B$72)*(ROW('Eingabe Meldungen'!$A$2:$A$492)-1),COUNTIF('Eingabe Meldungen'!$A$2:$A$492,$B$72)+1-ROW('Eingabe Meldungen'!A9))))</f>
        <v>Moritz</v>
      </c>
      <c r="D82" s="66">
        <f t="array" ref="D82">IF(B82&lt;&gt;"",INDEX('Eingabe Meldungen'!$C$2:$H$492,MATCH(B82&amp;C82,'Eingabe Meldungen'!$C$2:$C$492&amp;'Eingabe Meldungen'!$D$2:$D$492,0),6),"")</f>
        <v>2007</v>
      </c>
      <c r="E82" s="66" t="str">
        <f t="array" ref="E82">IF(B82&lt;&gt;"",INDEX('Eingabe Meldungen'!$C$2:$H$492,MATCH(B82&amp;C82,'Eingabe Meldungen'!$C$2:$C$492&amp;'Eingabe Meldungen'!$D$2:$D$492,0),4),"")</f>
        <v>-</v>
      </c>
      <c r="F82" s="15">
        <v>4</v>
      </c>
      <c r="G82" s="135"/>
      <c r="H82" s="4" t="e">
        <f t="shared" si="6"/>
        <v>#N/A</v>
      </c>
      <c r="I82" s="136" t="str">
        <f t="array" ref="I82">IF(B82&lt;&gt;"",INDEX('Eingabe Meldungen'!$C$2:$J$492,MATCH(B82&amp;C82,'Eingabe Meldungen'!$C$2:$C$492&amp;'Eingabe Meldungen'!$D$2:$D$492,0),8),"")</f>
        <v>Marbacher Ruderverein</v>
      </c>
      <c r="K82" s="424"/>
      <c r="R82" s="11"/>
      <c r="S82" s="11"/>
      <c r="W82" s="15"/>
    </row>
    <row r="83" spans="1:23" ht="15" customHeight="1" x14ac:dyDescent="0.2">
      <c r="B83" s="100" t="str">
        <f t="array" ref="B83">IF(ISERROR(INDEX('Eingabe Meldungen'!$C$2:$C$492,LARGE(('Eingabe Meldungen'!$A$2:$A$492=$B$72)*(ROW('Eingabe Meldungen'!$A$2:$A$492)-1),COUNTIF('Eingabe Meldungen'!$A$2:$A$492,$B$72)+1-ROW('Eingabe Meldungen'!A10)))),"",INDEX('Eingabe Meldungen'!$C$2:$C$492,LARGE(('Eingabe Meldungen'!$A$2:$A$492=$B$72)*(ROW('Eingabe Meldungen'!$A$2:$A$492)-1),COUNTIF('Eingabe Meldungen'!$A$2:$A$492,$B$72)+1-ROW('Eingabe Meldungen'!A10))))</f>
        <v>Krausch</v>
      </c>
      <c r="C83" s="4" t="str">
        <f t="array" ref="C83">IF(ISERROR(INDEX('Eingabe Meldungen'!$D$2:$D$492,LARGE(('Eingabe Meldungen'!$A$2:$A$492=$B$72)*(ROW('Eingabe Meldungen'!$A$2:$A$492)-1),COUNTIF('Eingabe Meldungen'!$A$2:$A$492,$B$72)+1-ROW('Eingabe Meldungen'!A10)))),"",INDEX('Eingabe Meldungen'!$D$2:$D$492,LARGE(('Eingabe Meldungen'!$A$2:$A$492=$B$72)*(ROW('Eingabe Meldungen'!$A$2:$A$492)-1),COUNTIF('Eingabe Meldungen'!$A$2:$A$492,$B$72)+1-ROW('Eingabe Meldungen'!A10))))</f>
        <v>Philipp</v>
      </c>
      <c r="D83" s="66">
        <f t="array" ref="D83">IF(B83&lt;&gt;"",INDEX('Eingabe Meldungen'!$C$2:$H$492,MATCH(B83&amp;C83,'Eingabe Meldungen'!$C$2:$C$492&amp;'Eingabe Meldungen'!$D$2:$D$492,0),6),"")</f>
        <v>2007</v>
      </c>
      <c r="E83" s="66" t="str">
        <f t="array" ref="E83">IF(B83&lt;&gt;"",INDEX('Eingabe Meldungen'!$C$2:$H$492,MATCH(B83&amp;C83,'Eingabe Meldungen'!$C$2:$C$492&amp;'Eingabe Meldungen'!$D$2:$D$492,0),4),"")</f>
        <v>-</v>
      </c>
      <c r="F83" s="15">
        <v>5</v>
      </c>
      <c r="G83" s="135"/>
      <c r="H83" s="4" t="e">
        <f t="shared" si="6"/>
        <v>#N/A</v>
      </c>
      <c r="I83" s="136" t="str">
        <f t="array" ref="I83">IF(B83&lt;&gt;"",INDEX('Eingabe Meldungen'!$C$2:$J$492,MATCH(B83&amp;C83,'Eingabe Meldungen'!$C$2:$C$492&amp;'Eingabe Meldungen'!$D$2:$D$492,0),8),"")</f>
        <v>Heidelberger Ruderklub</v>
      </c>
      <c r="K83" s="424"/>
      <c r="R83" s="11"/>
      <c r="S83" s="11"/>
      <c r="W83" s="15"/>
    </row>
    <row r="84" spans="1:23" ht="15" customHeight="1" x14ac:dyDescent="0.2">
      <c r="B84" s="100" t="str">
        <f t="array" ref="B84">IF(ISERROR(INDEX('Eingabe Meldungen'!$C$2:$C$492,LARGE(('Eingabe Meldungen'!$A$2:$A$492=$B$72)*(ROW('Eingabe Meldungen'!$A$2:$A$492)-1),COUNTIF('Eingabe Meldungen'!$A$2:$A$492,$B$72)+1-ROW('Eingabe Meldungen'!A11)))),"",INDEX('Eingabe Meldungen'!$C$2:$C$492,LARGE(('Eingabe Meldungen'!$A$2:$A$492=$B$72)*(ROW('Eingabe Meldungen'!$A$2:$A$492)-1),COUNTIF('Eingabe Meldungen'!$A$2:$A$492,$B$72)+1-ROW('Eingabe Meldungen'!A11))))</f>
        <v>Schilling</v>
      </c>
      <c r="C84" s="4" t="str">
        <f t="array" ref="C84">IF(ISERROR(INDEX('Eingabe Meldungen'!$D$2:$D$492,LARGE(('Eingabe Meldungen'!$A$2:$A$492=$B$72)*(ROW('Eingabe Meldungen'!$A$2:$A$492)-1),COUNTIF('Eingabe Meldungen'!$A$2:$A$492,$B$72)+1-ROW('Eingabe Meldungen'!A11)))),"",INDEX('Eingabe Meldungen'!$D$2:$D$492,LARGE(('Eingabe Meldungen'!$A$2:$A$492=$B$72)*(ROW('Eingabe Meldungen'!$A$2:$A$492)-1),COUNTIF('Eingabe Meldungen'!$A$2:$A$492,$B$72)+1-ROW('Eingabe Meldungen'!A11))))</f>
        <v>Philipp</v>
      </c>
      <c r="D84" s="66">
        <f t="array" ref="D84">IF(B84&lt;&gt;"",INDEX('Eingabe Meldungen'!$C$2:$H$492,MATCH(B84&amp;C84,'Eingabe Meldungen'!$C$2:$C$492&amp;'Eingabe Meldungen'!$D$2:$D$492,0),6),"")</f>
        <v>2007</v>
      </c>
      <c r="E84" s="66" t="str">
        <f t="array" ref="E84">IF(B84&lt;&gt;"",INDEX('Eingabe Meldungen'!$C$2:$H$492,MATCH(B84&amp;C84,'Eingabe Meldungen'!$C$2:$C$492&amp;'Eingabe Meldungen'!$D$2:$D$492,0),4),"")</f>
        <v>-</v>
      </c>
      <c r="F84" s="15">
        <v>6</v>
      </c>
      <c r="G84" s="135"/>
      <c r="H84" s="4" t="e">
        <f t="shared" si="6"/>
        <v>#N/A</v>
      </c>
      <c r="I84" s="136" t="str">
        <f t="array" ref="I84">IF(B84&lt;&gt;"",INDEX('Eingabe Meldungen'!$C$2:$J$492,MATCH(B84&amp;C84,'Eingabe Meldungen'!$C$2:$C$492&amp;'Eingabe Meldungen'!$D$2:$D$492,0),8),"")</f>
        <v>Heidelberger Ruderklub</v>
      </c>
      <c r="K84" s="424"/>
      <c r="R84" s="11"/>
      <c r="S84" s="11"/>
      <c r="W84" s="15"/>
    </row>
    <row r="85" spans="1:23" ht="15" customHeight="1" x14ac:dyDescent="0.2">
      <c r="B85" s="100" t="str">
        <f t="array" ref="B85">IF(ISERROR(INDEX('Eingabe Meldungen'!$C$2:$C$492,LARGE(('Eingabe Meldungen'!$A$2:$A$492=$B$72)*(ROW('Eingabe Meldungen'!$A$2:$A$492)-1),COUNTIF('Eingabe Meldungen'!$A$2:$A$492,$B$72)+1-ROW('Eingabe Meldungen'!A12)))),"",INDEX('Eingabe Meldungen'!$C$2:$C$492,LARGE(('Eingabe Meldungen'!$A$2:$A$492=$B$72)*(ROW('Eingabe Meldungen'!$A$2:$A$492)-1),COUNTIF('Eingabe Meldungen'!$A$2:$A$492,$B$72)+1-ROW('Eingabe Meldungen'!A12))))</f>
        <v>Calovini</v>
      </c>
      <c r="C85" s="4" t="str">
        <f t="array" ref="C85">IF(ISERROR(INDEX('Eingabe Meldungen'!$D$2:$D$492,LARGE(('Eingabe Meldungen'!$A$2:$A$492=$B$72)*(ROW('Eingabe Meldungen'!$A$2:$A$492)-1),COUNTIF('Eingabe Meldungen'!$A$2:$A$492,$B$72)+1-ROW('Eingabe Meldungen'!A12)))),"",INDEX('Eingabe Meldungen'!$D$2:$D$492,LARGE(('Eingabe Meldungen'!$A$2:$A$492=$B$72)*(ROW('Eingabe Meldungen'!$A$2:$A$492)-1),COUNTIF('Eingabe Meldungen'!$A$2:$A$492,$B$72)+1-ROW('Eingabe Meldungen'!A12))))</f>
        <v>Samuel</v>
      </c>
      <c r="D85" s="66">
        <f t="array" ref="D85">IF(B85&lt;&gt;"",INDEX('Eingabe Meldungen'!$C$2:$H$492,MATCH(B85&amp;C85,'Eingabe Meldungen'!$C$2:$C$492&amp;'Eingabe Meldungen'!$D$2:$D$492,0),6),"")</f>
        <v>2007</v>
      </c>
      <c r="E85" s="66" t="str">
        <f t="array" ref="E85">IF(B85&lt;&gt;"",INDEX('Eingabe Meldungen'!$C$2:$H$492,MATCH(B85&amp;C85,'Eingabe Meldungen'!$C$2:$C$492&amp;'Eingabe Meldungen'!$D$2:$D$492,0),4),"")</f>
        <v>-</v>
      </c>
      <c r="F85" s="15">
        <v>7</v>
      </c>
      <c r="G85" s="135"/>
      <c r="H85" s="4" t="e">
        <f t="shared" si="6"/>
        <v>#N/A</v>
      </c>
      <c r="I85" s="136" t="str">
        <f t="array" ref="I85">IF(B85&lt;&gt;"",INDEX('Eingabe Meldungen'!$C$2:$J$492,MATCH(B85&amp;C85,'Eingabe Meldungen'!$C$2:$C$492&amp;'Eingabe Meldungen'!$D$2:$D$492,0),8),"")</f>
        <v>Marbacher Ruderverein</v>
      </c>
      <c r="K85" s="424"/>
      <c r="R85" s="11"/>
      <c r="S85" s="11"/>
      <c r="W85" s="15"/>
    </row>
    <row r="86" spans="1:23" ht="15" customHeight="1" x14ac:dyDescent="0.2">
      <c r="B86" s="100" t="str">
        <f t="array" ref="B86">IF(ISERROR(INDEX('Eingabe Meldungen'!$C$2:$C$492,LARGE(('Eingabe Meldungen'!$A$2:$A$492=$B$72)*(ROW('Eingabe Meldungen'!$A$2:$A$492)-1),COUNTIF('Eingabe Meldungen'!$A$2:$A$492,$B$72)+1-ROW('Eingabe Meldungen'!A13)))),"",INDEX('Eingabe Meldungen'!$C$2:$C$492,LARGE(('Eingabe Meldungen'!$A$2:$A$492=$B$72)*(ROW('Eingabe Meldungen'!$A$2:$A$492)-1),COUNTIF('Eingabe Meldungen'!$A$2:$A$492,$B$72)+1-ROW('Eingabe Meldungen'!A13))))</f>
        <v/>
      </c>
      <c r="C86" s="4" t="str">
        <f t="array" ref="C86">IF(ISERROR(INDEX('Eingabe Meldungen'!$D$2:$D$492,LARGE(('Eingabe Meldungen'!$A$2:$A$492=$B$72)*(ROW('Eingabe Meldungen'!$A$2:$A$492)-1),COUNTIF('Eingabe Meldungen'!$A$2:$A$492,$B$72)+1-ROW('Eingabe Meldungen'!A13)))),"",INDEX('Eingabe Meldungen'!$D$2:$D$492,LARGE(('Eingabe Meldungen'!$A$2:$A$492=$B$72)*(ROW('Eingabe Meldungen'!$A$2:$A$492)-1),COUNTIF('Eingabe Meldungen'!$A$2:$A$492,$B$72)+1-ROW('Eingabe Meldungen'!A13))))</f>
        <v/>
      </c>
      <c r="D86" s="66" t="str">
        <f t="array" ref="D86">IF(B86&lt;&gt;"",INDEX('Eingabe Meldungen'!$C$2:$H$492,MATCH(B86&amp;C86,'Eingabe Meldungen'!$C$2:$C$492&amp;'Eingabe Meldungen'!$D$2:$D$492,0),6),"")</f>
        <v/>
      </c>
      <c r="E86" s="66" t="str">
        <f t="array" ref="E86">IF(B86&lt;&gt;"",INDEX('Eingabe Meldungen'!$C$2:$H$492,MATCH(B86&amp;C86,'Eingabe Meldungen'!$C$2:$C$492&amp;'Eingabe Meldungen'!$D$2:$D$492,0),4),"")</f>
        <v/>
      </c>
      <c r="F86" s="15">
        <v>8</v>
      </c>
      <c r="G86" s="135"/>
      <c r="H86" s="4" t="e">
        <f t="shared" si="6"/>
        <v>#N/A</v>
      </c>
      <c r="I86" s="136" t="str">
        <f t="array" ref="I86">IF(B86&lt;&gt;"",INDEX('Eingabe Meldungen'!$C$2:$J$492,MATCH(B86&amp;C86,'Eingabe Meldungen'!$C$2:$C$492&amp;'Eingabe Meldungen'!$D$2:$D$492,0),8),"")</f>
        <v/>
      </c>
      <c r="K86" s="424"/>
      <c r="R86" s="11"/>
      <c r="S86" s="11"/>
      <c r="W86" s="15"/>
    </row>
    <row r="87" spans="1:23" x14ac:dyDescent="0.2">
      <c r="B87" s="100" t="str">
        <f t="array" ref="B87">IF(ISERROR(INDEX('Eingabe Meldungen'!$C$2:$C$492,LARGE(('Eingabe Meldungen'!$A$2:$A$492=$B$72)*(ROW('Eingabe Meldungen'!$A$2:$A$492)-1),COUNTIF('Eingabe Meldungen'!$A$2:$A$492,$B$72)+1-ROW('Eingabe Meldungen'!A14)))),"",INDEX('Eingabe Meldungen'!$C$2:$C$492,LARGE(('Eingabe Meldungen'!$A$2:$A$492=$B$72)*(ROW('Eingabe Meldungen'!$A$2:$A$492)-1),COUNTIF('Eingabe Meldungen'!$A$2:$A$492,$B$72)+1-ROW('Eingabe Meldungen'!A14))))</f>
        <v/>
      </c>
      <c r="C87" s="4" t="str">
        <f t="array" ref="C87">IF(ISERROR(INDEX('Eingabe Meldungen'!$D$2:$D$492,LARGE(('Eingabe Meldungen'!$A$2:$A$492=$B$72)*(ROW('Eingabe Meldungen'!$A$2:$A$492)-1),COUNTIF('Eingabe Meldungen'!$A$2:$A$492,$B$72)+1-ROW('Eingabe Meldungen'!A14)))),"",INDEX('Eingabe Meldungen'!$D$2:$D$492,LARGE(('Eingabe Meldungen'!$A$2:$A$492=$B$72)*(ROW('Eingabe Meldungen'!$A$2:$A$492)-1),COUNTIF('Eingabe Meldungen'!$A$2:$A$492,$B$72)+1-ROW('Eingabe Meldungen'!A14))))</f>
        <v/>
      </c>
      <c r="D87" s="66" t="str">
        <f t="array" ref="D87">IF(B87&lt;&gt;"",INDEX('Eingabe Meldungen'!$C$2:$H$492,MATCH(B87&amp;C87,'Eingabe Meldungen'!$C$2:$C$492&amp;'Eingabe Meldungen'!$D$2:$D$492,0),6),"")</f>
        <v/>
      </c>
      <c r="E87" s="66" t="str">
        <f t="array" ref="E87">IF(B87&lt;&gt;"",INDEX('Eingabe Meldungen'!$C$2:$H$492,MATCH(B87&amp;C87,'Eingabe Meldungen'!$C$2:$C$492&amp;'Eingabe Meldungen'!$D$2:$D$492,0),4),"")</f>
        <v/>
      </c>
      <c r="F87" s="15">
        <v>9</v>
      </c>
      <c r="G87" s="135"/>
      <c r="H87" s="4" t="e">
        <f t="shared" si="6"/>
        <v>#N/A</v>
      </c>
      <c r="I87" s="136" t="str">
        <f t="array" ref="I87">IF(B87&lt;&gt;"",INDEX('Eingabe Meldungen'!$C$2:$J$492,MATCH(B87&amp;C87,'Eingabe Meldungen'!$C$2:$C$492&amp;'Eingabe Meldungen'!$D$2:$D$492,0),8),"")</f>
        <v/>
      </c>
      <c r="K87" s="424"/>
      <c r="R87" s="11"/>
      <c r="S87" s="11"/>
      <c r="W87" s="15"/>
    </row>
    <row r="88" spans="1:23" ht="13.2" thickBot="1" x14ac:dyDescent="0.25">
      <c r="B88" s="138" t="str">
        <f t="array" ref="B88">IF(ISERROR(INDEX('Eingabe Meldungen'!$C$2:$C$492,LARGE(('Eingabe Meldungen'!$A$2:$A$492=$B$72)*(ROW('Eingabe Meldungen'!$A$2:$A$492)-1),COUNTIF('Eingabe Meldungen'!$A$2:$A$492,$B$72)+1-ROW('Eingabe Meldungen'!A15)))),"",INDEX('Eingabe Meldungen'!$C$2:$C$492,LARGE(('Eingabe Meldungen'!$A$2:$A$492=$B$72)*(ROW('Eingabe Meldungen'!$A$2:$A$492)-1),COUNTIF('Eingabe Meldungen'!$A$2:$A$492,$B$72)+1-ROW('Eingabe Meldungen'!A15))))</f>
        <v/>
      </c>
      <c r="C88" s="139" t="str">
        <f t="array" ref="C88">IF(ISERROR(INDEX('Eingabe Meldungen'!$D$2:$D$492,LARGE(('Eingabe Meldungen'!$A$2:$A$492=$B$72)*(ROW('Eingabe Meldungen'!$A$2:$A$492)-1),COUNTIF('Eingabe Meldungen'!$A$2:$A$492,$B$72)+1-ROW('Eingabe Meldungen'!A15)))),"",INDEX('Eingabe Meldungen'!$D$2:$D$492,LARGE(('Eingabe Meldungen'!$A$2:$A$492=$B$72)*(ROW('Eingabe Meldungen'!$A$2:$A$492)-1),COUNTIF('Eingabe Meldungen'!$A$2:$A$492,$B$72)+1-ROW('Eingabe Meldungen'!A15))))</f>
        <v/>
      </c>
      <c r="D88" s="99" t="str">
        <f t="array" ref="D88">IF(B88&lt;&gt;"",INDEX('Eingabe Meldungen'!$C$2:$H$492,MATCH(B88&amp;C88,'Eingabe Meldungen'!$C$2:$C$492&amp;'Eingabe Meldungen'!$D$2:$D$492,0),6),"")</f>
        <v/>
      </c>
      <c r="E88" s="99" t="str">
        <f t="array" ref="E88">IF(B88&lt;&gt;"",INDEX('Eingabe Meldungen'!$C$2:$H$492,MATCH(B88&amp;C88,'Eingabe Meldungen'!$C$2:$C$492&amp;'Eingabe Meldungen'!$D$2:$D$492,0),4),"")</f>
        <v/>
      </c>
      <c r="F88" s="84">
        <v>10</v>
      </c>
      <c r="G88" s="143"/>
      <c r="H88" s="139" t="e">
        <f t="shared" si="6"/>
        <v>#N/A</v>
      </c>
      <c r="I88" s="141" t="str">
        <f t="array" ref="I88">IF(B88&lt;&gt;"",INDEX('Eingabe Meldungen'!$C$2:$J$492,MATCH(B88&amp;C88,'Eingabe Meldungen'!$C$2:$C$492&amp;'Eingabe Meldungen'!$D$2:$D$492,0),8),"")</f>
        <v/>
      </c>
      <c r="J88" s="14"/>
      <c r="K88" s="425"/>
      <c r="R88" s="11"/>
      <c r="S88" s="11"/>
      <c r="W88" s="15"/>
    </row>
    <row r="89" spans="1:23" ht="12.75" customHeight="1" thickBo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5"/>
      <c r="O89" s="11"/>
      <c r="Q89" s="11"/>
      <c r="R89" s="11"/>
      <c r="S89" s="11"/>
      <c r="U89" s="6"/>
      <c r="V89" s="9"/>
      <c r="W89" s="8"/>
    </row>
    <row r="90" spans="1:23" ht="26.25" customHeight="1" x14ac:dyDescent="0.2">
      <c r="B90" s="26">
        <f>B72+1</f>
        <v>5</v>
      </c>
      <c r="C90" s="65" t="str">
        <f>VLOOKUP(B90,Ausschreibung!$B$5:$I$35,2,FALSE)</f>
        <v>Ergocup</v>
      </c>
      <c r="D90" s="27">
        <f>VLOOKUP(B90,Ausschreibung!$B$5:$I$35,3,FALSE)</f>
        <v>0.50277777777777777</v>
      </c>
      <c r="E90" s="65" t="s">
        <v>494</v>
      </c>
      <c r="F90" s="65" t="str">
        <f>VLOOKUP(B90,Ausschreibung!$B$5:$I$35,5,FALSE)</f>
        <v>Lgw. bis 50 kg</v>
      </c>
      <c r="G90" s="65" t="str">
        <f>VLOOKUP(B90,Ausschreibung!$B$5:$I$35,6,FALSE)</f>
        <v>13 und jünger</v>
      </c>
      <c r="H90" s="65" t="str">
        <f>VLOOKUP(B90,Ausschreibung!$B$5:$I$35,8,FALSE)</f>
        <v>1000 m</v>
      </c>
      <c r="I90" s="28"/>
      <c r="L90" s="11"/>
      <c r="M90" s="11"/>
      <c r="N90" s="15"/>
      <c r="O90" s="11"/>
      <c r="Q90" s="11"/>
      <c r="R90" s="11"/>
      <c r="S90" s="11"/>
      <c r="W90" s="15"/>
    </row>
    <row r="91" spans="1:23" ht="13.2" thickBot="1" x14ac:dyDescent="0.25">
      <c r="B91" s="19" t="s">
        <v>1</v>
      </c>
      <c r="C91" s="18" t="s">
        <v>2</v>
      </c>
      <c r="D91" s="17" t="s">
        <v>49</v>
      </c>
      <c r="E91" s="130" t="s">
        <v>16</v>
      </c>
      <c r="F91" s="17" t="s">
        <v>18</v>
      </c>
      <c r="G91" s="73" t="s">
        <v>50</v>
      </c>
      <c r="H91" s="17" t="s">
        <v>51</v>
      </c>
      <c r="I91" s="30" t="s">
        <v>17</v>
      </c>
      <c r="L91" s="11"/>
      <c r="M91" s="11"/>
      <c r="N91" s="15"/>
      <c r="O91" s="11"/>
      <c r="Q91" s="11"/>
      <c r="R91" s="11"/>
      <c r="S91" s="11"/>
      <c r="W91" s="15"/>
    </row>
    <row r="92" spans="1:23" ht="12.75" customHeight="1" x14ac:dyDescent="0.2">
      <c r="B92" s="131" t="str">
        <f t="array" ref="B92">IF(ISERROR(INDEX('Eingabe Meldungen'!$C$2:$C$492,LARGE(('Eingabe Meldungen'!$A$2:$A$492=$B$90)*(ROW('Eingabe Meldungen'!$A$2:$A$492)-1),COUNTIF('Eingabe Meldungen'!$A$2:$A$492,$B$90)+1-ROW('Eingabe Meldungen'!A1)))),"",INDEX('Eingabe Meldungen'!$C$2:$C$492,LARGE(('Eingabe Meldungen'!$A$2:$A$492=$B$90)*(ROW('Eingabe Meldungen'!$A$2:$A$492)-1),COUNTIF('Eingabe Meldungen'!$A$2:$A$492,$B$90)+1-ROW('Eingabe Meldungen'!A1))))</f>
        <v>Schilling</v>
      </c>
      <c r="C92" s="132" t="str">
        <f t="array" ref="C92">IF(ISERROR(INDEX('Eingabe Meldungen'!$D$2:$D$492,LARGE(('Eingabe Meldungen'!$A$2:$A$492=$B$90)*(ROW('Eingabe Meldungen'!$A$2:$A$492)-1),COUNTIF('Eingabe Meldungen'!$A$2:$A$492,$B$90)+1-ROW('Eingabe Meldungen'!A1)))),"",INDEX('Eingabe Meldungen'!$D$2:$D$492,LARGE(('Eingabe Meldungen'!$A$2:$A$492=$B$90)*(ROW('Eingabe Meldungen'!$A$2:$A$492)-1),COUNTIF('Eingabe Meldungen'!$A$2:$A$492,$B$90)+1-ROW('Eingabe Meldungen'!A1))))</f>
        <v>Amelie</v>
      </c>
      <c r="D92" s="78">
        <f t="array" ref="D92">IF(B92&lt;&gt;"",INDEX('Eingabe Meldungen'!$C$2:$H$492,MATCH(B92&amp;C92,'Eingabe Meldungen'!$C$2:$C$492&amp;'Eingabe Meldungen'!$D$2:$D$492,0),6),"")</f>
        <v>2007</v>
      </c>
      <c r="E92" s="78" t="str">
        <f t="array" ref="E92">IF(B92&lt;&gt;"",INDEX('Eingabe Meldungen'!$C$2:$H$492,MATCH(B92&amp;C92,'Eingabe Meldungen'!$C$2:$C$492&amp;'Eingabe Meldungen'!$D$2:$D$492,0),4),"")</f>
        <v>Lgw. bis 50 kg</v>
      </c>
      <c r="F92" s="78">
        <v>1</v>
      </c>
      <c r="G92" s="133"/>
      <c r="H92" s="132" t="e">
        <f t="shared" ref="H92:H101" si="7">RANK(G92,$G$92:$G$101,1)</f>
        <v>#N/A</v>
      </c>
      <c r="I92" s="134" t="str">
        <f t="array" ref="I92">IF(B92&lt;&gt;"",INDEX('Eingabe Meldungen'!$C$2:$J$492,MATCH(B92&amp;C92,'Eingabe Meldungen'!$C$2:$C$492&amp;'Eingabe Meldungen'!$D$2:$D$492,0),8),"")</f>
        <v>RC Nürtingen</v>
      </c>
      <c r="L92" s="11"/>
      <c r="M92" s="11"/>
      <c r="N92" s="11"/>
      <c r="O92" s="11"/>
      <c r="R92" s="11"/>
      <c r="S92" s="11"/>
      <c r="W92" s="15"/>
    </row>
    <row r="93" spans="1:23" ht="12.75" customHeight="1" x14ac:dyDescent="0.2">
      <c r="B93" s="100" t="str">
        <f t="array" ref="B93">IF(ISERROR(INDEX('Eingabe Meldungen'!$C$2:$C$492,LARGE(('Eingabe Meldungen'!$A$2:$A$492=$B$90)*(ROW('Eingabe Meldungen'!$A$2:$A$492)-1),COUNTIF('Eingabe Meldungen'!$A$2:$A$492,$B$90)+1-ROW('Eingabe Meldungen'!A2)))),"",INDEX('Eingabe Meldungen'!$C$2:$C$492,LARGE(('Eingabe Meldungen'!$A$2:$A$492=$B$90)*(ROW('Eingabe Meldungen'!$A$2:$A$492)-1),COUNTIF('Eingabe Meldungen'!$A$2:$A$492,$B$90)+1-ROW('Eingabe Meldungen'!A2))))</f>
        <v>Deimel</v>
      </c>
      <c r="C93" s="4" t="str">
        <f t="array" ref="C93">IF(ISERROR(INDEX('Eingabe Meldungen'!$D$2:$D$492,LARGE(('Eingabe Meldungen'!$A$2:$A$492=$B$90)*(ROW('Eingabe Meldungen'!$A$2:$A$492)-1),COUNTIF('Eingabe Meldungen'!$A$2:$A$492,$B$90)+1-ROW('Eingabe Meldungen'!A2)))),"",INDEX('Eingabe Meldungen'!$D$2:$D$492,LARGE(('Eingabe Meldungen'!$A$2:$A$492=$B$90)*(ROW('Eingabe Meldungen'!$A$2:$A$492)-1),COUNTIF('Eingabe Meldungen'!$A$2:$A$492,$B$90)+1-ROW('Eingabe Meldungen'!A2))))</f>
        <v>Johanna</v>
      </c>
      <c r="D93" s="66">
        <f t="array" ref="D93">IF(B93&lt;&gt;"",INDEX('Eingabe Meldungen'!$C$2:$H$492,MATCH(B93&amp;C93,'Eingabe Meldungen'!$C$2:$C$492&amp;'Eingabe Meldungen'!$D$2:$D$492,0),6),"")</f>
        <v>2007</v>
      </c>
      <c r="E93" s="66" t="str">
        <f t="array" ref="E93">IF(B93&lt;&gt;"",INDEX('Eingabe Meldungen'!$C$2:$H$492,MATCH(B93&amp;C93,'Eingabe Meldungen'!$C$2:$C$492&amp;'Eingabe Meldungen'!$D$2:$D$492,0),4),"")</f>
        <v>Lgw. bis 50 kg</v>
      </c>
      <c r="F93" s="66">
        <v>2</v>
      </c>
      <c r="G93" s="135"/>
      <c r="H93" s="4" t="e">
        <f t="shared" si="7"/>
        <v>#N/A</v>
      </c>
      <c r="I93" s="136" t="str">
        <f t="array" ref="I93">IF(B93&lt;&gt;"",INDEX('Eingabe Meldungen'!$C$2:$J$492,MATCH(B93&amp;C93,'Eingabe Meldungen'!$C$2:$C$492&amp;'Eingabe Meldungen'!$D$2:$D$492,0),8),"")</f>
        <v>Mannheimer RV "Amicitia"</v>
      </c>
      <c r="J93" s="17"/>
      <c r="K93" s="18"/>
      <c r="L93" s="17"/>
      <c r="M93" s="17"/>
      <c r="N93" s="17"/>
      <c r="O93" s="17"/>
      <c r="P93" s="17"/>
      <c r="Q93" s="17"/>
      <c r="R93" s="11"/>
      <c r="S93" s="11"/>
      <c r="W93" s="15"/>
    </row>
    <row r="94" spans="1:23" ht="12.75" customHeight="1" x14ac:dyDescent="0.2">
      <c r="B94" s="100" t="str">
        <f t="array" ref="B94">IF(ISERROR(INDEX('Eingabe Meldungen'!$C$2:$C$492,LARGE(('Eingabe Meldungen'!$A$2:$A$492=$B$90)*(ROW('Eingabe Meldungen'!$A$2:$A$492)-1),COUNTIF('Eingabe Meldungen'!$A$2:$A$492,$B$90)+1-ROW('Eingabe Meldungen'!A3)))),"",INDEX('Eingabe Meldungen'!$C$2:$C$492,LARGE(('Eingabe Meldungen'!$A$2:$A$492=$B$90)*(ROW('Eingabe Meldungen'!$A$2:$A$492)-1),COUNTIF('Eingabe Meldungen'!$A$2:$A$492,$B$90)+1-ROW('Eingabe Meldungen'!A3))))</f>
        <v>Warning</v>
      </c>
      <c r="C94" s="4" t="str">
        <f t="array" ref="C94">IF(ISERROR(INDEX('Eingabe Meldungen'!$D$2:$D$492,LARGE(('Eingabe Meldungen'!$A$2:$A$492=$B$90)*(ROW('Eingabe Meldungen'!$A$2:$A$492)-1),COUNTIF('Eingabe Meldungen'!$A$2:$A$492,$B$90)+1-ROW('Eingabe Meldungen'!A3)))),"",INDEX('Eingabe Meldungen'!$D$2:$D$492,LARGE(('Eingabe Meldungen'!$A$2:$A$492=$B$90)*(ROW('Eingabe Meldungen'!$A$2:$A$492)-1),COUNTIF('Eingabe Meldungen'!$A$2:$A$492,$B$90)+1-ROW('Eingabe Meldungen'!A3))))</f>
        <v>Johanna</v>
      </c>
      <c r="D94" s="66">
        <f t="array" ref="D94">IF(B94&lt;&gt;"",INDEX('Eingabe Meldungen'!$C$2:$H$492,MATCH(B94&amp;C94,'Eingabe Meldungen'!$C$2:$C$492&amp;'Eingabe Meldungen'!$D$2:$D$492,0),6),"")</f>
        <v>2007</v>
      </c>
      <c r="E94" s="66" t="str">
        <f t="array" ref="E94">IF(B94&lt;&gt;"",INDEX('Eingabe Meldungen'!$C$2:$H$492,MATCH(B94&amp;C94,'Eingabe Meldungen'!$C$2:$C$492&amp;'Eingabe Meldungen'!$D$2:$D$492,0),4),"")</f>
        <v>Lgw. bis 50 kg</v>
      </c>
      <c r="F94" s="66">
        <v>3</v>
      </c>
      <c r="G94" s="135"/>
      <c r="H94" s="4" t="e">
        <f t="shared" si="7"/>
        <v>#N/A</v>
      </c>
      <c r="I94" s="136" t="str">
        <f t="array" ref="I94">IF(B94&lt;&gt;"",INDEX('Eingabe Meldungen'!$C$2:$J$492,MATCH(B94&amp;C94,'Eingabe Meldungen'!$C$2:$C$492&amp;'Eingabe Meldungen'!$D$2:$D$492,0),8),"")</f>
        <v>Stuttgart-Cannstatter RC</v>
      </c>
      <c r="J94" s="17"/>
      <c r="K94" s="18"/>
      <c r="L94" s="17"/>
      <c r="M94" s="17"/>
      <c r="N94" s="17"/>
      <c r="O94" s="17"/>
      <c r="P94" s="17"/>
      <c r="Q94" s="17"/>
      <c r="R94" s="11"/>
      <c r="S94" s="11"/>
      <c r="W94" s="15"/>
    </row>
    <row r="95" spans="1:23" ht="12.75" customHeight="1" x14ac:dyDescent="0.2">
      <c r="B95" s="100" t="str">
        <f t="array" ref="B95">IF(ISERROR(INDEX('Eingabe Meldungen'!$C$2:$C$492,LARGE(('Eingabe Meldungen'!$A$2:$A$492=$B$90)*(ROW('Eingabe Meldungen'!$A$2:$A$492)-1),COUNTIF('Eingabe Meldungen'!$A$2:$A$492,$B$90)+1-ROW('Eingabe Meldungen'!A4)))),"",INDEX('Eingabe Meldungen'!$C$2:$C$492,LARGE(('Eingabe Meldungen'!$A$2:$A$492=$B$90)*(ROW('Eingabe Meldungen'!$A$2:$A$492)-1),COUNTIF('Eingabe Meldungen'!$A$2:$A$492,$B$90)+1-ROW('Eingabe Meldungen'!A4))))</f>
        <v>Jonescheit</v>
      </c>
      <c r="C95" s="4" t="str">
        <f t="array" ref="C95">IF(ISERROR(INDEX('Eingabe Meldungen'!$D$2:$D$492,LARGE(('Eingabe Meldungen'!$A$2:$A$492=$B$90)*(ROW('Eingabe Meldungen'!$A$2:$A$492)-1),COUNTIF('Eingabe Meldungen'!$A$2:$A$492,$B$90)+1-ROW('Eingabe Meldungen'!A4)))),"",INDEX('Eingabe Meldungen'!$D$2:$D$492,LARGE(('Eingabe Meldungen'!$A$2:$A$492=$B$90)*(ROW('Eingabe Meldungen'!$A$2:$A$492)-1),COUNTIF('Eingabe Meldungen'!$A$2:$A$492,$B$90)+1-ROW('Eingabe Meldungen'!A4))))</f>
        <v>Zoë</v>
      </c>
      <c r="D95" s="66">
        <f t="array" ref="D95">IF(B95&lt;&gt;"",INDEX('Eingabe Meldungen'!$C$2:$H$492,MATCH(B95&amp;C95,'Eingabe Meldungen'!$C$2:$C$492&amp;'Eingabe Meldungen'!$D$2:$D$492,0),6),"")</f>
        <v>2007</v>
      </c>
      <c r="E95" s="66" t="str">
        <f t="array" ref="E95">IF(B95&lt;&gt;"",INDEX('Eingabe Meldungen'!$C$2:$H$492,MATCH(B95&amp;C95,'Eingabe Meldungen'!$C$2:$C$492&amp;'Eingabe Meldungen'!$D$2:$D$492,0),4),"")</f>
        <v>Lgw. bis 50 kg</v>
      </c>
      <c r="F95" s="66">
        <v>4</v>
      </c>
      <c r="G95" s="135"/>
      <c r="H95" s="4" t="e">
        <f t="shared" si="7"/>
        <v>#N/A</v>
      </c>
      <c r="I95" s="136" t="str">
        <f t="array" ref="I95">IF(B95&lt;&gt;"",INDEX('Eingabe Meldungen'!$C$2:$J$492,MATCH(B95&amp;C95,'Eingabe Meldungen'!$C$2:$C$492&amp;'Eingabe Meldungen'!$D$2:$D$492,0),8),"")</f>
        <v>Mannheimer RV "Amicitia"</v>
      </c>
      <c r="J95" s="17"/>
      <c r="K95" s="18"/>
      <c r="L95" s="17"/>
      <c r="M95" s="17"/>
      <c r="N95" s="17"/>
      <c r="O95" s="17"/>
      <c r="P95" s="17"/>
      <c r="Q95" s="17"/>
      <c r="R95" s="11"/>
      <c r="S95" s="11"/>
      <c r="W95" s="15"/>
    </row>
    <row r="96" spans="1:23" ht="12.75" customHeight="1" x14ac:dyDescent="0.2">
      <c r="B96" s="100" t="str">
        <f t="array" ref="B96">IF(ISERROR(INDEX('Eingabe Meldungen'!$C$2:$C$492,LARGE(('Eingabe Meldungen'!$A$2:$A$492=$B$90)*(ROW('Eingabe Meldungen'!$A$2:$A$492)-1),COUNTIF('Eingabe Meldungen'!$A$2:$A$492,$B$90)+1-ROW('Eingabe Meldungen'!A5)))),"",INDEX('Eingabe Meldungen'!$C$2:$C$492,LARGE(('Eingabe Meldungen'!$A$2:$A$492=$B$90)*(ROW('Eingabe Meldungen'!$A$2:$A$492)-1),COUNTIF('Eingabe Meldungen'!$A$2:$A$492,$B$90)+1-ROW('Eingabe Meldungen'!A5))))</f>
        <v>Grünewald</v>
      </c>
      <c r="C96" s="4" t="str">
        <f t="array" ref="C96">IF(ISERROR(INDEX('Eingabe Meldungen'!$D$2:$D$492,LARGE(('Eingabe Meldungen'!$A$2:$A$492=$B$90)*(ROW('Eingabe Meldungen'!$A$2:$A$492)-1),COUNTIF('Eingabe Meldungen'!$A$2:$A$492,$B$90)+1-ROW('Eingabe Meldungen'!A5)))),"",INDEX('Eingabe Meldungen'!$D$2:$D$492,LARGE(('Eingabe Meldungen'!$A$2:$A$492=$B$90)*(ROW('Eingabe Meldungen'!$A$2:$A$492)-1),COUNTIF('Eingabe Meldungen'!$A$2:$A$492,$B$90)+1-ROW('Eingabe Meldungen'!A5))))</f>
        <v>Julika</v>
      </c>
      <c r="D96" s="66">
        <f t="array" ref="D96">IF(B96&lt;&gt;"",INDEX('Eingabe Meldungen'!$C$2:$H$492,MATCH(B96&amp;C96,'Eingabe Meldungen'!$C$2:$C$492&amp;'Eingabe Meldungen'!$D$2:$D$492,0),6),"")</f>
        <v>2008</v>
      </c>
      <c r="E96" s="66" t="str">
        <f t="array" ref="E96">IF(B96&lt;&gt;"",INDEX('Eingabe Meldungen'!$C$2:$H$492,MATCH(B96&amp;C96,'Eingabe Meldungen'!$C$2:$C$492&amp;'Eingabe Meldungen'!$D$2:$D$492,0),4),"")</f>
        <v>Lgw. bis 50 kg</v>
      </c>
      <c r="F96" s="66">
        <v>5</v>
      </c>
      <c r="G96" s="135"/>
      <c r="H96" s="4" t="e">
        <f t="shared" si="7"/>
        <v>#N/A</v>
      </c>
      <c r="I96" s="136" t="str">
        <f t="array" ref="I96">IF(B96&lt;&gt;"",INDEX('Eingabe Meldungen'!$C$2:$J$492,MATCH(B96&amp;C96,'Eingabe Meldungen'!$C$2:$C$492&amp;'Eingabe Meldungen'!$D$2:$D$492,0),8),"")</f>
        <v>Marbacher Ruderverein</v>
      </c>
      <c r="J96" s="17"/>
      <c r="K96" s="18"/>
      <c r="L96" s="17"/>
      <c r="M96" s="17"/>
      <c r="N96" s="17"/>
      <c r="O96" s="17"/>
      <c r="P96" s="17"/>
      <c r="Q96" s="17"/>
      <c r="R96" s="11"/>
      <c r="S96" s="11"/>
      <c r="W96" s="15"/>
    </row>
    <row r="97" spans="1:23" ht="12.75" customHeight="1" x14ac:dyDescent="0.2">
      <c r="B97" s="100" t="str">
        <f t="array" ref="B97">IF(ISERROR(INDEX('Eingabe Meldungen'!$C$2:$C$492,LARGE(('Eingabe Meldungen'!$A$2:$A$492=$B$90)*(ROW('Eingabe Meldungen'!$A$2:$A$492)-1),COUNTIF('Eingabe Meldungen'!$A$2:$A$492,$B$90)+1-ROW('Eingabe Meldungen'!A6)))),"",INDEX('Eingabe Meldungen'!$C$2:$C$492,LARGE(('Eingabe Meldungen'!$A$2:$A$492=$B$90)*(ROW('Eingabe Meldungen'!$A$2:$A$492)-1),COUNTIF('Eingabe Meldungen'!$A$2:$A$492,$B$90)+1-ROW('Eingabe Meldungen'!A6))))</f>
        <v/>
      </c>
      <c r="C97" s="4" t="str">
        <f t="array" ref="C97">IF(ISERROR(INDEX('Eingabe Meldungen'!$D$2:$D$492,LARGE(('Eingabe Meldungen'!$A$2:$A$492=$B$90)*(ROW('Eingabe Meldungen'!$A$2:$A$492)-1),COUNTIF('Eingabe Meldungen'!$A$2:$A$492,$B$90)+1-ROW('Eingabe Meldungen'!A6)))),"",INDEX('Eingabe Meldungen'!$D$2:$D$492,LARGE(('Eingabe Meldungen'!$A$2:$A$492=$B$90)*(ROW('Eingabe Meldungen'!$A$2:$A$492)-1),COUNTIF('Eingabe Meldungen'!$A$2:$A$492,$B$90)+1-ROW('Eingabe Meldungen'!A6))))</f>
        <v/>
      </c>
      <c r="D97" s="66" t="str">
        <f t="array" ref="D97">IF(B97&lt;&gt;"",INDEX('Eingabe Meldungen'!$C$2:$H$492,MATCH(B97&amp;C97,'Eingabe Meldungen'!$C$2:$C$492&amp;'Eingabe Meldungen'!$D$2:$D$492,0),6),"")</f>
        <v/>
      </c>
      <c r="E97" s="66" t="str">
        <f t="array" ref="E97">IF(B97&lt;&gt;"",INDEX('Eingabe Meldungen'!$C$2:$H$492,MATCH(B97&amp;C97,'Eingabe Meldungen'!$C$2:$C$492&amp;'Eingabe Meldungen'!$D$2:$D$492,0),4),"")</f>
        <v/>
      </c>
      <c r="F97" s="66">
        <v>6</v>
      </c>
      <c r="G97" s="135"/>
      <c r="H97" s="4" t="e">
        <f t="shared" si="7"/>
        <v>#N/A</v>
      </c>
      <c r="I97" s="136" t="str">
        <f t="array" ref="I97">IF(B97&lt;&gt;"",INDEX('Eingabe Meldungen'!$C$2:$J$492,MATCH(B97&amp;C97,'Eingabe Meldungen'!$C$2:$C$492&amp;'Eingabe Meldungen'!$D$2:$D$492,0),8),"")</f>
        <v/>
      </c>
      <c r="J97" s="17"/>
      <c r="K97" s="18"/>
      <c r="L97" s="17"/>
      <c r="M97" s="17"/>
      <c r="N97" s="17"/>
      <c r="O97" s="17"/>
      <c r="P97" s="17"/>
      <c r="Q97" s="17"/>
      <c r="R97" s="11"/>
      <c r="S97" s="11"/>
      <c r="W97" s="15"/>
    </row>
    <row r="98" spans="1:23" ht="12.75" customHeight="1" x14ac:dyDescent="0.2">
      <c r="B98" s="100" t="str">
        <f t="array" ref="B98">IF(ISERROR(INDEX('Eingabe Meldungen'!$C$2:$C$492,LARGE(('Eingabe Meldungen'!$A$2:$A$492=$B$90)*(ROW('Eingabe Meldungen'!$A$2:$A$492)-1),COUNTIF('Eingabe Meldungen'!$A$2:$A$492,$B$90)+1-ROW('Eingabe Meldungen'!A7)))),"",INDEX('Eingabe Meldungen'!$C$2:$C$492,LARGE(('Eingabe Meldungen'!$A$2:$A$492=$B$90)*(ROW('Eingabe Meldungen'!$A$2:$A$492)-1),COUNTIF('Eingabe Meldungen'!$A$2:$A$492,$B$90)+1-ROW('Eingabe Meldungen'!A7))))</f>
        <v/>
      </c>
      <c r="C98" s="4" t="str">
        <f t="array" ref="C98">IF(ISERROR(INDEX('Eingabe Meldungen'!$D$2:$D$492,LARGE(('Eingabe Meldungen'!$A$2:$A$492=$B$90)*(ROW('Eingabe Meldungen'!$A$2:$A$492)-1),COUNTIF('Eingabe Meldungen'!$A$2:$A$492,$B$90)+1-ROW('Eingabe Meldungen'!A7)))),"",INDEX('Eingabe Meldungen'!$D$2:$D$492,LARGE(('Eingabe Meldungen'!$A$2:$A$492=$B$90)*(ROW('Eingabe Meldungen'!$A$2:$A$492)-1),COUNTIF('Eingabe Meldungen'!$A$2:$A$492,$B$90)+1-ROW('Eingabe Meldungen'!A7))))</f>
        <v/>
      </c>
      <c r="D98" s="66" t="str">
        <f t="array" ref="D98">IF(B98&lt;&gt;"",INDEX('Eingabe Meldungen'!$C$2:$H$492,MATCH(B98&amp;C98,'Eingabe Meldungen'!$C$2:$C$492&amp;'Eingabe Meldungen'!$D$2:$D$492,0),6),"")</f>
        <v/>
      </c>
      <c r="E98" s="66" t="str">
        <f t="array" ref="E98">IF(B98&lt;&gt;"",INDEX('Eingabe Meldungen'!$C$2:$H$492,MATCH(B98&amp;C98,'Eingabe Meldungen'!$C$2:$C$492&amp;'Eingabe Meldungen'!$D$2:$D$492,0),4),"")</f>
        <v/>
      </c>
      <c r="F98" s="66">
        <v>7</v>
      </c>
      <c r="G98" s="135"/>
      <c r="H98" s="4" t="e">
        <f t="shared" si="7"/>
        <v>#N/A</v>
      </c>
      <c r="I98" s="136" t="str">
        <f t="array" ref="I98">IF(B98&lt;&gt;"",INDEX('Eingabe Meldungen'!$C$2:$J$492,MATCH(B98&amp;C98,'Eingabe Meldungen'!$C$2:$C$492&amp;'Eingabe Meldungen'!$D$2:$D$492,0),8),"")</f>
        <v/>
      </c>
      <c r="J98" s="17"/>
      <c r="K98" s="18"/>
      <c r="L98" s="17"/>
      <c r="M98" s="17"/>
      <c r="N98" s="17"/>
      <c r="O98" s="17"/>
      <c r="P98" s="17"/>
      <c r="Q98" s="17"/>
      <c r="R98" s="11"/>
      <c r="S98" s="11"/>
      <c r="W98" s="15"/>
    </row>
    <row r="99" spans="1:23" ht="12.75" customHeight="1" x14ac:dyDescent="0.2">
      <c r="B99" s="100" t="str">
        <f t="array" ref="B99">IF(ISERROR(INDEX('Eingabe Meldungen'!$C$2:$C$492,LARGE(('Eingabe Meldungen'!$A$2:$A$492=$B$90)*(ROW('Eingabe Meldungen'!$A$2:$A$492)-1),COUNTIF('Eingabe Meldungen'!$A$2:$A$492,$B$90)+1-ROW('Eingabe Meldungen'!A8)))),"",INDEX('Eingabe Meldungen'!$C$2:$C$492,LARGE(('Eingabe Meldungen'!$A$2:$A$492=$B$90)*(ROW('Eingabe Meldungen'!$A$2:$A$492)-1),COUNTIF('Eingabe Meldungen'!$A$2:$A$492,$B$90)+1-ROW('Eingabe Meldungen'!A8))))</f>
        <v/>
      </c>
      <c r="C99" s="4" t="str">
        <f t="array" ref="C99">IF(ISERROR(INDEX('Eingabe Meldungen'!$D$2:$D$492,LARGE(('Eingabe Meldungen'!$A$2:$A$492=$B$90)*(ROW('Eingabe Meldungen'!$A$2:$A$492)-1),COUNTIF('Eingabe Meldungen'!$A$2:$A$492,$B$90)+1-ROW('Eingabe Meldungen'!A8)))),"",INDEX('Eingabe Meldungen'!$D$2:$D$492,LARGE(('Eingabe Meldungen'!$A$2:$A$492=$B$90)*(ROW('Eingabe Meldungen'!$A$2:$A$492)-1),COUNTIF('Eingabe Meldungen'!$A$2:$A$492,$B$90)+1-ROW('Eingabe Meldungen'!A8))))</f>
        <v/>
      </c>
      <c r="D99" s="66" t="str">
        <f t="array" ref="D99">IF(B99&lt;&gt;"",INDEX('Eingabe Meldungen'!$C$2:$H$492,MATCH(B99&amp;C99,'Eingabe Meldungen'!$C$2:$C$492&amp;'Eingabe Meldungen'!$D$2:$D$492,0),6),"")</f>
        <v/>
      </c>
      <c r="E99" s="66" t="str">
        <f t="array" ref="E99">IF(B99&lt;&gt;"",INDEX('Eingabe Meldungen'!$C$2:$H$492,MATCH(B99&amp;C99,'Eingabe Meldungen'!$C$2:$C$492&amp;'Eingabe Meldungen'!$D$2:$D$492,0),4),"")</f>
        <v/>
      </c>
      <c r="F99" s="66">
        <v>8</v>
      </c>
      <c r="G99" s="135"/>
      <c r="H99" s="4" t="e">
        <f t="shared" si="7"/>
        <v>#N/A</v>
      </c>
      <c r="I99" s="136" t="str">
        <f t="array" ref="I99">IF(B99&lt;&gt;"",INDEX('Eingabe Meldungen'!$C$2:$J$492,MATCH(B99&amp;C99,'Eingabe Meldungen'!$C$2:$C$492&amp;'Eingabe Meldungen'!$D$2:$D$492,0),8),"")</f>
        <v/>
      </c>
      <c r="J99" s="17"/>
      <c r="K99" s="18"/>
      <c r="L99" s="17"/>
      <c r="M99" s="17"/>
      <c r="N99" s="17"/>
      <c r="O99" s="17"/>
      <c r="P99" s="17"/>
      <c r="Q99" s="17"/>
      <c r="R99" s="11"/>
      <c r="S99" s="11"/>
      <c r="W99" s="15"/>
    </row>
    <row r="100" spans="1:23" ht="12.75" customHeight="1" x14ac:dyDescent="0.2">
      <c r="B100" s="100" t="str">
        <f t="array" ref="B100">IF(ISERROR(INDEX('Eingabe Meldungen'!$C$2:$C$492,LARGE(('Eingabe Meldungen'!$A$2:$A$492=$B$90)*(ROW('Eingabe Meldungen'!$A$2:$A$492)-1),COUNTIF('Eingabe Meldungen'!$A$2:$A$492,$B$90)+1-ROW('Eingabe Meldungen'!A9)))),"",INDEX('Eingabe Meldungen'!$C$2:$C$492,LARGE(('Eingabe Meldungen'!$A$2:$A$492=$B$90)*(ROW('Eingabe Meldungen'!$A$2:$A$492)-1),COUNTIF('Eingabe Meldungen'!$A$2:$A$492,$B$90)+1-ROW('Eingabe Meldungen'!A9))))</f>
        <v/>
      </c>
      <c r="C100" s="4" t="str">
        <f t="array" ref="C100">IF(ISERROR(INDEX('Eingabe Meldungen'!$D$2:$D$492,LARGE(('Eingabe Meldungen'!$A$2:$A$492=$B$90)*(ROW('Eingabe Meldungen'!$A$2:$A$492)-1),COUNTIF('Eingabe Meldungen'!$A$2:$A$492,$B$90)+1-ROW('Eingabe Meldungen'!A9)))),"",INDEX('Eingabe Meldungen'!$D$2:$D$492,LARGE(('Eingabe Meldungen'!$A$2:$A$492=$B$90)*(ROW('Eingabe Meldungen'!$A$2:$A$492)-1),COUNTIF('Eingabe Meldungen'!$A$2:$A$492,$B$90)+1-ROW('Eingabe Meldungen'!A9))))</f>
        <v/>
      </c>
      <c r="D100" s="66" t="str">
        <f t="array" ref="D100">IF(B100&lt;&gt;"",INDEX('Eingabe Meldungen'!$C$2:$H$492,MATCH(B100&amp;C100,'Eingabe Meldungen'!$C$2:$C$492&amp;'Eingabe Meldungen'!$D$2:$D$492,0),6),"")</f>
        <v/>
      </c>
      <c r="E100" s="66" t="str">
        <f t="array" ref="E100">IF(B100&lt;&gt;"",INDEX('Eingabe Meldungen'!$C$2:$H$492,MATCH(B100&amp;C100,'Eingabe Meldungen'!$C$2:$C$492&amp;'Eingabe Meldungen'!$D$2:$D$492,0),4),"")</f>
        <v/>
      </c>
      <c r="F100" s="66">
        <v>9</v>
      </c>
      <c r="G100" s="135"/>
      <c r="H100" s="4" t="e">
        <f t="shared" si="7"/>
        <v>#N/A</v>
      </c>
      <c r="I100" s="136" t="str">
        <f t="array" ref="I100">IF(B100&lt;&gt;"",INDEX('Eingabe Meldungen'!$C$2:$J$492,MATCH(B100&amp;C100,'Eingabe Meldungen'!$C$2:$C$492&amp;'Eingabe Meldungen'!$D$2:$D$492,0),8),"")</f>
        <v/>
      </c>
      <c r="J100" s="17"/>
      <c r="K100" s="18"/>
      <c r="L100" s="17"/>
      <c r="M100" s="17"/>
      <c r="N100" s="17"/>
      <c r="O100" s="17"/>
      <c r="P100" s="17"/>
      <c r="Q100" s="17"/>
      <c r="R100" s="11"/>
      <c r="S100" s="11"/>
      <c r="W100" s="15"/>
    </row>
    <row r="101" spans="1:23" ht="12.75" customHeight="1" thickBot="1" x14ac:dyDescent="0.25">
      <c r="B101" s="138" t="str">
        <f t="array" ref="B101">IF(ISERROR(INDEX('Eingabe Meldungen'!$C$2:$C$492,LARGE(('Eingabe Meldungen'!$A$2:$A$492=$B$90)*(ROW('Eingabe Meldungen'!$A$2:$A$492)-1),COUNTIF('Eingabe Meldungen'!$A$2:$A$492,$B$90)+1-ROW('Eingabe Meldungen'!A10)))),"",INDEX('Eingabe Meldungen'!$C$2:$C$492,LARGE(('Eingabe Meldungen'!$A$2:$A$492=$B$90)*(ROW('Eingabe Meldungen'!$A$2:$A$492)-1),COUNTIF('Eingabe Meldungen'!$A$2:$A$492,$B$90)+1-ROW('Eingabe Meldungen'!A10))))</f>
        <v/>
      </c>
      <c r="C101" s="139" t="str">
        <f t="array" ref="C101">IF(ISERROR(INDEX('Eingabe Meldungen'!$D$2:$D$492,LARGE(('Eingabe Meldungen'!$A$2:$A$492=$B$90)*(ROW('Eingabe Meldungen'!$A$2:$A$492)-1),COUNTIF('Eingabe Meldungen'!$A$2:$A$492,$B$90)+1-ROW('Eingabe Meldungen'!A10)))),"",INDEX('Eingabe Meldungen'!$D$2:$D$492,LARGE(('Eingabe Meldungen'!$A$2:$A$492=$B$90)*(ROW('Eingabe Meldungen'!$A$2:$A$492)-1),COUNTIF('Eingabe Meldungen'!$A$2:$A$492,$B$90)+1-ROW('Eingabe Meldungen'!A10))))</f>
        <v/>
      </c>
      <c r="D101" s="99" t="str">
        <f t="array" ref="D101">IF(B101&lt;&gt;"",INDEX('Eingabe Meldungen'!$C$2:$H$492,MATCH(B101&amp;C101,'Eingabe Meldungen'!$C$2:$C$492&amp;'Eingabe Meldungen'!$D$2:$D$492,0),6),"")</f>
        <v/>
      </c>
      <c r="E101" s="99" t="str">
        <f t="array" ref="E101">IF(B101&lt;&gt;"",INDEX('Eingabe Meldungen'!$C$2:$H$492,MATCH(B101&amp;C101,'Eingabe Meldungen'!$C$2:$C$492&amp;'Eingabe Meldungen'!$D$2:$D$492,0),4),"")</f>
        <v/>
      </c>
      <c r="F101" s="99">
        <v>10</v>
      </c>
      <c r="G101" s="143"/>
      <c r="H101" s="139" t="e">
        <f t="shared" si="7"/>
        <v>#N/A</v>
      </c>
      <c r="I101" s="141" t="str">
        <f t="array" ref="I101">IF(B101&lt;&gt;"",INDEX('Eingabe Meldungen'!$C$2:$J$492,MATCH(B101&amp;C101,'Eingabe Meldungen'!$C$2:$C$492&amp;'Eingabe Meldungen'!$D$2:$D$492,0),8),"")</f>
        <v/>
      </c>
      <c r="J101" s="17"/>
      <c r="K101" s="18"/>
      <c r="L101" s="17"/>
      <c r="M101" s="17"/>
      <c r="N101" s="17"/>
      <c r="O101" s="17"/>
      <c r="P101" s="17"/>
      <c r="Q101" s="17"/>
      <c r="R101" s="11"/>
      <c r="S101" s="11"/>
      <c r="W101" s="15"/>
    </row>
    <row r="102" spans="1:23" ht="12.75" customHeight="1" thickBo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6"/>
      <c r="N102" s="17"/>
      <c r="O102" s="17"/>
      <c r="P102" s="17"/>
      <c r="Q102" s="17"/>
      <c r="R102" s="11"/>
      <c r="S102" s="11"/>
      <c r="W102" s="15"/>
    </row>
    <row r="103" spans="1:23" ht="26.25" customHeight="1" x14ac:dyDescent="0.2">
      <c r="B103" s="26">
        <f>B90+1</f>
        <v>6</v>
      </c>
      <c r="C103" s="65" t="str">
        <f>VLOOKUP(B103,Ausschreibung!$B$5:$I$35,2,FALSE)</f>
        <v>Ergocup</v>
      </c>
      <c r="D103" s="27">
        <f>VLOOKUP(B103,Ausschreibung!$B$5:$I$35,3,FALSE)</f>
        <v>0.5083333333333333</v>
      </c>
      <c r="E103" s="65" t="s">
        <v>494</v>
      </c>
      <c r="F103" s="65" t="str">
        <f>VLOOKUP(B103,Ausschreibung!$B$5:$I$35,5,FALSE)</f>
        <v>-</v>
      </c>
      <c r="G103" s="65" t="str">
        <f>VLOOKUP(B103,Ausschreibung!$B$5:$I$35,6,FALSE)</f>
        <v>13 und jünger</v>
      </c>
      <c r="H103" s="65" t="str">
        <f>VLOOKUP(B103,Ausschreibung!$B$5:$I$35,8,FALSE)</f>
        <v>1000 m</v>
      </c>
      <c r="I103" s="28"/>
      <c r="L103" s="11"/>
      <c r="M103" s="11"/>
      <c r="N103" s="15"/>
      <c r="O103" s="11"/>
      <c r="R103" s="11"/>
      <c r="S103" s="11"/>
      <c r="W103" s="15"/>
    </row>
    <row r="104" spans="1:23" ht="13.2" thickBot="1" x14ac:dyDescent="0.25">
      <c r="B104" s="19" t="s">
        <v>1</v>
      </c>
      <c r="C104" s="18" t="s">
        <v>2</v>
      </c>
      <c r="D104" s="17" t="s">
        <v>49</v>
      </c>
      <c r="E104" s="130" t="s">
        <v>16</v>
      </c>
      <c r="F104" s="17" t="s">
        <v>18</v>
      </c>
      <c r="G104" s="73" t="s">
        <v>50</v>
      </c>
      <c r="H104" s="17" t="s">
        <v>51</v>
      </c>
      <c r="I104" s="30" t="s">
        <v>17</v>
      </c>
      <c r="L104" s="11"/>
      <c r="M104" s="11"/>
      <c r="N104" s="15"/>
      <c r="O104" s="11"/>
      <c r="R104" s="11"/>
      <c r="S104" s="11"/>
      <c r="W104" s="15"/>
    </row>
    <row r="105" spans="1:23" ht="12.75" customHeight="1" x14ac:dyDescent="0.2">
      <c r="B105" s="131" t="str">
        <f t="array" ref="B105">IF(ISERROR(INDEX('Eingabe Meldungen'!$C$2:$C$492,LARGE(('Eingabe Meldungen'!$A$2:$A$492=$B$103)*(ROW('Eingabe Meldungen'!$A$2:$A$492)-1),COUNTIF('Eingabe Meldungen'!$A$2:$A$492,$B$103)+1-ROW('Eingabe Meldungen'!A1)))),"",INDEX('Eingabe Meldungen'!$C$2:$C$492,LARGE(('Eingabe Meldungen'!$A$2:$A$492=$B$103)*(ROW('Eingabe Meldungen'!$A$2:$A$492)-1),COUNTIF('Eingabe Meldungen'!$A$2:$A$492,$B$103)+1-ROW('Eingabe Meldungen'!A1))))</f>
        <v>Gathmann</v>
      </c>
      <c r="C105" s="132" t="str">
        <f t="array" ref="C105">IF(ISERROR(INDEX('Eingabe Meldungen'!$D$2:$D$492,LARGE(('Eingabe Meldungen'!$A$2:$A$492=$B$103)*(ROW('Eingabe Meldungen'!$A$2:$A$492)-1),COUNTIF('Eingabe Meldungen'!$A$2:$A$492,$B$103)+1-ROW('Eingabe Meldungen'!A1)))),"",INDEX('Eingabe Meldungen'!$D$2:$D$492,LARGE(('Eingabe Meldungen'!$A$2:$A$492=$B$103)*(ROW('Eingabe Meldungen'!$A$2:$A$492)-1),COUNTIF('Eingabe Meldungen'!$A$2:$A$492,$B$103)+1-ROW('Eingabe Meldungen'!A1))))</f>
        <v>Johanna</v>
      </c>
      <c r="D105" s="78">
        <f t="array" ref="D105">IF(B105&lt;&gt;"",INDEX('Eingabe Meldungen'!$C$2:$H$492,MATCH(B105&amp;C105,'Eingabe Meldungen'!$C$2:$C$492&amp;'Eingabe Meldungen'!$D$2:$D$492,0),6),"")</f>
        <v>2007</v>
      </c>
      <c r="E105" s="78" t="str">
        <f t="array" ref="E105">IF(B105&lt;&gt;"",INDEX('Eingabe Meldungen'!$C$2:$H$492,MATCH(B105&amp;C105,'Eingabe Meldungen'!$C$2:$C$492&amp;'Eingabe Meldungen'!$D$2:$D$492,0),4),"")</f>
        <v>-</v>
      </c>
      <c r="F105" s="78">
        <v>1</v>
      </c>
      <c r="G105" s="133"/>
      <c r="H105" s="132" t="e">
        <f t="shared" ref="H105:H106" si="8">RANK(G105,$G$105:$G$114,1)</f>
        <v>#N/A</v>
      </c>
      <c r="I105" s="134" t="str">
        <f t="array" ref="I105">IF(B105&lt;&gt;"",INDEX('Eingabe Meldungen'!$C$2:$J$492,MATCH(B105&amp;C105,'Eingabe Meldungen'!$C$2:$C$492&amp;'Eingabe Meldungen'!$D$2:$D$492,0),8),"")</f>
        <v>Stuttgart-Cannstatter RC</v>
      </c>
      <c r="L105" s="11"/>
      <c r="M105" s="11"/>
      <c r="N105" s="15"/>
      <c r="O105" s="11"/>
      <c r="R105" s="11"/>
      <c r="S105" s="11"/>
      <c r="W105" s="15"/>
    </row>
    <row r="106" spans="1:23" ht="12.75" customHeight="1" x14ac:dyDescent="0.2">
      <c r="B106" s="100" t="str">
        <f t="array" ref="B106">IF(ISERROR(INDEX('Eingabe Meldungen'!$C$2:$C$492,LARGE(('Eingabe Meldungen'!$A$2:$A$492=$B$103)*(ROW('Eingabe Meldungen'!$A$2:$A$492)-1),COUNTIF('Eingabe Meldungen'!$A$2:$A$492,$B$103)+1-ROW('Eingabe Meldungen'!A2)))),"",INDEX('Eingabe Meldungen'!$C$2:$C$492,LARGE(('Eingabe Meldungen'!$A$2:$A$492=$B$103)*(ROW('Eingabe Meldungen'!$A$2:$A$492)-1),COUNTIF('Eingabe Meldungen'!$A$2:$A$492,$B$103)+1-ROW('Eingabe Meldungen'!A2))))</f>
        <v>Schulze</v>
      </c>
      <c r="C106" s="4" t="str">
        <f t="array" ref="C106">IF(ISERROR(INDEX('Eingabe Meldungen'!$D$2:$D$492,LARGE(('Eingabe Meldungen'!$A$2:$A$492=$B$103)*(ROW('Eingabe Meldungen'!$A$2:$A$492)-1),COUNTIF('Eingabe Meldungen'!$A$2:$A$492,$B$103)+1-ROW('Eingabe Meldungen'!A2)))),"",INDEX('Eingabe Meldungen'!$D$2:$D$492,LARGE(('Eingabe Meldungen'!$A$2:$A$492=$B$103)*(ROW('Eingabe Meldungen'!$A$2:$A$492)-1),COUNTIF('Eingabe Meldungen'!$A$2:$A$492,$B$103)+1-ROW('Eingabe Meldungen'!A2))))</f>
        <v>Lisann</v>
      </c>
      <c r="D106" s="66">
        <f t="array" ref="D106">IF(B106&lt;&gt;"",INDEX('Eingabe Meldungen'!$C$2:$H$492,MATCH(B106&amp;C106,'Eingabe Meldungen'!$C$2:$C$492&amp;'Eingabe Meldungen'!$D$2:$D$492,0),6),"")</f>
        <v>2007</v>
      </c>
      <c r="E106" s="66" t="str">
        <f t="array" ref="E106">IF(B106&lt;&gt;"",INDEX('Eingabe Meldungen'!$C$2:$H$492,MATCH(B106&amp;C106,'Eingabe Meldungen'!$C$2:$C$492&amp;'Eingabe Meldungen'!$D$2:$D$492,0),4),"")</f>
        <v>-</v>
      </c>
      <c r="F106" s="66">
        <v>2</v>
      </c>
      <c r="G106" s="135"/>
      <c r="H106" s="4" t="e">
        <f t="shared" si="8"/>
        <v>#N/A</v>
      </c>
      <c r="I106" s="136" t="str">
        <f t="array" ref="I106">IF(B106&lt;&gt;"",INDEX('Eingabe Meldungen'!$C$2:$J$492,MATCH(B106&amp;C106,'Eingabe Meldungen'!$C$2:$C$492&amp;'Eingabe Meldungen'!$D$2:$D$492,0),8),"")</f>
        <v>Mannheimer RV "Amicitia"</v>
      </c>
      <c r="L106" s="11"/>
      <c r="M106" s="11"/>
      <c r="N106" s="15"/>
      <c r="O106" s="11"/>
      <c r="R106" s="11"/>
      <c r="S106" s="11"/>
      <c r="W106" s="15"/>
    </row>
    <row r="107" spans="1:23" ht="12.75" customHeight="1" x14ac:dyDescent="0.2">
      <c r="B107" s="100" t="str">
        <f t="array" ref="B107">IF(ISERROR(INDEX('Eingabe Meldungen'!$C$2:$C$492,LARGE(('Eingabe Meldungen'!$A$2:$A$492=$B$103)*(ROW('Eingabe Meldungen'!$A$2:$A$492)-1),COUNTIF('Eingabe Meldungen'!$A$2:$A$492,$B$103)+1-ROW('Eingabe Meldungen'!A3)))),"",INDEX('Eingabe Meldungen'!$C$2:$C$492,LARGE(('Eingabe Meldungen'!$A$2:$A$492=$B$103)*(ROW('Eingabe Meldungen'!$A$2:$A$492)-1),COUNTIF('Eingabe Meldungen'!$A$2:$A$492,$B$103)+1-ROW('Eingabe Meldungen'!A3))))</f>
        <v>Lehmann</v>
      </c>
      <c r="C107" s="4" t="str">
        <f t="array" ref="C107">IF(ISERROR(INDEX('Eingabe Meldungen'!$D$2:$D$492,LARGE(('Eingabe Meldungen'!$A$2:$A$492=$B$103)*(ROW('Eingabe Meldungen'!$A$2:$A$492)-1),COUNTIF('Eingabe Meldungen'!$A$2:$A$492,$B$103)+1-ROW('Eingabe Meldungen'!A3)))),"",INDEX('Eingabe Meldungen'!$D$2:$D$492,LARGE(('Eingabe Meldungen'!$A$2:$A$492=$B$103)*(ROW('Eingabe Meldungen'!$A$2:$A$492)-1),COUNTIF('Eingabe Meldungen'!$A$2:$A$492,$B$103)+1-ROW('Eingabe Meldungen'!A3))))</f>
        <v>Madeleine</v>
      </c>
      <c r="D107" s="66">
        <f t="array" ref="D107">IF(B107&lt;&gt;"",INDEX('Eingabe Meldungen'!$C$2:$H$492,MATCH(B107&amp;C107,'Eingabe Meldungen'!$C$2:$C$492&amp;'Eingabe Meldungen'!$D$2:$D$492,0),6),"")</f>
        <v>2007</v>
      </c>
      <c r="E107" s="66" t="str">
        <f t="array" ref="E107">IF(B107&lt;&gt;"",INDEX('Eingabe Meldungen'!$C$2:$H$492,MATCH(B107&amp;C107,'Eingabe Meldungen'!$C$2:$C$492&amp;'Eingabe Meldungen'!$D$2:$D$492,0),4),"")</f>
        <v>-</v>
      </c>
      <c r="F107" s="66">
        <v>3</v>
      </c>
      <c r="G107" s="135"/>
      <c r="H107" s="4" t="e">
        <f t="shared" ref="H107:H114" si="9">RANK(G107,$G$105:$G$114,1)</f>
        <v>#N/A</v>
      </c>
      <c r="I107" s="136" t="str">
        <f t="array" ref="I107">IF(B107&lt;&gt;"",INDEX('Eingabe Meldungen'!$C$2:$J$492,MATCH(B107&amp;C107,'Eingabe Meldungen'!$C$2:$C$492&amp;'Eingabe Meldungen'!$D$2:$D$492,0),8),"")</f>
        <v>RV Waldsee</v>
      </c>
      <c r="L107" s="11"/>
      <c r="M107" s="11"/>
      <c r="N107" s="15"/>
      <c r="O107" s="11"/>
      <c r="R107" s="11"/>
      <c r="S107" s="11"/>
      <c r="W107" s="15"/>
    </row>
    <row r="108" spans="1:23" ht="12.75" customHeight="1" x14ac:dyDescent="0.2">
      <c r="B108" s="100" t="str">
        <f t="array" ref="B108">IF(ISERROR(INDEX('Eingabe Meldungen'!$C$2:$C$492,LARGE(('Eingabe Meldungen'!$A$2:$A$492=$B$103)*(ROW('Eingabe Meldungen'!$A$2:$A$492)-1),COUNTIF('Eingabe Meldungen'!$A$2:$A$492,$B$103)+1-ROW('Eingabe Meldungen'!A4)))),"",INDEX('Eingabe Meldungen'!$C$2:$C$492,LARGE(('Eingabe Meldungen'!$A$2:$A$492=$B$103)*(ROW('Eingabe Meldungen'!$A$2:$A$492)-1),COUNTIF('Eingabe Meldungen'!$A$2:$A$492,$B$103)+1-ROW('Eingabe Meldungen'!A4))))</f>
        <v>Vurdu</v>
      </c>
      <c r="C108" s="4" t="str">
        <f t="array" ref="C108">IF(ISERROR(INDEX('Eingabe Meldungen'!$D$2:$D$492,LARGE(('Eingabe Meldungen'!$A$2:$A$492=$B$103)*(ROW('Eingabe Meldungen'!$A$2:$A$492)-1),COUNTIF('Eingabe Meldungen'!$A$2:$A$492,$B$103)+1-ROW('Eingabe Meldungen'!A4)))),"",INDEX('Eingabe Meldungen'!$D$2:$D$492,LARGE(('Eingabe Meldungen'!$A$2:$A$492=$B$103)*(ROW('Eingabe Meldungen'!$A$2:$A$492)-1),COUNTIF('Eingabe Meldungen'!$A$2:$A$492,$B$103)+1-ROW('Eingabe Meldungen'!A4))))</f>
        <v>Zehra</v>
      </c>
      <c r="D108" s="66">
        <f t="array" ref="D108">IF(B108&lt;&gt;"",INDEX('Eingabe Meldungen'!$C$2:$H$492,MATCH(B108&amp;C108,'Eingabe Meldungen'!$C$2:$C$492&amp;'Eingabe Meldungen'!$D$2:$D$492,0),6),"")</f>
        <v>2007</v>
      </c>
      <c r="E108" s="66" t="str">
        <f t="array" ref="E108">IF(B108&lt;&gt;"",INDEX('Eingabe Meldungen'!$C$2:$H$492,MATCH(B108&amp;C108,'Eingabe Meldungen'!$C$2:$C$492&amp;'Eingabe Meldungen'!$D$2:$D$492,0),4),"")</f>
        <v>-</v>
      </c>
      <c r="F108" s="66">
        <v>4</v>
      </c>
      <c r="G108" s="135"/>
      <c r="H108" s="4" t="e">
        <f t="shared" si="9"/>
        <v>#N/A</v>
      </c>
      <c r="I108" s="136" t="str">
        <f t="array" ref="I108">IF(B108&lt;&gt;"",INDEX('Eingabe Meldungen'!$C$2:$J$492,MATCH(B108&amp;C108,'Eingabe Meldungen'!$C$2:$C$492&amp;'Eingabe Meldungen'!$D$2:$D$492,0),8),"")</f>
        <v>Mannheimer RV "Amicitia"</v>
      </c>
      <c r="L108" s="11"/>
      <c r="M108" s="11"/>
      <c r="N108" s="15"/>
      <c r="O108" s="11"/>
      <c r="R108" s="11"/>
      <c r="S108" s="11"/>
      <c r="W108" s="15"/>
    </row>
    <row r="109" spans="1:23" ht="12.75" customHeight="1" x14ac:dyDescent="0.2">
      <c r="B109" s="100" t="str">
        <f t="array" ref="B109">IF(ISERROR(INDEX('Eingabe Meldungen'!$C$2:$C$492,LARGE(('Eingabe Meldungen'!$A$2:$A$492=$B$103)*(ROW('Eingabe Meldungen'!$A$2:$A$492)-1),COUNTIF('Eingabe Meldungen'!$A$2:$A$492,$B$103)+1-ROW('Eingabe Meldungen'!A5)))),"",INDEX('Eingabe Meldungen'!$C$2:$C$492,LARGE(('Eingabe Meldungen'!$A$2:$A$492=$B$103)*(ROW('Eingabe Meldungen'!$A$2:$A$492)-1),COUNTIF('Eingabe Meldungen'!$A$2:$A$492,$B$103)+1-ROW('Eingabe Meldungen'!A5))))</f>
        <v>Zirn</v>
      </c>
      <c r="C109" s="4" t="str">
        <f t="array" ref="C109">IF(ISERROR(INDEX('Eingabe Meldungen'!$D$2:$D$492,LARGE(('Eingabe Meldungen'!$A$2:$A$492=$B$103)*(ROW('Eingabe Meldungen'!$A$2:$A$492)-1),COUNTIF('Eingabe Meldungen'!$A$2:$A$492,$B$103)+1-ROW('Eingabe Meldungen'!A5)))),"",INDEX('Eingabe Meldungen'!$D$2:$D$492,LARGE(('Eingabe Meldungen'!$A$2:$A$492=$B$103)*(ROW('Eingabe Meldungen'!$A$2:$A$492)-1),COUNTIF('Eingabe Meldungen'!$A$2:$A$492,$B$103)+1-ROW('Eingabe Meldungen'!A5))))</f>
        <v>Maja</v>
      </c>
      <c r="D109" s="66">
        <f t="array" ref="D109">IF(B109&lt;&gt;"",INDEX('Eingabe Meldungen'!$C$2:$H$492,MATCH(B109&amp;C109,'Eingabe Meldungen'!$C$2:$C$492&amp;'Eingabe Meldungen'!$D$2:$D$492,0),6),"")</f>
        <v>2008</v>
      </c>
      <c r="E109" s="66" t="str">
        <f t="array" ref="E109">IF(B109&lt;&gt;"",INDEX('Eingabe Meldungen'!$C$2:$H$492,MATCH(B109&amp;C109,'Eingabe Meldungen'!$C$2:$C$492&amp;'Eingabe Meldungen'!$D$2:$D$492,0),4),"")</f>
        <v>-</v>
      </c>
      <c r="F109" s="66">
        <v>5</v>
      </c>
      <c r="G109" s="135"/>
      <c r="H109" s="4" t="e">
        <f t="shared" si="9"/>
        <v>#N/A</v>
      </c>
      <c r="I109" s="136" t="str">
        <f t="array" ref="I109">IF(B109&lt;&gt;"",INDEX('Eingabe Meldungen'!$C$2:$J$492,MATCH(B109&amp;C109,'Eingabe Meldungen'!$C$2:$C$492&amp;'Eingabe Meldungen'!$D$2:$D$492,0),8),"")</f>
        <v>RV Waldsee</v>
      </c>
      <c r="L109" s="11"/>
      <c r="M109" s="11"/>
      <c r="N109" s="15"/>
      <c r="O109" s="11"/>
      <c r="R109" s="11"/>
      <c r="S109" s="11"/>
      <c r="W109" s="15"/>
    </row>
    <row r="110" spans="1:23" ht="12.75" customHeight="1" x14ac:dyDescent="0.2">
      <c r="B110" s="100" t="str">
        <f t="array" ref="B110">IF(ISERROR(INDEX('Eingabe Meldungen'!$C$2:$C$492,LARGE(('Eingabe Meldungen'!$A$2:$A$492=$B$103)*(ROW('Eingabe Meldungen'!$A$2:$A$492)-1),COUNTIF('Eingabe Meldungen'!$A$2:$A$492,$B$103)+1-ROW('Eingabe Meldungen'!A6)))),"",INDEX('Eingabe Meldungen'!$C$2:$C$492,LARGE(('Eingabe Meldungen'!$A$2:$A$492=$B$103)*(ROW('Eingabe Meldungen'!$A$2:$A$492)-1),COUNTIF('Eingabe Meldungen'!$A$2:$A$492,$B$103)+1-ROW('Eingabe Meldungen'!A6))))</f>
        <v/>
      </c>
      <c r="C110" s="4" t="str">
        <f t="array" ref="C110">IF(ISERROR(INDEX('Eingabe Meldungen'!$D$2:$D$492,LARGE(('Eingabe Meldungen'!$A$2:$A$492=$B$103)*(ROW('Eingabe Meldungen'!$A$2:$A$492)-1),COUNTIF('Eingabe Meldungen'!$A$2:$A$492,$B$103)+1-ROW('Eingabe Meldungen'!A6)))),"",INDEX('Eingabe Meldungen'!$D$2:$D$492,LARGE(('Eingabe Meldungen'!$A$2:$A$492=$B$103)*(ROW('Eingabe Meldungen'!$A$2:$A$492)-1),COUNTIF('Eingabe Meldungen'!$A$2:$A$492,$B$103)+1-ROW('Eingabe Meldungen'!A6))))</f>
        <v/>
      </c>
      <c r="D110" s="66" t="str">
        <f t="array" ref="D110">IF(B110&lt;&gt;"",INDEX('Eingabe Meldungen'!$C$2:$H$492,MATCH(B110&amp;C110,'Eingabe Meldungen'!$C$2:$C$492&amp;'Eingabe Meldungen'!$D$2:$D$492,0),6),"")</f>
        <v/>
      </c>
      <c r="E110" s="66" t="str">
        <f t="array" ref="E110">IF(B110&lt;&gt;"",INDEX('Eingabe Meldungen'!$C$2:$H$492,MATCH(B110&amp;C110,'Eingabe Meldungen'!$C$2:$C$492&amp;'Eingabe Meldungen'!$D$2:$D$492,0),4),"")</f>
        <v/>
      </c>
      <c r="F110" s="66">
        <v>6</v>
      </c>
      <c r="G110" s="135"/>
      <c r="H110" s="4" t="e">
        <f t="shared" si="9"/>
        <v>#N/A</v>
      </c>
      <c r="I110" s="136" t="str">
        <f t="array" ref="I110">IF(B110&lt;&gt;"",INDEX('Eingabe Meldungen'!$C$2:$J$492,MATCH(B110&amp;C110,'Eingabe Meldungen'!$C$2:$C$492&amp;'Eingabe Meldungen'!$D$2:$D$492,0),8),"")</f>
        <v/>
      </c>
      <c r="L110" s="11"/>
      <c r="M110" s="11"/>
      <c r="N110" s="15"/>
      <c r="O110" s="11"/>
      <c r="R110" s="11"/>
      <c r="S110" s="11"/>
      <c r="W110" s="15"/>
    </row>
    <row r="111" spans="1:23" ht="15" customHeight="1" x14ac:dyDescent="0.2">
      <c r="B111" s="100" t="str">
        <f t="array" ref="B111">IF(ISERROR(INDEX('Eingabe Meldungen'!$C$2:$C$492,LARGE(('Eingabe Meldungen'!$A$2:$A$492=$B$103)*(ROW('Eingabe Meldungen'!$A$2:$A$492)-1),COUNTIF('Eingabe Meldungen'!$A$2:$A$492,$B$103)+1-ROW('Eingabe Meldungen'!A7)))),"",INDEX('Eingabe Meldungen'!$C$2:$C$492,LARGE(('Eingabe Meldungen'!$A$2:$A$492=$B$103)*(ROW('Eingabe Meldungen'!$A$2:$A$492)-1),COUNTIF('Eingabe Meldungen'!$A$2:$A$492,$B$103)+1-ROW('Eingabe Meldungen'!A7))))</f>
        <v/>
      </c>
      <c r="C111" s="4" t="str">
        <f t="array" ref="C111">IF(ISERROR(INDEX('Eingabe Meldungen'!$D$2:$D$492,LARGE(('Eingabe Meldungen'!$A$2:$A$492=$B$103)*(ROW('Eingabe Meldungen'!$A$2:$A$492)-1),COUNTIF('Eingabe Meldungen'!$A$2:$A$492,$B$103)+1-ROW('Eingabe Meldungen'!A7)))),"",INDEX('Eingabe Meldungen'!$D$2:$D$492,LARGE(('Eingabe Meldungen'!$A$2:$A$492=$B$103)*(ROW('Eingabe Meldungen'!$A$2:$A$492)-1),COUNTIF('Eingabe Meldungen'!$A$2:$A$492,$B$103)+1-ROW('Eingabe Meldungen'!A7))))</f>
        <v/>
      </c>
      <c r="D111" s="66" t="str">
        <f t="array" ref="D111">IF(B111&lt;&gt;"",INDEX('Eingabe Meldungen'!$C$2:$H$492,MATCH(B111&amp;C111,'Eingabe Meldungen'!$C$2:$C$492&amp;'Eingabe Meldungen'!$D$2:$D$492,0),6),"")</f>
        <v/>
      </c>
      <c r="E111" s="66" t="str">
        <f t="array" ref="E111">IF(B111&lt;&gt;"",INDEX('Eingabe Meldungen'!$C$2:$H$492,MATCH(B111&amp;C111,'Eingabe Meldungen'!$C$2:$C$492&amp;'Eingabe Meldungen'!$D$2:$D$492,0),4),"")</f>
        <v/>
      </c>
      <c r="F111" s="66">
        <v>7</v>
      </c>
      <c r="G111" s="135"/>
      <c r="H111" s="4" t="e">
        <f t="shared" si="9"/>
        <v>#N/A</v>
      </c>
      <c r="I111" s="136" t="str">
        <f t="array" ref="I111">IF(B111&lt;&gt;"",INDEX('Eingabe Meldungen'!$C$2:$J$492,MATCH(B111&amp;C111,'Eingabe Meldungen'!$C$2:$C$492&amp;'Eingabe Meldungen'!$D$2:$D$492,0),8),"")</f>
        <v/>
      </c>
      <c r="L111" s="11"/>
      <c r="M111" s="11"/>
      <c r="N111" s="15"/>
      <c r="O111" s="11"/>
      <c r="R111" s="11"/>
      <c r="S111" s="11"/>
      <c r="U111" s="6"/>
      <c r="V111" s="9"/>
      <c r="W111" s="8"/>
    </row>
    <row r="112" spans="1:23" ht="12.75" customHeight="1" x14ac:dyDescent="0.2">
      <c r="B112" s="100" t="str">
        <f t="array" ref="B112">IF(ISERROR(INDEX('Eingabe Meldungen'!$C$2:$C$492,LARGE(('Eingabe Meldungen'!$A$2:$A$492=$B$103)*(ROW('Eingabe Meldungen'!$A$2:$A$492)-1),COUNTIF('Eingabe Meldungen'!$A$2:$A$492,$B$103)+1-ROW('Eingabe Meldungen'!A8)))),"",INDEX('Eingabe Meldungen'!$C$2:$C$492,LARGE(('Eingabe Meldungen'!$A$2:$A$492=$B$103)*(ROW('Eingabe Meldungen'!$A$2:$A$492)-1),COUNTIF('Eingabe Meldungen'!$A$2:$A$492,$B$103)+1-ROW('Eingabe Meldungen'!A8))))</f>
        <v/>
      </c>
      <c r="C112" s="4" t="str">
        <f t="array" ref="C112">IF(ISERROR(INDEX('Eingabe Meldungen'!$D$2:$D$492,LARGE(('Eingabe Meldungen'!$A$2:$A$492=$B$103)*(ROW('Eingabe Meldungen'!$A$2:$A$492)-1),COUNTIF('Eingabe Meldungen'!$A$2:$A$492,$B$103)+1-ROW('Eingabe Meldungen'!A8)))),"",INDEX('Eingabe Meldungen'!$D$2:$D$492,LARGE(('Eingabe Meldungen'!$A$2:$A$492=$B$103)*(ROW('Eingabe Meldungen'!$A$2:$A$492)-1),COUNTIF('Eingabe Meldungen'!$A$2:$A$492,$B$103)+1-ROW('Eingabe Meldungen'!A8))))</f>
        <v/>
      </c>
      <c r="D112" s="66" t="str">
        <f t="array" ref="D112">IF(B112&lt;&gt;"",INDEX('Eingabe Meldungen'!$C$2:$H$492,MATCH(B112&amp;C112,'Eingabe Meldungen'!$C$2:$C$492&amp;'Eingabe Meldungen'!$D$2:$D$492,0),6),"")</f>
        <v/>
      </c>
      <c r="E112" s="66" t="str">
        <f t="array" ref="E112">IF(B112&lt;&gt;"",INDEX('Eingabe Meldungen'!$C$2:$H$492,MATCH(B112&amp;C112,'Eingabe Meldungen'!$C$2:$C$492&amp;'Eingabe Meldungen'!$D$2:$D$492,0),4),"")</f>
        <v/>
      </c>
      <c r="F112" s="66">
        <v>8</v>
      </c>
      <c r="G112" s="135"/>
      <c r="H112" s="4" t="e">
        <f t="shared" si="9"/>
        <v>#N/A</v>
      </c>
      <c r="I112" s="136" t="str">
        <f t="array" ref="I112">IF(B112&lt;&gt;"",INDEX('Eingabe Meldungen'!$C$2:$J$492,MATCH(B112&amp;C112,'Eingabe Meldungen'!$C$2:$C$492&amp;'Eingabe Meldungen'!$D$2:$D$492,0),8),"")</f>
        <v/>
      </c>
      <c r="L112" s="11"/>
      <c r="M112" s="11"/>
      <c r="N112" s="15"/>
      <c r="O112" s="11"/>
      <c r="R112" s="11"/>
      <c r="S112" s="11"/>
      <c r="U112" s="6"/>
      <c r="V112" s="9"/>
      <c r="W112" s="8"/>
    </row>
    <row r="113" spans="1:26" ht="12.75" customHeight="1" x14ac:dyDescent="0.2">
      <c r="B113" s="100" t="str">
        <f t="array" ref="B113">IF(ISERROR(INDEX('Eingabe Meldungen'!$C$2:$C$492,LARGE(('Eingabe Meldungen'!$A$2:$A$492=$B$103)*(ROW('Eingabe Meldungen'!$A$2:$A$492)-1),COUNTIF('Eingabe Meldungen'!$A$2:$A$492,$B$103)+1-ROW('Eingabe Meldungen'!A9)))),"",INDEX('Eingabe Meldungen'!$C$2:$C$492,LARGE(('Eingabe Meldungen'!$A$2:$A$492=$B$103)*(ROW('Eingabe Meldungen'!$A$2:$A$492)-1),COUNTIF('Eingabe Meldungen'!$A$2:$A$492,$B$103)+1-ROW('Eingabe Meldungen'!A9))))</f>
        <v/>
      </c>
      <c r="C113" s="4" t="str">
        <f t="array" ref="C113">IF(ISERROR(INDEX('Eingabe Meldungen'!$D$2:$D$492,LARGE(('Eingabe Meldungen'!$A$2:$A$492=$B$103)*(ROW('Eingabe Meldungen'!$A$2:$A$492)-1),COUNTIF('Eingabe Meldungen'!$A$2:$A$492,$B$103)+1-ROW('Eingabe Meldungen'!A9)))),"",INDEX('Eingabe Meldungen'!$D$2:$D$492,LARGE(('Eingabe Meldungen'!$A$2:$A$492=$B$103)*(ROW('Eingabe Meldungen'!$A$2:$A$492)-1),COUNTIF('Eingabe Meldungen'!$A$2:$A$492,$B$103)+1-ROW('Eingabe Meldungen'!A9))))</f>
        <v/>
      </c>
      <c r="D113" s="66" t="str">
        <f t="array" ref="D113">IF(B113&lt;&gt;"",INDEX('Eingabe Meldungen'!$C$2:$H$492,MATCH(B113&amp;C113,'Eingabe Meldungen'!$C$2:$C$492&amp;'Eingabe Meldungen'!$D$2:$D$492,0),6),"")</f>
        <v/>
      </c>
      <c r="E113" s="66" t="str">
        <f t="array" ref="E113">IF(B113&lt;&gt;"",INDEX('Eingabe Meldungen'!$C$2:$H$492,MATCH(B113&amp;C113,'Eingabe Meldungen'!$C$2:$C$492&amp;'Eingabe Meldungen'!$D$2:$D$492,0),4),"")</f>
        <v/>
      </c>
      <c r="F113" s="66">
        <v>9</v>
      </c>
      <c r="G113" s="135"/>
      <c r="H113" s="4" t="e">
        <f t="shared" si="9"/>
        <v>#N/A</v>
      </c>
      <c r="I113" s="136" t="str">
        <f t="array" ref="I113">IF(B113&lt;&gt;"",INDEX('Eingabe Meldungen'!$C$2:$J$492,MATCH(B113&amp;C113,'Eingabe Meldungen'!$C$2:$C$492&amp;'Eingabe Meldungen'!$D$2:$D$492,0),8),"")</f>
        <v/>
      </c>
      <c r="L113" s="11"/>
      <c r="M113" s="11"/>
      <c r="N113" s="15"/>
      <c r="O113" s="11"/>
      <c r="R113" s="11"/>
      <c r="S113" s="11"/>
      <c r="W113" s="15"/>
    </row>
    <row r="114" spans="1:26" ht="12.75" customHeight="1" thickBot="1" x14ac:dyDescent="0.25">
      <c r="B114" s="138" t="str">
        <f t="array" ref="B114">IF(ISERROR(INDEX('Eingabe Meldungen'!$C$2:$C$492,LARGE(('Eingabe Meldungen'!$A$2:$A$492=$B$103)*(ROW('Eingabe Meldungen'!$A$2:$A$492)-1),COUNTIF('Eingabe Meldungen'!$A$2:$A$492,$B$103)+1-ROW('Eingabe Meldungen'!A10)))),"",INDEX('Eingabe Meldungen'!$C$2:$C$492,LARGE(('Eingabe Meldungen'!$A$2:$A$492=$B$103)*(ROW('Eingabe Meldungen'!$A$2:$A$492)-1),COUNTIF('Eingabe Meldungen'!$A$2:$A$492,$B$103)+1-ROW('Eingabe Meldungen'!A10))))</f>
        <v/>
      </c>
      <c r="C114" s="139" t="str">
        <f t="array" ref="C114">IF(ISERROR(INDEX('Eingabe Meldungen'!$D$2:$D$492,LARGE(('Eingabe Meldungen'!$A$2:$A$492=$B$103)*(ROW('Eingabe Meldungen'!$A$2:$A$492)-1),COUNTIF('Eingabe Meldungen'!$A$2:$A$492,$B$103)+1-ROW('Eingabe Meldungen'!A10)))),"",INDEX('Eingabe Meldungen'!$D$2:$D$492,LARGE(('Eingabe Meldungen'!$A$2:$A$492=$B$103)*(ROW('Eingabe Meldungen'!$A$2:$A$492)-1),COUNTIF('Eingabe Meldungen'!$A$2:$A$492,$B$103)+1-ROW('Eingabe Meldungen'!A10))))</f>
        <v/>
      </c>
      <c r="D114" s="99" t="str">
        <f t="array" ref="D114">IF(B114&lt;&gt;"",INDEX('Eingabe Meldungen'!$C$2:$H$492,MATCH(B114&amp;C114,'Eingabe Meldungen'!$C$2:$C$492&amp;'Eingabe Meldungen'!$D$2:$D$492,0),6),"")</f>
        <v/>
      </c>
      <c r="E114" s="99" t="str">
        <f t="array" ref="E114">IF(B114&lt;&gt;"",INDEX('Eingabe Meldungen'!$C$2:$H$492,MATCH(B114&amp;C114,'Eingabe Meldungen'!$C$2:$C$492&amp;'Eingabe Meldungen'!$D$2:$D$492,0),4),"")</f>
        <v/>
      </c>
      <c r="F114" s="99">
        <v>10</v>
      </c>
      <c r="G114" s="143"/>
      <c r="H114" s="139" t="e">
        <f t="shared" si="9"/>
        <v>#N/A</v>
      </c>
      <c r="I114" s="141" t="str">
        <f t="array" ref="I114">IF(B114&lt;&gt;"",INDEX('Eingabe Meldungen'!$C$2:$J$492,MATCH(B114&amp;C114,'Eingabe Meldungen'!$C$2:$C$492&amp;'Eingabe Meldungen'!$D$2:$D$492,0),8),"")</f>
        <v/>
      </c>
      <c r="L114" s="11"/>
      <c r="M114" s="11"/>
      <c r="N114" s="15"/>
      <c r="O114" s="11"/>
      <c r="R114" s="11"/>
      <c r="S114" s="11"/>
      <c r="W114" s="15"/>
    </row>
    <row r="115" spans="1:26" ht="15" customHeight="1" thickBot="1" x14ac:dyDescent="0.25">
      <c r="R115" s="11"/>
      <c r="W115" s="15"/>
    </row>
    <row r="116" spans="1:26" ht="26.25" customHeight="1" x14ac:dyDescent="0.2">
      <c r="B116" s="26">
        <v>7</v>
      </c>
      <c r="C116" s="65" t="str">
        <f>VLOOKUP(B116,Ausschreibung!$B$5:$I$35,2,FALSE)</f>
        <v>Ergocup</v>
      </c>
      <c r="D116" s="27">
        <f>VLOOKUP(B116,Ausschreibung!$B$5:$I$35,3,FALSE)</f>
        <v>0.51388888888888884</v>
      </c>
      <c r="E116" s="65" t="s">
        <v>98</v>
      </c>
      <c r="F116" s="65" t="str">
        <f>VLOOKUP(B116,Ausschreibung!$B$5:$I$35,5,FALSE)</f>
        <v>Lgw. bis 52,5 kg</v>
      </c>
      <c r="G116" s="65">
        <f>VLOOKUP(B116,Ausschreibung!$B$5:$I$35,6,FALSE)</f>
        <v>14</v>
      </c>
      <c r="H116" s="65" t="str">
        <f>VLOOKUP(B116,Ausschreibung!$B$5:$I$35,8,FALSE)</f>
        <v>1000 m</v>
      </c>
      <c r="I116" s="28"/>
      <c r="L116" s="11"/>
      <c r="M116" s="11"/>
      <c r="N116" s="15"/>
      <c r="O116" s="11"/>
      <c r="Q116" s="11"/>
      <c r="R116" s="11"/>
    </row>
    <row r="117" spans="1:26" ht="13.2" thickBot="1" x14ac:dyDescent="0.25">
      <c r="B117" s="19" t="s">
        <v>1</v>
      </c>
      <c r="C117" s="18" t="s">
        <v>2</v>
      </c>
      <c r="D117" s="17" t="s">
        <v>49</v>
      </c>
      <c r="E117" s="130" t="s">
        <v>16</v>
      </c>
      <c r="F117" s="17" t="s">
        <v>18</v>
      </c>
      <c r="G117" s="73" t="s">
        <v>50</v>
      </c>
      <c r="H117" s="17" t="s">
        <v>51</v>
      </c>
      <c r="I117" s="30" t="s">
        <v>17</v>
      </c>
      <c r="L117" s="11"/>
      <c r="M117" s="11"/>
      <c r="N117" s="15"/>
      <c r="O117" s="11"/>
      <c r="Q117" s="11"/>
      <c r="R117" s="11"/>
    </row>
    <row r="118" spans="1:26" ht="13.5" customHeight="1" x14ac:dyDescent="0.2">
      <c r="B118" s="131" t="str">
        <f>'Ergebnisse Rennen'!B191</f>
        <v>Wulfkühler</v>
      </c>
      <c r="C118" s="132" t="str">
        <f>'Ergebnisse Rennen'!C191</f>
        <v>Anke</v>
      </c>
      <c r="D118" s="78">
        <f>'Ergebnisse Rennen'!D191</f>
        <v>2006</v>
      </c>
      <c r="E118" s="78" t="str">
        <f>'Ergebnisse Rennen'!E191</f>
        <v>Lgw. bis 52,5 kg</v>
      </c>
      <c r="F118" s="78">
        <v>1</v>
      </c>
      <c r="G118" s="133"/>
      <c r="H118" s="132" t="e">
        <f>RANK(G118,$G$112:$G$114,1)</f>
        <v>#N/A</v>
      </c>
      <c r="I118" s="134" t="str">
        <f>'Ergebnisse Rennen'!H191</f>
        <v>Stuttgart-Cannstatter RC</v>
      </c>
      <c r="L118" s="11"/>
      <c r="M118" s="11"/>
      <c r="N118" s="15"/>
      <c r="O118" s="11"/>
      <c r="Q118" s="11"/>
      <c r="R118" s="11"/>
    </row>
    <row r="119" spans="1:26" ht="13.5" customHeight="1" x14ac:dyDescent="0.2">
      <c r="B119" s="100" t="str">
        <f>'Ergebnisse Rennen'!B192</f>
        <v>Schweneke</v>
      </c>
      <c r="C119" s="4" t="str">
        <f>'Ergebnisse Rennen'!C192</f>
        <v>Charlotte</v>
      </c>
      <c r="D119" s="66">
        <f>'Ergebnisse Rennen'!D192</f>
        <v>2006</v>
      </c>
      <c r="E119" s="66" t="str">
        <f>'Ergebnisse Rennen'!E192</f>
        <v>Lgw. bis 52,5 kg</v>
      </c>
      <c r="F119" s="66">
        <v>2</v>
      </c>
      <c r="G119" s="135"/>
      <c r="H119" s="4" t="e">
        <f t="shared" ref="H119:H127" si="10">RANK(G119,$G$112:$G$114,1)</f>
        <v>#N/A</v>
      </c>
      <c r="I119" s="136" t="str">
        <f>'Ergebnisse Rennen'!H192</f>
        <v>Mannheimer RV "Amicitia"</v>
      </c>
      <c r="L119" s="11"/>
      <c r="M119" s="11"/>
      <c r="N119" s="15"/>
      <c r="O119" s="11"/>
      <c r="Q119" s="11"/>
      <c r="R119" s="11"/>
    </row>
    <row r="120" spans="1:26" ht="13.5" customHeight="1" x14ac:dyDescent="0.2">
      <c r="B120" s="100" t="str">
        <f>'Ergebnisse Rennen'!B193</f>
        <v>Passon</v>
      </c>
      <c r="C120" s="4" t="str">
        <f>'Ergebnisse Rennen'!C193</f>
        <v>Cosima</v>
      </c>
      <c r="D120" s="66">
        <f>'Ergebnisse Rennen'!D193</f>
        <v>2006</v>
      </c>
      <c r="E120" s="66" t="str">
        <f>'Ergebnisse Rennen'!E193</f>
        <v>Lgw. bis 52,5 kg</v>
      </c>
      <c r="F120" s="66">
        <v>3</v>
      </c>
      <c r="G120" s="135"/>
      <c r="H120" s="4" t="e">
        <f t="shared" si="10"/>
        <v>#N/A</v>
      </c>
      <c r="I120" s="136" t="str">
        <f>'Ergebnisse Rennen'!H193</f>
        <v>Rudergesellschaft Heidelberg</v>
      </c>
      <c r="L120" s="11"/>
      <c r="M120" s="11"/>
      <c r="N120" s="15"/>
      <c r="O120" s="11"/>
      <c r="Q120" s="11"/>
      <c r="R120" s="11"/>
    </row>
    <row r="121" spans="1:26" ht="13.5" customHeight="1" x14ac:dyDescent="0.2">
      <c r="B121" s="100" t="str">
        <f>'Ergebnisse Rennen'!B194</f>
        <v>Duwenhoegger</v>
      </c>
      <c r="C121" s="4" t="str">
        <f>'Ergebnisse Rennen'!C194</f>
        <v>Filippa</v>
      </c>
      <c r="D121" s="66">
        <f>'Ergebnisse Rennen'!D194</f>
        <v>2006</v>
      </c>
      <c r="E121" s="66" t="str">
        <f>'Ergebnisse Rennen'!E194</f>
        <v>Lgw. bis 52,5 kg</v>
      </c>
      <c r="F121" s="66">
        <v>4</v>
      </c>
      <c r="G121" s="135"/>
      <c r="H121" s="4" t="e">
        <f t="shared" si="10"/>
        <v>#N/A</v>
      </c>
      <c r="I121" s="136" t="str">
        <f>'Ergebnisse Rennen'!H194</f>
        <v>Rudergesellschaft Heidelberg</v>
      </c>
      <c r="L121" s="11"/>
      <c r="M121" s="11"/>
      <c r="N121" s="15"/>
      <c r="O121" s="11"/>
      <c r="Q121" s="11"/>
      <c r="R121" s="11"/>
    </row>
    <row r="122" spans="1:26" ht="13.5" customHeight="1" x14ac:dyDescent="0.2">
      <c r="B122" s="100" t="str">
        <f>'Ergebnisse Rennen'!B195</f>
        <v>Nagel</v>
      </c>
      <c r="C122" s="4" t="str">
        <f>'Ergebnisse Rennen'!C195</f>
        <v>Franziska</v>
      </c>
      <c r="D122" s="66">
        <f>'Ergebnisse Rennen'!D195</f>
        <v>2006</v>
      </c>
      <c r="E122" s="66" t="str">
        <f>'Ergebnisse Rennen'!E195</f>
        <v>Lgw. bis 52,5 kg</v>
      </c>
      <c r="F122" s="66">
        <v>5</v>
      </c>
      <c r="G122" s="135"/>
      <c r="H122" s="4" t="e">
        <f t="shared" si="10"/>
        <v>#N/A</v>
      </c>
      <c r="I122" s="136" t="str">
        <f>'Ergebnisse Rennen'!H195</f>
        <v>Stuttgart-Cannstatter RC</v>
      </c>
      <c r="L122" s="11"/>
      <c r="M122" s="11"/>
      <c r="N122" s="15"/>
      <c r="O122" s="11"/>
      <c r="Q122" s="11"/>
      <c r="R122" s="11"/>
      <c r="U122" s="11"/>
      <c r="V122" s="11"/>
      <c r="W122" s="15"/>
      <c r="X122" s="11"/>
      <c r="Z122" s="11"/>
    </row>
    <row r="123" spans="1:26" ht="14.25" customHeight="1" x14ac:dyDescent="0.2">
      <c r="B123" s="100" t="str">
        <f>'Ergebnisse Rennen'!B196</f>
        <v>Liebrich</v>
      </c>
      <c r="C123" s="4" t="str">
        <f>'Ergebnisse Rennen'!C196</f>
        <v>Ina</v>
      </c>
      <c r="D123" s="66">
        <f>'Ergebnisse Rennen'!D196</f>
        <v>2006</v>
      </c>
      <c r="E123" s="66" t="str">
        <f>'Ergebnisse Rennen'!E196</f>
        <v>Lgw. bis 52,5 kg</v>
      </c>
      <c r="F123" s="66">
        <v>6</v>
      </c>
      <c r="G123" s="135"/>
      <c r="H123" s="4" t="e">
        <f t="shared" si="10"/>
        <v>#N/A</v>
      </c>
      <c r="I123" s="136" t="str">
        <f>'Ergebnisse Rennen'!H196</f>
        <v>RC Nürtingen</v>
      </c>
      <c r="L123" s="11"/>
      <c r="M123" s="11"/>
      <c r="N123" s="15"/>
      <c r="O123" s="11"/>
      <c r="Q123" s="11"/>
      <c r="R123" s="11"/>
      <c r="U123" s="11"/>
      <c r="V123" s="11"/>
      <c r="W123" s="15"/>
      <c r="X123" s="11"/>
      <c r="Z123" s="11"/>
    </row>
    <row r="124" spans="1:26" ht="13.5" customHeight="1" x14ac:dyDescent="0.2">
      <c r="B124" s="100" t="str">
        <f>'Ergebnisse Rennen'!B197</f>
        <v>Sauer</v>
      </c>
      <c r="C124" s="4" t="str">
        <f>'Ergebnisse Rennen'!C197</f>
        <v>Linda</v>
      </c>
      <c r="D124" s="66">
        <f>'Ergebnisse Rennen'!D197</f>
        <v>2006</v>
      </c>
      <c r="E124" s="66" t="str">
        <f>'Ergebnisse Rennen'!E197</f>
        <v>Lgw. bis 52,5 kg</v>
      </c>
      <c r="F124" s="66">
        <v>7</v>
      </c>
      <c r="G124" s="135"/>
      <c r="H124" s="4" t="e">
        <f t="shared" si="10"/>
        <v>#N/A</v>
      </c>
      <c r="I124" s="136" t="str">
        <f>'Ergebnisse Rennen'!H197</f>
        <v>Stuttgart-Cannstatter RC</v>
      </c>
      <c r="L124" s="11"/>
      <c r="M124" s="11"/>
      <c r="N124" s="15"/>
      <c r="O124" s="11"/>
      <c r="Q124" s="11"/>
      <c r="R124" s="11"/>
      <c r="U124" s="11"/>
      <c r="V124" s="11"/>
      <c r="W124" s="15"/>
      <c r="X124" s="11"/>
      <c r="Z124" s="11"/>
    </row>
    <row r="125" spans="1:26" ht="13.5" customHeight="1" x14ac:dyDescent="0.2">
      <c r="B125" s="100" t="str">
        <f>'Ergebnisse Rennen'!B198</f>
        <v/>
      </c>
      <c r="C125" s="4" t="str">
        <f>'Ergebnisse Rennen'!C198</f>
        <v/>
      </c>
      <c r="D125" s="66" t="str">
        <f>'Ergebnisse Rennen'!D198</f>
        <v/>
      </c>
      <c r="E125" s="66" t="str">
        <f>'Ergebnisse Rennen'!E198</f>
        <v/>
      </c>
      <c r="F125" s="66">
        <v>8</v>
      </c>
      <c r="G125" s="135"/>
      <c r="H125" s="4" t="e">
        <f t="shared" si="10"/>
        <v>#N/A</v>
      </c>
      <c r="I125" s="136" t="str">
        <f>'Ergebnisse Rennen'!H198</f>
        <v/>
      </c>
      <c r="L125" s="11"/>
      <c r="M125" s="11"/>
      <c r="N125" s="15"/>
      <c r="O125" s="11"/>
      <c r="Q125" s="11"/>
      <c r="R125" s="11"/>
      <c r="U125" s="11"/>
      <c r="V125" s="11"/>
      <c r="W125" s="15"/>
      <c r="X125" s="11"/>
      <c r="Z125" s="11"/>
    </row>
    <row r="126" spans="1:26" ht="13.5" customHeight="1" x14ac:dyDescent="0.2">
      <c r="B126" s="100" t="str">
        <f>'Ergebnisse Rennen'!B199</f>
        <v/>
      </c>
      <c r="C126" s="4" t="str">
        <f>'Ergebnisse Rennen'!C199</f>
        <v/>
      </c>
      <c r="D126" s="66" t="str">
        <f>'Ergebnisse Rennen'!D199</f>
        <v/>
      </c>
      <c r="E126" s="66" t="str">
        <f>'Ergebnisse Rennen'!E199</f>
        <v/>
      </c>
      <c r="F126" s="66">
        <v>9</v>
      </c>
      <c r="G126" s="135"/>
      <c r="H126" s="4" t="e">
        <f t="shared" si="10"/>
        <v>#N/A</v>
      </c>
      <c r="I126" s="136" t="str">
        <f>'Ergebnisse Rennen'!H199</f>
        <v/>
      </c>
      <c r="L126" s="11"/>
      <c r="M126" s="11"/>
      <c r="N126" s="15"/>
      <c r="O126" s="11"/>
      <c r="Q126" s="11"/>
      <c r="R126" s="11"/>
      <c r="U126" s="11"/>
      <c r="V126" s="11"/>
      <c r="W126" s="15"/>
      <c r="X126" s="11"/>
      <c r="Z126" s="11"/>
    </row>
    <row r="127" spans="1:26" ht="13.5" customHeight="1" thickBot="1" x14ac:dyDescent="0.25">
      <c r="B127" s="138" t="str">
        <f>'Ergebnisse Rennen'!B200</f>
        <v/>
      </c>
      <c r="C127" s="139" t="str">
        <f>'Ergebnisse Rennen'!C200</f>
        <v/>
      </c>
      <c r="D127" s="99" t="str">
        <f>'Ergebnisse Rennen'!D200</f>
        <v/>
      </c>
      <c r="E127" s="99" t="str">
        <f>'Ergebnisse Rennen'!E200</f>
        <v/>
      </c>
      <c r="F127" s="99">
        <v>10</v>
      </c>
      <c r="G127" s="143"/>
      <c r="H127" s="139" t="e">
        <f t="shared" si="10"/>
        <v>#N/A</v>
      </c>
      <c r="I127" s="141" t="str">
        <f>'Ergebnisse Rennen'!H200</f>
        <v/>
      </c>
      <c r="L127" s="11"/>
      <c r="M127" s="11"/>
      <c r="N127" s="15"/>
      <c r="O127" s="11"/>
      <c r="Q127" s="11"/>
      <c r="R127" s="11"/>
      <c r="U127" s="11"/>
      <c r="V127" s="11"/>
      <c r="W127" s="15"/>
      <c r="X127" s="11"/>
      <c r="Z127" s="11"/>
    </row>
    <row r="128" spans="1:26" ht="13.5" customHeight="1" thickBot="1" x14ac:dyDescent="0.25">
      <c r="A128" s="17"/>
      <c r="B128" s="209"/>
      <c r="C128" s="56"/>
      <c r="D128" s="432"/>
      <c r="E128" s="432"/>
      <c r="F128" s="85"/>
      <c r="G128" s="85"/>
      <c r="H128" s="85"/>
      <c r="I128" s="85"/>
      <c r="L128" s="11"/>
      <c r="M128" s="11"/>
      <c r="N128" s="15"/>
      <c r="O128" s="11"/>
      <c r="Q128" s="11"/>
      <c r="R128" s="11"/>
    </row>
    <row r="129" spans="1:26" ht="26.25" customHeight="1" x14ac:dyDescent="0.2">
      <c r="B129" s="26">
        <v>8</v>
      </c>
      <c r="C129" s="65" t="str">
        <f>VLOOKUP(B129,Ausschreibung!$B$5:$I$35,2,FALSE)</f>
        <v>Ergocup</v>
      </c>
      <c r="D129" s="27">
        <f>VLOOKUP(B129,Ausschreibung!$B$5:$I$35,3,FALSE)</f>
        <v>0.51944444444444438</v>
      </c>
      <c r="E129" s="65" t="s">
        <v>98</v>
      </c>
      <c r="F129" s="65" t="str">
        <f>VLOOKUP(B129,Ausschreibung!$B$5:$I$35,5,FALSE)</f>
        <v>-</v>
      </c>
      <c r="G129" s="65">
        <f>VLOOKUP(B129,Ausschreibung!$B$5:$I$35,6,FALSE)</f>
        <v>14</v>
      </c>
      <c r="H129" s="65" t="str">
        <f>VLOOKUP(B129,Ausschreibung!$B$5:$I$35,8,FALSE)</f>
        <v>1000 m</v>
      </c>
      <c r="I129" s="28"/>
      <c r="L129" s="11"/>
      <c r="M129" s="11"/>
      <c r="N129" s="15"/>
      <c r="O129" s="11"/>
      <c r="Q129" s="11"/>
      <c r="R129" s="11"/>
    </row>
    <row r="130" spans="1:26" ht="13.2" thickBot="1" x14ac:dyDescent="0.25">
      <c r="B130" s="19" t="s">
        <v>1</v>
      </c>
      <c r="C130" s="18" t="s">
        <v>2</v>
      </c>
      <c r="D130" s="17" t="s">
        <v>49</v>
      </c>
      <c r="E130" s="130" t="s">
        <v>16</v>
      </c>
      <c r="F130" s="17" t="s">
        <v>18</v>
      </c>
      <c r="G130" s="73" t="s">
        <v>50</v>
      </c>
      <c r="H130" s="17" t="s">
        <v>51</v>
      </c>
      <c r="I130" s="30" t="s">
        <v>17</v>
      </c>
      <c r="L130" s="11"/>
      <c r="M130" s="11"/>
      <c r="N130" s="15"/>
      <c r="O130" s="11"/>
      <c r="Q130" s="11"/>
      <c r="R130" s="11"/>
    </row>
    <row r="131" spans="1:26" ht="13.5" customHeight="1" x14ac:dyDescent="0.2">
      <c r="B131" s="131" t="str">
        <f t="array" ref="B131">IF(ISERROR(INDEX('Eingabe Meldungen'!$C$2:$C$492,LARGE(('Eingabe Meldungen'!$A$2:$A$492=$B$129)*(ROW('Eingabe Meldungen'!$A$2:$A$492)-1),COUNTIF('Eingabe Meldungen'!$A$2:$A$492,$B$129)+1-ROW('Eingabe Meldungen'!A1)))),"",INDEX('Eingabe Meldungen'!$C$2:$C$492,LARGE(('Eingabe Meldungen'!$A$2:$A$492=$B$129)*(ROW('Eingabe Meldungen'!$A$2:$A$492)-1),COUNTIF('Eingabe Meldungen'!$A$2:$A$492,$B$129)+1-ROW('Eingabe Meldungen'!A1))))</f>
        <v>Weiß</v>
      </c>
      <c r="C131" s="132" t="str">
        <f t="array" ref="C131">IF(ISERROR(INDEX('Eingabe Meldungen'!$D$2:$D$492,LARGE(('Eingabe Meldungen'!$A$2:$A$492=$B$129)*(ROW('Eingabe Meldungen'!$A$2:$A$492)-1),COUNTIF('Eingabe Meldungen'!$A$2:$A$492,$B$129)+1-ROW('Eingabe Meldungen'!A1)))),"",INDEX('Eingabe Meldungen'!$D$2:$D$492,LARGE(('Eingabe Meldungen'!$A$2:$A$492=$B$129)*(ROW('Eingabe Meldungen'!$A$2:$A$492)-1),COUNTIF('Eingabe Meldungen'!$A$2:$A$492,$B$129)+1-ROW('Eingabe Meldungen'!A1))))</f>
        <v>Annika</v>
      </c>
      <c r="D131" s="78">
        <f t="array" ref="D131">IF(B131&lt;&gt;"",INDEX('Eingabe Meldungen'!$C$2:$H$492,MATCH(B131&amp;C131,'Eingabe Meldungen'!$C$2:$C$492&amp;'Eingabe Meldungen'!$D$2:$D$492,0),6),"")</f>
        <v>2006</v>
      </c>
      <c r="E131" s="78" t="str">
        <f t="array" ref="E131">IF(B131&lt;&gt;"",INDEX('Eingabe Meldungen'!$C$2:$H$492,MATCH(B131&amp;C131,'Eingabe Meldungen'!$C$2:$C$492&amp;'Eingabe Meldungen'!$D$2:$D$492,0),4),"")</f>
        <v>-</v>
      </c>
      <c r="F131" s="78">
        <v>1</v>
      </c>
      <c r="G131" s="133"/>
      <c r="H131" s="132" t="e">
        <f t="shared" ref="H131:H140" si="11">RANK(G131,$G$131:$G$140,1)</f>
        <v>#N/A</v>
      </c>
      <c r="I131" s="134" t="str">
        <f t="array" ref="I131">IF(B131&lt;&gt;"",INDEX('Eingabe Meldungen'!$C$2:$J$492,MATCH(B131&amp;C131,'Eingabe Meldungen'!$C$2:$C$492&amp;'Eingabe Meldungen'!$D$2:$D$492,0),8),"")</f>
        <v>RC Nürtingen</v>
      </c>
      <c r="L131" s="11"/>
      <c r="M131" s="11"/>
      <c r="N131" s="15"/>
      <c r="O131" s="11"/>
      <c r="Q131" s="11"/>
      <c r="R131" s="11"/>
    </row>
    <row r="132" spans="1:26" ht="13.5" customHeight="1" x14ac:dyDescent="0.2">
      <c r="B132" s="100" t="str">
        <f t="array" ref="B132">IF(ISERROR(INDEX('Eingabe Meldungen'!$C$2:$C$492,LARGE(('Eingabe Meldungen'!$A$2:$A$492=$B$129)*(ROW('Eingabe Meldungen'!$A$2:$A$492)-1),COUNTIF('Eingabe Meldungen'!$A$2:$A$492,$B$129)+1-ROW('Eingabe Meldungen'!A2)))),"",INDEX('Eingabe Meldungen'!$C$2:$C$492,LARGE(('Eingabe Meldungen'!$A$2:$A$492=$B$129)*(ROW('Eingabe Meldungen'!$A$2:$A$492)-1),COUNTIF('Eingabe Meldungen'!$A$2:$A$492,$B$129)+1-ROW('Eingabe Meldungen'!A2))))</f>
        <v>Nake</v>
      </c>
      <c r="C132" s="4" t="str">
        <f t="array" ref="C132">IF(ISERROR(INDEX('Eingabe Meldungen'!$D$2:$D$492,LARGE(('Eingabe Meldungen'!$A$2:$A$492=$B$129)*(ROW('Eingabe Meldungen'!$A$2:$A$492)-1),COUNTIF('Eingabe Meldungen'!$A$2:$A$492,$B$129)+1-ROW('Eingabe Meldungen'!A2)))),"",INDEX('Eingabe Meldungen'!$D$2:$D$492,LARGE(('Eingabe Meldungen'!$A$2:$A$492=$B$129)*(ROW('Eingabe Meldungen'!$A$2:$A$492)-1),COUNTIF('Eingabe Meldungen'!$A$2:$A$492,$B$129)+1-ROW('Eingabe Meldungen'!A2))))</f>
        <v>Antonia</v>
      </c>
      <c r="D132" s="66">
        <f t="array" ref="D132">IF(B132&lt;&gt;"",INDEX('Eingabe Meldungen'!$C$2:$H$492,MATCH(B132&amp;C132,'Eingabe Meldungen'!$C$2:$C$492&amp;'Eingabe Meldungen'!$D$2:$D$492,0),6),"")</f>
        <v>2006</v>
      </c>
      <c r="E132" s="66" t="str">
        <f t="array" ref="E132">IF(B132&lt;&gt;"",INDEX('Eingabe Meldungen'!$C$2:$H$492,MATCH(B132&amp;C132,'Eingabe Meldungen'!$C$2:$C$492&amp;'Eingabe Meldungen'!$D$2:$D$492,0),4),"")</f>
        <v>-</v>
      </c>
      <c r="F132" s="66">
        <v>2</v>
      </c>
      <c r="G132" s="135"/>
      <c r="H132" s="4" t="e">
        <f t="shared" si="11"/>
        <v>#N/A</v>
      </c>
      <c r="I132" s="136" t="str">
        <f t="array" ref="I132">IF(B132&lt;&gt;"",INDEX('Eingabe Meldungen'!$C$2:$J$492,MATCH(B132&amp;C132,'Eingabe Meldungen'!$C$2:$C$492&amp;'Eingabe Meldungen'!$D$2:$D$492,0),8),"")</f>
        <v>Heidelberger Ruderklub</v>
      </c>
      <c r="L132" s="11"/>
      <c r="M132" s="11"/>
      <c r="N132" s="15"/>
      <c r="O132" s="11"/>
      <c r="Q132" s="11"/>
      <c r="R132" s="11"/>
    </row>
    <row r="133" spans="1:26" ht="13.5" customHeight="1" x14ac:dyDescent="0.2">
      <c r="B133" s="100" t="str">
        <f t="array" ref="B133">IF(ISERROR(INDEX('Eingabe Meldungen'!$C$2:$C$492,LARGE(('Eingabe Meldungen'!$A$2:$A$492=$B$129)*(ROW('Eingabe Meldungen'!$A$2:$A$492)-1),COUNTIF('Eingabe Meldungen'!$A$2:$A$492,$B$129)+1-ROW('Eingabe Meldungen'!A3)))),"",INDEX('Eingabe Meldungen'!$C$2:$C$492,LARGE(('Eingabe Meldungen'!$A$2:$A$492=$B$129)*(ROW('Eingabe Meldungen'!$A$2:$A$492)-1),COUNTIF('Eingabe Meldungen'!$A$2:$A$492,$B$129)+1-ROW('Eingabe Meldungen'!A3))))</f>
        <v>Holländer</v>
      </c>
      <c r="C133" s="4" t="str">
        <f t="array" ref="C133">IF(ISERROR(INDEX('Eingabe Meldungen'!$D$2:$D$492,LARGE(('Eingabe Meldungen'!$A$2:$A$492=$B$129)*(ROW('Eingabe Meldungen'!$A$2:$A$492)-1),COUNTIF('Eingabe Meldungen'!$A$2:$A$492,$B$129)+1-ROW('Eingabe Meldungen'!A3)))),"",INDEX('Eingabe Meldungen'!$D$2:$D$492,LARGE(('Eingabe Meldungen'!$A$2:$A$492=$B$129)*(ROW('Eingabe Meldungen'!$A$2:$A$492)-1),COUNTIF('Eingabe Meldungen'!$A$2:$A$492,$B$129)+1-ROW('Eingabe Meldungen'!A3))))</f>
        <v>Elisa</v>
      </c>
      <c r="D133" s="66">
        <f t="array" ref="D133">IF(B133&lt;&gt;"",INDEX('Eingabe Meldungen'!$C$2:$H$492,MATCH(B133&amp;C133,'Eingabe Meldungen'!$C$2:$C$492&amp;'Eingabe Meldungen'!$D$2:$D$492,0),6),"")</f>
        <v>2006</v>
      </c>
      <c r="E133" s="66" t="str">
        <f t="array" ref="E133">IF(B133&lt;&gt;"",INDEX('Eingabe Meldungen'!$C$2:$H$492,MATCH(B133&amp;C133,'Eingabe Meldungen'!$C$2:$C$492&amp;'Eingabe Meldungen'!$D$2:$D$492,0),4),"")</f>
        <v>-</v>
      </c>
      <c r="F133" s="66">
        <v>3</v>
      </c>
      <c r="G133" s="137"/>
      <c r="H133" s="4" t="e">
        <f t="shared" si="11"/>
        <v>#N/A</v>
      </c>
      <c r="I133" s="136" t="str">
        <f t="array" ref="I133">IF(B133&lt;&gt;"",INDEX('Eingabe Meldungen'!$C$2:$J$492,MATCH(B133&amp;C133,'Eingabe Meldungen'!$C$2:$C$492&amp;'Eingabe Meldungen'!$D$2:$D$492,0),8),"")</f>
        <v>Rudergesellschaft Heidelberg</v>
      </c>
      <c r="L133" s="11"/>
      <c r="M133" s="11"/>
      <c r="N133" s="15"/>
      <c r="O133" s="11"/>
      <c r="Q133" s="11"/>
      <c r="R133" s="11"/>
    </row>
    <row r="134" spans="1:26" ht="13.5" customHeight="1" x14ac:dyDescent="0.2">
      <c r="B134" s="100" t="str">
        <f t="array" ref="B134">IF(ISERROR(INDEX('Eingabe Meldungen'!$C$2:$C$492,LARGE(('Eingabe Meldungen'!$A$2:$A$492=$B$129)*(ROW('Eingabe Meldungen'!$A$2:$A$492)-1),COUNTIF('Eingabe Meldungen'!$A$2:$A$492,$B$129)+1-ROW('Eingabe Meldungen'!A4)))),"",INDEX('Eingabe Meldungen'!$C$2:$C$492,LARGE(('Eingabe Meldungen'!$A$2:$A$492=$B$129)*(ROW('Eingabe Meldungen'!$A$2:$A$492)-1),COUNTIF('Eingabe Meldungen'!$A$2:$A$492,$B$129)+1-ROW('Eingabe Meldungen'!A4))))</f>
        <v>Heterle</v>
      </c>
      <c r="C134" s="4" t="str">
        <f t="array" ref="C134">IF(ISERROR(INDEX('Eingabe Meldungen'!$D$2:$D$492,LARGE(('Eingabe Meldungen'!$A$2:$A$492=$B$129)*(ROW('Eingabe Meldungen'!$A$2:$A$492)-1),COUNTIF('Eingabe Meldungen'!$A$2:$A$492,$B$129)+1-ROW('Eingabe Meldungen'!A4)))),"",INDEX('Eingabe Meldungen'!$D$2:$D$492,LARGE(('Eingabe Meldungen'!$A$2:$A$492=$B$129)*(ROW('Eingabe Meldungen'!$A$2:$A$492)-1),COUNTIF('Eingabe Meldungen'!$A$2:$A$492,$B$129)+1-ROW('Eingabe Meldungen'!A4))))</f>
        <v>Emilie</v>
      </c>
      <c r="D134" s="66">
        <f t="array" ref="D134">IF(B134&lt;&gt;"",INDEX('Eingabe Meldungen'!$C$2:$H$492,MATCH(B134&amp;C134,'Eingabe Meldungen'!$C$2:$C$492&amp;'Eingabe Meldungen'!$D$2:$D$492,0),6),"")</f>
        <v>2006</v>
      </c>
      <c r="E134" s="66" t="str">
        <f t="array" ref="E134">IF(B134&lt;&gt;"",INDEX('Eingabe Meldungen'!$C$2:$H$492,MATCH(B134&amp;C134,'Eingabe Meldungen'!$C$2:$C$492&amp;'Eingabe Meldungen'!$D$2:$D$492,0),4),"")</f>
        <v>-</v>
      </c>
      <c r="F134" s="66">
        <v>4</v>
      </c>
      <c r="G134" s="137"/>
      <c r="H134" s="4" t="e">
        <f t="shared" si="11"/>
        <v>#N/A</v>
      </c>
      <c r="I134" s="136" t="str">
        <f t="array" ref="I134">IF(B134&lt;&gt;"",INDEX('Eingabe Meldungen'!$C$2:$J$492,MATCH(B134&amp;C134,'Eingabe Meldungen'!$C$2:$C$492&amp;'Eingabe Meldungen'!$D$2:$D$492,0),8),"")</f>
        <v>Rudergesellschaft Heidelberg</v>
      </c>
      <c r="L134" s="11"/>
      <c r="M134" s="11"/>
      <c r="N134" s="15"/>
      <c r="O134" s="11"/>
      <c r="Q134" s="11"/>
      <c r="R134" s="11"/>
    </row>
    <row r="135" spans="1:26" ht="13.5" customHeight="1" x14ac:dyDescent="0.2">
      <c r="B135" s="100" t="str">
        <f t="array" ref="B135">IF(ISERROR(INDEX('Eingabe Meldungen'!$C$2:$C$492,LARGE(('Eingabe Meldungen'!$A$2:$A$492=$B$129)*(ROW('Eingabe Meldungen'!$A$2:$A$492)-1),COUNTIF('Eingabe Meldungen'!$A$2:$A$492,$B$129)+1-ROW('Eingabe Meldungen'!A5)))),"",INDEX('Eingabe Meldungen'!$C$2:$C$492,LARGE(('Eingabe Meldungen'!$A$2:$A$492=$B$129)*(ROW('Eingabe Meldungen'!$A$2:$A$492)-1),COUNTIF('Eingabe Meldungen'!$A$2:$A$492,$B$129)+1-ROW('Eingabe Meldungen'!A5))))</f>
        <v>Stirner</v>
      </c>
      <c r="C135" s="4" t="str">
        <f t="array" ref="C135">IF(ISERROR(INDEX('Eingabe Meldungen'!$D$2:$D$492,LARGE(('Eingabe Meldungen'!$A$2:$A$492=$B$129)*(ROW('Eingabe Meldungen'!$A$2:$A$492)-1),COUNTIF('Eingabe Meldungen'!$A$2:$A$492,$B$129)+1-ROW('Eingabe Meldungen'!A5)))),"",INDEX('Eingabe Meldungen'!$D$2:$D$492,LARGE(('Eingabe Meldungen'!$A$2:$A$492=$B$129)*(ROW('Eingabe Meldungen'!$A$2:$A$492)-1),COUNTIF('Eingabe Meldungen'!$A$2:$A$492,$B$129)+1-ROW('Eingabe Meldungen'!A5))))</f>
        <v>Emilie</v>
      </c>
      <c r="D135" s="66">
        <f t="array" ref="D135">IF(B135&lt;&gt;"",INDEX('Eingabe Meldungen'!$C$2:$H$492,MATCH(B135&amp;C135,'Eingabe Meldungen'!$C$2:$C$492&amp;'Eingabe Meldungen'!$D$2:$D$492,0),6),"")</f>
        <v>2006</v>
      </c>
      <c r="E135" s="66" t="str">
        <f t="array" ref="E135">IF(B135&lt;&gt;"",INDEX('Eingabe Meldungen'!$C$2:$H$492,MATCH(B135&amp;C135,'Eingabe Meldungen'!$C$2:$C$492&amp;'Eingabe Meldungen'!$D$2:$D$492,0),4),"")</f>
        <v>-</v>
      </c>
      <c r="F135" s="66">
        <v>5</v>
      </c>
      <c r="G135" s="137"/>
      <c r="H135" s="4" t="e">
        <f t="shared" si="11"/>
        <v>#N/A</v>
      </c>
      <c r="I135" s="136" t="str">
        <f t="array" ref="I135">IF(B135&lt;&gt;"",INDEX('Eingabe Meldungen'!$C$2:$J$492,MATCH(B135&amp;C135,'Eingabe Meldungen'!$C$2:$C$492&amp;'Eingabe Meldungen'!$D$2:$D$492,0),8),"")</f>
        <v>Marbacher Ruderverein</v>
      </c>
      <c r="L135" s="11"/>
      <c r="M135" s="11"/>
      <c r="N135" s="15"/>
      <c r="O135" s="11"/>
      <c r="Q135" s="11"/>
      <c r="R135" s="11"/>
      <c r="U135" s="11"/>
      <c r="V135" s="11"/>
      <c r="W135" s="15"/>
      <c r="X135" s="11"/>
      <c r="Z135" s="11"/>
    </row>
    <row r="136" spans="1:26" ht="14.25" customHeight="1" x14ac:dyDescent="0.2">
      <c r="B136" s="100" t="str">
        <f t="array" ref="B136">IF(ISERROR(INDEX('Eingabe Meldungen'!$C$2:$C$492,LARGE(('Eingabe Meldungen'!$A$2:$A$492=$B$129)*(ROW('Eingabe Meldungen'!$A$2:$A$492)-1),COUNTIF('Eingabe Meldungen'!$A$2:$A$492,$B$129)+1-ROW('Eingabe Meldungen'!A6)))),"",INDEX('Eingabe Meldungen'!$C$2:$C$492,LARGE(('Eingabe Meldungen'!$A$2:$A$492=$B$129)*(ROW('Eingabe Meldungen'!$A$2:$A$492)-1),COUNTIF('Eingabe Meldungen'!$A$2:$A$492,$B$129)+1-ROW('Eingabe Meldungen'!A6))))</f>
        <v>Michel</v>
      </c>
      <c r="C136" s="4" t="str">
        <f t="array" ref="C136">IF(ISERROR(INDEX('Eingabe Meldungen'!$D$2:$D$492,LARGE(('Eingabe Meldungen'!$A$2:$A$492=$B$129)*(ROW('Eingabe Meldungen'!$A$2:$A$492)-1),COUNTIF('Eingabe Meldungen'!$A$2:$A$492,$B$129)+1-ROW('Eingabe Meldungen'!A6)))),"",INDEX('Eingabe Meldungen'!$D$2:$D$492,LARGE(('Eingabe Meldungen'!$A$2:$A$492=$B$129)*(ROW('Eingabe Meldungen'!$A$2:$A$492)-1),COUNTIF('Eingabe Meldungen'!$A$2:$A$492,$B$129)+1-ROW('Eingabe Meldungen'!A6))))</f>
        <v>Lene</v>
      </c>
      <c r="D136" s="66">
        <f t="array" ref="D136">IF(B136&lt;&gt;"",INDEX('Eingabe Meldungen'!$C$2:$H$492,MATCH(B136&amp;C136,'Eingabe Meldungen'!$C$2:$C$492&amp;'Eingabe Meldungen'!$D$2:$D$492,0),6),"")</f>
        <v>2006</v>
      </c>
      <c r="E136" s="66" t="str">
        <f t="array" ref="E136">IF(B136&lt;&gt;"",INDEX('Eingabe Meldungen'!$C$2:$H$492,MATCH(B136&amp;C136,'Eingabe Meldungen'!$C$2:$C$492&amp;'Eingabe Meldungen'!$D$2:$D$492,0),4),"")</f>
        <v>-</v>
      </c>
      <c r="F136" s="66">
        <v>6</v>
      </c>
      <c r="G136" s="137"/>
      <c r="H136" s="4" t="e">
        <f t="shared" si="11"/>
        <v>#N/A</v>
      </c>
      <c r="I136" s="136" t="str">
        <f t="array" ref="I136">IF(B136&lt;&gt;"",INDEX('Eingabe Meldungen'!$C$2:$J$492,MATCH(B136&amp;C136,'Eingabe Meldungen'!$C$2:$C$492&amp;'Eingabe Meldungen'!$D$2:$D$492,0),8),"")</f>
        <v>Rudergesellschaft Heidelberg</v>
      </c>
      <c r="L136" s="11"/>
      <c r="M136" s="11"/>
      <c r="N136" s="15"/>
      <c r="O136" s="11"/>
      <c r="Q136" s="11"/>
      <c r="R136" s="11"/>
      <c r="U136" s="11"/>
      <c r="V136" s="11"/>
      <c r="W136" s="15"/>
      <c r="X136" s="11"/>
      <c r="Z136" s="11"/>
    </row>
    <row r="137" spans="1:26" ht="13.5" customHeight="1" x14ac:dyDescent="0.2">
      <c r="B137" s="100" t="str">
        <f t="array" ref="B137">IF(ISERROR(INDEX('Eingabe Meldungen'!$C$2:$C$492,LARGE(('Eingabe Meldungen'!$A$2:$A$492=$B$129)*(ROW('Eingabe Meldungen'!$A$2:$A$492)-1),COUNTIF('Eingabe Meldungen'!$A$2:$A$492,$B$129)+1-ROW('Eingabe Meldungen'!A7)))),"",INDEX('Eingabe Meldungen'!$C$2:$C$492,LARGE(('Eingabe Meldungen'!$A$2:$A$492=$B$129)*(ROW('Eingabe Meldungen'!$A$2:$A$492)-1),COUNTIF('Eingabe Meldungen'!$A$2:$A$492,$B$129)+1-ROW('Eingabe Meldungen'!A7))))</f>
        <v>Mayer</v>
      </c>
      <c r="C137" s="4" t="str">
        <f t="array" ref="C137">IF(ISERROR(INDEX('Eingabe Meldungen'!$D$2:$D$492,LARGE(('Eingabe Meldungen'!$A$2:$A$492=$B$129)*(ROW('Eingabe Meldungen'!$A$2:$A$492)-1),COUNTIF('Eingabe Meldungen'!$A$2:$A$492,$B$129)+1-ROW('Eingabe Meldungen'!A7)))),"",INDEX('Eingabe Meldungen'!$D$2:$D$492,LARGE(('Eingabe Meldungen'!$A$2:$A$492=$B$129)*(ROW('Eingabe Meldungen'!$A$2:$A$492)-1),COUNTIF('Eingabe Meldungen'!$A$2:$A$492,$B$129)+1-ROW('Eingabe Meldungen'!A7))))</f>
        <v>Lilly</v>
      </c>
      <c r="D137" s="66">
        <f t="array" ref="D137">IF(B137&lt;&gt;"",INDEX('Eingabe Meldungen'!$C$2:$H$492,MATCH(B137&amp;C137,'Eingabe Meldungen'!$C$2:$C$492&amp;'Eingabe Meldungen'!$D$2:$D$492,0),6),"")</f>
        <v>2006</v>
      </c>
      <c r="E137" s="66" t="str">
        <f t="array" ref="E137">IF(B137&lt;&gt;"",INDEX('Eingabe Meldungen'!$C$2:$H$492,MATCH(B137&amp;C137,'Eingabe Meldungen'!$C$2:$C$492&amp;'Eingabe Meldungen'!$D$2:$D$492,0),4),"")</f>
        <v>-</v>
      </c>
      <c r="F137" s="66">
        <v>7</v>
      </c>
      <c r="G137" s="137"/>
      <c r="H137" s="4" t="e">
        <f t="shared" si="11"/>
        <v>#N/A</v>
      </c>
      <c r="I137" s="136" t="str">
        <f t="array" ref="I137">IF(B137&lt;&gt;"",INDEX('Eingabe Meldungen'!$C$2:$J$492,MATCH(B137&amp;C137,'Eingabe Meldungen'!$C$2:$C$492&amp;'Eingabe Meldungen'!$D$2:$D$492,0),8),"")</f>
        <v>RC Nürtingen</v>
      </c>
      <c r="L137" s="11"/>
      <c r="M137" s="11"/>
      <c r="N137" s="15"/>
      <c r="O137" s="11"/>
      <c r="Q137" s="11"/>
      <c r="R137" s="11"/>
      <c r="U137" s="11"/>
      <c r="V137" s="11"/>
      <c r="W137" s="15"/>
      <c r="X137" s="11"/>
      <c r="Z137" s="11"/>
    </row>
    <row r="138" spans="1:26" ht="13.5" customHeight="1" x14ac:dyDescent="0.2">
      <c r="B138" s="100" t="str">
        <f t="array" ref="B138">IF(ISERROR(INDEX('Eingabe Meldungen'!$C$2:$C$492,LARGE(('Eingabe Meldungen'!$A$2:$A$492=$B$129)*(ROW('Eingabe Meldungen'!$A$2:$A$492)-1),COUNTIF('Eingabe Meldungen'!$A$2:$A$492,$B$129)+1-ROW('Eingabe Meldungen'!A8)))),"",INDEX('Eingabe Meldungen'!$C$2:$C$492,LARGE(('Eingabe Meldungen'!$A$2:$A$492=$B$129)*(ROW('Eingabe Meldungen'!$A$2:$A$492)-1),COUNTIF('Eingabe Meldungen'!$A$2:$A$492,$B$129)+1-ROW('Eingabe Meldungen'!A8))))</f>
        <v>Oppold</v>
      </c>
      <c r="C138" s="4" t="str">
        <f t="array" ref="C138">IF(ISERROR(INDEX('Eingabe Meldungen'!$D$2:$D$492,LARGE(('Eingabe Meldungen'!$A$2:$A$492=$B$129)*(ROW('Eingabe Meldungen'!$A$2:$A$492)-1),COUNTIF('Eingabe Meldungen'!$A$2:$A$492,$B$129)+1-ROW('Eingabe Meldungen'!A8)))),"",INDEX('Eingabe Meldungen'!$D$2:$D$492,LARGE(('Eingabe Meldungen'!$A$2:$A$492=$B$129)*(ROW('Eingabe Meldungen'!$A$2:$A$492)-1),COUNTIF('Eingabe Meldungen'!$A$2:$A$492,$B$129)+1-ROW('Eingabe Meldungen'!A8))))</f>
        <v>Marlene</v>
      </c>
      <c r="D138" s="66">
        <f t="array" ref="D138">IF(B138&lt;&gt;"",INDEX('Eingabe Meldungen'!$C$2:$H$492,MATCH(B138&amp;C138,'Eingabe Meldungen'!$C$2:$C$492&amp;'Eingabe Meldungen'!$D$2:$D$492,0),6),"")</f>
        <v>2006</v>
      </c>
      <c r="E138" s="66" t="str">
        <f t="array" ref="E138">IF(B138&lt;&gt;"",INDEX('Eingabe Meldungen'!$C$2:$H$492,MATCH(B138&amp;C138,'Eingabe Meldungen'!$C$2:$C$492&amp;'Eingabe Meldungen'!$D$2:$D$492,0),4),"")</f>
        <v>-</v>
      </c>
      <c r="F138" s="66">
        <v>8</v>
      </c>
      <c r="G138" s="137"/>
      <c r="H138" s="4" t="e">
        <f t="shared" si="11"/>
        <v>#N/A</v>
      </c>
      <c r="I138" s="136" t="str">
        <f t="array" ref="I138">IF(B138&lt;&gt;"",INDEX('Eingabe Meldungen'!$C$2:$J$492,MATCH(B138&amp;C138,'Eingabe Meldungen'!$C$2:$C$492&amp;'Eingabe Meldungen'!$D$2:$D$492,0),8),"")</f>
        <v>Stuttgart-Cannstatter RC</v>
      </c>
      <c r="L138" s="11"/>
      <c r="M138" s="11"/>
      <c r="N138" s="15"/>
      <c r="O138" s="11"/>
      <c r="Q138" s="11"/>
      <c r="R138" s="11"/>
      <c r="U138" s="11"/>
      <c r="V138" s="11"/>
      <c r="W138" s="15"/>
      <c r="X138" s="11"/>
      <c r="Z138" s="11"/>
    </row>
    <row r="139" spans="1:26" ht="13.5" customHeight="1" x14ac:dyDescent="0.2">
      <c r="B139" s="100" t="str">
        <f t="array" ref="B139">IF(ISERROR(INDEX('Eingabe Meldungen'!$C$2:$C$492,LARGE(('Eingabe Meldungen'!$A$2:$A$492=$B$129)*(ROW('Eingabe Meldungen'!$A$2:$A$492)-1),COUNTIF('Eingabe Meldungen'!$A$2:$A$492,$B$129)+1-ROW('Eingabe Meldungen'!A9)))),"",INDEX('Eingabe Meldungen'!$C$2:$C$492,LARGE(('Eingabe Meldungen'!$A$2:$A$492=$B$129)*(ROW('Eingabe Meldungen'!$A$2:$A$492)-1),COUNTIF('Eingabe Meldungen'!$A$2:$A$492,$B$129)+1-ROW('Eingabe Meldungen'!A9))))</f>
        <v>Sammler</v>
      </c>
      <c r="C139" s="4" t="str">
        <f t="array" ref="C139">IF(ISERROR(INDEX('Eingabe Meldungen'!$D$2:$D$492,LARGE(('Eingabe Meldungen'!$A$2:$A$492=$B$129)*(ROW('Eingabe Meldungen'!$A$2:$A$492)-1),COUNTIF('Eingabe Meldungen'!$A$2:$A$492,$B$129)+1-ROW('Eingabe Meldungen'!A9)))),"",INDEX('Eingabe Meldungen'!$D$2:$D$492,LARGE(('Eingabe Meldungen'!$A$2:$A$492=$B$129)*(ROW('Eingabe Meldungen'!$A$2:$A$492)-1),COUNTIF('Eingabe Meldungen'!$A$2:$A$492,$B$129)+1-ROW('Eingabe Meldungen'!A9))))</f>
        <v>Melisande</v>
      </c>
      <c r="D139" s="66">
        <f t="array" ref="D139">IF(B139&lt;&gt;"",INDEX('Eingabe Meldungen'!$C$2:$H$492,MATCH(B139&amp;C139,'Eingabe Meldungen'!$C$2:$C$492&amp;'Eingabe Meldungen'!$D$2:$D$492,0),6),"")</f>
        <v>2006</v>
      </c>
      <c r="E139" s="66" t="str">
        <f t="array" ref="E139">IF(B139&lt;&gt;"",INDEX('Eingabe Meldungen'!$C$2:$H$492,MATCH(B139&amp;C139,'Eingabe Meldungen'!$C$2:$C$492&amp;'Eingabe Meldungen'!$D$2:$D$492,0),4),"")</f>
        <v>-</v>
      </c>
      <c r="F139" s="66">
        <v>9</v>
      </c>
      <c r="G139" s="137"/>
      <c r="H139" s="4" t="e">
        <f t="shared" si="11"/>
        <v>#N/A</v>
      </c>
      <c r="I139" s="136" t="str">
        <f t="array" ref="I139">IF(B139&lt;&gt;"",INDEX('Eingabe Meldungen'!$C$2:$J$492,MATCH(B139&amp;C139,'Eingabe Meldungen'!$C$2:$C$492&amp;'Eingabe Meldungen'!$D$2:$D$492,0),8),"")</f>
        <v>Mannheimer RV "Amicitia"</v>
      </c>
      <c r="L139" s="11"/>
      <c r="M139" s="11"/>
      <c r="N139" s="15"/>
      <c r="O139" s="11"/>
      <c r="Q139" s="11"/>
      <c r="R139" s="11"/>
      <c r="U139" s="11"/>
      <c r="V139" s="11"/>
      <c r="W139" s="15"/>
      <c r="X139" s="11"/>
      <c r="Z139" s="11"/>
    </row>
    <row r="140" spans="1:26" ht="13.5" customHeight="1" thickBot="1" x14ac:dyDescent="0.25">
      <c r="B140" s="138" t="str">
        <f t="array" ref="B140">IF(ISERROR(INDEX('Eingabe Meldungen'!$C$2:$C$492,LARGE(('Eingabe Meldungen'!$A$2:$A$492=$B$129)*(ROW('Eingabe Meldungen'!$A$2:$A$492)-1),COUNTIF('Eingabe Meldungen'!$A$2:$A$492,$B$129)+1-ROW('Eingabe Meldungen'!A10)))),"",INDEX('Eingabe Meldungen'!$C$2:$C$492,LARGE(('Eingabe Meldungen'!$A$2:$A$492=$B$129)*(ROW('Eingabe Meldungen'!$A$2:$A$492)-1),COUNTIF('Eingabe Meldungen'!$A$2:$A$492,$B$129)+1-ROW('Eingabe Meldungen'!A10))))</f>
        <v>Gürth</v>
      </c>
      <c r="C140" s="139" t="str">
        <f t="array" ref="C140">IF(ISERROR(INDEX('Eingabe Meldungen'!$D$2:$D$492,LARGE(('Eingabe Meldungen'!$A$2:$A$492=$B$129)*(ROW('Eingabe Meldungen'!$A$2:$A$492)-1),COUNTIF('Eingabe Meldungen'!$A$2:$A$492,$B$129)+1-ROW('Eingabe Meldungen'!A10)))),"",INDEX('Eingabe Meldungen'!$D$2:$D$492,LARGE(('Eingabe Meldungen'!$A$2:$A$492=$B$129)*(ROW('Eingabe Meldungen'!$A$2:$A$492)-1),COUNTIF('Eingabe Meldungen'!$A$2:$A$492,$B$129)+1-ROW('Eingabe Meldungen'!A10))))</f>
        <v>Mona</v>
      </c>
      <c r="D140" s="99">
        <f t="array" ref="D140">IF(B140&lt;&gt;"",INDEX('Eingabe Meldungen'!$C$2:$H$492,MATCH(B140&amp;C140,'Eingabe Meldungen'!$C$2:$C$492&amp;'Eingabe Meldungen'!$D$2:$D$492,0),6),"")</f>
        <v>2006</v>
      </c>
      <c r="E140" s="99" t="str">
        <f t="array" ref="E140">IF(B140&lt;&gt;"",INDEX('Eingabe Meldungen'!$C$2:$H$492,MATCH(B140&amp;C140,'Eingabe Meldungen'!$C$2:$C$492&amp;'Eingabe Meldungen'!$D$2:$D$492,0),4),"")</f>
        <v>-</v>
      </c>
      <c r="F140" s="99">
        <v>10</v>
      </c>
      <c r="G140" s="140"/>
      <c r="H140" s="139" t="e">
        <f t="shared" si="11"/>
        <v>#N/A</v>
      </c>
      <c r="I140" s="141" t="str">
        <f t="array" ref="I140">IF(B140&lt;&gt;"",INDEX('Eingabe Meldungen'!$C$2:$J$492,MATCH(B140&amp;C140,'Eingabe Meldungen'!$C$2:$C$492&amp;'Eingabe Meldungen'!$D$2:$D$492,0),8),"")</f>
        <v>Rudergesellschaft Heidelberg</v>
      </c>
      <c r="L140" s="11"/>
      <c r="M140" s="11"/>
      <c r="N140" s="15"/>
      <c r="O140" s="11"/>
      <c r="Q140" s="11"/>
      <c r="R140" s="11"/>
      <c r="U140" s="11"/>
      <c r="V140" s="11"/>
      <c r="W140" s="15"/>
      <c r="X140" s="11"/>
      <c r="Z140" s="11"/>
    </row>
    <row r="141" spans="1:26" ht="13.5" customHeight="1" thickBo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5"/>
      <c r="O141" s="11"/>
      <c r="R141" s="11"/>
      <c r="S141" s="11"/>
      <c r="U141" s="11"/>
      <c r="V141" s="11"/>
      <c r="W141" s="15"/>
      <c r="X141" s="11"/>
      <c r="Z141" s="11"/>
    </row>
    <row r="142" spans="1:26" ht="25.5" customHeight="1" x14ac:dyDescent="0.2">
      <c r="B142" s="26">
        <f>B129+1</f>
        <v>9</v>
      </c>
      <c r="C142" s="65" t="str">
        <f>VLOOKUP(B142,Ausschreibung!$B$5:$I$35,2,FALSE)</f>
        <v>Ergocup</v>
      </c>
      <c r="D142" s="27" t="s">
        <v>495</v>
      </c>
      <c r="E142" s="65" t="s">
        <v>97</v>
      </c>
      <c r="F142" s="65" t="str">
        <f>VLOOKUP(B142,Ausschreibung!$B$5:$I$35,5,FALSE)</f>
        <v>Lgw. bis 55 kg</v>
      </c>
      <c r="G142" s="65">
        <f>VLOOKUP(B142,Ausschreibung!$B$5:$I$35,6,FALSE)</f>
        <v>14</v>
      </c>
      <c r="H142" s="65" t="str">
        <f>VLOOKUP(B142,Ausschreibung!$B$5:$I$35,8,FALSE)</f>
        <v>1000 m</v>
      </c>
      <c r="I142" s="28"/>
      <c r="L142" s="11"/>
      <c r="M142" s="11"/>
      <c r="N142" s="15"/>
      <c r="O142" s="11"/>
      <c r="R142" s="11"/>
      <c r="S142" s="11"/>
      <c r="U142" s="11"/>
      <c r="V142" s="11"/>
      <c r="W142" s="15"/>
      <c r="X142" s="11"/>
      <c r="Z142" s="11"/>
    </row>
    <row r="143" spans="1:26" ht="13.5" customHeight="1" thickBot="1" x14ac:dyDescent="0.25">
      <c r="B143" s="19" t="s">
        <v>1</v>
      </c>
      <c r="C143" s="18" t="s">
        <v>2</v>
      </c>
      <c r="D143" s="17" t="s">
        <v>49</v>
      </c>
      <c r="E143" s="130" t="s">
        <v>16</v>
      </c>
      <c r="F143" s="17" t="s">
        <v>18</v>
      </c>
      <c r="G143" s="73" t="s">
        <v>50</v>
      </c>
      <c r="H143" s="17" t="s">
        <v>51</v>
      </c>
      <c r="I143" s="30" t="s">
        <v>17</v>
      </c>
      <c r="L143" s="11"/>
      <c r="M143" s="11"/>
      <c r="N143" s="15"/>
      <c r="O143" s="11"/>
      <c r="R143" s="11"/>
      <c r="S143" s="11"/>
      <c r="U143" s="11"/>
      <c r="V143" s="11"/>
      <c r="W143" s="15"/>
      <c r="X143" s="11"/>
      <c r="Z143" s="11"/>
    </row>
    <row r="144" spans="1:26" ht="12.75" customHeight="1" x14ac:dyDescent="0.2">
      <c r="B144" s="131" t="str">
        <f t="array" ref="B144">IF(ISERROR(INDEX('Eingabe Meldungen'!$C$2:$C$492,LARGE(('Eingabe Meldungen'!$A$2:$A$492=$B$142)*(ROW('Eingabe Meldungen'!$A$2:$A$492)-1),COUNTIF('Eingabe Meldungen'!$A$2:$A$492,$B$142)+1-ROW('Eingabe Meldungen'!A1)))),"",INDEX('Eingabe Meldungen'!$C$2:$C$492,LARGE(('Eingabe Meldungen'!$A$2:$A$492=$B$142)*(ROW('Eingabe Meldungen'!$A$2:$A$492)-1),COUNTIF('Eingabe Meldungen'!$A$2:$A$492,$B$142)+1-ROW('Eingabe Meldungen'!A1))))</f>
        <v>Fischer</v>
      </c>
      <c r="C144" s="132" t="str">
        <f t="array" ref="C144">IF(ISERROR(INDEX('Eingabe Meldungen'!$D$2:$D$492,LARGE(('Eingabe Meldungen'!$A$2:$A$492=$B$142)*(ROW('Eingabe Meldungen'!$A$2:$A$492)-1),COUNTIF('Eingabe Meldungen'!$A$2:$A$492,$B$142)+1-ROW('Eingabe Meldungen'!A1)))),"",INDEX('Eingabe Meldungen'!$D$2:$D$492,LARGE(('Eingabe Meldungen'!$A$2:$A$492=$B$142)*(ROW('Eingabe Meldungen'!$A$2:$A$492)-1),COUNTIF('Eingabe Meldungen'!$A$2:$A$492,$B$142)+1-ROW('Eingabe Meldungen'!A1))))</f>
        <v>Amatus</v>
      </c>
      <c r="D144" s="78">
        <f t="array" ref="D144">IF(B144&lt;&gt;"",INDEX('Eingabe Meldungen'!$C$2:$H$492,MATCH(B144&amp;C144,'Eingabe Meldungen'!$C$2:$C$492&amp;'Eingabe Meldungen'!$D$2:$D$492,0),6),"")</f>
        <v>2006</v>
      </c>
      <c r="E144" s="78" t="str">
        <f t="array" ref="E144">IF(B144&lt;&gt;"",INDEX('Eingabe Meldungen'!$C$2:$H$492,MATCH(B144&amp;C144,'Eingabe Meldungen'!$C$2:$C$492&amp;'Eingabe Meldungen'!$D$2:$D$492,0),4),"")</f>
        <v>Lgw. bis 55 kg</v>
      </c>
      <c r="F144" s="78">
        <v>1</v>
      </c>
      <c r="G144" s="133"/>
      <c r="H144" s="132" t="e">
        <f t="shared" ref="H144:H149" si="12">RANK(G144,$G$144:$G$163,1)</f>
        <v>#N/A</v>
      </c>
      <c r="I144" s="134" t="str">
        <f t="array" ref="I144">IF(B144&lt;&gt;"",INDEX('Eingabe Meldungen'!$C$2:$J$492,MATCH(B144&amp;C144,'Eingabe Meldungen'!$C$2:$C$492&amp;'Eingabe Meldungen'!$D$2:$D$492,0),8),"")</f>
        <v>RV Waldsee</v>
      </c>
      <c r="K144" s="426" t="s">
        <v>454</v>
      </c>
      <c r="L144" s="11"/>
      <c r="M144" s="11"/>
      <c r="N144" s="15"/>
      <c r="O144" s="11"/>
      <c r="R144" s="11"/>
      <c r="S144" s="11"/>
      <c r="U144" s="11"/>
      <c r="V144" s="11"/>
      <c r="W144" s="15"/>
      <c r="X144" s="11"/>
      <c r="Z144" s="11"/>
    </row>
    <row r="145" spans="2:26" x14ac:dyDescent="0.2">
      <c r="B145" s="100" t="str">
        <f t="array" ref="B145">IF(ISERROR(INDEX('Eingabe Meldungen'!$C$2:$C$492,LARGE(('Eingabe Meldungen'!$A$2:$A$492=$B$142)*(ROW('Eingabe Meldungen'!$A$2:$A$492)-1),COUNTIF('Eingabe Meldungen'!$A$2:$A$492,$B$142)+1-ROW('Eingabe Meldungen'!A2)))),"",INDEX('Eingabe Meldungen'!$C$2:$C$492,LARGE(('Eingabe Meldungen'!$A$2:$A$492=$B$142)*(ROW('Eingabe Meldungen'!$A$2:$A$492)-1),COUNTIF('Eingabe Meldungen'!$A$2:$A$492,$B$142)+1-ROW('Eingabe Meldungen'!A2))))</f>
        <v>Podbicanin</v>
      </c>
      <c r="C145" s="4" t="str">
        <f t="array" ref="C145">IF(ISERROR(INDEX('Eingabe Meldungen'!$D$2:$D$492,LARGE(('Eingabe Meldungen'!$A$2:$A$492=$B$142)*(ROW('Eingabe Meldungen'!$A$2:$A$492)-1),COUNTIF('Eingabe Meldungen'!$A$2:$A$492,$B$142)+1-ROW('Eingabe Meldungen'!A2)))),"",INDEX('Eingabe Meldungen'!$D$2:$D$492,LARGE(('Eingabe Meldungen'!$A$2:$A$492=$B$142)*(ROW('Eingabe Meldungen'!$A$2:$A$492)-1),COUNTIF('Eingabe Meldungen'!$A$2:$A$492,$B$142)+1-ROW('Eingabe Meldungen'!A2))))</f>
        <v>Ben</v>
      </c>
      <c r="D145" s="66">
        <f t="array" ref="D145">IF(B145&lt;&gt;"",INDEX('Eingabe Meldungen'!$C$2:$H$492,MATCH(B145&amp;C145,'Eingabe Meldungen'!$C$2:$C$492&amp;'Eingabe Meldungen'!$D$2:$D$492,0),6),"")</f>
        <v>2006</v>
      </c>
      <c r="E145" s="66" t="str">
        <f t="array" ref="E145">IF(B145&lt;&gt;"",INDEX('Eingabe Meldungen'!$C$2:$H$492,MATCH(B145&amp;C145,'Eingabe Meldungen'!$C$2:$C$492&amp;'Eingabe Meldungen'!$D$2:$D$492,0),4),"")</f>
        <v>Lgw. bis 55 kg</v>
      </c>
      <c r="F145" s="66">
        <v>2</v>
      </c>
      <c r="G145" s="135"/>
      <c r="H145" s="4" t="e">
        <f t="shared" si="12"/>
        <v>#N/A</v>
      </c>
      <c r="I145" s="136" t="str">
        <f t="array" ref="I145">IF(B145&lt;&gt;"",INDEX('Eingabe Meldungen'!$C$2:$J$492,MATCH(B145&amp;C145,'Eingabe Meldungen'!$C$2:$C$492&amp;'Eingabe Meldungen'!$D$2:$D$492,0),8),"")</f>
        <v>Mannheimer RV "Amicitia"</v>
      </c>
      <c r="K145" s="427"/>
      <c r="L145" s="11"/>
      <c r="M145" s="11"/>
      <c r="N145" s="15"/>
      <c r="O145" s="11"/>
      <c r="R145" s="11"/>
      <c r="S145" s="11"/>
      <c r="U145" s="11"/>
      <c r="V145" s="11"/>
      <c r="W145" s="15"/>
      <c r="X145" s="11"/>
      <c r="Z145" s="11"/>
    </row>
    <row r="146" spans="2:26" ht="13.5" customHeight="1" x14ac:dyDescent="0.2">
      <c r="B146" s="100" t="str">
        <f t="array" ref="B146">IF(ISERROR(INDEX('Eingabe Meldungen'!$C$2:$C$492,LARGE(('Eingabe Meldungen'!$A$2:$A$492=$B$142)*(ROW('Eingabe Meldungen'!$A$2:$A$492)-1),COUNTIF('Eingabe Meldungen'!$A$2:$A$492,$B$142)+1-ROW('Eingabe Meldungen'!A3)))),"",INDEX('Eingabe Meldungen'!$C$2:$C$492,LARGE(('Eingabe Meldungen'!$A$2:$A$492=$B$142)*(ROW('Eingabe Meldungen'!$A$2:$A$492)-1),COUNTIF('Eingabe Meldungen'!$A$2:$A$492,$B$142)+1-ROW('Eingabe Meldungen'!A3))))</f>
        <v>Zeppenfeld</v>
      </c>
      <c r="C146" s="4" t="str">
        <f t="array" ref="C146">IF(ISERROR(INDEX('Eingabe Meldungen'!$D$2:$D$492,LARGE(('Eingabe Meldungen'!$A$2:$A$492=$B$142)*(ROW('Eingabe Meldungen'!$A$2:$A$492)-1),COUNTIF('Eingabe Meldungen'!$A$2:$A$492,$B$142)+1-ROW('Eingabe Meldungen'!A3)))),"",INDEX('Eingabe Meldungen'!$D$2:$D$492,LARGE(('Eingabe Meldungen'!$A$2:$A$492=$B$142)*(ROW('Eingabe Meldungen'!$A$2:$A$492)-1),COUNTIF('Eingabe Meldungen'!$A$2:$A$492,$B$142)+1-ROW('Eingabe Meldungen'!A3))))</f>
        <v>Janne</v>
      </c>
      <c r="D146" s="66">
        <f t="array" ref="D146">IF(B146&lt;&gt;"",INDEX('Eingabe Meldungen'!$C$2:$H$492,MATCH(B146&amp;C146,'Eingabe Meldungen'!$C$2:$C$492&amp;'Eingabe Meldungen'!$D$2:$D$492,0),6),"")</f>
        <v>2006</v>
      </c>
      <c r="E146" s="66" t="str">
        <f t="array" ref="E146">IF(B146&lt;&gt;"",INDEX('Eingabe Meldungen'!$C$2:$H$492,MATCH(B146&amp;C146,'Eingabe Meldungen'!$C$2:$C$492&amp;'Eingabe Meldungen'!$D$2:$D$492,0),4),"")</f>
        <v>Lgw. bis 55 kg</v>
      </c>
      <c r="F146" s="66">
        <v>3</v>
      </c>
      <c r="G146" s="135"/>
      <c r="H146" s="4" t="e">
        <f t="shared" si="12"/>
        <v>#N/A</v>
      </c>
      <c r="I146" s="136" t="str">
        <f t="array" ref="I146">IF(B146&lt;&gt;"",INDEX('Eingabe Meldungen'!$C$2:$J$492,MATCH(B146&amp;C146,'Eingabe Meldungen'!$C$2:$C$492&amp;'Eingabe Meldungen'!$D$2:$D$492,0),8),"")</f>
        <v>Heidelberger Ruderklub</v>
      </c>
      <c r="K146" s="427"/>
      <c r="L146" s="11"/>
      <c r="M146" s="11"/>
      <c r="N146" s="15"/>
      <c r="O146" s="11"/>
      <c r="R146" s="11"/>
      <c r="S146" s="11"/>
      <c r="U146" s="11"/>
      <c r="V146" s="11"/>
      <c r="W146" s="15"/>
      <c r="X146" s="11"/>
      <c r="Z146" s="11"/>
    </row>
    <row r="147" spans="2:26" ht="13.5" customHeight="1" x14ac:dyDescent="0.2">
      <c r="B147" s="100" t="str">
        <f t="array" ref="B147">IF(ISERROR(INDEX('Eingabe Meldungen'!$C$2:$C$492,LARGE(('Eingabe Meldungen'!$A$2:$A$492=$B$142)*(ROW('Eingabe Meldungen'!$A$2:$A$492)-1),COUNTIF('Eingabe Meldungen'!$A$2:$A$492,$B$142)+1-ROW('Eingabe Meldungen'!A4)))),"",INDEX('Eingabe Meldungen'!$C$2:$C$492,LARGE(('Eingabe Meldungen'!$A$2:$A$492=$B$142)*(ROW('Eingabe Meldungen'!$A$2:$A$492)-1),COUNTIF('Eingabe Meldungen'!$A$2:$A$492,$B$142)+1-ROW('Eingabe Meldungen'!A4))))</f>
        <v>Walz</v>
      </c>
      <c r="C147" s="4" t="str">
        <f t="array" ref="C147">IF(ISERROR(INDEX('Eingabe Meldungen'!$D$2:$D$492,LARGE(('Eingabe Meldungen'!$A$2:$A$492=$B$142)*(ROW('Eingabe Meldungen'!$A$2:$A$492)-1),COUNTIF('Eingabe Meldungen'!$A$2:$A$492,$B$142)+1-ROW('Eingabe Meldungen'!A4)))),"",INDEX('Eingabe Meldungen'!$D$2:$D$492,LARGE(('Eingabe Meldungen'!$A$2:$A$492=$B$142)*(ROW('Eingabe Meldungen'!$A$2:$A$492)-1),COUNTIF('Eingabe Meldungen'!$A$2:$A$492,$B$142)+1-ROW('Eingabe Meldungen'!A4))))</f>
        <v>Levi</v>
      </c>
      <c r="D147" s="66">
        <f t="array" ref="D147">IF(B147&lt;&gt;"",INDEX('Eingabe Meldungen'!$C$2:$H$492,MATCH(B147&amp;C147,'Eingabe Meldungen'!$C$2:$C$492&amp;'Eingabe Meldungen'!$D$2:$D$492,0),6),"")</f>
        <v>2006</v>
      </c>
      <c r="E147" s="66" t="str">
        <f t="array" ref="E147">IF(B147&lt;&gt;"",INDEX('Eingabe Meldungen'!$C$2:$H$492,MATCH(B147&amp;C147,'Eingabe Meldungen'!$C$2:$C$492&amp;'Eingabe Meldungen'!$D$2:$D$492,0),4),"")</f>
        <v>Lgw. bis 55 kg</v>
      </c>
      <c r="F147" s="66">
        <v>4</v>
      </c>
      <c r="G147" s="135"/>
      <c r="H147" s="4" t="e">
        <f t="shared" si="12"/>
        <v>#N/A</v>
      </c>
      <c r="I147" s="136" t="str">
        <f t="array" ref="I147">IF(B147&lt;&gt;"",INDEX('Eingabe Meldungen'!$C$2:$J$492,MATCH(B147&amp;C147,'Eingabe Meldungen'!$C$2:$C$492&amp;'Eingabe Meldungen'!$D$2:$D$492,0),8),"")</f>
        <v>RC Nürtingen</v>
      </c>
      <c r="K147" s="427"/>
      <c r="L147" s="11"/>
      <c r="M147" s="11"/>
      <c r="N147" s="15"/>
      <c r="O147" s="11"/>
      <c r="R147" s="11"/>
      <c r="S147" s="11"/>
      <c r="U147" s="11"/>
      <c r="V147" s="11"/>
      <c r="W147" s="15"/>
      <c r="X147" s="11"/>
      <c r="Z147" s="11"/>
    </row>
    <row r="148" spans="2:26" ht="13.5" customHeight="1" x14ac:dyDescent="0.2">
      <c r="B148" s="100" t="str">
        <f t="array" ref="B148">IF(ISERROR(INDEX('Eingabe Meldungen'!$C$2:$C$492,LARGE(('Eingabe Meldungen'!$A$2:$A$492=$B$142)*(ROW('Eingabe Meldungen'!$A$2:$A$492)-1),COUNTIF('Eingabe Meldungen'!$A$2:$A$492,$B$142)+1-ROW('Eingabe Meldungen'!A5)))),"",INDEX('Eingabe Meldungen'!$C$2:$C$492,LARGE(('Eingabe Meldungen'!$A$2:$A$492=$B$142)*(ROW('Eingabe Meldungen'!$A$2:$A$492)-1),COUNTIF('Eingabe Meldungen'!$A$2:$A$492,$B$142)+1-ROW('Eingabe Meldungen'!A5))))</f>
        <v>Gehring</v>
      </c>
      <c r="C148" s="4" t="str">
        <f t="array" ref="C148">IF(ISERROR(INDEX('Eingabe Meldungen'!$D$2:$D$492,LARGE(('Eingabe Meldungen'!$A$2:$A$492=$B$142)*(ROW('Eingabe Meldungen'!$A$2:$A$492)-1),COUNTIF('Eingabe Meldungen'!$A$2:$A$492,$B$142)+1-ROW('Eingabe Meldungen'!A5)))),"",INDEX('Eingabe Meldungen'!$D$2:$D$492,LARGE(('Eingabe Meldungen'!$A$2:$A$492=$B$142)*(ROW('Eingabe Meldungen'!$A$2:$A$492)-1),COUNTIF('Eingabe Meldungen'!$A$2:$A$492,$B$142)+1-ROW('Eingabe Meldungen'!A5))))</f>
        <v>Max</v>
      </c>
      <c r="D148" s="66">
        <f t="array" ref="D148">IF(B148&lt;&gt;"",INDEX('Eingabe Meldungen'!$C$2:$H$492,MATCH(B148&amp;C148,'Eingabe Meldungen'!$C$2:$C$492&amp;'Eingabe Meldungen'!$D$2:$D$492,0),6),"")</f>
        <v>2006</v>
      </c>
      <c r="E148" s="66" t="str">
        <f t="array" ref="E148">IF(B148&lt;&gt;"",INDEX('Eingabe Meldungen'!$C$2:$H$492,MATCH(B148&amp;C148,'Eingabe Meldungen'!$C$2:$C$492&amp;'Eingabe Meldungen'!$D$2:$D$492,0),4),"")</f>
        <v>Lgw. bis 55 kg</v>
      </c>
      <c r="F148" s="66">
        <v>5</v>
      </c>
      <c r="G148" s="135"/>
      <c r="H148" s="4" t="e">
        <f t="shared" si="12"/>
        <v>#N/A</v>
      </c>
      <c r="I148" s="136" t="str">
        <f t="array" ref="I148">IF(B148&lt;&gt;"",INDEX('Eingabe Meldungen'!$C$2:$J$492,MATCH(B148&amp;C148,'Eingabe Meldungen'!$C$2:$C$492&amp;'Eingabe Meldungen'!$D$2:$D$492,0),8),"")</f>
        <v>Mannheimer RV "Amicitia"</v>
      </c>
      <c r="K148" s="427"/>
      <c r="L148" s="11"/>
      <c r="M148" s="11"/>
      <c r="N148" s="15"/>
      <c r="O148" s="11"/>
      <c r="R148" s="11"/>
      <c r="S148" s="11"/>
      <c r="U148" s="11"/>
      <c r="V148" s="11"/>
      <c r="W148" s="15"/>
      <c r="X148" s="11"/>
      <c r="Z148" s="11"/>
    </row>
    <row r="149" spans="2:26" ht="13.5" customHeight="1" x14ac:dyDescent="0.2">
      <c r="B149" s="100" t="str">
        <f t="array" ref="B149">IF(ISERROR(INDEX('Eingabe Meldungen'!$C$2:$C$492,LARGE(('Eingabe Meldungen'!$A$2:$A$492=$B$142)*(ROW('Eingabe Meldungen'!$A$2:$A$492)-1),COUNTIF('Eingabe Meldungen'!$A$2:$A$492,$B$142)+1-ROW('Eingabe Meldungen'!A6)))),"",INDEX('Eingabe Meldungen'!$C$2:$C$492,LARGE(('Eingabe Meldungen'!$A$2:$A$492=$B$142)*(ROW('Eingabe Meldungen'!$A$2:$A$492)-1),COUNTIF('Eingabe Meldungen'!$A$2:$A$492,$B$142)+1-ROW('Eingabe Meldungen'!A6))))</f>
        <v>Kappler</v>
      </c>
      <c r="C149" s="4" t="str">
        <f t="array" ref="C149">IF(ISERROR(INDEX('Eingabe Meldungen'!$D$2:$D$492,LARGE(('Eingabe Meldungen'!$A$2:$A$492=$B$142)*(ROW('Eingabe Meldungen'!$A$2:$A$492)-1),COUNTIF('Eingabe Meldungen'!$A$2:$A$492,$B$142)+1-ROW('Eingabe Meldungen'!A6)))),"",INDEX('Eingabe Meldungen'!$D$2:$D$492,LARGE(('Eingabe Meldungen'!$A$2:$A$492=$B$142)*(ROW('Eingabe Meldungen'!$A$2:$A$492)-1),COUNTIF('Eingabe Meldungen'!$A$2:$A$492,$B$142)+1-ROW('Eingabe Meldungen'!A6))))</f>
        <v>Max</v>
      </c>
      <c r="D149" s="66">
        <f t="array" ref="D149">IF(B149&lt;&gt;"",INDEX('Eingabe Meldungen'!$C$2:$H$492,MATCH(B149&amp;C149,'Eingabe Meldungen'!$C$2:$C$492&amp;'Eingabe Meldungen'!$D$2:$D$492,0),6),"")</f>
        <v>2006</v>
      </c>
      <c r="E149" s="66" t="str">
        <f t="array" ref="E149">IF(B149&lt;&gt;"",INDEX('Eingabe Meldungen'!$C$2:$H$492,MATCH(B149&amp;C149,'Eingabe Meldungen'!$C$2:$C$492&amp;'Eingabe Meldungen'!$D$2:$D$492,0),4),"")</f>
        <v>Lgw. bis 55 kg</v>
      </c>
      <c r="F149" s="66">
        <v>6</v>
      </c>
      <c r="G149" s="135"/>
      <c r="H149" s="4" t="e">
        <f t="shared" si="12"/>
        <v>#N/A</v>
      </c>
      <c r="I149" s="136" t="str">
        <f t="array" ref="I149">IF(B149&lt;&gt;"",INDEX('Eingabe Meldungen'!$C$2:$J$492,MATCH(B149&amp;C149,'Eingabe Meldungen'!$C$2:$C$492&amp;'Eingabe Meldungen'!$D$2:$D$492,0),8),"")</f>
        <v>Mannheimer RV "Amicitia"</v>
      </c>
      <c r="K149" s="427"/>
      <c r="L149" s="24"/>
      <c r="M149" s="11"/>
      <c r="N149" s="10"/>
      <c r="O149" s="11"/>
      <c r="P149" s="11"/>
      <c r="Q149" s="11"/>
      <c r="R149" s="11"/>
      <c r="S149" s="11"/>
      <c r="U149" s="11"/>
      <c r="V149" s="11"/>
      <c r="W149" s="15"/>
      <c r="X149" s="11"/>
      <c r="Z149" s="11"/>
    </row>
    <row r="150" spans="2:26" ht="13.5" customHeight="1" x14ac:dyDescent="0.2">
      <c r="B150" s="100"/>
      <c r="C150" s="4"/>
      <c r="D150" s="66"/>
      <c r="E150" s="66"/>
      <c r="F150" s="66">
        <v>7</v>
      </c>
      <c r="G150" s="135"/>
      <c r="H150" s="4"/>
      <c r="I150" s="136"/>
      <c r="K150" s="427"/>
      <c r="L150" s="24"/>
      <c r="M150" s="11"/>
      <c r="N150" s="10"/>
      <c r="O150" s="11"/>
      <c r="P150" s="11"/>
      <c r="Q150" s="11"/>
      <c r="R150" s="11"/>
      <c r="S150" s="11"/>
      <c r="U150" s="11"/>
      <c r="V150" s="11"/>
      <c r="W150" s="15"/>
      <c r="X150" s="11"/>
      <c r="Z150" s="11"/>
    </row>
    <row r="151" spans="2:26" ht="13.5" customHeight="1" x14ac:dyDescent="0.2">
      <c r="B151" s="100"/>
      <c r="C151" s="4"/>
      <c r="D151" s="66"/>
      <c r="E151" s="66"/>
      <c r="F151" s="66">
        <v>8</v>
      </c>
      <c r="G151" s="135"/>
      <c r="H151" s="4"/>
      <c r="I151" s="136"/>
      <c r="K151" s="427"/>
      <c r="L151" s="24"/>
      <c r="M151" s="11"/>
      <c r="N151" s="10"/>
      <c r="O151" s="11"/>
      <c r="P151" s="11"/>
      <c r="Q151" s="11"/>
      <c r="R151" s="11"/>
      <c r="S151" s="11"/>
      <c r="U151" s="11"/>
      <c r="V151" s="11"/>
      <c r="W151" s="15"/>
      <c r="X151" s="11"/>
      <c r="Z151" s="11"/>
    </row>
    <row r="152" spans="2:26" ht="13.5" customHeight="1" x14ac:dyDescent="0.2">
      <c r="B152" s="100"/>
      <c r="C152" s="4"/>
      <c r="D152" s="66"/>
      <c r="E152" s="66"/>
      <c r="F152" s="66">
        <v>9</v>
      </c>
      <c r="G152" s="135"/>
      <c r="H152" s="4"/>
      <c r="I152" s="136"/>
      <c r="K152" s="427"/>
      <c r="L152" s="24"/>
      <c r="M152" s="11"/>
      <c r="N152" s="10"/>
      <c r="O152" s="11"/>
      <c r="P152" s="11"/>
      <c r="Q152" s="11"/>
      <c r="R152" s="11"/>
      <c r="S152" s="11"/>
      <c r="U152" s="11"/>
      <c r="V152" s="11"/>
      <c r="W152" s="15"/>
      <c r="X152" s="11"/>
      <c r="Z152" s="11"/>
    </row>
    <row r="153" spans="2:26" ht="13.5" customHeight="1" thickBot="1" x14ac:dyDescent="0.25">
      <c r="B153" s="138"/>
      <c r="C153" s="139"/>
      <c r="D153" s="99"/>
      <c r="E153" s="99"/>
      <c r="F153" s="99">
        <v>10</v>
      </c>
      <c r="G153" s="143"/>
      <c r="H153" s="139"/>
      <c r="I153" s="141"/>
      <c r="K153" s="428"/>
      <c r="L153" s="24"/>
      <c r="M153" s="11"/>
      <c r="N153" s="10"/>
      <c r="O153" s="11"/>
      <c r="P153" s="11"/>
      <c r="Q153" s="11"/>
      <c r="R153" s="11"/>
      <c r="S153" s="11"/>
      <c r="U153" s="11"/>
      <c r="V153" s="11"/>
      <c r="W153" s="15"/>
      <c r="X153" s="11"/>
      <c r="Z153" s="11"/>
    </row>
    <row r="154" spans="2:26" ht="13.5" customHeight="1" x14ac:dyDescent="0.2">
      <c r="B154" s="131" t="str">
        <f t="array" ref="B154">IF(ISERROR(INDEX('Eingabe Meldungen'!$C$2:$C$492,LARGE(('Eingabe Meldungen'!$A$2:$A$492=$B$142)*(ROW('Eingabe Meldungen'!$A$2:$A$492)-1),COUNTIF('Eingabe Meldungen'!$A$2:$A$492,$B$142)+1-ROW('Eingabe Meldungen'!A7)))),"",INDEX('Eingabe Meldungen'!$C$2:$C$492,LARGE(('Eingabe Meldungen'!$A$2:$A$492=$B$142)*(ROW('Eingabe Meldungen'!$A$2:$A$492)-1),COUNTIF('Eingabe Meldungen'!$A$2:$A$492,$B$142)+1-ROW('Eingabe Meldungen'!A7))))</f>
        <v>Dankov</v>
      </c>
      <c r="C154" s="132" t="str">
        <f t="array" ref="C154">IF(ISERROR(INDEX('Eingabe Meldungen'!$D$2:$D$492,LARGE(('Eingabe Meldungen'!$A$2:$A$492=$B$142)*(ROW('Eingabe Meldungen'!$A$2:$A$492)-1),COUNTIF('Eingabe Meldungen'!$A$2:$A$492,$B$142)+1-ROW('Eingabe Meldungen'!A7)))),"",INDEX('Eingabe Meldungen'!$D$2:$D$492,LARGE(('Eingabe Meldungen'!$A$2:$A$492=$B$142)*(ROW('Eingabe Meldungen'!$A$2:$A$492)-1),COUNTIF('Eingabe Meldungen'!$A$2:$A$492,$B$142)+1-ROW('Eingabe Meldungen'!A7))))</f>
        <v>Maximilian</v>
      </c>
      <c r="D154" s="78">
        <f t="array" ref="D154">IF(B154&lt;&gt;"",INDEX('Eingabe Meldungen'!$C$2:$H$492,MATCH(B154&amp;C154,'Eingabe Meldungen'!$C$2:$C$492&amp;'Eingabe Meldungen'!$D$2:$D$492,0),6),"")</f>
        <v>2006</v>
      </c>
      <c r="E154" s="78" t="str">
        <f t="array" ref="E154">IF(B154&lt;&gt;"",INDEX('Eingabe Meldungen'!$C$2:$H$492,MATCH(B154&amp;C154,'Eingabe Meldungen'!$C$2:$C$492&amp;'Eingabe Meldungen'!$D$2:$D$492,0),4),"")</f>
        <v>Lgw. bis 55 kg</v>
      </c>
      <c r="F154" s="78">
        <v>1</v>
      </c>
      <c r="G154" s="133"/>
      <c r="H154" s="132" t="e">
        <f>RANK(G154,$G$144:$G$163,1)</f>
        <v>#N/A</v>
      </c>
      <c r="I154" s="134" t="str">
        <f t="array" ref="I154">IF(B154&lt;&gt;"",INDEX('Eingabe Meldungen'!$C$2:$J$492,MATCH(B154&amp;C154,'Eingabe Meldungen'!$C$2:$C$492&amp;'Eingabe Meldungen'!$D$2:$D$492,0),8),"")</f>
        <v>Heidelberger Ruderklub</v>
      </c>
      <c r="J154" s="17"/>
      <c r="K154" s="426" t="s">
        <v>455</v>
      </c>
      <c r="L154" s="17"/>
      <c r="M154" s="17"/>
      <c r="N154" s="17"/>
      <c r="O154" s="17"/>
      <c r="P154" s="17"/>
      <c r="Q154" s="17"/>
      <c r="R154" s="11"/>
      <c r="S154" s="11"/>
      <c r="U154" s="11"/>
      <c r="V154" s="11"/>
      <c r="W154" s="15"/>
      <c r="X154" s="11"/>
      <c r="Z154" s="11"/>
    </row>
    <row r="155" spans="2:26" ht="13.5" customHeight="1" x14ac:dyDescent="0.2">
      <c r="B155" s="100" t="str">
        <f t="array" ref="B155">IF(ISERROR(INDEX('Eingabe Meldungen'!$C$2:$C$492,LARGE(('Eingabe Meldungen'!$A$2:$A$492=$B$142)*(ROW('Eingabe Meldungen'!$A$2:$A$492)-1),COUNTIF('Eingabe Meldungen'!$A$2:$A$492,$B$142)+1-ROW('Eingabe Meldungen'!A8)))),"",INDEX('Eingabe Meldungen'!$C$2:$C$492,LARGE(('Eingabe Meldungen'!$A$2:$A$492=$B$142)*(ROW('Eingabe Meldungen'!$A$2:$A$492)-1),COUNTIF('Eingabe Meldungen'!$A$2:$A$492,$B$142)+1-ROW('Eingabe Meldungen'!A8))))</f>
        <v>Kontusch</v>
      </c>
      <c r="C155" s="4" t="str">
        <f t="array" ref="C155">IF(ISERROR(INDEX('Eingabe Meldungen'!$D$2:$D$492,LARGE(('Eingabe Meldungen'!$A$2:$A$492=$B$142)*(ROW('Eingabe Meldungen'!$A$2:$A$492)-1),COUNTIF('Eingabe Meldungen'!$A$2:$A$492,$B$142)+1-ROW('Eingabe Meldungen'!A8)))),"",INDEX('Eingabe Meldungen'!$D$2:$D$492,LARGE(('Eingabe Meldungen'!$A$2:$A$492=$B$142)*(ROW('Eingabe Meldungen'!$A$2:$A$492)-1),COUNTIF('Eingabe Meldungen'!$A$2:$A$492,$B$142)+1-ROW('Eingabe Meldungen'!A8))))</f>
        <v>Niklas</v>
      </c>
      <c r="D155" s="66">
        <f t="array" ref="D155">IF(B155&lt;&gt;"",INDEX('Eingabe Meldungen'!$C$2:$H$492,MATCH(B155&amp;C155,'Eingabe Meldungen'!$C$2:$C$492&amp;'Eingabe Meldungen'!$D$2:$D$492,0),6),"")</f>
        <v>2006</v>
      </c>
      <c r="E155" s="66" t="str">
        <f t="array" ref="E155">IF(B155&lt;&gt;"",INDEX('Eingabe Meldungen'!$C$2:$H$492,MATCH(B155&amp;C155,'Eingabe Meldungen'!$C$2:$C$492&amp;'Eingabe Meldungen'!$D$2:$D$492,0),4),"")</f>
        <v>Lgw. bis 55 kg</v>
      </c>
      <c r="F155" s="66">
        <v>2</v>
      </c>
      <c r="G155" s="135"/>
      <c r="H155" s="4" t="e">
        <f>RANK(G155,$G$144:$G$163,1)</f>
        <v>#N/A</v>
      </c>
      <c r="I155" s="136" t="str">
        <f t="array" ref="I155">IF(B155&lt;&gt;"",INDEX('Eingabe Meldungen'!$C$2:$J$492,MATCH(B155&amp;C155,'Eingabe Meldungen'!$C$2:$C$492&amp;'Eingabe Meldungen'!$D$2:$D$492,0),8),"")</f>
        <v>HRG Schwaben</v>
      </c>
      <c r="J155" s="17"/>
      <c r="K155" s="427"/>
      <c r="L155" s="17"/>
      <c r="M155" s="17"/>
      <c r="N155" s="17"/>
      <c r="O155" s="17"/>
      <c r="P155" s="17"/>
      <c r="Q155" s="17"/>
      <c r="R155" s="11"/>
      <c r="S155" s="11"/>
      <c r="U155" s="11"/>
      <c r="V155" s="11"/>
      <c r="W155" s="15"/>
      <c r="X155" s="11"/>
      <c r="Z155" s="11"/>
    </row>
    <row r="156" spans="2:26" ht="13.5" customHeight="1" x14ac:dyDescent="0.2">
      <c r="B156" s="100" t="str">
        <f t="array" ref="B156">IF(ISERROR(INDEX('Eingabe Meldungen'!$C$2:$C$492,LARGE(('Eingabe Meldungen'!$A$2:$A$492=$B$142)*(ROW('Eingabe Meldungen'!$A$2:$A$492)-1),COUNTIF('Eingabe Meldungen'!$A$2:$A$492,$B$142)+1-ROW('Eingabe Meldungen'!A9)))),"",INDEX('Eingabe Meldungen'!$C$2:$C$492,LARGE(('Eingabe Meldungen'!$A$2:$A$492=$B$142)*(ROW('Eingabe Meldungen'!$A$2:$A$492)-1),COUNTIF('Eingabe Meldungen'!$A$2:$A$492,$B$142)+1-ROW('Eingabe Meldungen'!A9))))</f>
        <v>Knott</v>
      </c>
      <c r="C156" s="4" t="str">
        <f t="array" ref="C156">IF(ISERROR(INDEX('Eingabe Meldungen'!$D$2:$D$492,LARGE(('Eingabe Meldungen'!$A$2:$A$492=$B$142)*(ROW('Eingabe Meldungen'!$A$2:$A$492)-1),COUNTIF('Eingabe Meldungen'!$A$2:$A$492,$B$142)+1-ROW('Eingabe Meldungen'!A9)))),"",INDEX('Eingabe Meldungen'!$D$2:$D$492,LARGE(('Eingabe Meldungen'!$A$2:$A$492=$B$142)*(ROW('Eingabe Meldungen'!$A$2:$A$492)-1),COUNTIF('Eingabe Meldungen'!$A$2:$A$492,$B$142)+1-ROW('Eingabe Meldungen'!A9))))</f>
        <v>Nils</v>
      </c>
      <c r="D156" s="66">
        <f t="array" ref="D156">IF(B156&lt;&gt;"",INDEX('Eingabe Meldungen'!$C$2:$H$492,MATCH(B156&amp;C156,'Eingabe Meldungen'!$C$2:$C$492&amp;'Eingabe Meldungen'!$D$2:$D$492,0),6),"")</f>
        <v>2006</v>
      </c>
      <c r="E156" s="66" t="str">
        <f t="array" ref="E156">IF(B156&lt;&gt;"",INDEX('Eingabe Meldungen'!$C$2:$H$492,MATCH(B156&amp;C156,'Eingabe Meldungen'!$C$2:$C$492&amp;'Eingabe Meldungen'!$D$2:$D$492,0),4),"")</f>
        <v>Lgw. bis 55 kg</v>
      </c>
      <c r="F156" s="66">
        <v>3</v>
      </c>
      <c r="G156" s="135"/>
      <c r="H156" s="4" t="e">
        <f t="shared" ref="H156:H163" si="13">RANK(G156,$G$144:$G$163,1)</f>
        <v>#N/A</v>
      </c>
      <c r="I156" s="136" t="str">
        <f t="array" ref="I156">IF(B156&lt;&gt;"",INDEX('Eingabe Meldungen'!$C$2:$J$492,MATCH(B156&amp;C156,'Eingabe Meldungen'!$C$2:$C$492&amp;'Eingabe Meldungen'!$D$2:$D$492,0),8),"")</f>
        <v>RC Nürtingen</v>
      </c>
      <c r="J156" s="17"/>
      <c r="K156" s="427"/>
      <c r="L156" s="17"/>
      <c r="M156" s="17"/>
      <c r="N156" s="17"/>
      <c r="O156" s="17"/>
      <c r="P156" s="17"/>
      <c r="Q156" s="17"/>
      <c r="R156" s="11"/>
      <c r="S156" s="11"/>
      <c r="U156" s="11"/>
      <c r="V156" s="11"/>
      <c r="W156" s="15"/>
      <c r="X156" s="11"/>
      <c r="Z156" s="11"/>
    </row>
    <row r="157" spans="2:26" ht="13.5" customHeight="1" x14ac:dyDescent="0.2">
      <c r="B157" s="100" t="str">
        <f t="array" ref="B157">IF(ISERROR(INDEX('Eingabe Meldungen'!$C$2:$C$492,LARGE(('Eingabe Meldungen'!$A$2:$A$492=$B$142)*(ROW('Eingabe Meldungen'!$A$2:$A$492)-1),COUNTIF('Eingabe Meldungen'!$A$2:$A$492,$B$142)+1-ROW('Eingabe Meldungen'!A10)))),"",INDEX('Eingabe Meldungen'!$C$2:$C$492,LARGE(('Eingabe Meldungen'!$A$2:$A$492=$B$142)*(ROW('Eingabe Meldungen'!$A$2:$A$492)-1),COUNTIF('Eingabe Meldungen'!$A$2:$A$492,$B$142)+1-ROW('Eingabe Meldungen'!A10))))</f>
        <v>Heß</v>
      </c>
      <c r="C157" s="4" t="str">
        <f t="array" ref="C157">IF(ISERROR(INDEX('Eingabe Meldungen'!$D$2:$D$492,LARGE(('Eingabe Meldungen'!$A$2:$A$492=$B$142)*(ROW('Eingabe Meldungen'!$A$2:$A$492)-1),COUNTIF('Eingabe Meldungen'!$A$2:$A$492,$B$142)+1-ROW('Eingabe Meldungen'!A10)))),"",INDEX('Eingabe Meldungen'!$D$2:$D$492,LARGE(('Eingabe Meldungen'!$A$2:$A$492=$B$142)*(ROW('Eingabe Meldungen'!$A$2:$A$492)-1),COUNTIF('Eingabe Meldungen'!$A$2:$A$492,$B$142)+1-ROW('Eingabe Meldungen'!A10))))</f>
        <v>Philipp</v>
      </c>
      <c r="D157" s="66">
        <f t="array" ref="D157">IF(B157&lt;&gt;"",INDEX('Eingabe Meldungen'!$C$2:$H$492,MATCH(B157&amp;C157,'Eingabe Meldungen'!$C$2:$C$492&amp;'Eingabe Meldungen'!$D$2:$D$492,0),6),"")</f>
        <v>2006</v>
      </c>
      <c r="E157" s="66" t="str">
        <f t="array" ref="E157">IF(B157&lt;&gt;"",INDEX('Eingabe Meldungen'!$C$2:$H$492,MATCH(B157&amp;C157,'Eingabe Meldungen'!$C$2:$C$492&amp;'Eingabe Meldungen'!$D$2:$D$492,0),4),"")</f>
        <v>Lgw. bis 55 kg</v>
      </c>
      <c r="F157" s="66">
        <v>4</v>
      </c>
      <c r="G157" s="135"/>
      <c r="H157" s="4" t="e">
        <f t="shared" si="13"/>
        <v>#N/A</v>
      </c>
      <c r="I157" s="136" t="str">
        <f t="array" ref="I157">IF(B157&lt;&gt;"",INDEX('Eingabe Meldungen'!$C$2:$J$492,MATCH(B157&amp;C157,'Eingabe Meldungen'!$C$2:$C$492&amp;'Eingabe Meldungen'!$D$2:$D$492,0),8),"")</f>
        <v>RC Nürtingen</v>
      </c>
      <c r="J157" s="17"/>
      <c r="K157" s="427"/>
      <c r="L157" s="17"/>
      <c r="M157" s="17"/>
      <c r="N157" s="17"/>
      <c r="O157" s="17"/>
      <c r="P157" s="17"/>
      <c r="Q157" s="17"/>
      <c r="R157" s="11"/>
      <c r="S157" s="11"/>
      <c r="U157" s="11"/>
      <c r="V157" s="11"/>
      <c r="W157" s="15"/>
      <c r="X157" s="11"/>
      <c r="Z157" s="11"/>
    </row>
    <row r="158" spans="2:26" ht="13.5" customHeight="1" x14ac:dyDescent="0.2">
      <c r="B158" s="100" t="str">
        <f t="array" ref="B158">IF(ISERROR(INDEX('Eingabe Meldungen'!$C$2:$C$492,LARGE(('Eingabe Meldungen'!$A$2:$A$492=$B$142)*(ROW('Eingabe Meldungen'!$A$2:$A$492)-1),COUNTIF('Eingabe Meldungen'!$A$2:$A$492,$B$142)+1-ROW('Eingabe Meldungen'!A11)))),"",INDEX('Eingabe Meldungen'!$C$2:$C$492,LARGE(('Eingabe Meldungen'!$A$2:$A$492=$B$142)*(ROW('Eingabe Meldungen'!$A$2:$A$492)-1),COUNTIF('Eingabe Meldungen'!$A$2:$A$492,$B$142)+1-ROW('Eingabe Meldungen'!A11))))</f>
        <v>Hinderer</v>
      </c>
      <c r="C158" s="4" t="str">
        <f t="array" ref="C158">IF(ISERROR(INDEX('Eingabe Meldungen'!$D$2:$D$492,LARGE(('Eingabe Meldungen'!$A$2:$A$492=$B$142)*(ROW('Eingabe Meldungen'!$A$2:$A$492)-1),COUNTIF('Eingabe Meldungen'!$A$2:$A$492,$B$142)+1-ROW('Eingabe Meldungen'!A11)))),"",INDEX('Eingabe Meldungen'!$D$2:$D$492,LARGE(('Eingabe Meldungen'!$A$2:$A$492=$B$142)*(ROW('Eingabe Meldungen'!$A$2:$A$492)-1),COUNTIF('Eingabe Meldungen'!$A$2:$A$492,$B$142)+1-ROW('Eingabe Meldungen'!A11))))</f>
        <v>Len</v>
      </c>
      <c r="D158" s="66">
        <f t="array" ref="D158">IF(B158&lt;&gt;"",INDEX('Eingabe Meldungen'!$C$2:$H$492,MATCH(B158&amp;C158,'Eingabe Meldungen'!$C$2:$C$492&amp;'Eingabe Meldungen'!$D$2:$D$492,0),6),"")</f>
        <v>2006</v>
      </c>
      <c r="E158" s="66" t="str">
        <f t="array" ref="E158">IF(B158&lt;&gt;"",INDEX('Eingabe Meldungen'!$C$2:$H$492,MATCH(B158&amp;C158,'Eingabe Meldungen'!$C$2:$C$492&amp;'Eingabe Meldungen'!$D$2:$D$492,0),4),"")</f>
        <v>Lgw. bis 55 kg</v>
      </c>
      <c r="F158" s="66">
        <v>5</v>
      </c>
      <c r="G158" s="135"/>
      <c r="H158" s="4" t="e">
        <f t="shared" si="13"/>
        <v>#N/A</v>
      </c>
      <c r="I158" s="136" t="str">
        <f t="array" ref="I158">IF(B158&lt;&gt;"",INDEX('Eingabe Meldungen'!$C$2:$J$492,MATCH(B158&amp;C158,'Eingabe Meldungen'!$C$2:$C$492&amp;'Eingabe Meldungen'!$D$2:$D$492,0),8),"")</f>
        <v xml:space="preserve">WSV Schifferclub Neckarrems </v>
      </c>
      <c r="J158" s="17"/>
      <c r="K158" s="427"/>
      <c r="L158" s="17"/>
      <c r="M158" s="17"/>
      <c r="N158" s="17"/>
      <c r="O158" s="17"/>
      <c r="P158" s="17"/>
      <c r="Q158" s="17"/>
      <c r="R158" s="11"/>
      <c r="S158" s="11"/>
      <c r="U158" s="11"/>
      <c r="V158" s="11"/>
      <c r="W158" s="15"/>
      <c r="X158" s="11"/>
      <c r="Z158" s="11"/>
    </row>
    <row r="159" spans="2:26" ht="13.5" customHeight="1" x14ac:dyDescent="0.2">
      <c r="B159" s="100" t="str">
        <f t="array" ref="B159">IF(ISERROR(INDEX('Eingabe Meldungen'!$C$2:$C$492,LARGE(('Eingabe Meldungen'!$A$2:$A$492=$B$142)*(ROW('Eingabe Meldungen'!$A$2:$A$492)-1),COUNTIF('Eingabe Meldungen'!$A$2:$A$492,$B$142)+1-ROW('Eingabe Meldungen'!A12)))),"",INDEX('Eingabe Meldungen'!$C$2:$C$492,LARGE(('Eingabe Meldungen'!$A$2:$A$492=$B$142)*(ROW('Eingabe Meldungen'!$A$2:$A$492)-1),COUNTIF('Eingabe Meldungen'!$A$2:$A$492,$B$142)+1-ROW('Eingabe Meldungen'!A12))))</f>
        <v>Wöppel</v>
      </c>
      <c r="C159" s="4" t="str">
        <f t="array" ref="C159">IF(ISERROR(INDEX('Eingabe Meldungen'!$D$2:$D$492,LARGE(('Eingabe Meldungen'!$A$2:$A$492=$B$142)*(ROW('Eingabe Meldungen'!$A$2:$A$492)-1),COUNTIF('Eingabe Meldungen'!$A$2:$A$492,$B$142)+1-ROW('Eingabe Meldungen'!A12)))),"",INDEX('Eingabe Meldungen'!$D$2:$D$492,LARGE(('Eingabe Meldungen'!$A$2:$A$492=$B$142)*(ROW('Eingabe Meldungen'!$A$2:$A$492)-1),COUNTIF('Eingabe Meldungen'!$A$2:$A$492,$B$142)+1-ROW('Eingabe Meldungen'!A12))))</f>
        <v>Marius</v>
      </c>
      <c r="D159" s="66">
        <f t="array" ref="D159">IF(B159&lt;&gt;"",INDEX('Eingabe Meldungen'!$C$2:$H$492,MATCH(B159&amp;C159,'Eingabe Meldungen'!$C$2:$C$492&amp;'Eingabe Meldungen'!$D$2:$D$492,0),6),"")</f>
        <v>2006</v>
      </c>
      <c r="E159" s="66" t="str">
        <f t="array" ref="E159">IF(B159&lt;&gt;"",INDEX('Eingabe Meldungen'!$C$2:$H$492,MATCH(B159&amp;C159,'Eingabe Meldungen'!$C$2:$C$492&amp;'Eingabe Meldungen'!$D$2:$D$492,0),4),"")</f>
        <v>Lgw. bis 55 kg</v>
      </c>
      <c r="F159" s="66">
        <v>6</v>
      </c>
      <c r="G159" s="135"/>
      <c r="H159" s="4" t="e">
        <f t="shared" si="13"/>
        <v>#N/A</v>
      </c>
      <c r="I159" s="136" t="str">
        <f t="array" ref="I159">IF(B159&lt;&gt;"",INDEX('Eingabe Meldungen'!$C$2:$J$492,MATCH(B159&amp;C159,'Eingabe Meldungen'!$C$2:$C$492&amp;'Eingabe Meldungen'!$D$2:$D$492,0),8),"")</f>
        <v xml:space="preserve">WSV Schifferclub Neckarrems </v>
      </c>
      <c r="J159" s="17"/>
      <c r="K159" s="427"/>
      <c r="L159" s="17"/>
      <c r="M159" s="17"/>
      <c r="N159" s="17"/>
      <c r="O159" s="17"/>
      <c r="P159" s="17"/>
      <c r="Q159" s="17"/>
      <c r="R159" s="11"/>
      <c r="S159" s="11"/>
      <c r="U159" s="11"/>
      <c r="V159" s="11"/>
      <c r="W159" s="15"/>
      <c r="X159" s="11"/>
      <c r="Z159" s="11"/>
    </row>
    <row r="160" spans="2:26" ht="13.5" customHeight="1" x14ac:dyDescent="0.2">
      <c r="B160" s="100" t="str">
        <f t="array" ref="B160">IF(ISERROR(INDEX('Eingabe Meldungen'!$C$2:$C$492,LARGE(('Eingabe Meldungen'!$A$2:$A$492=$B$142)*(ROW('Eingabe Meldungen'!$A$2:$A$492)-1),COUNTIF('Eingabe Meldungen'!$A$2:$A$492,$B$142)+1-ROW('Eingabe Meldungen'!A13)))),"",INDEX('Eingabe Meldungen'!$C$2:$C$492,LARGE(('Eingabe Meldungen'!$A$2:$A$492=$B$142)*(ROW('Eingabe Meldungen'!$A$2:$A$492)-1),COUNTIF('Eingabe Meldungen'!$A$2:$A$492,$B$142)+1-ROW('Eingabe Meldungen'!A13))))</f>
        <v/>
      </c>
      <c r="C160" s="4" t="str">
        <f t="array" ref="C160">IF(ISERROR(INDEX('Eingabe Meldungen'!$D$2:$D$492,LARGE(('Eingabe Meldungen'!$A$2:$A$492=$B$142)*(ROW('Eingabe Meldungen'!$A$2:$A$492)-1),COUNTIF('Eingabe Meldungen'!$A$2:$A$492,$B$142)+1-ROW('Eingabe Meldungen'!A13)))),"",INDEX('Eingabe Meldungen'!$D$2:$D$492,LARGE(('Eingabe Meldungen'!$A$2:$A$492=$B$142)*(ROW('Eingabe Meldungen'!$A$2:$A$492)-1),COUNTIF('Eingabe Meldungen'!$A$2:$A$492,$B$142)+1-ROW('Eingabe Meldungen'!A13))))</f>
        <v/>
      </c>
      <c r="D160" s="66" t="str">
        <f t="array" ref="D160">IF(B160&lt;&gt;"",INDEX('Eingabe Meldungen'!$C$2:$H$492,MATCH(B160&amp;C160,'Eingabe Meldungen'!$C$2:$C$492&amp;'Eingabe Meldungen'!$D$2:$D$492,0),6),"")</f>
        <v/>
      </c>
      <c r="E160" s="66" t="str">
        <f t="array" ref="E160">IF(B160&lt;&gt;"",INDEX('Eingabe Meldungen'!$C$2:$H$492,MATCH(B160&amp;C160,'Eingabe Meldungen'!$C$2:$C$492&amp;'Eingabe Meldungen'!$D$2:$D$492,0),4),"")</f>
        <v/>
      </c>
      <c r="F160" s="66">
        <v>7</v>
      </c>
      <c r="G160" s="135"/>
      <c r="H160" s="4" t="e">
        <f t="shared" si="13"/>
        <v>#N/A</v>
      </c>
      <c r="I160" s="136" t="str">
        <f t="array" ref="I160">IF(B160&lt;&gt;"",INDEX('Eingabe Meldungen'!$C$2:$J$492,MATCH(B160&amp;C160,'Eingabe Meldungen'!$C$2:$C$492&amp;'Eingabe Meldungen'!$D$2:$D$492,0),8),"")</f>
        <v/>
      </c>
      <c r="J160" s="17"/>
      <c r="K160" s="427"/>
      <c r="L160" s="17"/>
      <c r="M160" s="17"/>
      <c r="N160" s="17"/>
      <c r="O160" s="17"/>
      <c r="P160" s="17"/>
      <c r="Q160" s="17"/>
      <c r="R160" s="11"/>
      <c r="S160" s="11"/>
      <c r="U160" s="11"/>
      <c r="V160" s="11"/>
      <c r="W160" s="15"/>
      <c r="X160" s="11"/>
      <c r="Z160" s="11"/>
    </row>
    <row r="161" spans="2:26" ht="13.5" customHeight="1" x14ac:dyDescent="0.2">
      <c r="B161" s="100" t="str">
        <f t="array" ref="B161">IF(ISERROR(INDEX('Eingabe Meldungen'!$C$2:$C$492,LARGE(('Eingabe Meldungen'!$A$2:$A$492=$B$142)*(ROW('Eingabe Meldungen'!$A$2:$A$492)-1),COUNTIF('Eingabe Meldungen'!$A$2:$A$492,$B$142)+1-ROW('Eingabe Meldungen'!A14)))),"",INDEX('Eingabe Meldungen'!$C$2:$C$492,LARGE(('Eingabe Meldungen'!$A$2:$A$492=$B$142)*(ROW('Eingabe Meldungen'!$A$2:$A$492)-1),COUNTIF('Eingabe Meldungen'!$A$2:$A$492,$B$142)+1-ROW('Eingabe Meldungen'!A14))))</f>
        <v/>
      </c>
      <c r="C161" s="4" t="str">
        <f t="array" ref="C161">IF(ISERROR(INDEX('Eingabe Meldungen'!$D$2:$D$492,LARGE(('Eingabe Meldungen'!$A$2:$A$492=$B$142)*(ROW('Eingabe Meldungen'!$A$2:$A$492)-1),COUNTIF('Eingabe Meldungen'!$A$2:$A$492,$B$142)+1-ROW('Eingabe Meldungen'!A14)))),"",INDEX('Eingabe Meldungen'!$D$2:$D$492,LARGE(('Eingabe Meldungen'!$A$2:$A$492=$B$142)*(ROW('Eingabe Meldungen'!$A$2:$A$492)-1),COUNTIF('Eingabe Meldungen'!$A$2:$A$492,$B$142)+1-ROW('Eingabe Meldungen'!A14))))</f>
        <v/>
      </c>
      <c r="D161" s="66" t="str">
        <f t="array" ref="D161">IF(B161&lt;&gt;"",INDEX('Eingabe Meldungen'!$C$2:$H$492,MATCH(B161&amp;C161,'Eingabe Meldungen'!$C$2:$C$492&amp;'Eingabe Meldungen'!$D$2:$D$492,0),6),"")</f>
        <v/>
      </c>
      <c r="E161" s="66" t="str">
        <f t="array" ref="E161">IF(B161&lt;&gt;"",INDEX('Eingabe Meldungen'!$C$2:$H$492,MATCH(B161&amp;C161,'Eingabe Meldungen'!$C$2:$C$492&amp;'Eingabe Meldungen'!$D$2:$D$492,0),4),"")</f>
        <v/>
      </c>
      <c r="F161" s="66">
        <v>8</v>
      </c>
      <c r="G161" s="135"/>
      <c r="H161" s="4" t="e">
        <f t="shared" si="13"/>
        <v>#N/A</v>
      </c>
      <c r="I161" s="136" t="str">
        <f t="array" ref="I161">IF(B161&lt;&gt;"",INDEX('Eingabe Meldungen'!$C$2:$J$492,MATCH(B161&amp;C161,'Eingabe Meldungen'!$C$2:$C$492&amp;'Eingabe Meldungen'!$D$2:$D$492,0),8),"")</f>
        <v/>
      </c>
      <c r="J161" s="17"/>
      <c r="K161" s="427"/>
      <c r="L161" s="17"/>
      <c r="M161" s="17"/>
      <c r="N161" s="17"/>
      <c r="O161" s="17"/>
      <c r="P161" s="17"/>
      <c r="Q161" s="17"/>
      <c r="R161" s="11"/>
      <c r="S161" s="11"/>
      <c r="U161" s="11"/>
      <c r="V161" s="11"/>
      <c r="W161" s="15"/>
      <c r="X161" s="11"/>
      <c r="Z161" s="11"/>
    </row>
    <row r="162" spans="2:26" ht="13.5" customHeight="1" x14ac:dyDescent="0.2">
      <c r="B162" s="100" t="str">
        <f t="array" ref="B162">IF(ISERROR(INDEX('Eingabe Meldungen'!$C$2:$C$492,LARGE(('Eingabe Meldungen'!$A$2:$A$492=$B$142)*(ROW('Eingabe Meldungen'!$A$2:$A$492)-1),COUNTIF('Eingabe Meldungen'!$A$2:$A$492,$B$142)+1-ROW('Eingabe Meldungen'!A15)))),"",INDEX('Eingabe Meldungen'!$C$2:$C$492,LARGE(('Eingabe Meldungen'!$A$2:$A$492=$B$142)*(ROW('Eingabe Meldungen'!$A$2:$A$492)-1),COUNTIF('Eingabe Meldungen'!$A$2:$A$492,$B$142)+1-ROW('Eingabe Meldungen'!A15))))</f>
        <v/>
      </c>
      <c r="C162" s="4" t="str">
        <f t="array" ref="C162">IF(ISERROR(INDEX('Eingabe Meldungen'!$D$2:$D$492,LARGE(('Eingabe Meldungen'!$A$2:$A$492=$B$142)*(ROW('Eingabe Meldungen'!$A$2:$A$492)-1),COUNTIF('Eingabe Meldungen'!$A$2:$A$492,$B$142)+1-ROW('Eingabe Meldungen'!A15)))),"",INDEX('Eingabe Meldungen'!$D$2:$D$492,LARGE(('Eingabe Meldungen'!$A$2:$A$492=$B$142)*(ROW('Eingabe Meldungen'!$A$2:$A$492)-1),COUNTIF('Eingabe Meldungen'!$A$2:$A$492,$B$142)+1-ROW('Eingabe Meldungen'!A15))))</f>
        <v/>
      </c>
      <c r="D162" s="66" t="str">
        <f t="array" ref="D162">IF(B162&lt;&gt;"",INDEX('Eingabe Meldungen'!$C$2:$H$492,MATCH(B162&amp;C162,'Eingabe Meldungen'!$C$2:$C$492&amp;'Eingabe Meldungen'!$D$2:$D$492,0),6),"")</f>
        <v/>
      </c>
      <c r="E162" s="66" t="str">
        <f t="array" ref="E162">IF(B162&lt;&gt;"",INDEX('Eingabe Meldungen'!$C$2:$H$492,MATCH(B162&amp;C162,'Eingabe Meldungen'!$C$2:$C$492&amp;'Eingabe Meldungen'!$D$2:$D$492,0),4),"")</f>
        <v/>
      </c>
      <c r="F162" s="66">
        <v>9</v>
      </c>
      <c r="G162" s="135"/>
      <c r="H162" s="4" t="e">
        <f t="shared" si="13"/>
        <v>#N/A</v>
      </c>
      <c r="I162" s="136" t="str">
        <f t="array" ref="I162">IF(B162&lt;&gt;"",INDEX('Eingabe Meldungen'!$C$2:$J$492,MATCH(B162&amp;C162,'Eingabe Meldungen'!$C$2:$C$492&amp;'Eingabe Meldungen'!$D$2:$D$492,0),8),"")</f>
        <v/>
      </c>
      <c r="J162" s="17"/>
      <c r="K162" s="427"/>
      <c r="L162" s="17"/>
      <c r="M162" s="17"/>
      <c r="N162" s="17"/>
      <c r="O162" s="17"/>
      <c r="P162" s="17"/>
      <c r="Q162" s="17"/>
      <c r="R162" s="11"/>
      <c r="S162" s="11"/>
      <c r="U162" s="11"/>
      <c r="V162" s="11"/>
      <c r="W162" s="15"/>
      <c r="X162" s="11"/>
      <c r="Z162" s="11"/>
    </row>
    <row r="163" spans="2:26" ht="13.5" customHeight="1" thickBot="1" x14ac:dyDescent="0.25">
      <c r="B163" s="138" t="str">
        <f t="array" ref="B163">IF(ISERROR(INDEX('Eingabe Meldungen'!$C$2:$C$492,LARGE(('Eingabe Meldungen'!$A$2:$A$492=$B$142)*(ROW('Eingabe Meldungen'!$A$2:$A$492)-1),COUNTIF('Eingabe Meldungen'!$A$2:$A$492,$B$142)+1-ROW('Eingabe Meldungen'!A16)))),"",INDEX('Eingabe Meldungen'!$C$2:$C$492,LARGE(('Eingabe Meldungen'!$A$2:$A$492=$B$142)*(ROW('Eingabe Meldungen'!$A$2:$A$492)-1),COUNTIF('Eingabe Meldungen'!$A$2:$A$492,$B$142)+1-ROW('Eingabe Meldungen'!A16))))</f>
        <v/>
      </c>
      <c r="C163" s="139" t="str">
        <f t="array" ref="C163">IF(ISERROR(INDEX('Eingabe Meldungen'!$D$2:$D$492,LARGE(('Eingabe Meldungen'!$A$2:$A$492=$B$142)*(ROW('Eingabe Meldungen'!$A$2:$A$492)-1),COUNTIF('Eingabe Meldungen'!$A$2:$A$492,$B$142)+1-ROW('Eingabe Meldungen'!A16)))),"",INDEX('Eingabe Meldungen'!$D$2:$D$492,LARGE(('Eingabe Meldungen'!$A$2:$A$492=$B$142)*(ROW('Eingabe Meldungen'!$A$2:$A$492)-1),COUNTIF('Eingabe Meldungen'!$A$2:$A$492,$B$142)+1-ROW('Eingabe Meldungen'!A16))))</f>
        <v/>
      </c>
      <c r="D163" s="99" t="str">
        <f t="array" ref="D163">IF(B163&lt;&gt;"",INDEX('Eingabe Meldungen'!$C$2:$H$492,MATCH(B163&amp;C163,'Eingabe Meldungen'!$C$2:$C$492&amp;'Eingabe Meldungen'!$D$2:$D$492,0),6),"")</f>
        <v/>
      </c>
      <c r="E163" s="99" t="str">
        <f t="array" ref="E163">IF(B163&lt;&gt;"",INDEX('Eingabe Meldungen'!$C$2:$H$492,MATCH(B163&amp;C163,'Eingabe Meldungen'!$C$2:$C$492&amp;'Eingabe Meldungen'!$D$2:$D$492,0),4),"")</f>
        <v/>
      </c>
      <c r="F163" s="99">
        <v>10</v>
      </c>
      <c r="G163" s="143"/>
      <c r="H163" s="139" t="e">
        <f t="shared" si="13"/>
        <v>#N/A</v>
      </c>
      <c r="I163" s="141" t="str">
        <f t="array" ref="I163">IF(B163&lt;&gt;"",INDEX('Eingabe Meldungen'!$C$2:$J$492,MATCH(B163&amp;C163,'Eingabe Meldungen'!$C$2:$C$492&amp;'Eingabe Meldungen'!$D$2:$D$492,0),8),"")</f>
        <v/>
      </c>
      <c r="J163" s="17"/>
      <c r="K163" s="428"/>
      <c r="L163" s="17"/>
      <c r="M163" s="17"/>
      <c r="N163" s="17"/>
      <c r="O163" s="17"/>
      <c r="P163" s="17"/>
      <c r="Q163" s="17"/>
      <c r="R163" s="11"/>
      <c r="S163" s="11"/>
      <c r="U163" s="11"/>
      <c r="V163" s="11"/>
      <c r="W163" s="15"/>
      <c r="X163" s="11"/>
      <c r="Z163" s="11"/>
    </row>
    <row r="164" spans="2:26" ht="16.8" thickBot="1" x14ac:dyDescent="0.25">
      <c r="B164" s="13"/>
      <c r="C164" s="13"/>
      <c r="D164" s="66"/>
      <c r="E164" s="66"/>
      <c r="F164" s="15"/>
      <c r="G164" s="66"/>
      <c r="H164" s="4"/>
      <c r="I164" s="66"/>
      <c r="J164" s="9"/>
      <c r="K164" s="15"/>
      <c r="L164" s="24"/>
      <c r="M164" s="11"/>
      <c r="N164" s="10"/>
      <c r="O164" s="11"/>
      <c r="P164" s="11"/>
      <c r="Q164" s="11"/>
      <c r="R164" s="11"/>
      <c r="S164" s="11"/>
      <c r="W164" s="15"/>
    </row>
    <row r="165" spans="2:26" ht="24.75" customHeight="1" x14ac:dyDescent="0.2">
      <c r="B165" s="26">
        <f>B142+1</f>
        <v>10</v>
      </c>
      <c r="C165" s="65" t="str">
        <f>VLOOKUP(B165,Ausschreibung!$B$5:$I$35,2,FALSE)</f>
        <v>Ergocup</v>
      </c>
      <c r="D165" s="27" t="s">
        <v>496</v>
      </c>
      <c r="E165" s="65" t="s">
        <v>97</v>
      </c>
      <c r="F165" s="65" t="str">
        <f>VLOOKUP(B165,Ausschreibung!$B$5:$I$35,5,FALSE)</f>
        <v>-</v>
      </c>
      <c r="G165" s="65">
        <f>VLOOKUP(B165,Ausschreibung!$B$5:$I$35,6,FALSE)</f>
        <v>14</v>
      </c>
      <c r="H165" s="65" t="str">
        <f>VLOOKUP(B165,Ausschreibung!$B$5:$I$35,8,FALSE)</f>
        <v>1000 m</v>
      </c>
      <c r="I165" s="28"/>
      <c r="K165" s="15"/>
      <c r="L165" s="24"/>
      <c r="M165" s="11"/>
      <c r="N165" s="10"/>
      <c r="O165" s="11"/>
      <c r="P165" s="11"/>
      <c r="Q165" s="11"/>
      <c r="R165" s="11"/>
      <c r="S165" s="11"/>
      <c r="W165" s="15"/>
    </row>
    <row r="166" spans="2:26" ht="13.2" thickBot="1" x14ac:dyDescent="0.25">
      <c r="B166" s="19" t="s">
        <v>1</v>
      </c>
      <c r="C166" s="18" t="s">
        <v>2</v>
      </c>
      <c r="D166" s="17" t="s">
        <v>49</v>
      </c>
      <c r="E166" s="130" t="s">
        <v>16</v>
      </c>
      <c r="F166" s="17" t="s">
        <v>18</v>
      </c>
      <c r="G166" s="73" t="s">
        <v>50</v>
      </c>
      <c r="H166" s="17" t="s">
        <v>51</v>
      </c>
      <c r="I166" s="30" t="s">
        <v>17</v>
      </c>
      <c r="K166" s="15"/>
      <c r="L166" s="24"/>
      <c r="M166" s="11"/>
      <c r="N166" s="10"/>
      <c r="O166" s="11"/>
      <c r="P166" s="11"/>
      <c r="Q166" s="11"/>
      <c r="R166" s="11"/>
      <c r="S166" s="11"/>
      <c r="W166" s="15"/>
    </row>
    <row r="167" spans="2:26" ht="12.75" customHeight="1" x14ac:dyDescent="0.2">
      <c r="B167" s="131" t="str">
        <f t="array" ref="B167">IF(ISERROR(INDEX('Eingabe Meldungen'!$C$2:$C$492,LARGE(('Eingabe Meldungen'!$A$2:$A$492=$B$165)*(ROW('Eingabe Meldungen'!$A$2:$A$492)-1),COUNTIF('Eingabe Meldungen'!$A$2:$A$492,$B$165)+1-ROW('Eingabe Meldungen'!A1)))),"",INDEX('Eingabe Meldungen'!$C$2:$C$492,LARGE(('Eingabe Meldungen'!$A$2:$A$492=$B$165)*(ROW('Eingabe Meldungen'!$A$2:$A$492)-1),COUNTIF('Eingabe Meldungen'!$A$2:$A$492,$B$165)+1-ROW('Eingabe Meldungen'!A1))))</f>
        <v>Herrmann</v>
      </c>
      <c r="C167" s="132" t="str">
        <f t="array" ref="C167">IF(ISERROR(INDEX('Eingabe Meldungen'!$D$2:$D$492,LARGE(('Eingabe Meldungen'!$A$2:$A$492=$B$165)*(ROW('Eingabe Meldungen'!$A$2:$A$492)-1),COUNTIF('Eingabe Meldungen'!$A$2:$A$492,$B$165)+1-ROW('Eingabe Meldungen'!A1)))),"",INDEX('Eingabe Meldungen'!$D$2:$D$492,LARGE(('Eingabe Meldungen'!$A$2:$A$492=$B$165)*(ROW('Eingabe Meldungen'!$A$2:$A$492)-1),COUNTIF('Eingabe Meldungen'!$A$2:$A$492,$B$165)+1-ROW('Eingabe Meldungen'!A1))))</f>
        <v>Alexander</v>
      </c>
      <c r="D167" s="78">
        <f t="array" ref="D167">IF(B167&lt;&gt;"",INDEX('Eingabe Meldungen'!$C$2:$H$492,MATCH(B167&amp;C167,'Eingabe Meldungen'!$C$2:$C$492&amp;'Eingabe Meldungen'!$D$2:$D$492,0),6),"")</f>
        <v>2006</v>
      </c>
      <c r="E167" s="78" t="str">
        <f t="array" ref="E167">IF(B167&lt;&gt;"",INDEX('Eingabe Meldungen'!$C$2:$H$492,MATCH(B167&amp;C167,'Eingabe Meldungen'!$C$2:$C$492&amp;'Eingabe Meldungen'!$D$2:$D$492,0),4),"")</f>
        <v>-</v>
      </c>
      <c r="F167" s="78">
        <v>1</v>
      </c>
      <c r="G167" s="133"/>
      <c r="H167" s="132" t="e">
        <f t="shared" ref="H167:H172" si="14">RANK(G167,$G$167:$G$182,1)</f>
        <v>#N/A</v>
      </c>
      <c r="I167" s="134" t="str">
        <f t="array" ref="I167">IF(B167&lt;&gt;"",INDEX('Eingabe Meldungen'!$C$2:$J$492,MATCH(B167&amp;C167,'Eingabe Meldungen'!$C$2:$C$492&amp;'Eingabe Meldungen'!$D$2:$D$492,0),8),"")</f>
        <v>RV Waldsee</v>
      </c>
      <c r="K167" s="426" t="s">
        <v>454</v>
      </c>
      <c r="L167" s="24"/>
      <c r="M167" s="11"/>
      <c r="N167" s="10"/>
      <c r="O167" s="11"/>
      <c r="P167" s="11"/>
      <c r="Q167" s="11"/>
      <c r="R167" s="11"/>
      <c r="S167" s="11"/>
      <c r="W167" s="15"/>
    </row>
    <row r="168" spans="2:26" x14ac:dyDescent="0.2">
      <c r="B168" s="100" t="str">
        <f t="array" ref="B168">IF(ISERROR(INDEX('Eingabe Meldungen'!$C$2:$C$492,LARGE(('Eingabe Meldungen'!$A$2:$A$492=$B$165)*(ROW('Eingabe Meldungen'!$A$2:$A$492)-1),COUNTIF('Eingabe Meldungen'!$A$2:$A$492,$B$165)+1-ROW('Eingabe Meldungen'!A2)))),"",INDEX('Eingabe Meldungen'!$C$2:$C$492,LARGE(('Eingabe Meldungen'!$A$2:$A$492=$B$165)*(ROW('Eingabe Meldungen'!$A$2:$A$492)-1),COUNTIF('Eingabe Meldungen'!$A$2:$A$492,$B$165)+1-ROW('Eingabe Meldungen'!A2))))</f>
        <v>von Watzdorf</v>
      </c>
      <c r="C168" s="4" t="str">
        <f t="array" ref="C168">IF(ISERROR(INDEX('Eingabe Meldungen'!$D$2:$D$492,LARGE(('Eingabe Meldungen'!$A$2:$A$492=$B$165)*(ROW('Eingabe Meldungen'!$A$2:$A$492)-1),COUNTIF('Eingabe Meldungen'!$A$2:$A$492,$B$165)+1-ROW('Eingabe Meldungen'!A2)))),"",INDEX('Eingabe Meldungen'!$D$2:$D$492,LARGE(('Eingabe Meldungen'!$A$2:$A$492=$B$165)*(ROW('Eingabe Meldungen'!$A$2:$A$492)-1),COUNTIF('Eingabe Meldungen'!$A$2:$A$492,$B$165)+1-ROW('Eingabe Meldungen'!A2))))</f>
        <v>Carl</v>
      </c>
      <c r="D168" s="66">
        <f t="array" ref="D168">IF(B168&lt;&gt;"",INDEX('Eingabe Meldungen'!$C$2:$H$492,MATCH(B168&amp;C168,'Eingabe Meldungen'!$C$2:$C$492&amp;'Eingabe Meldungen'!$D$2:$D$492,0),6),"")</f>
        <v>2006</v>
      </c>
      <c r="E168" s="66" t="str">
        <f t="array" ref="E168">IF(B168&lt;&gt;"",INDEX('Eingabe Meldungen'!$C$2:$H$492,MATCH(B168&amp;C168,'Eingabe Meldungen'!$C$2:$C$492&amp;'Eingabe Meldungen'!$D$2:$D$492,0),4),"")</f>
        <v>-</v>
      </c>
      <c r="F168" s="66">
        <v>2</v>
      </c>
      <c r="G168" s="135"/>
      <c r="H168" s="4" t="e">
        <f t="shared" si="14"/>
        <v>#N/A</v>
      </c>
      <c r="I168" s="136" t="str">
        <f t="array" ref="I168">IF(B168&lt;&gt;"",INDEX('Eingabe Meldungen'!$C$2:$J$492,MATCH(B168&amp;C168,'Eingabe Meldungen'!$C$2:$C$492&amp;'Eingabe Meldungen'!$D$2:$D$492,0),8),"")</f>
        <v>Mannheimer RV "Amicitia"</v>
      </c>
      <c r="K168" s="427"/>
      <c r="L168" s="24"/>
      <c r="M168" s="11"/>
      <c r="N168" s="10"/>
      <c r="O168" s="11"/>
      <c r="P168" s="11"/>
      <c r="Q168" s="11"/>
      <c r="R168" s="11"/>
      <c r="S168" s="11"/>
      <c r="W168" s="15"/>
    </row>
    <row r="169" spans="2:26" x14ac:dyDescent="0.2">
      <c r="B169" s="100" t="str">
        <f t="array" ref="B169">IF(ISERROR(INDEX('Eingabe Meldungen'!$C$2:$C$492,LARGE(('Eingabe Meldungen'!$A$2:$A$492=$B$165)*(ROW('Eingabe Meldungen'!$A$2:$A$492)-1),COUNTIF('Eingabe Meldungen'!$A$2:$A$492,$B$165)+1-ROW('Eingabe Meldungen'!A3)))),"",INDEX('Eingabe Meldungen'!$C$2:$C$492,LARGE(('Eingabe Meldungen'!$A$2:$A$492=$B$165)*(ROW('Eingabe Meldungen'!$A$2:$A$492)-1),COUNTIF('Eingabe Meldungen'!$A$2:$A$492,$B$165)+1-ROW('Eingabe Meldungen'!A3))))</f>
        <v>Kalmbach</v>
      </c>
      <c r="C169" s="4" t="str">
        <f t="array" ref="C169">IF(ISERROR(INDEX('Eingabe Meldungen'!$D$2:$D$492,LARGE(('Eingabe Meldungen'!$A$2:$A$492=$B$165)*(ROW('Eingabe Meldungen'!$A$2:$A$492)-1),COUNTIF('Eingabe Meldungen'!$A$2:$A$492,$B$165)+1-ROW('Eingabe Meldungen'!A3)))),"",INDEX('Eingabe Meldungen'!$D$2:$D$492,LARGE(('Eingabe Meldungen'!$A$2:$A$492=$B$165)*(ROW('Eingabe Meldungen'!$A$2:$A$492)-1),COUNTIF('Eingabe Meldungen'!$A$2:$A$492,$B$165)+1-ROW('Eingabe Meldungen'!A3))))</f>
        <v>Henning</v>
      </c>
      <c r="D169" s="66">
        <f t="array" ref="D169">IF(B169&lt;&gt;"",INDEX('Eingabe Meldungen'!$C$2:$H$492,MATCH(B169&amp;C169,'Eingabe Meldungen'!$C$2:$C$492&amp;'Eingabe Meldungen'!$D$2:$D$492,0),6),"")</f>
        <v>2006</v>
      </c>
      <c r="E169" s="66" t="str">
        <f t="array" ref="E169">IF(B169&lt;&gt;"",INDEX('Eingabe Meldungen'!$C$2:$H$492,MATCH(B169&amp;C169,'Eingabe Meldungen'!$C$2:$C$492&amp;'Eingabe Meldungen'!$D$2:$D$492,0),4),"")</f>
        <v>-</v>
      </c>
      <c r="F169" s="66">
        <v>3</v>
      </c>
      <c r="G169" s="135"/>
      <c r="H169" s="4" t="e">
        <f t="shared" si="14"/>
        <v>#N/A</v>
      </c>
      <c r="I169" s="136" t="str">
        <f t="array" ref="I169">IF(B169&lt;&gt;"",INDEX('Eingabe Meldungen'!$C$2:$J$492,MATCH(B169&amp;C169,'Eingabe Meldungen'!$C$2:$C$492&amp;'Eingabe Meldungen'!$D$2:$D$492,0),8),"")</f>
        <v>Stuttgart-Cannstatter RC</v>
      </c>
      <c r="K169" s="427"/>
      <c r="L169" s="24"/>
      <c r="M169" s="11"/>
      <c r="N169" s="10"/>
      <c r="O169" s="11"/>
      <c r="P169" s="11"/>
      <c r="Q169" s="11"/>
      <c r="R169" s="11"/>
      <c r="S169" s="11"/>
      <c r="W169" s="15"/>
    </row>
    <row r="170" spans="2:26" ht="15" customHeight="1" x14ac:dyDescent="0.2">
      <c r="B170" s="100" t="str">
        <f t="array" ref="B170">IF(ISERROR(INDEX('Eingabe Meldungen'!$C$2:$C$492,LARGE(('Eingabe Meldungen'!$A$2:$A$492=$B$165)*(ROW('Eingabe Meldungen'!$A$2:$A$492)-1),COUNTIF('Eingabe Meldungen'!$A$2:$A$492,$B$165)+1-ROW('Eingabe Meldungen'!A4)))),"",INDEX('Eingabe Meldungen'!$C$2:$C$492,LARGE(('Eingabe Meldungen'!$A$2:$A$492=$B$165)*(ROW('Eingabe Meldungen'!$A$2:$A$492)-1),COUNTIF('Eingabe Meldungen'!$A$2:$A$492,$B$165)+1-ROW('Eingabe Meldungen'!A4))))</f>
        <v>Jarad</v>
      </c>
      <c r="C170" s="4" t="str">
        <f t="array" ref="C170">IF(ISERROR(INDEX('Eingabe Meldungen'!$D$2:$D$492,LARGE(('Eingabe Meldungen'!$A$2:$A$492=$B$165)*(ROW('Eingabe Meldungen'!$A$2:$A$492)-1),COUNTIF('Eingabe Meldungen'!$A$2:$A$492,$B$165)+1-ROW('Eingabe Meldungen'!A4)))),"",INDEX('Eingabe Meldungen'!$D$2:$D$492,LARGE(('Eingabe Meldungen'!$A$2:$A$492=$B$165)*(ROW('Eingabe Meldungen'!$A$2:$A$492)-1),COUNTIF('Eingabe Meldungen'!$A$2:$A$492,$B$165)+1-ROW('Eingabe Meldungen'!A4))))</f>
        <v>Huzaifa</v>
      </c>
      <c r="D170" s="66">
        <f t="array" ref="D170">IF(B170&lt;&gt;"",INDEX('Eingabe Meldungen'!$C$2:$H$492,MATCH(B170&amp;C170,'Eingabe Meldungen'!$C$2:$C$492&amp;'Eingabe Meldungen'!$D$2:$D$492,0),6),"")</f>
        <v>2006</v>
      </c>
      <c r="E170" s="66" t="str">
        <f t="array" ref="E170">IF(B170&lt;&gt;"",INDEX('Eingabe Meldungen'!$C$2:$H$492,MATCH(B170&amp;C170,'Eingabe Meldungen'!$C$2:$C$492&amp;'Eingabe Meldungen'!$D$2:$D$492,0),4),"")</f>
        <v>-</v>
      </c>
      <c r="F170" s="66">
        <v>4</v>
      </c>
      <c r="G170" s="135"/>
      <c r="H170" s="4" t="e">
        <f t="shared" si="14"/>
        <v>#N/A</v>
      </c>
      <c r="I170" s="136" t="str">
        <f t="array" ref="I170">IF(B170&lt;&gt;"",INDEX('Eingabe Meldungen'!$C$2:$J$492,MATCH(B170&amp;C170,'Eingabe Meldungen'!$C$2:$C$492&amp;'Eingabe Meldungen'!$D$2:$D$492,0),8),"")</f>
        <v>Schweinfurter Ruder-Club Franken</v>
      </c>
      <c r="K170" s="427"/>
      <c r="L170" s="24"/>
      <c r="M170" s="11"/>
      <c r="N170" s="10"/>
      <c r="O170" s="11"/>
      <c r="P170" s="11"/>
      <c r="Q170" s="11"/>
      <c r="R170" s="11"/>
      <c r="S170" s="11"/>
      <c r="W170" s="15"/>
    </row>
    <row r="171" spans="2:26" ht="14.25" customHeight="1" x14ac:dyDescent="0.2">
      <c r="B171" s="100" t="str">
        <f t="array" ref="B171">IF(ISERROR(INDEX('Eingabe Meldungen'!$C$2:$C$492,LARGE(('Eingabe Meldungen'!$A$2:$A$492=$B$165)*(ROW('Eingabe Meldungen'!$A$2:$A$492)-1),COUNTIF('Eingabe Meldungen'!$A$2:$A$492,$B$165)+1-ROW('Eingabe Meldungen'!A5)))),"",INDEX('Eingabe Meldungen'!$C$2:$C$492,LARGE(('Eingabe Meldungen'!$A$2:$A$492=$B$165)*(ROW('Eingabe Meldungen'!$A$2:$A$492)-1),COUNTIF('Eingabe Meldungen'!$A$2:$A$492,$B$165)+1-ROW('Eingabe Meldungen'!A5))))</f>
        <v>Engel</v>
      </c>
      <c r="C171" s="4" t="str">
        <f t="array" ref="C171">IF(ISERROR(INDEX('Eingabe Meldungen'!$D$2:$D$492,LARGE(('Eingabe Meldungen'!$A$2:$A$492=$B$165)*(ROW('Eingabe Meldungen'!$A$2:$A$492)-1),COUNTIF('Eingabe Meldungen'!$A$2:$A$492,$B$165)+1-ROW('Eingabe Meldungen'!A5)))),"",INDEX('Eingabe Meldungen'!$D$2:$D$492,LARGE(('Eingabe Meldungen'!$A$2:$A$492=$B$165)*(ROW('Eingabe Meldungen'!$A$2:$A$492)-1),COUNTIF('Eingabe Meldungen'!$A$2:$A$492,$B$165)+1-ROW('Eingabe Meldungen'!A5))))</f>
        <v>Julian</v>
      </c>
      <c r="D171" s="66">
        <f t="array" ref="D171">IF(B171&lt;&gt;"",INDEX('Eingabe Meldungen'!$C$2:$H$492,MATCH(B171&amp;C171,'Eingabe Meldungen'!$C$2:$C$492&amp;'Eingabe Meldungen'!$D$2:$D$492,0),6),"")</f>
        <v>2006</v>
      </c>
      <c r="E171" s="66" t="str">
        <f t="array" ref="E171">IF(B171&lt;&gt;"",INDEX('Eingabe Meldungen'!$C$2:$H$492,MATCH(B171&amp;C171,'Eingabe Meldungen'!$C$2:$C$492&amp;'Eingabe Meldungen'!$D$2:$D$492,0),4),"")</f>
        <v>-</v>
      </c>
      <c r="F171" s="66">
        <v>5</v>
      </c>
      <c r="G171" s="135"/>
      <c r="H171" s="4" t="e">
        <f t="shared" si="14"/>
        <v>#N/A</v>
      </c>
      <c r="I171" s="136" t="str">
        <f t="array" ref="I171">IF(B171&lt;&gt;"",INDEX('Eingabe Meldungen'!$C$2:$J$492,MATCH(B171&amp;C171,'Eingabe Meldungen'!$C$2:$C$492&amp;'Eingabe Meldungen'!$D$2:$D$492,0),8),"")</f>
        <v>RC Nürtingen</v>
      </c>
      <c r="K171" s="427"/>
      <c r="L171" s="24"/>
      <c r="M171" s="11"/>
      <c r="N171" s="10"/>
      <c r="O171" s="11"/>
      <c r="P171" s="11"/>
      <c r="Q171" s="11"/>
      <c r="R171" s="11"/>
      <c r="S171" s="11"/>
      <c r="U171" s="6"/>
      <c r="V171" s="9"/>
      <c r="W171" s="8"/>
    </row>
    <row r="172" spans="2:26" ht="12.75" customHeight="1" x14ac:dyDescent="0.2">
      <c r="B172" s="100" t="str">
        <f t="array" ref="B172">IF(ISERROR(INDEX('Eingabe Meldungen'!$C$2:$C$492,LARGE(('Eingabe Meldungen'!$A$2:$A$492=$B$165)*(ROW('Eingabe Meldungen'!$A$2:$A$492)-1),COUNTIF('Eingabe Meldungen'!$A$2:$A$492,$B$165)+1-ROW('Eingabe Meldungen'!A6)))),"",INDEX('Eingabe Meldungen'!$C$2:$C$492,LARGE(('Eingabe Meldungen'!$A$2:$A$492=$B$165)*(ROW('Eingabe Meldungen'!$A$2:$A$492)-1),COUNTIF('Eingabe Meldungen'!$A$2:$A$492,$B$165)+1-ROW('Eingabe Meldungen'!A6))))</f>
        <v>Melcher</v>
      </c>
      <c r="C172" s="4" t="str">
        <f t="array" ref="C172">IF(ISERROR(INDEX('Eingabe Meldungen'!$D$2:$D$492,LARGE(('Eingabe Meldungen'!$A$2:$A$492=$B$165)*(ROW('Eingabe Meldungen'!$A$2:$A$492)-1),COUNTIF('Eingabe Meldungen'!$A$2:$A$492,$B$165)+1-ROW('Eingabe Meldungen'!A6)))),"",INDEX('Eingabe Meldungen'!$D$2:$D$492,LARGE(('Eingabe Meldungen'!$A$2:$A$492=$B$165)*(ROW('Eingabe Meldungen'!$A$2:$A$492)-1),COUNTIF('Eingabe Meldungen'!$A$2:$A$492,$B$165)+1-ROW('Eingabe Meldungen'!A6))))</f>
        <v>Max</v>
      </c>
      <c r="D172" s="66">
        <f t="array" ref="D172">IF(B172&lt;&gt;"",INDEX('Eingabe Meldungen'!$C$2:$H$492,MATCH(B172&amp;C172,'Eingabe Meldungen'!$C$2:$C$492&amp;'Eingabe Meldungen'!$D$2:$D$492,0),6),"")</f>
        <v>2006</v>
      </c>
      <c r="E172" s="66" t="str">
        <f t="array" ref="E172">IF(B172&lt;&gt;"",INDEX('Eingabe Meldungen'!$C$2:$H$492,MATCH(B172&amp;C172,'Eingabe Meldungen'!$C$2:$C$492&amp;'Eingabe Meldungen'!$D$2:$D$492,0),4),"")</f>
        <v>-</v>
      </c>
      <c r="F172" s="66">
        <v>6</v>
      </c>
      <c r="G172" s="135"/>
      <c r="H172" s="4" t="e">
        <f t="shared" si="14"/>
        <v>#N/A</v>
      </c>
      <c r="I172" s="136" t="str">
        <f t="array" ref="I172">IF(B172&lt;&gt;"",INDEX('Eingabe Meldungen'!$C$2:$J$492,MATCH(B172&amp;C172,'Eingabe Meldungen'!$C$2:$C$492&amp;'Eingabe Meldungen'!$D$2:$D$492,0),8),"")</f>
        <v>RC Nürtingen</v>
      </c>
      <c r="K172" s="427"/>
      <c r="L172" s="24"/>
      <c r="M172" s="11"/>
      <c r="N172" s="10"/>
      <c r="O172" s="11"/>
      <c r="P172" s="11"/>
      <c r="Q172" s="11"/>
      <c r="R172" s="11"/>
      <c r="S172" s="11"/>
      <c r="U172" s="6"/>
      <c r="V172" s="9"/>
      <c r="W172" s="8"/>
    </row>
    <row r="173" spans="2:26" x14ac:dyDescent="0.2">
      <c r="B173" s="100"/>
      <c r="C173" s="4"/>
      <c r="D173" s="66"/>
      <c r="E173" s="66"/>
      <c r="F173" s="66">
        <v>7</v>
      </c>
      <c r="G173" s="135"/>
      <c r="H173" s="4"/>
      <c r="I173" s="136"/>
      <c r="K173" s="427"/>
      <c r="L173" s="24"/>
      <c r="M173" s="11"/>
      <c r="N173" s="10"/>
      <c r="O173" s="11"/>
      <c r="P173" s="11"/>
      <c r="Q173" s="11"/>
      <c r="R173" s="11"/>
      <c r="S173" s="11"/>
      <c r="U173" s="6"/>
      <c r="V173" s="9"/>
      <c r="W173" s="8"/>
    </row>
    <row r="174" spans="2:26" x14ac:dyDescent="0.2">
      <c r="B174" s="100"/>
      <c r="C174" s="4"/>
      <c r="D174" s="66"/>
      <c r="E174" s="66"/>
      <c r="F174" s="66">
        <v>8</v>
      </c>
      <c r="G174" s="135"/>
      <c r="H174" s="4"/>
      <c r="I174" s="136"/>
      <c r="K174" s="427"/>
      <c r="L174" s="24"/>
      <c r="M174" s="11"/>
      <c r="N174" s="10"/>
      <c r="O174" s="11"/>
      <c r="P174" s="11"/>
      <c r="Q174" s="11"/>
      <c r="R174" s="11"/>
      <c r="S174" s="11"/>
      <c r="U174" s="6"/>
      <c r="V174" s="9"/>
      <c r="W174" s="8"/>
    </row>
    <row r="175" spans="2:26" x14ac:dyDescent="0.2">
      <c r="B175" s="100"/>
      <c r="C175" s="4"/>
      <c r="D175" s="66"/>
      <c r="E175" s="66"/>
      <c r="F175" s="66">
        <v>9</v>
      </c>
      <c r="G175" s="135"/>
      <c r="H175" s="4"/>
      <c r="I175" s="136"/>
      <c r="K175" s="427"/>
      <c r="L175" s="24"/>
      <c r="M175" s="11"/>
      <c r="N175" s="10"/>
      <c r="O175" s="11"/>
      <c r="P175" s="11"/>
      <c r="Q175" s="11"/>
      <c r="R175" s="11"/>
      <c r="S175" s="11"/>
      <c r="U175" s="6"/>
      <c r="V175" s="9"/>
      <c r="W175" s="8"/>
    </row>
    <row r="176" spans="2:26" ht="13.2" thickBot="1" x14ac:dyDescent="0.25">
      <c r="B176" s="138"/>
      <c r="C176" s="139"/>
      <c r="D176" s="99"/>
      <c r="E176" s="99"/>
      <c r="F176" s="99">
        <v>10</v>
      </c>
      <c r="G176" s="143"/>
      <c r="H176" s="139"/>
      <c r="I176" s="141"/>
      <c r="K176" s="428"/>
      <c r="L176" s="24"/>
      <c r="M176" s="11"/>
      <c r="N176" s="10"/>
      <c r="O176" s="11"/>
      <c r="P176" s="11"/>
      <c r="Q176" s="11"/>
      <c r="R176" s="11"/>
      <c r="S176" s="11"/>
      <c r="U176" s="6"/>
      <c r="V176" s="9"/>
      <c r="W176" s="8"/>
    </row>
    <row r="177" spans="1:23" x14ac:dyDescent="0.2">
      <c r="B177" s="131" t="str">
        <f t="array" ref="B177">IF(ISERROR(INDEX('Eingabe Meldungen'!$C$2:$C$492,LARGE(('Eingabe Meldungen'!$A$2:$A$492=$B$165)*(ROW('Eingabe Meldungen'!$A$2:$A$492)-1),COUNTIF('Eingabe Meldungen'!$A$2:$A$492,$B$165)+1-ROW('Eingabe Meldungen'!A7)))),"",INDEX('Eingabe Meldungen'!$C$2:$C$492,LARGE(('Eingabe Meldungen'!$A$2:$A$492=$B$165)*(ROW('Eingabe Meldungen'!$A$2:$A$492)-1),COUNTIF('Eingabe Meldungen'!$A$2:$A$492,$B$165)+1-ROW('Eingabe Meldungen'!A7))))</f>
        <v>Hildebrand</v>
      </c>
      <c r="C177" s="132" t="str">
        <f t="array" ref="C177">IF(ISERROR(INDEX('Eingabe Meldungen'!$D$2:$D$492,LARGE(('Eingabe Meldungen'!$A$2:$A$492=$B$165)*(ROW('Eingabe Meldungen'!$A$2:$A$492)-1),COUNTIF('Eingabe Meldungen'!$A$2:$A$492,$B$165)+1-ROW('Eingabe Meldungen'!A7)))),"",INDEX('Eingabe Meldungen'!$D$2:$D$492,LARGE(('Eingabe Meldungen'!$A$2:$A$492=$B$165)*(ROW('Eingabe Meldungen'!$A$2:$A$492)-1),COUNTIF('Eingabe Meldungen'!$A$2:$A$492,$B$165)+1-ROW('Eingabe Meldungen'!A7))))</f>
        <v>Nico</v>
      </c>
      <c r="D177" s="78">
        <f t="array" ref="D177">IF(B177&lt;&gt;"",INDEX('Eingabe Meldungen'!$C$2:$H$492,MATCH(B177&amp;C177,'Eingabe Meldungen'!$C$2:$C$492&amp;'Eingabe Meldungen'!$D$2:$D$492,0),6),"")</f>
        <v>2006</v>
      </c>
      <c r="E177" s="78" t="str">
        <f t="array" ref="E177">IF(B177&lt;&gt;"",INDEX('Eingabe Meldungen'!$C$2:$H$492,MATCH(B177&amp;C177,'Eingabe Meldungen'!$C$2:$C$492&amp;'Eingabe Meldungen'!$D$2:$D$492,0),4),"")</f>
        <v>-</v>
      </c>
      <c r="F177" s="78">
        <v>1</v>
      </c>
      <c r="G177" s="133"/>
      <c r="H177" s="132" t="e">
        <f>RANK(G177,$G$167:$G$182,1)</f>
        <v>#N/A</v>
      </c>
      <c r="I177" s="134" t="str">
        <f t="array" ref="I177">IF(B177&lt;&gt;"",INDEX('Eingabe Meldungen'!$C$2:$J$492,MATCH(B177&amp;C177,'Eingabe Meldungen'!$C$2:$C$492&amp;'Eingabe Meldungen'!$D$2:$D$492,0),8),"")</f>
        <v>RV Waldsee</v>
      </c>
      <c r="K177" s="426" t="s">
        <v>455</v>
      </c>
      <c r="L177" s="24"/>
      <c r="M177" s="11"/>
      <c r="N177" s="10"/>
      <c r="O177" s="11"/>
      <c r="P177" s="11"/>
      <c r="Q177" s="11"/>
      <c r="R177" s="11"/>
      <c r="S177" s="11"/>
      <c r="U177" s="6"/>
      <c r="V177" s="9"/>
      <c r="W177" s="8"/>
    </row>
    <row r="178" spans="1:23" x14ac:dyDescent="0.2">
      <c r="B178" s="100" t="str">
        <f t="array" ref="B178">IF(ISERROR(INDEX('Eingabe Meldungen'!$C$2:$C$492,LARGE(('Eingabe Meldungen'!$A$2:$A$492=$B$165)*(ROW('Eingabe Meldungen'!$A$2:$A$492)-1),COUNTIF('Eingabe Meldungen'!$A$2:$A$492,$B$165)+1-ROW('Eingabe Meldungen'!A8)))),"",INDEX('Eingabe Meldungen'!$C$2:$C$492,LARGE(('Eingabe Meldungen'!$A$2:$A$492=$B$165)*(ROW('Eingabe Meldungen'!$A$2:$A$492)-1),COUNTIF('Eingabe Meldungen'!$A$2:$A$492,$B$165)+1-ROW('Eingabe Meldungen'!A8))))</f>
        <v>Gute</v>
      </c>
      <c r="C178" s="4" t="str">
        <f t="array" ref="C178">IF(ISERROR(INDEX('Eingabe Meldungen'!$D$2:$D$492,LARGE(('Eingabe Meldungen'!$A$2:$A$492=$B$165)*(ROW('Eingabe Meldungen'!$A$2:$A$492)-1),COUNTIF('Eingabe Meldungen'!$A$2:$A$492,$B$165)+1-ROW('Eingabe Meldungen'!A8)))),"",INDEX('Eingabe Meldungen'!$D$2:$D$492,LARGE(('Eingabe Meldungen'!$A$2:$A$492=$B$165)*(ROW('Eingabe Meldungen'!$A$2:$A$492)-1),COUNTIF('Eingabe Meldungen'!$A$2:$A$492,$B$165)+1-ROW('Eingabe Meldungen'!A8))))</f>
        <v>Oskar</v>
      </c>
      <c r="D178" s="66">
        <f t="array" ref="D178">IF(B178&lt;&gt;"",INDEX('Eingabe Meldungen'!$C$2:$H$492,MATCH(B178&amp;C178,'Eingabe Meldungen'!$C$2:$C$492&amp;'Eingabe Meldungen'!$D$2:$D$492,0),6),"")</f>
        <v>2006</v>
      </c>
      <c r="E178" s="66" t="str">
        <f t="array" ref="E178">IF(B178&lt;&gt;"",INDEX('Eingabe Meldungen'!$C$2:$H$492,MATCH(B178&amp;C178,'Eingabe Meldungen'!$C$2:$C$492&amp;'Eingabe Meldungen'!$D$2:$D$492,0),4),"")</f>
        <v>-</v>
      </c>
      <c r="F178" s="66">
        <v>2</v>
      </c>
      <c r="G178" s="135"/>
      <c r="H178" s="4" t="e">
        <f>RANK(G178,$G$167:$G$182,1)</f>
        <v>#N/A</v>
      </c>
      <c r="I178" s="136" t="str">
        <f t="array" ref="I178">IF(B178&lt;&gt;"",INDEX('Eingabe Meldungen'!$C$2:$J$492,MATCH(B178&amp;C178,'Eingabe Meldungen'!$C$2:$C$492&amp;'Eingabe Meldungen'!$D$2:$D$492,0),8),"")</f>
        <v>Rudergesellschaft Heidelberg</v>
      </c>
      <c r="K178" s="427"/>
      <c r="L178" s="24"/>
      <c r="M178" s="11"/>
      <c r="N178" s="10"/>
      <c r="O178" s="11"/>
      <c r="P178" s="11"/>
      <c r="Q178" s="11"/>
      <c r="R178" s="11"/>
      <c r="S178" s="11"/>
      <c r="U178" s="6"/>
      <c r="V178" s="9"/>
      <c r="W178" s="8"/>
    </row>
    <row r="179" spans="1:23" x14ac:dyDescent="0.2">
      <c r="B179" s="100" t="str">
        <f t="array" ref="B179">IF(ISERROR(INDEX('Eingabe Meldungen'!$C$2:$C$492,LARGE(('Eingabe Meldungen'!$A$2:$A$492=$B$165)*(ROW('Eingabe Meldungen'!$A$2:$A$492)-1),COUNTIF('Eingabe Meldungen'!$A$2:$A$492,$B$165)+1-ROW('Eingabe Meldungen'!A9)))),"",INDEX('Eingabe Meldungen'!$C$2:$C$492,LARGE(('Eingabe Meldungen'!$A$2:$A$492=$B$165)*(ROW('Eingabe Meldungen'!$A$2:$A$492)-1),COUNTIF('Eingabe Meldungen'!$A$2:$A$492,$B$165)+1-ROW('Eingabe Meldungen'!A9))))</f>
        <v>Gering</v>
      </c>
      <c r="C179" s="4" t="str">
        <f t="array" ref="C179">IF(ISERROR(INDEX('Eingabe Meldungen'!$D$2:$D$492,LARGE(('Eingabe Meldungen'!$A$2:$A$492=$B$165)*(ROW('Eingabe Meldungen'!$A$2:$A$492)-1),COUNTIF('Eingabe Meldungen'!$A$2:$A$492,$B$165)+1-ROW('Eingabe Meldungen'!A9)))),"",INDEX('Eingabe Meldungen'!$D$2:$D$492,LARGE(('Eingabe Meldungen'!$A$2:$A$492=$B$165)*(ROW('Eingabe Meldungen'!$A$2:$A$492)-1),COUNTIF('Eingabe Meldungen'!$A$2:$A$492,$B$165)+1-ROW('Eingabe Meldungen'!A9))))</f>
        <v>Simon</v>
      </c>
      <c r="D179" s="66">
        <f t="array" ref="D179">IF(B179&lt;&gt;"",INDEX('Eingabe Meldungen'!$C$2:$H$492,MATCH(B179&amp;C179,'Eingabe Meldungen'!$C$2:$C$492&amp;'Eingabe Meldungen'!$D$2:$D$492,0),6),"")</f>
        <v>2006</v>
      </c>
      <c r="E179" s="66" t="str">
        <f t="array" ref="E179">IF(B179&lt;&gt;"",INDEX('Eingabe Meldungen'!$C$2:$H$492,MATCH(B179&amp;C179,'Eingabe Meldungen'!$C$2:$C$492&amp;'Eingabe Meldungen'!$D$2:$D$492,0),4),"")</f>
        <v>-</v>
      </c>
      <c r="F179" s="66">
        <v>3</v>
      </c>
      <c r="G179" s="135"/>
      <c r="H179" s="4" t="e">
        <f>RANK(G179,$G$167:$G$182,1)</f>
        <v>#N/A</v>
      </c>
      <c r="I179" s="136" t="str">
        <f t="array" ref="I179">IF(B179&lt;&gt;"",INDEX('Eingabe Meldungen'!$C$2:$J$492,MATCH(B179&amp;C179,'Eingabe Meldungen'!$C$2:$C$492&amp;'Eingabe Meldungen'!$D$2:$D$492,0),8),"")</f>
        <v>Marbacher Ruderverein</v>
      </c>
      <c r="K179" s="427"/>
      <c r="L179" s="24"/>
      <c r="M179" s="11"/>
      <c r="N179" s="10"/>
      <c r="O179" s="11"/>
      <c r="P179" s="11"/>
      <c r="Q179" s="11"/>
      <c r="R179" s="11"/>
      <c r="S179" s="11"/>
      <c r="U179" s="6"/>
      <c r="V179" s="9"/>
      <c r="W179" s="8"/>
    </row>
    <row r="180" spans="1:23" x14ac:dyDescent="0.2">
      <c r="B180" s="100" t="str">
        <f t="array" ref="B180">IF(ISERROR(INDEX('Eingabe Meldungen'!$C$2:$C$492,LARGE(('Eingabe Meldungen'!$A$2:$A$492=$B$165)*(ROW('Eingabe Meldungen'!$A$2:$A$492)-1),COUNTIF('Eingabe Meldungen'!$A$2:$A$492,$B$165)+1-ROW('Eingabe Meldungen'!A10)))),"",INDEX('Eingabe Meldungen'!$C$2:$C$492,LARGE(('Eingabe Meldungen'!$A$2:$A$492=$B$165)*(ROW('Eingabe Meldungen'!$A$2:$A$492)-1),COUNTIF('Eingabe Meldungen'!$A$2:$A$492,$B$165)+1-ROW('Eingabe Meldungen'!A10))))</f>
        <v>Gläser</v>
      </c>
      <c r="C180" s="4" t="str">
        <f t="array" ref="C180">IF(ISERROR(INDEX('Eingabe Meldungen'!$D$2:$D$492,LARGE(('Eingabe Meldungen'!$A$2:$A$492=$B$165)*(ROW('Eingabe Meldungen'!$A$2:$A$492)-1),COUNTIF('Eingabe Meldungen'!$A$2:$A$492,$B$165)+1-ROW('Eingabe Meldungen'!A10)))),"",INDEX('Eingabe Meldungen'!$D$2:$D$492,LARGE(('Eingabe Meldungen'!$A$2:$A$492=$B$165)*(ROW('Eingabe Meldungen'!$A$2:$A$492)-1),COUNTIF('Eingabe Meldungen'!$A$2:$A$492,$B$165)+1-ROW('Eingabe Meldungen'!A10))))</f>
        <v>Simon</v>
      </c>
      <c r="D180" s="66">
        <f t="array" ref="D180">IF(B180&lt;&gt;"",INDEX('Eingabe Meldungen'!$C$2:$H$492,MATCH(B180&amp;C180,'Eingabe Meldungen'!$C$2:$C$492&amp;'Eingabe Meldungen'!$D$2:$D$492,0),6),"")</f>
        <v>2006</v>
      </c>
      <c r="E180" s="66" t="str">
        <f t="array" ref="E180">IF(B180&lt;&gt;"",INDEX('Eingabe Meldungen'!$C$2:$H$492,MATCH(B180&amp;C180,'Eingabe Meldungen'!$C$2:$C$492&amp;'Eingabe Meldungen'!$D$2:$D$492,0),4),"")</f>
        <v>-</v>
      </c>
      <c r="F180" s="66">
        <v>4</v>
      </c>
      <c r="G180" s="135"/>
      <c r="H180" s="4" t="e">
        <f>RANK(G180,$G$167:$G$182,1)</f>
        <v>#N/A</v>
      </c>
      <c r="I180" s="136" t="str">
        <f t="array" ref="I180">IF(B180&lt;&gt;"",INDEX('Eingabe Meldungen'!$C$2:$J$492,MATCH(B180&amp;C180,'Eingabe Meldungen'!$C$2:$C$492&amp;'Eingabe Meldungen'!$D$2:$D$492,0),8),"")</f>
        <v>Mannheimer RV "Amicitia"</v>
      </c>
      <c r="K180" s="427"/>
      <c r="L180" s="24"/>
      <c r="M180" s="11"/>
      <c r="N180" s="10"/>
      <c r="O180" s="11"/>
      <c r="P180" s="11"/>
      <c r="Q180" s="11"/>
      <c r="R180" s="11"/>
      <c r="S180" s="11"/>
      <c r="U180" s="6"/>
      <c r="V180" s="9"/>
      <c r="W180" s="8"/>
    </row>
    <row r="181" spans="1:23" x14ac:dyDescent="0.2">
      <c r="B181" s="100" t="str">
        <f t="array" ref="B181">IF(ISERROR(INDEX('Eingabe Meldungen'!$C$2:$C$492,LARGE(('Eingabe Meldungen'!$A$2:$A$492=$B$165)*(ROW('Eingabe Meldungen'!$A$2:$A$492)-1),COUNTIF('Eingabe Meldungen'!$A$2:$A$492,$B$165)+1-ROW('Eingabe Meldungen'!A11)))),"",INDEX('Eingabe Meldungen'!$C$2:$C$492,LARGE(('Eingabe Meldungen'!$A$2:$A$492=$B$165)*(ROW('Eingabe Meldungen'!$A$2:$A$492)-1),COUNTIF('Eingabe Meldungen'!$A$2:$A$492,$B$165)+1-ROW('Eingabe Meldungen'!A11))))</f>
        <v>Kokes</v>
      </c>
      <c r="C181" s="4" t="str">
        <f t="array" ref="C181">IF(ISERROR(INDEX('Eingabe Meldungen'!$D$2:$D$492,LARGE(('Eingabe Meldungen'!$A$2:$A$492=$B$165)*(ROW('Eingabe Meldungen'!$A$2:$A$492)-1),COUNTIF('Eingabe Meldungen'!$A$2:$A$492,$B$165)+1-ROW('Eingabe Meldungen'!A11)))),"",INDEX('Eingabe Meldungen'!$D$2:$D$492,LARGE(('Eingabe Meldungen'!$A$2:$A$492=$B$165)*(ROW('Eingabe Meldungen'!$A$2:$A$492)-1),COUNTIF('Eingabe Meldungen'!$A$2:$A$492,$B$165)+1-ROW('Eingabe Meldungen'!A11))))</f>
        <v>Tim</v>
      </c>
      <c r="D181" s="66">
        <f t="array" ref="D181">IF(B181&lt;&gt;"",INDEX('Eingabe Meldungen'!$C$2:$H$492,MATCH(B181&amp;C181,'Eingabe Meldungen'!$C$2:$C$492&amp;'Eingabe Meldungen'!$D$2:$D$492,0),6),"")</f>
        <v>2006</v>
      </c>
      <c r="E181" s="66" t="str">
        <f t="array" ref="E181">IF(B181&lt;&gt;"",INDEX('Eingabe Meldungen'!$C$2:$H$492,MATCH(B181&amp;C181,'Eingabe Meldungen'!$C$2:$C$492&amp;'Eingabe Meldungen'!$D$2:$D$492,0),4),"")</f>
        <v>-</v>
      </c>
      <c r="F181" s="66">
        <v>5</v>
      </c>
      <c r="G181" s="135"/>
      <c r="H181" s="4" t="e">
        <f t="shared" ref="H181:H186" si="15">RANK(G181,$G$167:$G$182,1)</f>
        <v>#N/A</v>
      </c>
      <c r="I181" s="136" t="str">
        <f t="array" ref="I181">IF(B181&lt;&gt;"",INDEX('Eingabe Meldungen'!$C$2:$J$492,MATCH(B181&amp;C181,'Eingabe Meldungen'!$C$2:$C$492&amp;'Eingabe Meldungen'!$D$2:$D$492,0),8),"")</f>
        <v>Heidelberger Ruderklub</v>
      </c>
      <c r="K181" s="427"/>
      <c r="L181" s="24"/>
      <c r="M181" s="11"/>
      <c r="N181" s="10"/>
      <c r="O181" s="11"/>
      <c r="P181" s="11"/>
      <c r="Q181" s="11"/>
      <c r="R181" s="11"/>
      <c r="S181" s="11"/>
      <c r="W181" s="15"/>
    </row>
    <row r="182" spans="1:23" x14ac:dyDescent="0.2">
      <c r="B182" s="100" t="str">
        <f t="array" ref="B182">IF(ISERROR(INDEX('Eingabe Meldungen'!$C$2:$C$492,LARGE(('Eingabe Meldungen'!$A$2:$A$492=$B$165)*(ROW('Eingabe Meldungen'!$A$2:$A$492)-1),COUNTIF('Eingabe Meldungen'!$A$2:$A$492,$B$165)+1-ROW('Eingabe Meldungen'!A12)))),"",INDEX('Eingabe Meldungen'!$C$2:$C$492,LARGE(('Eingabe Meldungen'!$A$2:$A$492=$B$165)*(ROW('Eingabe Meldungen'!$A$2:$A$492)-1),COUNTIF('Eingabe Meldungen'!$A$2:$A$492,$B$165)+1-ROW('Eingabe Meldungen'!A12))))</f>
        <v>Wagner</v>
      </c>
      <c r="C182" s="4" t="str">
        <f t="array" ref="C182">IF(ISERROR(INDEX('Eingabe Meldungen'!$D$2:$D$492,LARGE(('Eingabe Meldungen'!$A$2:$A$492=$B$165)*(ROW('Eingabe Meldungen'!$A$2:$A$492)-1),COUNTIF('Eingabe Meldungen'!$A$2:$A$492,$B$165)+1-ROW('Eingabe Meldungen'!A12)))),"",INDEX('Eingabe Meldungen'!$D$2:$D$492,LARGE(('Eingabe Meldungen'!$A$2:$A$492=$B$165)*(ROW('Eingabe Meldungen'!$A$2:$A$492)-1),COUNTIF('Eingabe Meldungen'!$A$2:$A$492,$B$165)+1-ROW('Eingabe Meldungen'!A12))))</f>
        <v>Philippe</v>
      </c>
      <c r="D182" s="66">
        <f t="array" ref="D182">IF(B182&lt;&gt;"",INDEX('Eingabe Meldungen'!$C$2:$H$492,MATCH(B182&amp;C182,'Eingabe Meldungen'!$C$2:$C$492&amp;'Eingabe Meldungen'!$D$2:$D$492,0),6),"")</f>
        <v>2006</v>
      </c>
      <c r="E182" s="66" t="str">
        <f t="array" ref="E182">IF(B182&lt;&gt;"",INDEX('Eingabe Meldungen'!$C$2:$H$492,MATCH(B182&amp;C182,'Eingabe Meldungen'!$C$2:$C$492&amp;'Eingabe Meldungen'!$D$2:$D$492,0),4),"")</f>
        <v>-</v>
      </c>
      <c r="F182" s="66">
        <v>6</v>
      </c>
      <c r="G182" s="135"/>
      <c r="H182" s="4" t="e">
        <f t="shared" si="15"/>
        <v>#N/A</v>
      </c>
      <c r="I182" s="136" t="str">
        <f t="array" ref="I182">IF(B182&lt;&gt;"",INDEX('Eingabe Meldungen'!$C$2:$J$492,MATCH(B182&amp;C182,'Eingabe Meldungen'!$C$2:$C$492&amp;'Eingabe Meldungen'!$D$2:$D$492,0),8),"")</f>
        <v xml:space="preserve">WSV Schifferclub Neckarrems </v>
      </c>
      <c r="K182" s="427"/>
      <c r="L182" s="24"/>
      <c r="M182" s="11"/>
      <c r="N182" s="10"/>
      <c r="O182" s="11"/>
      <c r="P182" s="11"/>
      <c r="Q182" s="11"/>
      <c r="R182" s="11"/>
      <c r="S182" s="11"/>
      <c r="W182" s="15"/>
    </row>
    <row r="183" spans="1:23" x14ac:dyDescent="0.2">
      <c r="B183" s="100" t="str">
        <f t="array" ref="B183">IF(ISERROR(INDEX('Eingabe Meldungen'!$C$2:$C$492,LARGE(('Eingabe Meldungen'!$A$2:$A$492=$B$165)*(ROW('Eingabe Meldungen'!$A$2:$A$492)-1),COUNTIF('Eingabe Meldungen'!$A$2:$A$492,$B$165)+1-ROW('Eingabe Meldungen'!A13)))),"",INDEX('Eingabe Meldungen'!$C$2:$C$492,LARGE(('Eingabe Meldungen'!$A$2:$A$492=$B$165)*(ROW('Eingabe Meldungen'!$A$2:$A$492)-1),COUNTIF('Eingabe Meldungen'!$A$2:$A$492,$B$165)+1-ROW('Eingabe Meldungen'!A13))))</f>
        <v>Theurer</v>
      </c>
      <c r="C183" s="4" t="str">
        <f t="array" ref="C183">IF(ISERROR(INDEX('Eingabe Meldungen'!$D$2:$D$492,LARGE(('Eingabe Meldungen'!$A$2:$A$492=$B$165)*(ROW('Eingabe Meldungen'!$A$2:$A$492)-1),COUNTIF('Eingabe Meldungen'!$A$2:$A$492,$B$165)+1-ROW('Eingabe Meldungen'!A13)))),"",INDEX('Eingabe Meldungen'!$D$2:$D$492,LARGE(('Eingabe Meldungen'!$A$2:$A$492=$B$165)*(ROW('Eingabe Meldungen'!$A$2:$A$492)-1),COUNTIF('Eingabe Meldungen'!$A$2:$A$492,$B$165)+1-ROW('Eingabe Meldungen'!A13))))</f>
        <v>Moritz</v>
      </c>
      <c r="D183" s="66">
        <f t="array" ref="D183">IF(B183&lt;&gt;"",INDEX('Eingabe Meldungen'!$C$2:$H$492,MATCH(B183&amp;C183,'Eingabe Meldungen'!$C$2:$C$492&amp;'Eingabe Meldungen'!$D$2:$D$492,0),6),"")</f>
        <v>2006</v>
      </c>
      <c r="E183" s="66" t="str">
        <f t="array" ref="E183">IF(B183&lt;&gt;"",INDEX('Eingabe Meldungen'!$C$2:$H$492,MATCH(B183&amp;C183,'Eingabe Meldungen'!$C$2:$C$492&amp;'Eingabe Meldungen'!$D$2:$D$492,0),4),"")</f>
        <v>-</v>
      </c>
      <c r="F183" s="66">
        <v>7</v>
      </c>
      <c r="G183" s="135"/>
      <c r="H183" s="4" t="e">
        <f t="shared" si="15"/>
        <v>#N/A</v>
      </c>
      <c r="I183" s="136" t="str">
        <f t="array" ref="I183">IF(B183&lt;&gt;"",INDEX('Eingabe Meldungen'!$C$2:$J$492,MATCH(B183&amp;C183,'Eingabe Meldungen'!$C$2:$C$492&amp;'Eingabe Meldungen'!$D$2:$D$492,0),8),"")</f>
        <v xml:space="preserve">WSV Schifferclub Neckarrems </v>
      </c>
      <c r="K183" s="427"/>
      <c r="L183" s="24"/>
      <c r="M183" s="11"/>
      <c r="N183" s="10"/>
      <c r="O183" s="11"/>
      <c r="P183" s="11"/>
      <c r="Q183" s="11"/>
      <c r="R183" s="11"/>
      <c r="S183" s="11"/>
      <c r="W183" s="15"/>
    </row>
    <row r="184" spans="1:23" x14ac:dyDescent="0.2">
      <c r="B184" s="100" t="str">
        <f t="array" ref="B184">IF(ISERROR(INDEX('Eingabe Meldungen'!$C$2:$C$492,LARGE(('Eingabe Meldungen'!$A$2:$A$492=$B$165)*(ROW('Eingabe Meldungen'!$A$2:$A$492)-1),COUNTIF('Eingabe Meldungen'!$A$2:$A$492,$B$165)+1-ROW('Eingabe Meldungen'!A14)))),"",INDEX('Eingabe Meldungen'!$C$2:$C$492,LARGE(('Eingabe Meldungen'!$A$2:$A$492=$B$165)*(ROW('Eingabe Meldungen'!$A$2:$A$492)-1),COUNTIF('Eingabe Meldungen'!$A$2:$A$492,$B$165)+1-ROW('Eingabe Meldungen'!A14))))</f>
        <v/>
      </c>
      <c r="C184" s="4" t="str">
        <f t="array" ref="C184">IF(ISERROR(INDEX('Eingabe Meldungen'!$D$2:$D$492,LARGE(('Eingabe Meldungen'!$A$2:$A$492=$B$165)*(ROW('Eingabe Meldungen'!$A$2:$A$492)-1),COUNTIF('Eingabe Meldungen'!$A$2:$A$492,$B$165)+1-ROW('Eingabe Meldungen'!A14)))),"",INDEX('Eingabe Meldungen'!$D$2:$D$492,LARGE(('Eingabe Meldungen'!$A$2:$A$492=$B$165)*(ROW('Eingabe Meldungen'!$A$2:$A$492)-1),COUNTIF('Eingabe Meldungen'!$A$2:$A$492,$B$165)+1-ROW('Eingabe Meldungen'!A14))))</f>
        <v/>
      </c>
      <c r="D184" s="66" t="str">
        <f t="array" ref="D184">IF(B184&lt;&gt;"",INDEX('Eingabe Meldungen'!$C$2:$H$492,MATCH(B184&amp;C184,'Eingabe Meldungen'!$C$2:$C$492&amp;'Eingabe Meldungen'!$D$2:$D$492,0),6),"")</f>
        <v/>
      </c>
      <c r="E184" s="66" t="str">
        <f t="array" ref="E184">IF(B184&lt;&gt;"",INDEX('Eingabe Meldungen'!$C$2:$H$492,MATCH(B184&amp;C184,'Eingabe Meldungen'!$C$2:$C$492&amp;'Eingabe Meldungen'!$D$2:$D$492,0),4),"")</f>
        <v/>
      </c>
      <c r="F184" s="66">
        <v>8</v>
      </c>
      <c r="G184" s="135"/>
      <c r="H184" s="4" t="e">
        <f t="shared" si="15"/>
        <v>#N/A</v>
      </c>
      <c r="I184" s="136" t="str">
        <f t="array" ref="I184">IF(B184&lt;&gt;"",INDEX('Eingabe Meldungen'!$C$2:$J$492,MATCH(B184&amp;C184,'Eingabe Meldungen'!$C$2:$C$492&amp;'Eingabe Meldungen'!$D$2:$D$492,0),8),"")</f>
        <v/>
      </c>
      <c r="K184" s="427"/>
      <c r="L184" s="24"/>
      <c r="M184" s="11"/>
      <c r="N184" s="10"/>
      <c r="O184" s="11"/>
      <c r="P184" s="11"/>
      <c r="Q184" s="11"/>
      <c r="R184" s="11"/>
      <c r="S184" s="11"/>
      <c r="W184" s="15"/>
    </row>
    <row r="185" spans="1:23" x14ac:dyDescent="0.2">
      <c r="B185" s="100" t="str">
        <f t="array" ref="B185">IF(ISERROR(INDEX('Eingabe Meldungen'!$C$2:$C$492,LARGE(('Eingabe Meldungen'!$A$2:$A$492=$B$165)*(ROW('Eingabe Meldungen'!$A$2:$A$492)-1),COUNTIF('Eingabe Meldungen'!$A$2:$A$492,$B$165)+1-ROW('Eingabe Meldungen'!A15)))),"",INDEX('Eingabe Meldungen'!$C$2:$C$492,LARGE(('Eingabe Meldungen'!$A$2:$A$492=$B$165)*(ROW('Eingabe Meldungen'!$A$2:$A$492)-1),COUNTIF('Eingabe Meldungen'!$A$2:$A$492,$B$165)+1-ROW('Eingabe Meldungen'!A15))))</f>
        <v/>
      </c>
      <c r="C185" s="4" t="str">
        <f t="array" ref="C185">IF(ISERROR(INDEX('Eingabe Meldungen'!$D$2:$D$492,LARGE(('Eingabe Meldungen'!$A$2:$A$492=$B$165)*(ROW('Eingabe Meldungen'!$A$2:$A$492)-1),COUNTIF('Eingabe Meldungen'!$A$2:$A$492,$B$165)+1-ROW('Eingabe Meldungen'!A15)))),"",INDEX('Eingabe Meldungen'!$D$2:$D$492,LARGE(('Eingabe Meldungen'!$A$2:$A$492=$B$165)*(ROW('Eingabe Meldungen'!$A$2:$A$492)-1),COUNTIF('Eingabe Meldungen'!$A$2:$A$492,$B$165)+1-ROW('Eingabe Meldungen'!A15))))</f>
        <v/>
      </c>
      <c r="D185" s="66" t="str">
        <f t="array" ref="D185">IF(B185&lt;&gt;"",INDEX('Eingabe Meldungen'!$C$2:$H$492,MATCH(B185&amp;C185,'Eingabe Meldungen'!$C$2:$C$492&amp;'Eingabe Meldungen'!$D$2:$D$492,0),6),"")</f>
        <v/>
      </c>
      <c r="E185" s="66" t="str">
        <f t="array" ref="E185">IF(B185&lt;&gt;"",INDEX('Eingabe Meldungen'!$C$2:$H$492,MATCH(B185&amp;C185,'Eingabe Meldungen'!$C$2:$C$492&amp;'Eingabe Meldungen'!$D$2:$D$492,0),4),"")</f>
        <v/>
      </c>
      <c r="F185" s="66">
        <v>9</v>
      </c>
      <c r="G185" s="135"/>
      <c r="H185" s="4" t="e">
        <f t="shared" si="15"/>
        <v>#N/A</v>
      </c>
      <c r="I185" s="136" t="str">
        <f t="array" ref="I185">IF(B185&lt;&gt;"",INDEX('Eingabe Meldungen'!$C$2:$J$492,MATCH(B185&amp;C185,'Eingabe Meldungen'!$C$2:$C$492&amp;'Eingabe Meldungen'!$D$2:$D$492,0),8),"")</f>
        <v/>
      </c>
      <c r="K185" s="427"/>
      <c r="L185" s="24"/>
      <c r="M185" s="11"/>
      <c r="N185" s="10"/>
      <c r="O185" s="11"/>
      <c r="P185" s="11"/>
      <c r="Q185" s="11"/>
      <c r="R185" s="11"/>
      <c r="S185" s="11"/>
      <c r="W185" s="15"/>
    </row>
    <row r="186" spans="1:23" ht="13.2" thickBot="1" x14ac:dyDescent="0.25">
      <c r="B186" s="138" t="str">
        <f t="array" ref="B186">IF(ISERROR(INDEX('Eingabe Meldungen'!$C$2:$C$492,LARGE(('Eingabe Meldungen'!$A$2:$A$492=$B$165)*(ROW('Eingabe Meldungen'!$A$2:$A$492)-1),COUNTIF('Eingabe Meldungen'!$A$2:$A$492,$B$165)+1-ROW('Eingabe Meldungen'!A16)))),"",INDEX('Eingabe Meldungen'!$C$2:$C$492,LARGE(('Eingabe Meldungen'!$A$2:$A$492=$B$165)*(ROW('Eingabe Meldungen'!$A$2:$A$492)-1),COUNTIF('Eingabe Meldungen'!$A$2:$A$492,$B$165)+1-ROW('Eingabe Meldungen'!A16))))</f>
        <v/>
      </c>
      <c r="C186" s="139" t="str">
        <f t="array" ref="C186">IF(ISERROR(INDEX('Eingabe Meldungen'!$D$2:$D$492,LARGE(('Eingabe Meldungen'!$A$2:$A$492=$B$165)*(ROW('Eingabe Meldungen'!$A$2:$A$492)-1),COUNTIF('Eingabe Meldungen'!$A$2:$A$492,$B$165)+1-ROW('Eingabe Meldungen'!A16)))),"",INDEX('Eingabe Meldungen'!$D$2:$D$492,LARGE(('Eingabe Meldungen'!$A$2:$A$492=$B$165)*(ROW('Eingabe Meldungen'!$A$2:$A$492)-1),COUNTIF('Eingabe Meldungen'!$A$2:$A$492,$B$165)+1-ROW('Eingabe Meldungen'!A16))))</f>
        <v/>
      </c>
      <c r="D186" s="99" t="str">
        <f t="array" ref="D186">IF(B186&lt;&gt;"",INDEX('Eingabe Meldungen'!$C$2:$H$492,MATCH(B186&amp;C186,'Eingabe Meldungen'!$C$2:$C$492&amp;'Eingabe Meldungen'!$D$2:$D$492,0),6),"")</f>
        <v/>
      </c>
      <c r="E186" s="99" t="str">
        <f t="array" ref="E186">IF(B186&lt;&gt;"",INDEX('Eingabe Meldungen'!$C$2:$H$492,MATCH(B186&amp;C186,'Eingabe Meldungen'!$C$2:$C$492&amp;'Eingabe Meldungen'!$D$2:$D$492,0),4),"")</f>
        <v/>
      </c>
      <c r="F186" s="99">
        <v>10</v>
      </c>
      <c r="G186" s="143"/>
      <c r="H186" s="139" t="e">
        <f t="shared" si="15"/>
        <v>#N/A</v>
      </c>
      <c r="I186" s="141" t="str">
        <f t="array" ref="I186">IF(B186&lt;&gt;"",INDEX('Eingabe Meldungen'!$C$2:$J$492,MATCH(B186&amp;C186,'Eingabe Meldungen'!$C$2:$C$492&amp;'Eingabe Meldungen'!$D$2:$D$492,0),8),"")</f>
        <v/>
      </c>
      <c r="K186" s="428"/>
      <c r="L186" s="24"/>
      <c r="M186" s="11"/>
      <c r="N186" s="10"/>
      <c r="O186" s="11"/>
      <c r="P186" s="11"/>
      <c r="Q186" s="11"/>
      <c r="R186" s="11"/>
      <c r="S186" s="11"/>
      <c r="W186" s="15"/>
    </row>
    <row r="187" spans="1:23" ht="13.2" thickBot="1" x14ac:dyDescent="0.2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11"/>
      <c r="N187" s="10"/>
      <c r="O187" s="11"/>
      <c r="P187" s="11"/>
      <c r="Q187" s="11"/>
      <c r="R187" s="11"/>
      <c r="S187" s="11"/>
      <c r="W187" s="15"/>
    </row>
    <row r="188" spans="1:23" ht="27.75" customHeight="1" x14ac:dyDescent="0.2">
      <c r="B188" s="26">
        <f>B165+1</f>
        <v>11</v>
      </c>
      <c r="C188" s="65" t="str">
        <f>VLOOKUP(B188,Ausschreibung!$B$5:$I$35,2,FALSE)</f>
        <v>Ergocup</v>
      </c>
      <c r="D188" s="27">
        <f>VLOOKUP(B188,Ausschreibung!$B$5:$I$35,3,FALSE)</f>
        <v>0.56805555555555542</v>
      </c>
      <c r="E188" s="65" t="s">
        <v>457</v>
      </c>
      <c r="F188" s="65" t="str">
        <f>VLOOKUP(B188,Ausschreibung!$B$5:$I$35,5,FALSE)</f>
        <v>Lgw. bis 57,5kg</v>
      </c>
      <c r="G188" s="65" t="str">
        <f>VLOOKUP(B188,Ausschreibung!$B$5:$I$35,6,FALSE)</f>
        <v>15-16</v>
      </c>
      <c r="H188" s="65" t="str">
        <f>VLOOKUP(B188,Ausschreibung!$B$5:$I$35,8,FALSE)</f>
        <v>1500 m</v>
      </c>
      <c r="I188" s="28"/>
      <c r="K188" s="15"/>
      <c r="L188" s="24"/>
      <c r="M188" s="11"/>
      <c r="N188" s="10"/>
      <c r="O188" s="11"/>
      <c r="P188" s="11"/>
      <c r="Q188" s="11"/>
      <c r="R188" s="11"/>
      <c r="S188" s="11"/>
      <c r="U188" s="6"/>
      <c r="V188" s="9"/>
      <c r="W188" s="8"/>
    </row>
    <row r="189" spans="1:23" ht="13.2" thickBot="1" x14ac:dyDescent="0.25">
      <c r="B189" s="19" t="s">
        <v>1</v>
      </c>
      <c r="C189" s="18" t="s">
        <v>2</v>
      </c>
      <c r="D189" s="17" t="s">
        <v>49</v>
      </c>
      <c r="E189" s="130" t="s">
        <v>16</v>
      </c>
      <c r="F189" s="17" t="s">
        <v>18</v>
      </c>
      <c r="G189" s="73" t="s">
        <v>50</v>
      </c>
      <c r="H189" s="17" t="s">
        <v>51</v>
      </c>
      <c r="I189" s="30" t="s">
        <v>17</v>
      </c>
      <c r="K189" s="15"/>
      <c r="L189" s="24"/>
      <c r="M189" s="11"/>
      <c r="N189" s="10"/>
      <c r="O189" s="11"/>
      <c r="P189" s="11"/>
      <c r="Q189" s="11"/>
      <c r="R189" s="11"/>
      <c r="S189" s="11"/>
      <c r="U189" s="6"/>
      <c r="V189" s="9"/>
      <c r="W189" s="8"/>
    </row>
    <row r="190" spans="1:23" x14ac:dyDescent="0.2">
      <c r="B190" s="131" t="str">
        <f t="array" ref="B190">IF(ISERROR(INDEX('Eingabe Meldungen'!$C$2:$C$492,LARGE(('Eingabe Meldungen'!$A$2:$A$492=$B$188)*(ROW('Eingabe Meldungen'!$A$2:$A$492)-1),COUNTIF('Eingabe Meldungen'!$A$2:$A$492,$B$188)+1-ROW('Eingabe Meldungen'!A1)))),"",INDEX('Eingabe Meldungen'!$C$2:$C$492,LARGE(('Eingabe Meldungen'!$A$2:$A$492=$B$188)*(ROW('Eingabe Meldungen'!$A$2:$A$492)-1),COUNTIF('Eingabe Meldungen'!$A$2:$A$492,$B$188)+1-ROW('Eingabe Meldungen'!A1))))</f>
        <v>Abendschein</v>
      </c>
      <c r="C190" s="132" t="str">
        <f t="array" ref="C190">IF(ISERROR(INDEX('Eingabe Meldungen'!$D$2:$D$492,LARGE(('Eingabe Meldungen'!$A$2:$A$492=$B$188)*(ROW('Eingabe Meldungen'!$A$2:$A$492)-1),COUNTIF('Eingabe Meldungen'!$A$2:$A$492,$B$188)+1-ROW('Eingabe Meldungen'!A1)))),"",INDEX('Eingabe Meldungen'!$D$2:$D$492,LARGE(('Eingabe Meldungen'!$A$2:$A$492=$B$188)*(ROW('Eingabe Meldungen'!$A$2:$A$492)-1),COUNTIF('Eingabe Meldungen'!$A$2:$A$492,$B$188)+1-ROW('Eingabe Meldungen'!A1))))</f>
        <v>Amrei</v>
      </c>
      <c r="D190" s="78">
        <f t="array" ref="D190">IF(B190&lt;&gt;"",INDEX('Eingabe Meldungen'!$C$2:$H$492,MATCH(B190&amp;C190,'Eingabe Meldungen'!$C$2:$C$492&amp;'Eingabe Meldungen'!$D$2:$D$492,0),6),"")</f>
        <v>2004</v>
      </c>
      <c r="E190" s="78" t="str">
        <f t="array" ref="E190">IF(B190&lt;&gt;"",INDEX('Eingabe Meldungen'!$C$2:$H$492,MATCH(B190&amp;C190,'Eingabe Meldungen'!$C$2:$C$492&amp;'Eingabe Meldungen'!$D$2:$D$492,0),4),"")</f>
        <v>Lgw. bis 57,5kg</v>
      </c>
      <c r="F190" s="78">
        <v>1</v>
      </c>
      <c r="G190" s="133"/>
      <c r="H190" s="132" t="e">
        <f>RANK(G190,$G$190:$G$199,1)</f>
        <v>#N/A</v>
      </c>
      <c r="I190" s="134" t="str">
        <f t="array" ref="I190">IF(B190&lt;&gt;"",INDEX('Eingabe Meldungen'!$C$2:$J$492,MATCH(B190&amp;C190,'Eingabe Meldungen'!$C$2:$C$492&amp;'Eingabe Meldungen'!$D$2:$D$492,0),8),"")</f>
        <v>Stuttgart-Cannstatter RC</v>
      </c>
      <c r="K190" s="15"/>
      <c r="L190" s="24"/>
      <c r="M190" s="11"/>
      <c r="N190" s="10"/>
      <c r="O190" s="11"/>
      <c r="P190" s="11"/>
      <c r="Q190" s="11"/>
      <c r="R190" s="11"/>
      <c r="S190" s="11"/>
      <c r="W190" s="15"/>
    </row>
    <row r="191" spans="1:23" x14ac:dyDescent="0.2">
      <c r="B191" s="100" t="str">
        <f t="array" ref="B191">IF(ISERROR(INDEX('Eingabe Meldungen'!$C$2:$C$492,LARGE(('Eingabe Meldungen'!$A$2:$A$492=$B$188)*(ROW('Eingabe Meldungen'!$A$2:$A$492)-1),COUNTIF('Eingabe Meldungen'!$A$2:$A$492,$B$188)+1-ROW('Eingabe Meldungen'!A2)))),"",INDEX('Eingabe Meldungen'!$C$2:$C$492,LARGE(('Eingabe Meldungen'!$A$2:$A$492=$B$188)*(ROW('Eingabe Meldungen'!$A$2:$A$492)-1),COUNTIF('Eingabe Meldungen'!$A$2:$A$492,$B$188)+1-ROW('Eingabe Meldungen'!A2))))</f>
        <v>Heinle</v>
      </c>
      <c r="C191" s="4" t="str">
        <f t="array" ref="C191">IF(ISERROR(INDEX('Eingabe Meldungen'!$D$2:$D$492,LARGE(('Eingabe Meldungen'!$A$2:$A$492=$B$188)*(ROW('Eingabe Meldungen'!$A$2:$A$492)-1),COUNTIF('Eingabe Meldungen'!$A$2:$A$492,$B$188)+1-ROW('Eingabe Meldungen'!A2)))),"",INDEX('Eingabe Meldungen'!$D$2:$D$492,LARGE(('Eingabe Meldungen'!$A$2:$A$492=$B$188)*(ROW('Eingabe Meldungen'!$A$2:$A$492)-1),COUNTIF('Eingabe Meldungen'!$A$2:$A$492,$B$188)+1-ROW('Eingabe Meldungen'!A2))))</f>
        <v>Christina</v>
      </c>
      <c r="D191" s="66">
        <f t="array" ref="D191">IF(B191&lt;&gt;"",INDEX('Eingabe Meldungen'!$C$2:$H$492,MATCH(B191&amp;C191,'Eingabe Meldungen'!$C$2:$C$492&amp;'Eingabe Meldungen'!$D$2:$D$492,0),6),"")</f>
        <v>2004</v>
      </c>
      <c r="E191" s="66" t="str">
        <f t="array" ref="E191">IF(B191&lt;&gt;"",INDEX('Eingabe Meldungen'!$C$2:$H$492,MATCH(B191&amp;C191,'Eingabe Meldungen'!$C$2:$C$492&amp;'Eingabe Meldungen'!$D$2:$D$492,0),4),"")</f>
        <v>Lgw. bis 57,5kg</v>
      </c>
      <c r="F191" s="66">
        <v>2</v>
      </c>
      <c r="G191" s="135"/>
      <c r="H191" s="4" t="e">
        <f t="shared" ref="H191:H198" si="16">RANK(G191,$G$190:$G$199,1)</f>
        <v>#N/A</v>
      </c>
      <c r="I191" s="136" t="str">
        <f t="array" ref="I191">IF(B191&lt;&gt;"",INDEX('Eingabe Meldungen'!$C$2:$J$492,MATCH(B191&amp;C191,'Eingabe Meldungen'!$C$2:$C$492&amp;'Eingabe Meldungen'!$D$2:$D$492,0),8),"")</f>
        <v>HRG Schwaben</v>
      </c>
      <c r="K191" s="15"/>
      <c r="L191" s="24"/>
      <c r="M191" s="11"/>
      <c r="N191" s="10"/>
      <c r="O191" s="11"/>
      <c r="P191" s="11"/>
      <c r="Q191" s="11"/>
      <c r="R191" s="11"/>
      <c r="S191" s="11"/>
      <c r="W191" s="15"/>
    </row>
    <row r="192" spans="1:23" x14ac:dyDescent="0.2">
      <c r="B192" s="100" t="str">
        <f t="array" ref="B192">IF(ISERROR(INDEX('Eingabe Meldungen'!$C$2:$C$492,LARGE(('Eingabe Meldungen'!$A$2:$A$492=$B$188)*(ROW('Eingabe Meldungen'!$A$2:$A$492)-1),COUNTIF('Eingabe Meldungen'!$A$2:$A$492,$B$188)+1-ROW('Eingabe Meldungen'!A3)))),"",INDEX('Eingabe Meldungen'!$C$2:$C$492,LARGE(('Eingabe Meldungen'!$A$2:$A$492=$B$188)*(ROW('Eingabe Meldungen'!$A$2:$A$492)-1),COUNTIF('Eingabe Meldungen'!$A$2:$A$492,$B$188)+1-ROW('Eingabe Meldungen'!A3))))</f>
        <v>Basilowski</v>
      </c>
      <c r="C192" s="4" t="str">
        <f t="array" ref="C192">IF(ISERROR(INDEX('Eingabe Meldungen'!$D$2:$D$492,LARGE(('Eingabe Meldungen'!$A$2:$A$492=$B$188)*(ROW('Eingabe Meldungen'!$A$2:$A$492)-1),COUNTIF('Eingabe Meldungen'!$A$2:$A$492,$B$188)+1-ROW('Eingabe Meldungen'!A3)))),"",INDEX('Eingabe Meldungen'!$D$2:$D$492,LARGE(('Eingabe Meldungen'!$A$2:$A$492=$B$188)*(ROW('Eingabe Meldungen'!$A$2:$A$492)-1),COUNTIF('Eingabe Meldungen'!$A$2:$A$492,$B$188)+1-ROW('Eingabe Meldungen'!A3))))</f>
        <v>Lea</v>
      </c>
      <c r="D192" s="66">
        <f t="array" ref="D192">IF(B192&lt;&gt;"",INDEX('Eingabe Meldungen'!$C$2:$H$492,MATCH(B192&amp;C192,'Eingabe Meldungen'!$C$2:$C$492&amp;'Eingabe Meldungen'!$D$2:$D$492,0),6),"")</f>
        <v>2004</v>
      </c>
      <c r="E192" s="66" t="str">
        <f t="array" ref="E192">IF(B192&lt;&gt;"",INDEX('Eingabe Meldungen'!$C$2:$H$492,MATCH(B192&amp;C192,'Eingabe Meldungen'!$C$2:$C$492&amp;'Eingabe Meldungen'!$D$2:$D$492,0),4),"")</f>
        <v>Lgw. bis 57,5kg</v>
      </c>
      <c r="F192" s="66">
        <v>3</v>
      </c>
      <c r="G192" s="135"/>
      <c r="H192" s="4" t="e">
        <f t="shared" si="16"/>
        <v>#N/A</v>
      </c>
      <c r="I192" s="136" t="str">
        <f t="array" ref="I192">IF(B192&lt;&gt;"",INDEX('Eingabe Meldungen'!$C$2:$J$492,MATCH(B192&amp;C192,'Eingabe Meldungen'!$C$2:$C$492&amp;'Eingabe Meldungen'!$D$2:$D$492,0),8),"")</f>
        <v>Marbacher Ruderverein</v>
      </c>
      <c r="K192" s="15"/>
      <c r="L192" s="24"/>
      <c r="M192" s="11"/>
      <c r="N192" s="10"/>
      <c r="O192" s="11"/>
      <c r="P192" s="11"/>
      <c r="Q192" s="11"/>
      <c r="R192" s="11"/>
      <c r="S192" s="11"/>
      <c r="W192" s="15"/>
    </row>
    <row r="193" spans="1:23" x14ac:dyDescent="0.2">
      <c r="B193" s="100" t="str">
        <f t="array" ref="B193">IF(ISERROR(INDEX('Eingabe Meldungen'!$C$2:$C$492,LARGE(('Eingabe Meldungen'!$A$2:$A$492=$B$188)*(ROW('Eingabe Meldungen'!$A$2:$A$492)-1),COUNTIF('Eingabe Meldungen'!$A$2:$A$492,$B$188)+1-ROW('Eingabe Meldungen'!A4)))),"",INDEX('Eingabe Meldungen'!$C$2:$C$492,LARGE(('Eingabe Meldungen'!$A$2:$A$492=$B$188)*(ROW('Eingabe Meldungen'!$A$2:$A$492)-1),COUNTIF('Eingabe Meldungen'!$A$2:$A$492,$B$188)+1-ROW('Eingabe Meldungen'!A4))))</f>
        <v>Scheffold</v>
      </c>
      <c r="C193" s="4" t="str">
        <f t="array" ref="C193">IF(ISERROR(INDEX('Eingabe Meldungen'!$D$2:$D$492,LARGE(('Eingabe Meldungen'!$A$2:$A$492=$B$188)*(ROW('Eingabe Meldungen'!$A$2:$A$492)-1),COUNTIF('Eingabe Meldungen'!$A$2:$A$492,$B$188)+1-ROW('Eingabe Meldungen'!A4)))),"",INDEX('Eingabe Meldungen'!$D$2:$D$492,LARGE(('Eingabe Meldungen'!$A$2:$A$492=$B$188)*(ROW('Eingabe Meldungen'!$A$2:$A$492)-1),COUNTIF('Eingabe Meldungen'!$A$2:$A$492,$B$188)+1-ROW('Eingabe Meldungen'!A4))))</f>
        <v>Sina</v>
      </c>
      <c r="D193" s="66">
        <f t="array" ref="D193">IF(B193&lt;&gt;"",INDEX('Eingabe Meldungen'!$C$2:$H$492,MATCH(B193&amp;C193,'Eingabe Meldungen'!$C$2:$C$492&amp;'Eingabe Meldungen'!$D$2:$D$492,0),6),"")</f>
        <v>2004</v>
      </c>
      <c r="E193" s="66" t="str">
        <f t="array" ref="E193">IF(B193&lt;&gt;"",INDEX('Eingabe Meldungen'!$C$2:$H$492,MATCH(B193&amp;C193,'Eingabe Meldungen'!$C$2:$C$492&amp;'Eingabe Meldungen'!$D$2:$D$492,0),4),"")</f>
        <v>Lgw. bis 57,5kg</v>
      </c>
      <c r="F193" s="66">
        <v>4</v>
      </c>
      <c r="G193" s="135"/>
      <c r="H193" s="4" t="e">
        <f t="shared" si="16"/>
        <v>#N/A</v>
      </c>
      <c r="I193" s="136" t="str">
        <f t="array" ref="I193">IF(B193&lt;&gt;"",INDEX('Eingabe Meldungen'!$C$2:$J$492,MATCH(B193&amp;C193,'Eingabe Meldungen'!$C$2:$C$492&amp;'Eingabe Meldungen'!$D$2:$D$492,0),8),"")</f>
        <v>RV Waldsee</v>
      </c>
      <c r="K193" s="15"/>
      <c r="L193" s="24"/>
      <c r="M193" s="11"/>
      <c r="N193" s="10"/>
      <c r="O193" s="11"/>
      <c r="P193" s="11"/>
      <c r="Q193" s="11"/>
      <c r="R193" s="11"/>
      <c r="S193" s="11"/>
      <c r="W193" s="15"/>
    </row>
    <row r="194" spans="1:23" x14ac:dyDescent="0.2">
      <c r="B194" s="100" t="str">
        <f t="array" ref="B194">IF(ISERROR(INDEX('Eingabe Meldungen'!$C$2:$C$492,LARGE(('Eingabe Meldungen'!$A$2:$A$492=$B$188)*(ROW('Eingabe Meldungen'!$A$2:$A$492)-1),COUNTIF('Eingabe Meldungen'!$A$2:$A$492,$B$188)+1-ROW('Eingabe Meldungen'!A5)))),"",INDEX('Eingabe Meldungen'!$C$2:$C$492,LARGE(('Eingabe Meldungen'!$A$2:$A$492=$B$188)*(ROW('Eingabe Meldungen'!$A$2:$A$492)-1),COUNTIF('Eingabe Meldungen'!$A$2:$A$492,$B$188)+1-ROW('Eingabe Meldungen'!A5))))</f>
        <v>Hamini</v>
      </c>
      <c r="C194" s="4" t="str">
        <f t="array" ref="C194">IF(ISERROR(INDEX('Eingabe Meldungen'!$D$2:$D$492,LARGE(('Eingabe Meldungen'!$A$2:$A$492=$B$188)*(ROW('Eingabe Meldungen'!$A$2:$A$492)-1),COUNTIF('Eingabe Meldungen'!$A$2:$A$492,$B$188)+1-ROW('Eingabe Meldungen'!A5)))),"",INDEX('Eingabe Meldungen'!$D$2:$D$492,LARGE(('Eingabe Meldungen'!$A$2:$A$492=$B$188)*(ROW('Eingabe Meldungen'!$A$2:$A$492)-1),COUNTIF('Eingabe Meldungen'!$A$2:$A$492,$B$188)+1-ROW('Eingabe Meldungen'!A5))))</f>
        <v>Bilal</v>
      </c>
      <c r="D194" s="66">
        <f t="array" ref="D194">IF(B194&lt;&gt;"",INDEX('Eingabe Meldungen'!$C$2:$H$492,MATCH(B194&amp;C194,'Eingabe Meldungen'!$C$2:$C$492&amp;'Eingabe Meldungen'!$D$2:$D$492,0),6),"")</f>
        <v>2005</v>
      </c>
      <c r="E194" s="66" t="str">
        <f t="array" ref="E194">IF(B194&lt;&gt;"",INDEX('Eingabe Meldungen'!$C$2:$H$492,MATCH(B194&amp;C194,'Eingabe Meldungen'!$C$2:$C$492&amp;'Eingabe Meldungen'!$D$2:$D$492,0),4),"")</f>
        <v>Lgw. bis 57,5kg</v>
      </c>
      <c r="F194" s="66">
        <v>5</v>
      </c>
      <c r="G194" s="135"/>
      <c r="H194" s="4" t="e">
        <f t="shared" si="16"/>
        <v>#N/A</v>
      </c>
      <c r="I194" s="136" t="str">
        <f t="array" ref="I194">IF(B194&lt;&gt;"",INDEX('Eingabe Meldungen'!$C$2:$J$492,MATCH(B194&amp;C194,'Eingabe Meldungen'!$C$2:$C$492&amp;'Eingabe Meldungen'!$D$2:$D$492,0),8),"")</f>
        <v>RG Eberbach</v>
      </c>
      <c r="K194" s="15"/>
      <c r="L194" s="24"/>
      <c r="M194" s="11"/>
      <c r="N194" s="10"/>
      <c r="O194" s="11"/>
      <c r="P194" s="11"/>
      <c r="Q194" s="11"/>
      <c r="R194" s="11"/>
      <c r="S194" s="11"/>
      <c r="W194" s="15"/>
    </row>
    <row r="195" spans="1:23" x14ac:dyDescent="0.2">
      <c r="B195" s="100" t="str">
        <f t="array" ref="B195">IF(ISERROR(INDEX('Eingabe Meldungen'!$C$2:$C$492,LARGE(('Eingabe Meldungen'!$A$2:$A$492=$B$188)*(ROW('Eingabe Meldungen'!$A$2:$A$492)-1),COUNTIF('Eingabe Meldungen'!$A$2:$A$492,$B$188)+1-ROW('Eingabe Meldungen'!A6)))),"",INDEX('Eingabe Meldungen'!$C$2:$C$492,LARGE(('Eingabe Meldungen'!$A$2:$A$492=$B$188)*(ROW('Eingabe Meldungen'!$A$2:$A$492)-1),COUNTIF('Eingabe Meldungen'!$A$2:$A$492,$B$188)+1-ROW('Eingabe Meldungen'!A6))))</f>
        <v>Hümpfner</v>
      </c>
      <c r="C195" s="4" t="str">
        <f t="array" ref="C195">IF(ISERROR(INDEX('Eingabe Meldungen'!$D$2:$D$492,LARGE(('Eingabe Meldungen'!$A$2:$A$492=$B$188)*(ROW('Eingabe Meldungen'!$A$2:$A$492)-1),COUNTIF('Eingabe Meldungen'!$A$2:$A$492,$B$188)+1-ROW('Eingabe Meldungen'!A6)))),"",INDEX('Eingabe Meldungen'!$D$2:$D$492,LARGE(('Eingabe Meldungen'!$A$2:$A$492=$B$188)*(ROW('Eingabe Meldungen'!$A$2:$A$492)-1),COUNTIF('Eingabe Meldungen'!$A$2:$A$492,$B$188)+1-ROW('Eingabe Meldungen'!A6))))</f>
        <v>Jara</v>
      </c>
      <c r="D195" s="66">
        <f t="array" ref="D195">IF(B195&lt;&gt;"",INDEX('Eingabe Meldungen'!$C$2:$H$492,MATCH(B195&amp;C195,'Eingabe Meldungen'!$C$2:$C$492&amp;'Eingabe Meldungen'!$D$2:$D$492,0),6),"")</f>
        <v>2005</v>
      </c>
      <c r="E195" s="66" t="str">
        <f t="array" ref="E195">IF(B195&lt;&gt;"",INDEX('Eingabe Meldungen'!$C$2:$H$492,MATCH(B195&amp;C195,'Eingabe Meldungen'!$C$2:$C$492&amp;'Eingabe Meldungen'!$D$2:$D$492,0),4),"")</f>
        <v>Lgw. bis 57,5kg</v>
      </c>
      <c r="F195" s="66">
        <v>6</v>
      </c>
      <c r="G195" s="135"/>
      <c r="H195" s="4" t="e">
        <f t="shared" si="16"/>
        <v>#N/A</v>
      </c>
      <c r="I195" s="136" t="str">
        <f t="array" ref="I195">IF(B195&lt;&gt;"",INDEX('Eingabe Meldungen'!$C$2:$J$492,MATCH(B195&amp;C195,'Eingabe Meldungen'!$C$2:$C$492&amp;'Eingabe Meldungen'!$D$2:$D$492,0),8),"")</f>
        <v>RC Nürtingen</v>
      </c>
      <c r="K195" s="15"/>
      <c r="L195" s="24"/>
      <c r="M195" s="11"/>
      <c r="N195" s="10"/>
      <c r="O195" s="11"/>
      <c r="P195" s="11"/>
      <c r="Q195" s="11"/>
      <c r="R195" s="11"/>
      <c r="S195" s="11"/>
      <c r="W195" s="15"/>
    </row>
    <row r="196" spans="1:23" x14ac:dyDescent="0.2">
      <c r="B196" s="100" t="str">
        <f t="array" ref="B196">IF(ISERROR(INDEX('Eingabe Meldungen'!$C$2:$C$492,LARGE(('Eingabe Meldungen'!$A$2:$A$492=$B$188)*(ROW('Eingabe Meldungen'!$A$2:$A$492)-1),COUNTIF('Eingabe Meldungen'!$A$2:$A$492,$B$188)+1-ROW('Eingabe Meldungen'!A7)))),"",INDEX('Eingabe Meldungen'!$C$2:$C$492,LARGE(('Eingabe Meldungen'!$A$2:$A$492=$B$188)*(ROW('Eingabe Meldungen'!$A$2:$A$492)-1),COUNTIF('Eingabe Meldungen'!$A$2:$A$492,$B$188)+1-ROW('Eingabe Meldungen'!A7))))</f>
        <v>Guhl</v>
      </c>
      <c r="C196" s="4" t="str">
        <f t="array" ref="C196">IF(ISERROR(INDEX('Eingabe Meldungen'!$D$2:$D$492,LARGE(('Eingabe Meldungen'!$A$2:$A$492=$B$188)*(ROW('Eingabe Meldungen'!$A$2:$A$492)-1),COUNTIF('Eingabe Meldungen'!$A$2:$A$492,$B$188)+1-ROW('Eingabe Meldungen'!A7)))),"",INDEX('Eingabe Meldungen'!$D$2:$D$492,LARGE(('Eingabe Meldungen'!$A$2:$A$492=$B$188)*(ROW('Eingabe Meldungen'!$A$2:$A$492)-1),COUNTIF('Eingabe Meldungen'!$A$2:$A$492,$B$188)+1-ROW('Eingabe Meldungen'!A7))))</f>
        <v>Mara</v>
      </c>
      <c r="D196" s="66">
        <f t="array" ref="D196">IF(B196&lt;&gt;"",INDEX('Eingabe Meldungen'!$C$2:$H$492,MATCH(B196&amp;C196,'Eingabe Meldungen'!$C$2:$C$492&amp;'Eingabe Meldungen'!$D$2:$D$492,0),6),"")</f>
        <v>2005</v>
      </c>
      <c r="E196" s="66" t="str">
        <f t="array" ref="E196">IF(B196&lt;&gt;"",INDEX('Eingabe Meldungen'!$C$2:$H$492,MATCH(B196&amp;C196,'Eingabe Meldungen'!$C$2:$C$492&amp;'Eingabe Meldungen'!$D$2:$D$492,0),4),"")</f>
        <v>Lgw. bis 57,5kg</v>
      </c>
      <c r="F196" s="66">
        <v>7</v>
      </c>
      <c r="G196" s="135"/>
      <c r="H196" s="4" t="e">
        <f t="shared" si="16"/>
        <v>#N/A</v>
      </c>
      <c r="I196" s="136" t="str">
        <f t="array" ref="I196">IF(B196&lt;&gt;"",INDEX('Eingabe Meldungen'!$C$2:$J$492,MATCH(B196&amp;C196,'Eingabe Meldungen'!$C$2:$C$492&amp;'Eingabe Meldungen'!$D$2:$D$492,0),8),"")</f>
        <v>Stuttgart-Cannstatter RC</v>
      </c>
      <c r="K196" s="15"/>
      <c r="L196" s="24"/>
      <c r="M196" s="11"/>
      <c r="N196" s="10"/>
      <c r="O196" s="11"/>
      <c r="P196" s="11"/>
      <c r="Q196" s="11"/>
      <c r="R196" s="11"/>
      <c r="S196" s="11"/>
      <c r="W196" s="15"/>
    </row>
    <row r="197" spans="1:23" x14ac:dyDescent="0.2">
      <c r="B197" s="100" t="str">
        <f t="array" ref="B197">IF(ISERROR(INDEX('Eingabe Meldungen'!$C$2:$C$492,LARGE(('Eingabe Meldungen'!$A$2:$A$492=$B$188)*(ROW('Eingabe Meldungen'!$A$2:$A$492)-1),COUNTIF('Eingabe Meldungen'!$A$2:$A$492,$B$188)+1-ROW('Eingabe Meldungen'!A8)))),"",INDEX('Eingabe Meldungen'!$C$2:$C$492,LARGE(('Eingabe Meldungen'!$A$2:$A$492=$B$188)*(ROW('Eingabe Meldungen'!$A$2:$A$492)-1),COUNTIF('Eingabe Meldungen'!$A$2:$A$492,$B$188)+1-ROW('Eingabe Meldungen'!A8))))</f>
        <v>Vogt</v>
      </c>
      <c r="C197" s="4" t="str">
        <f t="array" ref="C197">IF(ISERROR(INDEX('Eingabe Meldungen'!$D$2:$D$492,LARGE(('Eingabe Meldungen'!$A$2:$A$492=$B$188)*(ROW('Eingabe Meldungen'!$A$2:$A$492)-1),COUNTIF('Eingabe Meldungen'!$A$2:$A$492,$B$188)+1-ROW('Eingabe Meldungen'!A8)))),"",INDEX('Eingabe Meldungen'!$D$2:$D$492,LARGE(('Eingabe Meldungen'!$A$2:$A$492=$B$188)*(ROW('Eingabe Meldungen'!$A$2:$A$492)-1),COUNTIF('Eingabe Meldungen'!$A$2:$A$492,$B$188)+1-ROW('Eingabe Meldungen'!A8))))</f>
        <v>Thea</v>
      </c>
      <c r="D197" s="66">
        <f t="array" ref="D197">IF(B197&lt;&gt;"",INDEX('Eingabe Meldungen'!$C$2:$H$492,MATCH(B197&amp;C197,'Eingabe Meldungen'!$C$2:$C$492&amp;'Eingabe Meldungen'!$D$2:$D$492,0),6),"")</f>
        <v>2005</v>
      </c>
      <c r="E197" s="66" t="str">
        <f t="array" ref="E197">IF(B197&lt;&gt;"",INDEX('Eingabe Meldungen'!$C$2:$H$492,MATCH(B197&amp;C197,'Eingabe Meldungen'!$C$2:$C$492&amp;'Eingabe Meldungen'!$D$2:$D$492,0),4),"")</f>
        <v>Lgw. bis 57,5kg</v>
      </c>
      <c r="F197" s="66">
        <v>8</v>
      </c>
      <c r="G197" s="135"/>
      <c r="H197" s="4" t="e">
        <f t="shared" si="16"/>
        <v>#N/A</v>
      </c>
      <c r="I197" s="136" t="str">
        <f t="array" ref="I197">IF(B197&lt;&gt;"",INDEX('Eingabe Meldungen'!$C$2:$J$492,MATCH(B197&amp;C197,'Eingabe Meldungen'!$C$2:$C$492&amp;'Eingabe Meldungen'!$D$2:$D$492,0),8),"")</f>
        <v>HRG Schwaben</v>
      </c>
      <c r="K197" s="15"/>
      <c r="L197" s="24"/>
      <c r="M197" s="11"/>
      <c r="N197" s="10"/>
      <c r="O197" s="11"/>
      <c r="P197" s="11"/>
      <c r="Q197" s="11"/>
      <c r="R197" s="11"/>
      <c r="S197" s="11"/>
      <c r="W197" s="15"/>
    </row>
    <row r="198" spans="1:23" x14ac:dyDescent="0.2">
      <c r="B198" s="100" t="str">
        <f t="array" ref="B198">IF(ISERROR(INDEX('Eingabe Meldungen'!$C$2:$C$492,LARGE(('Eingabe Meldungen'!$A$2:$A$492=$B$188)*(ROW('Eingabe Meldungen'!$A$2:$A$492)-1),COUNTIF('Eingabe Meldungen'!$A$2:$A$492,$B$188)+1-ROW('Eingabe Meldungen'!A9)))),"",INDEX('Eingabe Meldungen'!$C$2:$C$492,LARGE(('Eingabe Meldungen'!$A$2:$A$492=$B$188)*(ROW('Eingabe Meldungen'!$A$2:$A$492)-1),COUNTIF('Eingabe Meldungen'!$A$2:$A$492,$B$188)+1-ROW('Eingabe Meldungen'!A9))))</f>
        <v/>
      </c>
      <c r="C198" s="4" t="str">
        <f t="array" ref="C198">IF(ISERROR(INDEX('Eingabe Meldungen'!$D$2:$D$492,LARGE(('Eingabe Meldungen'!$A$2:$A$492=$B$188)*(ROW('Eingabe Meldungen'!$A$2:$A$492)-1),COUNTIF('Eingabe Meldungen'!$A$2:$A$492,$B$188)+1-ROW('Eingabe Meldungen'!A9)))),"",INDEX('Eingabe Meldungen'!$D$2:$D$492,LARGE(('Eingabe Meldungen'!$A$2:$A$492=$B$188)*(ROW('Eingabe Meldungen'!$A$2:$A$492)-1),COUNTIF('Eingabe Meldungen'!$A$2:$A$492,$B$188)+1-ROW('Eingabe Meldungen'!A9))))</f>
        <v/>
      </c>
      <c r="D198" s="66" t="str">
        <f t="array" ref="D198">IF(B198&lt;&gt;"",INDEX('Eingabe Meldungen'!$C$2:$H$492,MATCH(B198&amp;C198,'Eingabe Meldungen'!$C$2:$C$492&amp;'Eingabe Meldungen'!$D$2:$D$492,0),6),"")</f>
        <v/>
      </c>
      <c r="E198" s="66" t="str">
        <f t="array" ref="E198">IF(B198&lt;&gt;"",INDEX('Eingabe Meldungen'!$C$2:$H$492,MATCH(B198&amp;C198,'Eingabe Meldungen'!$C$2:$C$492&amp;'Eingabe Meldungen'!$D$2:$D$492,0),4),"")</f>
        <v/>
      </c>
      <c r="F198" s="66">
        <v>9</v>
      </c>
      <c r="G198" s="135"/>
      <c r="H198" s="4" t="e">
        <f t="shared" si="16"/>
        <v>#N/A</v>
      </c>
      <c r="I198" s="136" t="str">
        <f t="array" ref="I198">IF(B198&lt;&gt;"",INDEX('Eingabe Meldungen'!$C$2:$J$492,MATCH(B198&amp;C198,'Eingabe Meldungen'!$C$2:$C$492&amp;'Eingabe Meldungen'!$D$2:$D$492,0),8),"")</f>
        <v/>
      </c>
      <c r="K198" s="15"/>
      <c r="L198" s="24"/>
      <c r="M198" s="11"/>
      <c r="N198" s="10"/>
      <c r="O198" s="11"/>
      <c r="P198" s="11"/>
      <c r="Q198" s="11"/>
      <c r="R198" s="11"/>
      <c r="S198" s="11"/>
      <c r="W198" s="15"/>
    </row>
    <row r="199" spans="1:23" ht="13.2" thickBot="1" x14ac:dyDescent="0.25">
      <c r="B199" s="138" t="str">
        <f t="array" ref="B199">IF(ISERROR(INDEX('Eingabe Meldungen'!$C$2:$C$492,LARGE(('Eingabe Meldungen'!$A$2:$A$492=$B$188)*(ROW('Eingabe Meldungen'!$A$2:$A$492)-1),COUNTIF('Eingabe Meldungen'!$A$2:$A$492,$B$188)+1-ROW('Eingabe Meldungen'!A10)))),"",INDEX('Eingabe Meldungen'!$C$2:$C$492,LARGE(('Eingabe Meldungen'!$A$2:$A$492=$B$188)*(ROW('Eingabe Meldungen'!$A$2:$A$492)-1),COUNTIF('Eingabe Meldungen'!$A$2:$A$492,$B$188)+1-ROW('Eingabe Meldungen'!A10))))</f>
        <v/>
      </c>
      <c r="C199" s="139" t="str">
        <f t="array" ref="C199">IF(ISERROR(INDEX('Eingabe Meldungen'!$D$2:$D$492,LARGE(('Eingabe Meldungen'!$A$2:$A$492=$B$188)*(ROW('Eingabe Meldungen'!$A$2:$A$492)-1),COUNTIF('Eingabe Meldungen'!$A$2:$A$492,$B$188)+1-ROW('Eingabe Meldungen'!A10)))),"",INDEX('Eingabe Meldungen'!$D$2:$D$492,LARGE(('Eingabe Meldungen'!$A$2:$A$492=$B$188)*(ROW('Eingabe Meldungen'!$A$2:$A$492)-1),COUNTIF('Eingabe Meldungen'!$A$2:$A$492,$B$188)+1-ROW('Eingabe Meldungen'!A10))))</f>
        <v/>
      </c>
      <c r="D199" s="99" t="str">
        <f t="array" ref="D199">IF(B199&lt;&gt;"",INDEX('Eingabe Meldungen'!$C$2:$H$492,MATCH(B199&amp;C199,'Eingabe Meldungen'!$C$2:$C$492&amp;'Eingabe Meldungen'!$D$2:$D$492,0),6),"")</f>
        <v/>
      </c>
      <c r="E199" s="99" t="str">
        <f t="array" ref="E199">IF(B199&lt;&gt;"",INDEX('Eingabe Meldungen'!$C$2:$H$492,MATCH(B199&amp;C199,'Eingabe Meldungen'!$C$2:$C$492&amp;'Eingabe Meldungen'!$D$2:$D$492,0),4),"")</f>
        <v/>
      </c>
      <c r="F199" s="99">
        <v>10</v>
      </c>
      <c r="G199" s="143"/>
      <c r="H199" s="139" t="e">
        <f>RANK(G199,$G$190:$G$199,1)</f>
        <v>#N/A</v>
      </c>
      <c r="I199" s="141" t="str">
        <f t="array" ref="I199">IF(B199&lt;&gt;"",INDEX('Eingabe Meldungen'!$C$2:$J$492,MATCH(B199&amp;C199,'Eingabe Meldungen'!$C$2:$C$492&amp;'Eingabe Meldungen'!$D$2:$D$492,0),8),"")</f>
        <v/>
      </c>
      <c r="K199" s="15"/>
      <c r="L199" s="24"/>
      <c r="M199" s="11"/>
      <c r="N199" s="10"/>
      <c r="O199" s="11"/>
      <c r="P199" s="11"/>
      <c r="Q199" s="11"/>
      <c r="R199" s="11"/>
      <c r="S199" s="11"/>
      <c r="W199" s="15"/>
    </row>
    <row r="200" spans="1:23" ht="13.2" thickBo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5"/>
      <c r="O200" s="11"/>
      <c r="Q200" s="11"/>
      <c r="R200" s="11"/>
      <c r="S200" s="11"/>
      <c r="W200" s="15"/>
    </row>
    <row r="201" spans="1:23" ht="25.5" customHeight="1" x14ac:dyDescent="0.2">
      <c r="B201" s="26">
        <f>B188+1</f>
        <v>12</v>
      </c>
      <c r="C201" s="65" t="str">
        <f>VLOOKUP(B201,Ausschreibung!$B$5:$I$35,2,FALSE)</f>
        <v>Ergocup</v>
      </c>
      <c r="D201" s="27" t="s">
        <v>499</v>
      </c>
      <c r="E201" s="65" t="s">
        <v>457</v>
      </c>
      <c r="F201" s="65" t="str">
        <f>VLOOKUP(B201,Ausschreibung!$B$5:$I$35,5,FALSE)</f>
        <v>-</v>
      </c>
      <c r="G201" s="65" t="str">
        <f>VLOOKUP(B201,Ausschreibung!$B$5:$I$35,6,FALSE)</f>
        <v>15-16</v>
      </c>
      <c r="H201" s="65" t="str">
        <f>VLOOKUP(B201,Ausschreibung!$B$5:$I$35,8,FALSE)</f>
        <v>1500 m</v>
      </c>
      <c r="I201" s="28"/>
      <c r="L201" s="11"/>
      <c r="M201" s="11"/>
      <c r="N201" s="15"/>
      <c r="O201" s="11"/>
      <c r="Q201" s="11"/>
      <c r="R201" s="11"/>
      <c r="S201" s="11"/>
      <c r="W201" s="15"/>
    </row>
    <row r="202" spans="1:23" ht="13.2" thickBot="1" x14ac:dyDescent="0.25">
      <c r="B202" s="19" t="s">
        <v>1</v>
      </c>
      <c r="C202" s="18" t="s">
        <v>2</v>
      </c>
      <c r="D202" s="17" t="s">
        <v>49</v>
      </c>
      <c r="E202" s="130" t="s">
        <v>16</v>
      </c>
      <c r="F202" s="17" t="s">
        <v>18</v>
      </c>
      <c r="G202" s="73" t="s">
        <v>50</v>
      </c>
      <c r="H202" s="17" t="s">
        <v>51</v>
      </c>
      <c r="I202" s="30" t="s">
        <v>17</v>
      </c>
      <c r="L202" s="11"/>
      <c r="M202" s="11"/>
      <c r="N202" s="15"/>
      <c r="O202" s="11"/>
      <c r="Q202" s="11"/>
      <c r="R202" s="11"/>
      <c r="S202" s="11"/>
      <c r="W202" s="15"/>
    </row>
    <row r="203" spans="1:23" x14ac:dyDescent="0.2">
      <c r="B203" s="131" t="str">
        <f t="array" ref="B203">IF(ISERROR(INDEX('Eingabe Meldungen'!$C$2:$C$492,LARGE(('Eingabe Meldungen'!$A$2:$A$492=$B$201)*(ROW('Eingabe Meldungen'!$A$2:$A$492)-1),COUNTIF('Eingabe Meldungen'!$A$2:$A$492,$B$201)+1-ROW('Eingabe Meldungen'!A1)))),"",INDEX('Eingabe Meldungen'!$C$2:$C$492,LARGE(('Eingabe Meldungen'!$A$2:$A$492=$B$201)*(ROW('Eingabe Meldungen'!$A$2:$A$492)-1),COUNTIF('Eingabe Meldungen'!$A$2:$A$492,$B$201)+1-ROW('Eingabe Meldungen'!A1))))</f>
        <v>Bitz</v>
      </c>
      <c r="C203" s="132" t="str">
        <f t="array" ref="C203">IF(ISERROR(INDEX('Eingabe Meldungen'!$D$2:$D$492,LARGE(('Eingabe Meldungen'!$A$2:$A$492=$B$201)*(ROW('Eingabe Meldungen'!$A$2:$A$492)-1),COUNTIF('Eingabe Meldungen'!$A$2:$A$492,$B$201)+1-ROW('Eingabe Meldungen'!A1)))),"",INDEX('Eingabe Meldungen'!$D$2:$D$492,LARGE(('Eingabe Meldungen'!$A$2:$A$492=$B$201)*(ROW('Eingabe Meldungen'!$A$2:$A$492)-1),COUNTIF('Eingabe Meldungen'!$A$2:$A$492,$B$201)+1-ROW('Eingabe Meldungen'!A1))))</f>
        <v>Amelie</v>
      </c>
      <c r="D203" s="78">
        <f t="array" ref="D203">IF(B203&lt;&gt;"",INDEX('Eingabe Meldungen'!$C$2:$H$492,MATCH(B203&amp;C203,'Eingabe Meldungen'!$C$2:$C$492&amp;'Eingabe Meldungen'!$D$2:$D$492,0),6),"")</f>
        <v>2004</v>
      </c>
      <c r="E203" s="78" t="str">
        <f t="array" ref="E203">IF(B203&lt;&gt;"",INDEX('Eingabe Meldungen'!$C$2:$H$492,MATCH(B203&amp;C203,'Eingabe Meldungen'!$C$2:$C$492&amp;'Eingabe Meldungen'!$D$2:$D$492,0),4),"")</f>
        <v>-</v>
      </c>
      <c r="F203" s="78">
        <v>1</v>
      </c>
      <c r="G203" s="133"/>
      <c r="H203" s="132" t="e">
        <f t="shared" ref="H203:H208" si="17">RANK(G203,$G$203:$G$222,1)</f>
        <v>#N/A</v>
      </c>
      <c r="I203" s="134" t="str">
        <f t="array" ref="I203">IF(B203&lt;&gt;"",INDEX('Eingabe Meldungen'!$C$2:$J$492,MATCH(B203&amp;C203,'Eingabe Meldungen'!$C$2:$C$492&amp;'Eingabe Meldungen'!$D$2:$D$492,0),8),"")</f>
        <v>Marbacher Ruderverein</v>
      </c>
      <c r="K203" s="426" t="s">
        <v>454</v>
      </c>
      <c r="L203" s="11"/>
      <c r="M203" s="11"/>
      <c r="N203" s="15"/>
      <c r="O203" s="11"/>
      <c r="Q203" s="11"/>
      <c r="R203" s="11"/>
      <c r="S203" s="11"/>
      <c r="W203" s="15"/>
    </row>
    <row r="204" spans="1:23" x14ac:dyDescent="0.2">
      <c r="B204" s="100" t="str">
        <f t="array" ref="B204">IF(ISERROR(INDEX('Eingabe Meldungen'!$C$2:$C$492,LARGE(('Eingabe Meldungen'!$A$2:$A$492=$B$201)*(ROW('Eingabe Meldungen'!$A$2:$A$492)-1),COUNTIF('Eingabe Meldungen'!$A$2:$A$492,$B$201)+1-ROW('Eingabe Meldungen'!A2)))),"",INDEX('Eingabe Meldungen'!$C$2:$C$492,LARGE(('Eingabe Meldungen'!$A$2:$A$492=$B$201)*(ROW('Eingabe Meldungen'!$A$2:$A$492)-1),COUNTIF('Eingabe Meldungen'!$A$2:$A$492,$B$201)+1-ROW('Eingabe Meldungen'!A2))))</f>
        <v>Nüchter</v>
      </c>
      <c r="C204" s="4" t="str">
        <f t="array" ref="C204">IF(ISERROR(INDEX('Eingabe Meldungen'!$D$2:$D$492,LARGE(('Eingabe Meldungen'!$A$2:$A$492=$B$201)*(ROW('Eingabe Meldungen'!$A$2:$A$492)-1),COUNTIF('Eingabe Meldungen'!$A$2:$A$492,$B$201)+1-ROW('Eingabe Meldungen'!A2)))),"",INDEX('Eingabe Meldungen'!$D$2:$D$492,LARGE(('Eingabe Meldungen'!$A$2:$A$492=$B$201)*(ROW('Eingabe Meldungen'!$A$2:$A$492)-1),COUNTIF('Eingabe Meldungen'!$A$2:$A$492,$B$201)+1-ROW('Eingabe Meldungen'!A2))))</f>
        <v>Fine-Marie</v>
      </c>
      <c r="D204" s="66">
        <f t="array" ref="D204">IF(B204&lt;&gt;"",INDEX('Eingabe Meldungen'!$C$2:$H$492,MATCH(B204&amp;C204,'Eingabe Meldungen'!$C$2:$C$492&amp;'Eingabe Meldungen'!$D$2:$D$492,0),6),"")</f>
        <v>2004</v>
      </c>
      <c r="E204" s="66" t="str">
        <f t="array" ref="E204">IF(B204&lt;&gt;"",INDEX('Eingabe Meldungen'!$C$2:$H$492,MATCH(B204&amp;C204,'Eingabe Meldungen'!$C$2:$C$492&amp;'Eingabe Meldungen'!$D$2:$D$492,0),4),"")</f>
        <v>-</v>
      </c>
      <c r="F204" s="66">
        <v>2</v>
      </c>
      <c r="G204" s="135"/>
      <c r="H204" s="4" t="e">
        <f t="shared" si="17"/>
        <v>#N/A</v>
      </c>
      <c r="I204" s="136" t="str">
        <f t="array" ref="I204">IF(B204&lt;&gt;"",INDEX('Eingabe Meldungen'!$C$2:$J$492,MATCH(B204&amp;C204,'Eingabe Meldungen'!$C$2:$C$492&amp;'Eingabe Meldungen'!$D$2:$D$492,0),8),"")</f>
        <v>Schweinfurter Ruder-Club Franken</v>
      </c>
      <c r="K204" s="427"/>
      <c r="L204" s="11"/>
      <c r="M204" s="11"/>
      <c r="N204" s="15"/>
      <c r="O204" s="11"/>
      <c r="Q204" s="11"/>
      <c r="R204" s="11"/>
      <c r="S204" s="11"/>
      <c r="W204" s="15"/>
    </row>
    <row r="205" spans="1:23" x14ac:dyDescent="0.2">
      <c r="B205" s="100" t="str">
        <f t="array" ref="B205">IF(ISERROR(INDEX('Eingabe Meldungen'!$C$2:$C$492,LARGE(('Eingabe Meldungen'!$A$2:$A$492=$B$201)*(ROW('Eingabe Meldungen'!$A$2:$A$492)-1),COUNTIF('Eingabe Meldungen'!$A$2:$A$492,$B$201)+1-ROW('Eingabe Meldungen'!A3)))),"",INDEX('Eingabe Meldungen'!$C$2:$C$492,LARGE(('Eingabe Meldungen'!$A$2:$A$492=$B$201)*(ROW('Eingabe Meldungen'!$A$2:$A$492)-1),COUNTIF('Eingabe Meldungen'!$A$2:$A$492,$B$201)+1-ROW('Eingabe Meldungen'!A3))))</f>
        <v>Schmidt</v>
      </c>
      <c r="C205" s="4" t="str">
        <f t="array" ref="C205">IF(ISERROR(INDEX('Eingabe Meldungen'!$D$2:$D$492,LARGE(('Eingabe Meldungen'!$A$2:$A$492=$B$201)*(ROW('Eingabe Meldungen'!$A$2:$A$492)-1),COUNTIF('Eingabe Meldungen'!$A$2:$A$492,$B$201)+1-ROW('Eingabe Meldungen'!A3)))),"",INDEX('Eingabe Meldungen'!$D$2:$D$492,LARGE(('Eingabe Meldungen'!$A$2:$A$492=$B$201)*(ROW('Eingabe Meldungen'!$A$2:$A$492)-1),COUNTIF('Eingabe Meldungen'!$A$2:$A$492,$B$201)+1-ROW('Eingabe Meldungen'!A3))))</f>
        <v>Johanna</v>
      </c>
      <c r="D205" s="66">
        <f t="array" ref="D205">IF(B205&lt;&gt;"",INDEX('Eingabe Meldungen'!$C$2:$H$492,MATCH(B205&amp;C205,'Eingabe Meldungen'!$C$2:$C$492&amp;'Eingabe Meldungen'!$D$2:$D$492,0),6),"")</f>
        <v>2004</v>
      </c>
      <c r="E205" s="66" t="str">
        <f t="array" ref="E205">IF(B205&lt;&gt;"",INDEX('Eingabe Meldungen'!$C$2:$H$492,MATCH(B205&amp;C205,'Eingabe Meldungen'!$C$2:$C$492&amp;'Eingabe Meldungen'!$D$2:$D$492,0),4),"")</f>
        <v>-</v>
      </c>
      <c r="F205" s="66">
        <v>3</v>
      </c>
      <c r="G205" s="137"/>
      <c r="H205" s="4" t="e">
        <f t="shared" si="17"/>
        <v>#N/A</v>
      </c>
      <c r="I205" s="136" t="str">
        <f t="array" ref="I205">IF(B205&lt;&gt;"",INDEX('Eingabe Meldungen'!$C$2:$J$492,MATCH(B205&amp;C205,'Eingabe Meldungen'!$C$2:$C$492&amp;'Eingabe Meldungen'!$D$2:$D$492,0),8),"")</f>
        <v>Marbacher Ruderverein</v>
      </c>
      <c r="K205" s="427"/>
      <c r="L205" s="11"/>
      <c r="M205" s="11"/>
      <c r="N205" s="15"/>
      <c r="O205" s="11"/>
      <c r="Q205" s="11"/>
      <c r="R205" s="11"/>
      <c r="S205" s="11"/>
      <c r="W205" s="15"/>
    </row>
    <row r="206" spans="1:23" x14ac:dyDescent="0.2">
      <c r="B206" s="100" t="str">
        <f t="array" ref="B206">IF(ISERROR(INDEX('Eingabe Meldungen'!$C$2:$C$492,LARGE(('Eingabe Meldungen'!$A$2:$A$492=$B$201)*(ROW('Eingabe Meldungen'!$A$2:$A$492)-1),COUNTIF('Eingabe Meldungen'!$A$2:$A$492,$B$201)+1-ROW('Eingabe Meldungen'!A4)))),"",INDEX('Eingabe Meldungen'!$C$2:$C$492,LARGE(('Eingabe Meldungen'!$A$2:$A$492=$B$201)*(ROW('Eingabe Meldungen'!$A$2:$A$492)-1),COUNTIF('Eingabe Meldungen'!$A$2:$A$492,$B$201)+1-ROW('Eingabe Meldungen'!A4))))</f>
        <v>Juschka</v>
      </c>
      <c r="C206" s="4" t="str">
        <f t="array" ref="C206">IF(ISERROR(INDEX('Eingabe Meldungen'!$D$2:$D$492,LARGE(('Eingabe Meldungen'!$A$2:$A$492=$B$201)*(ROW('Eingabe Meldungen'!$A$2:$A$492)-1),COUNTIF('Eingabe Meldungen'!$A$2:$A$492,$B$201)+1-ROW('Eingabe Meldungen'!A4)))),"",INDEX('Eingabe Meldungen'!$D$2:$D$492,LARGE(('Eingabe Meldungen'!$A$2:$A$492=$B$201)*(ROW('Eingabe Meldungen'!$A$2:$A$492)-1),COUNTIF('Eingabe Meldungen'!$A$2:$A$492,$B$201)+1-ROW('Eingabe Meldungen'!A4))))</f>
        <v>Kathrin</v>
      </c>
      <c r="D206" s="66">
        <f t="array" ref="D206">IF(B206&lt;&gt;"",INDEX('Eingabe Meldungen'!$C$2:$H$492,MATCH(B206&amp;C206,'Eingabe Meldungen'!$C$2:$C$492&amp;'Eingabe Meldungen'!$D$2:$D$492,0),6),"")</f>
        <v>2004</v>
      </c>
      <c r="E206" s="66" t="str">
        <f t="array" ref="E206">IF(B206&lt;&gt;"",INDEX('Eingabe Meldungen'!$C$2:$H$492,MATCH(B206&amp;C206,'Eingabe Meldungen'!$C$2:$C$492&amp;'Eingabe Meldungen'!$D$2:$D$492,0),4),"")</f>
        <v>-</v>
      </c>
      <c r="F206" s="66">
        <v>4</v>
      </c>
      <c r="G206" s="137"/>
      <c r="H206" s="4" t="e">
        <f t="shared" si="17"/>
        <v>#N/A</v>
      </c>
      <c r="I206" s="136" t="str">
        <f t="array" ref="I206">IF(B206&lt;&gt;"",INDEX('Eingabe Meldungen'!$C$2:$J$492,MATCH(B206&amp;C206,'Eingabe Meldungen'!$C$2:$C$492&amp;'Eingabe Meldungen'!$D$2:$D$492,0),8),"")</f>
        <v>RG Eberbach</v>
      </c>
      <c r="K206" s="427"/>
      <c r="L206" s="11"/>
      <c r="M206" s="11"/>
      <c r="N206" s="15"/>
      <c r="O206" s="11"/>
      <c r="Q206" s="11"/>
      <c r="R206" s="11"/>
      <c r="S206" s="11"/>
      <c r="W206" s="15"/>
    </row>
    <row r="207" spans="1:23" x14ac:dyDescent="0.2">
      <c r="B207" s="100" t="str">
        <f t="array" ref="B207">IF(ISERROR(INDEX('Eingabe Meldungen'!$C$2:$C$492,LARGE(('Eingabe Meldungen'!$A$2:$A$492=$B$201)*(ROW('Eingabe Meldungen'!$A$2:$A$492)-1),COUNTIF('Eingabe Meldungen'!$A$2:$A$492,$B$201)+1-ROW('Eingabe Meldungen'!A5)))),"",INDEX('Eingabe Meldungen'!$C$2:$C$492,LARGE(('Eingabe Meldungen'!$A$2:$A$492=$B$201)*(ROW('Eingabe Meldungen'!$A$2:$A$492)-1),COUNTIF('Eingabe Meldungen'!$A$2:$A$492,$B$201)+1-ROW('Eingabe Meldungen'!A5))))</f>
        <v>Hentschel</v>
      </c>
      <c r="C207" s="4" t="str">
        <f t="array" ref="C207">IF(ISERROR(INDEX('Eingabe Meldungen'!$D$2:$D$492,LARGE(('Eingabe Meldungen'!$A$2:$A$492=$B$201)*(ROW('Eingabe Meldungen'!$A$2:$A$492)-1),COUNTIF('Eingabe Meldungen'!$A$2:$A$492,$B$201)+1-ROW('Eingabe Meldungen'!A5)))),"",INDEX('Eingabe Meldungen'!$D$2:$D$492,LARGE(('Eingabe Meldungen'!$A$2:$A$492=$B$201)*(ROW('Eingabe Meldungen'!$A$2:$A$492)-1),COUNTIF('Eingabe Meldungen'!$A$2:$A$492,$B$201)+1-ROW('Eingabe Meldungen'!A5))))</f>
        <v>Lina</v>
      </c>
      <c r="D207" s="66">
        <f t="array" ref="D207">IF(B207&lt;&gt;"",INDEX('Eingabe Meldungen'!$C$2:$H$492,MATCH(B207&amp;C207,'Eingabe Meldungen'!$C$2:$C$492&amp;'Eingabe Meldungen'!$D$2:$D$492,0),6),"")</f>
        <v>2004</v>
      </c>
      <c r="E207" s="66" t="str">
        <f t="array" ref="E207">IF(B207&lt;&gt;"",INDEX('Eingabe Meldungen'!$C$2:$H$492,MATCH(B207&amp;C207,'Eingabe Meldungen'!$C$2:$C$492&amp;'Eingabe Meldungen'!$D$2:$D$492,0),4),"")</f>
        <v>-</v>
      </c>
      <c r="F207" s="66">
        <v>5</v>
      </c>
      <c r="G207" s="137"/>
      <c r="H207" s="4" t="e">
        <f t="shared" si="17"/>
        <v>#N/A</v>
      </c>
      <c r="I207" s="136" t="str">
        <f t="array" ref="I207">IF(B207&lt;&gt;"",INDEX('Eingabe Meldungen'!$C$2:$J$492,MATCH(B207&amp;C207,'Eingabe Meldungen'!$C$2:$C$492&amp;'Eingabe Meldungen'!$D$2:$D$492,0),8),"")</f>
        <v>Marbacher Ruderverein</v>
      </c>
      <c r="K207" s="427"/>
      <c r="L207" s="11"/>
      <c r="M207" s="11"/>
      <c r="N207" s="15"/>
      <c r="O207" s="11"/>
      <c r="Q207" s="11"/>
      <c r="R207" s="11"/>
      <c r="S207" s="11"/>
      <c r="W207" s="15"/>
    </row>
    <row r="208" spans="1:23" ht="13.5" customHeight="1" x14ac:dyDescent="0.2">
      <c r="B208" s="100" t="str">
        <f t="array" ref="B208">IF(ISERROR(INDEX('Eingabe Meldungen'!$C$2:$C$492,LARGE(('Eingabe Meldungen'!$A$2:$A$492=$B$201)*(ROW('Eingabe Meldungen'!$A$2:$A$492)-1),COUNTIF('Eingabe Meldungen'!$A$2:$A$492,$B$201)+1-ROW('Eingabe Meldungen'!A6)))),"",INDEX('Eingabe Meldungen'!$C$2:$C$492,LARGE(('Eingabe Meldungen'!$A$2:$A$492=$B$201)*(ROW('Eingabe Meldungen'!$A$2:$A$492)-1),COUNTIF('Eingabe Meldungen'!$A$2:$A$492,$B$201)+1-ROW('Eingabe Meldungen'!A6))))</f>
        <v>Grün</v>
      </c>
      <c r="C208" s="4" t="str">
        <f t="array" ref="C208">IF(ISERROR(INDEX('Eingabe Meldungen'!$D$2:$D$492,LARGE(('Eingabe Meldungen'!$A$2:$A$492=$B$201)*(ROW('Eingabe Meldungen'!$A$2:$A$492)-1),COUNTIF('Eingabe Meldungen'!$A$2:$A$492,$B$201)+1-ROW('Eingabe Meldungen'!A6)))),"",INDEX('Eingabe Meldungen'!$D$2:$D$492,LARGE(('Eingabe Meldungen'!$A$2:$A$492=$B$201)*(ROW('Eingabe Meldungen'!$A$2:$A$492)-1),COUNTIF('Eingabe Meldungen'!$A$2:$A$492,$B$201)+1-ROW('Eingabe Meldungen'!A6))))</f>
        <v>Maya</v>
      </c>
      <c r="D208" s="66">
        <f t="array" ref="D208">IF(B208&lt;&gt;"",INDEX('Eingabe Meldungen'!$C$2:$H$492,MATCH(B208&amp;C208,'Eingabe Meldungen'!$C$2:$C$492&amp;'Eingabe Meldungen'!$D$2:$D$492,0),6),"")</f>
        <v>2004</v>
      </c>
      <c r="E208" s="66" t="str">
        <f t="array" ref="E208">IF(B208&lt;&gt;"",INDEX('Eingabe Meldungen'!$C$2:$H$492,MATCH(B208&amp;C208,'Eingabe Meldungen'!$C$2:$C$492&amp;'Eingabe Meldungen'!$D$2:$D$492,0),4),"")</f>
        <v>-</v>
      </c>
      <c r="F208" s="66">
        <v>6</v>
      </c>
      <c r="G208" s="137"/>
      <c r="H208" s="4" t="e">
        <f t="shared" si="17"/>
        <v>#N/A</v>
      </c>
      <c r="I208" s="136" t="str">
        <f t="array" ref="I208">IF(B208&lt;&gt;"",INDEX('Eingabe Meldungen'!$C$2:$J$492,MATCH(B208&amp;C208,'Eingabe Meldungen'!$C$2:$C$492&amp;'Eingabe Meldungen'!$D$2:$D$492,0),8),"")</f>
        <v>HRG Schwaben</v>
      </c>
      <c r="K208" s="427"/>
      <c r="L208" s="11"/>
      <c r="M208" s="11"/>
      <c r="N208" s="15"/>
      <c r="O208" s="11"/>
      <c r="Q208" s="11"/>
      <c r="R208" s="11"/>
      <c r="S208" s="11"/>
      <c r="W208" s="15"/>
    </row>
    <row r="209" spans="2:23" ht="13.5" customHeight="1" x14ac:dyDescent="0.2">
      <c r="B209" s="100"/>
      <c r="C209" s="4"/>
      <c r="D209" s="66"/>
      <c r="E209" s="66"/>
      <c r="F209" s="66">
        <v>7</v>
      </c>
      <c r="G209" s="137"/>
      <c r="H209" s="4"/>
      <c r="I209" s="136"/>
      <c r="K209" s="427"/>
      <c r="L209" s="11"/>
      <c r="M209" s="11"/>
      <c r="N209" s="15"/>
      <c r="O209" s="11"/>
      <c r="Q209" s="11"/>
      <c r="R209" s="11"/>
      <c r="S209" s="11"/>
      <c r="W209" s="15"/>
    </row>
    <row r="210" spans="2:23" ht="13.5" customHeight="1" x14ac:dyDescent="0.2">
      <c r="B210" s="100"/>
      <c r="C210" s="4"/>
      <c r="D210" s="66"/>
      <c r="E210" s="66"/>
      <c r="F210" s="66">
        <v>8</v>
      </c>
      <c r="G210" s="137"/>
      <c r="H210" s="4"/>
      <c r="I210" s="136"/>
      <c r="K210" s="427"/>
      <c r="L210" s="11"/>
      <c r="M210" s="11"/>
      <c r="N210" s="15"/>
      <c r="O210" s="11"/>
      <c r="Q210" s="11"/>
      <c r="R210" s="11"/>
      <c r="S210" s="11"/>
      <c r="W210" s="15"/>
    </row>
    <row r="211" spans="2:23" ht="13.5" customHeight="1" x14ac:dyDescent="0.2">
      <c r="B211" s="100"/>
      <c r="C211" s="4"/>
      <c r="D211" s="66"/>
      <c r="E211" s="66"/>
      <c r="F211" s="66">
        <v>9</v>
      </c>
      <c r="G211" s="137"/>
      <c r="H211" s="4"/>
      <c r="I211" s="136"/>
      <c r="K211" s="427"/>
      <c r="L211" s="11"/>
      <c r="M211" s="11"/>
      <c r="N211" s="15"/>
      <c r="O211" s="11"/>
      <c r="Q211" s="11"/>
      <c r="R211" s="11"/>
      <c r="S211" s="11"/>
      <c r="W211" s="15"/>
    </row>
    <row r="212" spans="2:23" ht="13.5" customHeight="1" thickBot="1" x14ac:dyDescent="0.25">
      <c r="B212" s="100"/>
      <c r="C212" s="4"/>
      <c r="D212" s="66"/>
      <c r="E212" s="66"/>
      <c r="F212" s="66">
        <v>10</v>
      </c>
      <c r="G212" s="137"/>
      <c r="H212" s="4"/>
      <c r="I212" s="136"/>
      <c r="K212" s="428"/>
      <c r="L212" s="11"/>
      <c r="M212" s="11"/>
      <c r="N212" s="15"/>
      <c r="O212" s="11"/>
      <c r="Q212" s="11"/>
      <c r="R212" s="11"/>
      <c r="S212" s="11"/>
      <c r="W212" s="15"/>
    </row>
    <row r="213" spans="2:23" ht="13.5" customHeight="1" x14ac:dyDescent="0.2">
      <c r="B213" s="131" t="str">
        <f t="array" ref="B213">IF(ISERROR(INDEX('Eingabe Meldungen'!$C$2:$C$492,LARGE(('Eingabe Meldungen'!$A$2:$A$492=$B$201)*(ROW('Eingabe Meldungen'!$A$2:$A$492)-1),COUNTIF('Eingabe Meldungen'!$A$2:$A$492,$B$201)+1-ROW('Eingabe Meldungen'!A7)))),"",INDEX('Eingabe Meldungen'!$C$2:$C$492,LARGE(('Eingabe Meldungen'!$A$2:$A$492=$B$201)*(ROW('Eingabe Meldungen'!$A$2:$A$492)-1),COUNTIF('Eingabe Meldungen'!$A$2:$A$492,$B$201)+1-ROW('Eingabe Meldungen'!A7))))</f>
        <v>Melin</v>
      </c>
      <c r="C213" s="132" t="str">
        <f t="array" ref="C213">IF(ISERROR(INDEX('Eingabe Meldungen'!$D$2:$D$492,LARGE(('Eingabe Meldungen'!$A$2:$A$492=$B$201)*(ROW('Eingabe Meldungen'!$A$2:$A$492)-1),COUNTIF('Eingabe Meldungen'!$A$2:$A$492,$B$201)+1-ROW('Eingabe Meldungen'!A7)))),"",INDEX('Eingabe Meldungen'!$D$2:$D$492,LARGE(('Eingabe Meldungen'!$A$2:$A$492=$B$201)*(ROW('Eingabe Meldungen'!$A$2:$A$492)-1),COUNTIF('Eingabe Meldungen'!$A$2:$A$492,$B$201)+1-ROW('Eingabe Meldungen'!A7))))</f>
        <v>Neval</v>
      </c>
      <c r="D213" s="78">
        <f t="array" ref="D213">IF(B213&lt;&gt;"",INDEX('Eingabe Meldungen'!$C$2:$H$492,MATCH(B213&amp;C213,'Eingabe Meldungen'!$C$2:$C$492&amp;'Eingabe Meldungen'!$D$2:$D$492,0),6),"")</f>
        <v>2004</v>
      </c>
      <c r="E213" s="78" t="str">
        <f t="array" ref="E213">IF(B213&lt;&gt;"",INDEX('Eingabe Meldungen'!$C$2:$H$492,MATCH(B213&amp;C213,'Eingabe Meldungen'!$C$2:$C$492&amp;'Eingabe Meldungen'!$D$2:$D$492,0),4),"")</f>
        <v>-</v>
      </c>
      <c r="F213" s="78">
        <v>1</v>
      </c>
      <c r="G213" s="144"/>
      <c r="H213" s="132" t="e">
        <f>RANK(G213,$G$203:$G$222,1)</f>
        <v>#N/A</v>
      </c>
      <c r="I213" s="134" t="str">
        <f t="array" ref="I213">IF(B213&lt;&gt;"",INDEX('Eingabe Meldungen'!$C$2:$J$492,MATCH(B213&amp;C213,'Eingabe Meldungen'!$C$2:$C$492&amp;'Eingabe Meldungen'!$D$2:$D$492,0),8),"")</f>
        <v>RC Nürtingen</v>
      </c>
      <c r="K213" s="426" t="s">
        <v>455</v>
      </c>
      <c r="L213" s="11"/>
      <c r="M213" s="11"/>
      <c r="N213" s="15"/>
      <c r="O213" s="11"/>
      <c r="Q213" s="11"/>
      <c r="R213" s="11"/>
      <c r="S213" s="11"/>
      <c r="W213" s="15"/>
    </row>
    <row r="214" spans="2:23" ht="13.5" customHeight="1" x14ac:dyDescent="0.2">
      <c r="B214" s="100" t="str">
        <f t="array" ref="B214">IF(ISERROR(INDEX('Eingabe Meldungen'!$C$2:$C$492,LARGE(('Eingabe Meldungen'!$A$2:$A$492=$B$201)*(ROW('Eingabe Meldungen'!$A$2:$A$492)-1),COUNTIF('Eingabe Meldungen'!$A$2:$A$492,$B$201)+1-ROW('Eingabe Meldungen'!A8)))),"",INDEX('Eingabe Meldungen'!$C$2:$C$492,LARGE(('Eingabe Meldungen'!$A$2:$A$492=$B$201)*(ROW('Eingabe Meldungen'!$A$2:$A$492)-1),COUNTIF('Eingabe Meldungen'!$A$2:$A$492,$B$201)+1-ROW('Eingabe Meldungen'!A8))))</f>
        <v>Berner</v>
      </c>
      <c r="C214" s="4" t="str">
        <f t="array" ref="C214">IF(ISERROR(INDEX('Eingabe Meldungen'!$D$2:$D$492,LARGE(('Eingabe Meldungen'!$A$2:$A$492=$B$201)*(ROW('Eingabe Meldungen'!$A$2:$A$492)-1),COUNTIF('Eingabe Meldungen'!$A$2:$A$492,$B$201)+1-ROW('Eingabe Meldungen'!A8)))),"",INDEX('Eingabe Meldungen'!$D$2:$D$492,LARGE(('Eingabe Meldungen'!$A$2:$A$492=$B$201)*(ROW('Eingabe Meldungen'!$A$2:$A$492)-1),COUNTIF('Eingabe Meldungen'!$A$2:$A$492,$B$201)+1-ROW('Eingabe Meldungen'!A8))))</f>
        <v>Sandra</v>
      </c>
      <c r="D214" s="66">
        <f t="array" ref="D214">IF(B214&lt;&gt;"",INDEX('Eingabe Meldungen'!$C$2:$H$492,MATCH(B214&amp;C214,'Eingabe Meldungen'!$C$2:$C$492&amp;'Eingabe Meldungen'!$D$2:$D$492,0),6),"")</f>
        <v>2004</v>
      </c>
      <c r="E214" s="66" t="str">
        <f t="array" ref="E214">IF(B214&lt;&gt;"",INDEX('Eingabe Meldungen'!$C$2:$H$492,MATCH(B214&amp;C214,'Eingabe Meldungen'!$C$2:$C$492&amp;'Eingabe Meldungen'!$D$2:$D$492,0),4),"")</f>
        <v>-</v>
      </c>
      <c r="F214" s="66">
        <v>2</v>
      </c>
      <c r="G214" s="137"/>
      <c r="H214" s="4" t="e">
        <f t="shared" ref="H214:H222" si="18">RANK(G214,$G$203:$G$222,1)</f>
        <v>#N/A</v>
      </c>
      <c r="I214" s="136" t="str">
        <f t="array" ref="I214">IF(B214&lt;&gt;"",INDEX('Eingabe Meldungen'!$C$2:$J$492,MATCH(B214&amp;C214,'Eingabe Meldungen'!$C$2:$C$492&amp;'Eingabe Meldungen'!$D$2:$D$492,0),8),"")</f>
        <v>RG Eberbach</v>
      </c>
      <c r="K214" s="427"/>
      <c r="L214" s="11"/>
      <c r="M214" s="11"/>
      <c r="N214" s="15"/>
      <c r="O214" s="11"/>
      <c r="Q214" s="11"/>
      <c r="R214" s="11"/>
      <c r="S214" s="11"/>
      <c r="W214" s="15"/>
    </row>
    <row r="215" spans="2:23" x14ac:dyDescent="0.2">
      <c r="B215" s="100" t="str">
        <f t="array" ref="B215">IF(ISERROR(INDEX('Eingabe Meldungen'!$C$2:$C$492,LARGE(('Eingabe Meldungen'!$A$2:$A$492=$B$201)*(ROW('Eingabe Meldungen'!$A$2:$A$492)-1),COUNTIF('Eingabe Meldungen'!$A$2:$A$492,$B$201)+1-ROW('Eingabe Meldungen'!A9)))),"",INDEX('Eingabe Meldungen'!$C$2:$C$492,LARGE(('Eingabe Meldungen'!$A$2:$A$492=$B$201)*(ROW('Eingabe Meldungen'!$A$2:$A$492)-1),COUNTIF('Eingabe Meldungen'!$A$2:$A$492,$B$201)+1-ROW('Eingabe Meldungen'!A9))))</f>
        <v>Nothelfer</v>
      </c>
      <c r="C215" s="4" t="str">
        <f t="array" ref="C215">IF(ISERROR(INDEX('Eingabe Meldungen'!$D$2:$D$492,LARGE(('Eingabe Meldungen'!$A$2:$A$492=$B$201)*(ROW('Eingabe Meldungen'!$A$2:$A$492)-1),COUNTIF('Eingabe Meldungen'!$A$2:$A$492,$B$201)+1-ROW('Eingabe Meldungen'!A9)))),"",INDEX('Eingabe Meldungen'!$D$2:$D$492,LARGE(('Eingabe Meldungen'!$A$2:$A$492=$B$201)*(ROW('Eingabe Meldungen'!$A$2:$A$492)-1),COUNTIF('Eingabe Meldungen'!$A$2:$A$492,$B$201)+1-ROW('Eingabe Meldungen'!A9))))</f>
        <v>Alisa</v>
      </c>
      <c r="D215" s="66">
        <f t="array" ref="D215">IF(B215&lt;&gt;"",INDEX('Eingabe Meldungen'!$C$2:$H$492,MATCH(B215&amp;C215,'Eingabe Meldungen'!$C$2:$C$492&amp;'Eingabe Meldungen'!$D$2:$D$492,0),6),"")</f>
        <v>2005</v>
      </c>
      <c r="E215" s="66" t="str">
        <f t="array" ref="E215">IF(B215&lt;&gt;"",INDEX('Eingabe Meldungen'!$C$2:$H$492,MATCH(B215&amp;C215,'Eingabe Meldungen'!$C$2:$C$492&amp;'Eingabe Meldungen'!$D$2:$D$492,0),4),"")</f>
        <v>-</v>
      </c>
      <c r="F215" s="66">
        <v>3</v>
      </c>
      <c r="G215" s="137"/>
      <c r="H215" s="4" t="e">
        <f t="shared" si="18"/>
        <v>#N/A</v>
      </c>
      <c r="I215" s="136" t="str">
        <f t="array" ref="I215">IF(B215&lt;&gt;"",INDEX('Eingabe Meldungen'!$C$2:$J$492,MATCH(B215&amp;C215,'Eingabe Meldungen'!$C$2:$C$492&amp;'Eingabe Meldungen'!$D$2:$D$492,0),8),"")</f>
        <v>RV Waldsee</v>
      </c>
      <c r="K215" s="427"/>
      <c r="L215" s="11"/>
      <c r="M215" s="11"/>
      <c r="N215" s="15"/>
      <c r="O215" s="11"/>
      <c r="Q215" s="11"/>
      <c r="R215" s="11"/>
      <c r="S215" s="11"/>
    </row>
    <row r="216" spans="2:23" x14ac:dyDescent="0.2">
      <c r="B216" s="100" t="str">
        <f t="array" ref="B216">IF(ISERROR(INDEX('Eingabe Meldungen'!$C$2:$C$492,LARGE(('Eingabe Meldungen'!$A$2:$A$492=$B$201)*(ROW('Eingabe Meldungen'!$A$2:$A$492)-1),COUNTIF('Eingabe Meldungen'!$A$2:$A$492,$B$201)+1-ROW('Eingabe Meldungen'!A10)))),"",INDEX('Eingabe Meldungen'!$C$2:$C$492,LARGE(('Eingabe Meldungen'!$A$2:$A$492=$B$201)*(ROW('Eingabe Meldungen'!$A$2:$A$492)-1),COUNTIF('Eingabe Meldungen'!$A$2:$A$492,$B$201)+1-ROW('Eingabe Meldungen'!A10))))</f>
        <v>Snyman</v>
      </c>
      <c r="C216" s="4" t="str">
        <f t="array" ref="C216">IF(ISERROR(INDEX('Eingabe Meldungen'!$D$2:$D$492,LARGE(('Eingabe Meldungen'!$A$2:$A$492=$B$201)*(ROW('Eingabe Meldungen'!$A$2:$A$492)-1),COUNTIF('Eingabe Meldungen'!$A$2:$A$492,$B$201)+1-ROW('Eingabe Meldungen'!A10)))),"",INDEX('Eingabe Meldungen'!$D$2:$D$492,LARGE(('Eingabe Meldungen'!$A$2:$A$492=$B$201)*(ROW('Eingabe Meldungen'!$A$2:$A$492)-1),COUNTIF('Eingabe Meldungen'!$A$2:$A$492,$B$201)+1-ROW('Eingabe Meldungen'!A10))))</f>
        <v>Meaghan</v>
      </c>
      <c r="D216" s="66">
        <f t="array" ref="D216">IF(B216&lt;&gt;"",INDEX('Eingabe Meldungen'!$C$2:$H$492,MATCH(B216&amp;C216,'Eingabe Meldungen'!$C$2:$C$492&amp;'Eingabe Meldungen'!$D$2:$D$492,0),6),"")</f>
        <v>2005</v>
      </c>
      <c r="E216" s="66" t="str">
        <f t="array" ref="E216">IF(B216&lt;&gt;"",INDEX('Eingabe Meldungen'!$C$2:$H$492,MATCH(B216&amp;C216,'Eingabe Meldungen'!$C$2:$C$492&amp;'Eingabe Meldungen'!$D$2:$D$492,0),4),"")</f>
        <v>-</v>
      </c>
      <c r="F216" s="66">
        <v>4</v>
      </c>
      <c r="G216" s="137"/>
      <c r="H216" s="4" t="e">
        <f t="shared" si="18"/>
        <v>#N/A</v>
      </c>
      <c r="I216" s="136" t="str">
        <f t="array" ref="I216">IF(B216&lt;&gt;"",INDEX('Eingabe Meldungen'!$C$2:$J$492,MATCH(B216&amp;C216,'Eingabe Meldungen'!$C$2:$C$492&amp;'Eingabe Meldungen'!$D$2:$D$492,0),8),"")</f>
        <v>RG Eberbach</v>
      </c>
      <c r="K216" s="427"/>
      <c r="L216" s="11"/>
      <c r="M216" s="11"/>
      <c r="N216" s="15"/>
      <c r="O216" s="11"/>
      <c r="Q216" s="11"/>
      <c r="R216" s="11"/>
      <c r="S216" s="11"/>
    </row>
    <row r="217" spans="2:23" x14ac:dyDescent="0.2">
      <c r="B217" s="100" t="str">
        <f t="array" ref="B217">IF(ISERROR(INDEX('Eingabe Meldungen'!$C$2:$C$492,LARGE(('Eingabe Meldungen'!$A$2:$A$492=$B$201)*(ROW('Eingabe Meldungen'!$A$2:$A$492)-1),COUNTIF('Eingabe Meldungen'!$A$2:$A$492,$B$201)+1-ROW('Eingabe Meldungen'!A11)))),"",INDEX('Eingabe Meldungen'!$C$2:$C$492,LARGE(('Eingabe Meldungen'!$A$2:$A$492=$B$201)*(ROW('Eingabe Meldungen'!$A$2:$A$492)-1),COUNTIF('Eingabe Meldungen'!$A$2:$A$492,$B$201)+1-ROW('Eingabe Meldungen'!A11))))</f>
        <v>Gerbershagen</v>
      </c>
      <c r="C217" s="4" t="str">
        <f t="array" ref="C217">IF(ISERROR(INDEX('Eingabe Meldungen'!$D$2:$D$492,LARGE(('Eingabe Meldungen'!$A$2:$A$492=$B$201)*(ROW('Eingabe Meldungen'!$A$2:$A$492)-1),COUNTIF('Eingabe Meldungen'!$A$2:$A$492,$B$201)+1-ROW('Eingabe Meldungen'!A11)))),"",INDEX('Eingabe Meldungen'!$D$2:$D$492,LARGE(('Eingabe Meldungen'!$A$2:$A$492=$B$201)*(ROW('Eingabe Meldungen'!$A$2:$A$492)-1),COUNTIF('Eingabe Meldungen'!$A$2:$A$492,$B$201)+1-ROW('Eingabe Meldungen'!A11))))</f>
        <v>Mira</v>
      </c>
      <c r="D217" s="66">
        <f t="array" ref="D217">IF(B217&lt;&gt;"",INDEX('Eingabe Meldungen'!$C$2:$H$492,MATCH(B217&amp;C217,'Eingabe Meldungen'!$C$2:$C$492&amp;'Eingabe Meldungen'!$D$2:$D$492,0),6),"")</f>
        <v>2005</v>
      </c>
      <c r="E217" s="66" t="str">
        <f t="array" ref="E217">IF(B217&lt;&gt;"",INDEX('Eingabe Meldungen'!$C$2:$H$492,MATCH(B217&amp;C217,'Eingabe Meldungen'!$C$2:$C$492&amp;'Eingabe Meldungen'!$D$2:$D$492,0),4),"")</f>
        <v>-</v>
      </c>
      <c r="F217" s="66">
        <v>5</v>
      </c>
      <c r="G217" s="137"/>
      <c r="H217" s="4" t="e">
        <f t="shared" si="18"/>
        <v>#N/A</v>
      </c>
      <c r="I217" s="136" t="str">
        <f t="array" ref="I217">IF(B217&lt;&gt;"",INDEX('Eingabe Meldungen'!$C$2:$J$492,MATCH(B217&amp;C217,'Eingabe Meldungen'!$C$2:$C$492&amp;'Eingabe Meldungen'!$D$2:$D$492,0),8),"")</f>
        <v>Marbacher Ruderverein</v>
      </c>
      <c r="K217" s="427"/>
      <c r="L217" s="11"/>
      <c r="M217" s="11"/>
      <c r="N217" s="15"/>
      <c r="O217" s="11"/>
      <c r="Q217" s="11"/>
      <c r="R217" s="11"/>
      <c r="S217" s="11"/>
      <c r="W217" s="15"/>
    </row>
    <row r="218" spans="2:23" x14ac:dyDescent="0.2">
      <c r="B218" s="100" t="str">
        <f t="array" ref="B218">IF(ISERROR(INDEX('Eingabe Meldungen'!$C$2:$C$492,LARGE(('Eingabe Meldungen'!$A$2:$A$492=$B$201)*(ROW('Eingabe Meldungen'!$A$2:$A$492)-1),COUNTIF('Eingabe Meldungen'!$A$2:$A$492,$B$201)+1-ROW('Eingabe Meldungen'!A12)))),"",INDEX('Eingabe Meldungen'!$C$2:$C$492,LARGE(('Eingabe Meldungen'!$A$2:$A$492=$B$201)*(ROW('Eingabe Meldungen'!$A$2:$A$492)-1),COUNTIF('Eingabe Meldungen'!$A$2:$A$492,$B$201)+1-ROW('Eingabe Meldungen'!A12))))</f>
        <v/>
      </c>
      <c r="C218" s="4" t="str">
        <f t="array" ref="C218">IF(ISERROR(INDEX('Eingabe Meldungen'!$D$2:$D$492,LARGE(('Eingabe Meldungen'!$A$2:$A$492=$B$201)*(ROW('Eingabe Meldungen'!$A$2:$A$492)-1),COUNTIF('Eingabe Meldungen'!$A$2:$A$492,$B$201)+1-ROW('Eingabe Meldungen'!A12)))),"",INDEX('Eingabe Meldungen'!$D$2:$D$492,LARGE(('Eingabe Meldungen'!$A$2:$A$492=$B$201)*(ROW('Eingabe Meldungen'!$A$2:$A$492)-1),COUNTIF('Eingabe Meldungen'!$A$2:$A$492,$B$201)+1-ROW('Eingabe Meldungen'!A12))))</f>
        <v/>
      </c>
      <c r="D218" s="66" t="str">
        <f t="array" ref="D218">IF(B218&lt;&gt;"",INDEX('Eingabe Meldungen'!$C$2:$H$492,MATCH(B218&amp;C218,'Eingabe Meldungen'!$C$2:$C$492&amp;'Eingabe Meldungen'!$D$2:$D$492,0),6),"")</f>
        <v/>
      </c>
      <c r="E218" s="66" t="str">
        <f t="array" ref="E218">IF(B218&lt;&gt;"",INDEX('Eingabe Meldungen'!$C$2:$H$492,MATCH(B218&amp;C218,'Eingabe Meldungen'!$C$2:$C$492&amp;'Eingabe Meldungen'!$D$2:$D$492,0),4),"")</f>
        <v/>
      </c>
      <c r="F218" s="66">
        <v>6</v>
      </c>
      <c r="G218" s="137"/>
      <c r="H218" s="4" t="e">
        <f t="shared" si="18"/>
        <v>#N/A</v>
      </c>
      <c r="I218" s="136" t="str">
        <f t="array" ref="I218">IF(B218&lt;&gt;"",INDEX('Eingabe Meldungen'!$C$2:$J$492,MATCH(B218&amp;C218,'Eingabe Meldungen'!$C$2:$C$492&amp;'Eingabe Meldungen'!$D$2:$D$492,0),8),"")</f>
        <v/>
      </c>
      <c r="K218" s="427"/>
      <c r="L218" s="11"/>
      <c r="M218" s="11"/>
      <c r="N218" s="15"/>
      <c r="O218" s="11"/>
      <c r="Q218" s="11"/>
      <c r="R218" s="11"/>
      <c r="S218" s="11"/>
      <c r="W218" s="15"/>
    </row>
    <row r="219" spans="2:23" x14ac:dyDescent="0.2">
      <c r="B219" s="100" t="str">
        <f t="array" ref="B219">IF(ISERROR(INDEX('Eingabe Meldungen'!$C$2:$C$492,LARGE(('Eingabe Meldungen'!$A$2:$A$492=$B$201)*(ROW('Eingabe Meldungen'!$A$2:$A$492)-1),COUNTIF('Eingabe Meldungen'!$A$2:$A$492,$B$201)+1-ROW('Eingabe Meldungen'!A13)))),"",INDEX('Eingabe Meldungen'!$C$2:$C$492,LARGE(('Eingabe Meldungen'!$A$2:$A$492=$B$201)*(ROW('Eingabe Meldungen'!$A$2:$A$492)-1),COUNTIF('Eingabe Meldungen'!$A$2:$A$492,$B$201)+1-ROW('Eingabe Meldungen'!A13))))</f>
        <v/>
      </c>
      <c r="C219" s="4" t="str">
        <f t="array" ref="C219">IF(ISERROR(INDEX('Eingabe Meldungen'!$D$2:$D$492,LARGE(('Eingabe Meldungen'!$A$2:$A$492=$B$201)*(ROW('Eingabe Meldungen'!$A$2:$A$492)-1),COUNTIF('Eingabe Meldungen'!$A$2:$A$492,$B$201)+1-ROW('Eingabe Meldungen'!A13)))),"",INDEX('Eingabe Meldungen'!$D$2:$D$492,LARGE(('Eingabe Meldungen'!$A$2:$A$492=$B$201)*(ROW('Eingabe Meldungen'!$A$2:$A$492)-1),COUNTIF('Eingabe Meldungen'!$A$2:$A$492,$B$201)+1-ROW('Eingabe Meldungen'!A13))))</f>
        <v/>
      </c>
      <c r="D219" s="66" t="str">
        <f t="array" ref="D219">IF(B219&lt;&gt;"",INDEX('Eingabe Meldungen'!$C$2:$H$492,MATCH(B219&amp;C219,'Eingabe Meldungen'!$C$2:$C$492&amp;'Eingabe Meldungen'!$D$2:$D$492,0),6),"")</f>
        <v/>
      </c>
      <c r="E219" s="66" t="str">
        <f t="array" ref="E219">IF(B219&lt;&gt;"",INDEX('Eingabe Meldungen'!$C$2:$H$492,MATCH(B219&amp;C219,'Eingabe Meldungen'!$C$2:$C$492&amp;'Eingabe Meldungen'!$D$2:$D$492,0),4),"")</f>
        <v/>
      </c>
      <c r="F219" s="66">
        <v>7</v>
      </c>
      <c r="G219" s="137"/>
      <c r="H219" s="4" t="e">
        <f t="shared" si="18"/>
        <v>#N/A</v>
      </c>
      <c r="I219" s="136" t="str">
        <f t="array" ref="I219">IF(B219&lt;&gt;"",INDEX('Eingabe Meldungen'!$C$2:$J$492,MATCH(B219&amp;C219,'Eingabe Meldungen'!$C$2:$C$492&amp;'Eingabe Meldungen'!$D$2:$D$492,0),8),"")</f>
        <v/>
      </c>
      <c r="K219" s="427"/>
      <c r="L219" s="11"/>
      <c r="M219" s="11"/>
      <c r="N219" s="15"/>
      <c r="O219" s="11"/>
      <c r="Q219" s="11"/>
      <c r="R219" s="11"/>
      <c r="S219" s="11"/>
      <c r="W219" s="15"/>
    </row>
    <row r="220" spans="2:23" x14ac:dyDescent="0.2">
      <c r="B220" s="100" t="str">
        <f t="array" ref="B220">IF(ISERROR(INDEX('Eingabe Meldungen'!$C$2:$C$492,LARGE(('Eingabe Meldungen'!$A$2:$A$492=$B$201)*(ROW('Eingabe Meldungen'!$A$2:$A$492)-1),COUNTIF('Eingabe Meldungen'!$A$2:$A$492,$B$201)+1-ROW('Eingabe Meldungen'!A14)))),"",INDEX('Eingabe Meldungen'!$C$2:$C$492,LARGE(('Eingabe Meldungen'!$A$2:$A$492=$B$201)*(ROW('Eingabe Meldungen'!$A$2:$A$492)-1),COUNTIF('Eingabe Meldungen'!$A$2:$A$492,$B$201)+1-ROW('Eingabe Meldungen'!A14))))</f>
        <v/>
      </c>
      <c r="C220" s="4" t="str">
        <f t="array" ref="C220">IF(ISERROR(INDEX('Eingabe Meldungen'!$D$2:$D$492,LARGE(('Eingabe Meldungen'!$A$2:$A$492=$B$201)*(ROW('Eingabe Meldungen'!$A$2:$A$492)-1),COUNTIF('Eingabe Meldungen'!$A$2:$A$492,$B$201)+1-ROW('Eingabe Meldungen'!A14)))),"",INDEX('Eingabe Meldungen'!$D$2:$D$492,LARGE(('Eingabe Meldungen'!$A$2:$A$492=$B$201)*(ROW('Eingabe Meldungen'!$A$2:$A$492)-1),COUNTIF('Eingabe Meldungen'!$A$2:$A$492,$B$201)+1-ROW('Eingabe Meldungen'!A14))))</f>
        <v/>
      </c>
      <c r="D220" s="66" t="str">
        <f t="array" ref="D220">IF(B220&lt;&gt;"",INDEX('Eingabe Meldungen'!$C$2:$H$492,MATCH(B220&amp;C220,'Eingabe Meldungen'!$C$2:$C$492&amp;'Eingabe Meldungen'!$D$2:$D$492,0),6),"")</f>
        <v/>
      </c>
      <c r="E220" s="66" t="str">
        <f t="array" ref="E220">IF(B220&lt;&gt;"",INDEX('Eingabe Meldungen'!$C$2:$H$492,MATCH(B220&amp;C220,'Eingabe Meldungen'!$C$2:$C$492&amp;'Eingabe Meldungen'!$D$2:$D$492,0),4),"")</f>
        <v/>
      </c>
      <c r="F220" s="66">
        <v>8</v>
      </c>
      <c r="G220" s="137"/>
      <c r="H220" s="4" t="e">
        <f t="shared" si="18"/>
        <v>#N/A</v>
      </c>
      <c r="I220" s="136" t="str">
        <f t="array" ref="I220">IF(B220&lt;&gt;"",INDEX('Eingabe Meldungen'!$C$2:$J$492,MATCH(B220&amp;C220,'Eingabe Meldungen'!$C$2:$C$492&amp;'Eingabe Meldungen'!$D$2:$D$492,0),8),"")</f>
        <v/>
      </c>
      <c r="K220" s="427"/>
      <c r="L220" s="11"/>
      <c r="M220" s="11"/>
      <c r="N220" s="15"/>
      <c r="O220" s="11"/>
      <c r="Q220" s="11"/>
      <c r="R220" s="11"/>
      <c r="S220" s="11"/>
      <c r="W220" s="15"/>
    </row>
    <row r="221" spans="2:23" x14ac:dyDescent="0.2">
      <c r="B221" s="100" t="str">
        <f t="array" ref="B221">IF(ISERROR(INDEX('Eingabe Meldungen'!$C$2:$C$492,LARGE(('Eingabe Meldungen'!$A$2:$A$492=$B$201)*(ROW('Eingabe Meldungen'!$A$2:$A$492)-1),COUNTIF('Eingabe Meldungen'!$A$2:$A$492,$B$201)+1-ROW('Eingabe Meldungen'!A15)))),"",INDEX('Eingabe Meldungen'!$C$2:$C$492,LARGE(('Eingabe Meldungen'!$A$2:$A$492=$B$201)*(ROW('Eingabe Meldungen'!$A$2:$A$492)-1),COUNTIF('Eingabe Meldungen'!$A$2:$A$492,$B$201)+1-ROW('Eingabe Meldungen'!A15))))</f>
        <v/>
      </c>
      <c r="C221" s="4" t="str">
        <f t="array" ref="C221">IF(ISERROR(INDEX('Eingabe Meldungen'!$D$2:$D$492,LARGE(('Eingabe Meldungen'!$A$2:$A$492=$B$201)*(ROW('Eingabe Meldungen'!$A$2:$A$492)-1),COUNTIF('Eingabe Meldungen'!$A$2:$A$492,$B$201)+1-ROW('Eingabe Meldungen'!A15)))),"",INDEX('Eingabe Meldungen'!$D$2:$D$492,LARGE(('Eingabe Meldungen'!$A$2:$A$492=$B$201)*(ROW('Eingabe Meldungen'!$A$2:$A$492)-1),COUNTIF('Eingabe Meldungen'!$A$2:$A$492,$B$201)+1-ROW('Eingabe Meldungen'!A15))))</f>
        <v/>
      </c>
      <c r="D221" s="66" t="str">
        <f t="array" ref="D221">IF(B221&lt;&gt;"",INDEX('Eingabe Meldungen'!$C$2:$H$492,MATCH(B221&amp;C221,'Eingabe Meldungen'!$C$2:$C$492&amp;'Eingabe Meldungen'!$D$2:$D$492,0),6),"")</f>
        <v/>
      </c>
      <c r="E221" s="66" t="str">
        <f t="array" ref="E221">IF(B221&lt;&gt;"",INDEX('Eingabe Meldungen'!$C$2:$H$492,MATCH(B221&amp;C221,'Eingabe Meldungen'!$C$2:$C$492&amp;'Eingabe Meldungen'!$D$2:$D$492,0),4),"")</f>
        <v/>
      </c>
      <c r="F221" s="66">
        <v>9</v>
      </c>
      <c r="G221" s="137"/>
      <c r="H221" s="4" t="e">
        <f t="shared" si="18"/>
        <v>#N/A</v>
      </c>
      <c r="I221" s="136" t="str">
        <f t="array" ref="I221">IF(B221&lt;&gt;"",INDEX('Eingabe Meldungen'!$C$2:$J$492,MATCH(B221&amp;C221,'Eingabe Meldungen'!$C$2:$C$492&amp;'Eingabe Meldungen'!$D$2:$D$492,0),8),"")</f>
        <v/>
      </c>
      <c r="K221" s="427"/>
      <c r="L221" s="11"/>
      <c r="M221" s="11"/>
      <c r="N221" s="15"/>
      <c r="O221" s="11"/>
      <c r="Q221" s="11"/>
      <c r="R221" s="11"/>
      <c r="S221" s="11"/>
      <c r="W221" s="15"/>
    </row>
    <row r="222" spans="2:23" ht="13.2" thickBot="1" x14ac:dyDescent="0.25">
      <c r="B222" s="138" t="str">
        <f t="array" ref="B222">IF(ISERROR(INDEX('Eingabe Meldungen'!$C$2:$C$492,LARGE(('Eingabe Meldungen'!$A$2:$A$492=$B$201)*(ROW('Eingabe Meldungen'!$A$2:$A$492)-1),COUNTIF('Eingabe Meldungen'!$A$2:$A$492,$B$201)+1-ROW('Eingabe Meldungen'!A16)))),"",INDEX('Eingabe Meldungen'!$C$2:$C$492,LARGE(('Eingabe Meldungen'!$A$2:$A$492=$B$201)*(ROW('Eingabe Meldungen'!$A$2:$A$492)-1),COUNTIF('Eingabe Meldungen'!$A$2:$A$492,$B$201)+1-ROW('Eingabe Meldungen'!A16))))</f>
        <v/>
      </c>
      <c r="C222" s="139" t="str">
        <f t="array" ref="C222">IF(ISERROR(INDEX('Eingabe Meldungen'!$D$2:$D$492,LARGE(('Eingabe Meldungen'!$A$2:$A$492=$B$201)*(ROW('Eingabe Meldungen'!$A$2:$A$492)-1),COUNTIF('Eingabe Meldungen'!$A$2:$A$492,$B$201)+1-ROW('Eingabe Meldungen'!A16)))),"",INDEX('Eingabe Meldungen'!$D$2:$D$492,LARGE(('Eingabe Meldungen'!$A$2:$A$492=$B$201)*(ROW('Eingabe Meldungen'!$A$2:$A$492)-1),COUNTIF('Eingabe Meldungen'!$A$2:$A$492,$B$201)+1-ROW('Eingabe Meldungen'!A16))))</f>
        <v/>
      </c>
      <c r="D222" s="99" t="str">
        <f t="array" ref="D222">IF(B222&lt;&gt;"",INDEX('Eingabe Meldungen'!$C$2:$H$492,MATCH(B222&amp;C222,'Eingabe Meldungen'!$C$2:$C$492&amp;'Eingabe Meldungen'!$D$2:$D$492,0),6),"")</f>
        <v/>
      </c>
      <c r="E222" s="99" t="str">
        <f t="array" ref="E222">IF(B222&lt;&gt;"",INDEX('Eingabe Meldungen'!$C$2:$H$492,MATCH(B222&amp;C222,'Eingabe Meldungen'!$C$2:$C$492&amp;'Eingabe Meldungen'!$D$2:$D$492,0),4),"")</f>
        <v/>
      </c>
      <c r="F222" s="99">
        <v>10</v>
      </c>
      <c r="G222" s="140"/>
      <c r="H222" s="139" t="e">
        <f t="shared" si="18"/>
        <v>#N/A</v>
      </c>
      <c r="I222" s="141" t="str">
        <f t="array" ref="I222">IF(B222&lt;&gt;"",INDEX('Eingabe Meldungen'!$C$2:$J$492,MATCH(B222&amp;C222,'Eingabe Meldungen'!$C$2:$C$492&amp;'Eingabe Meldungen'!$D$2:$D$492,0),8),"")</f>
        <v/>
      </c>
      <c r="K222" s="428"/>
      <c r="L222" s="11"/>
      <c r="M222" s="11"/>
      <c r="N222" s="15"/>
      <c r="O222" s="11"/>
      <c r="Q222" s="11"/>
      <c r="R222" s="11"/>
      <c r="S222" s="11"/>
      <c r="W222" s="15"/>
    </row>
    <row r="223" spans="2:23" ht="13.2" thickBot="1" x14ac:dyDescent="0.25">
      <c r="M223" s="11"/>
      <c r="N223" s="10"/>
      <c r="O223" s="11"/>
      <c r="P223" s="11"/>
      <c r="Q223" s="11"/>
      <c r="R223" s="11"/>
      <c r="S223" s="11"/>
      <c r="W223" s="15"/>
    </row>
    <row r="224" spans="2:23" ht="37.799999999999997" x14ac:dyDescent="0.2">
      <c r="B224" s="26">
        <f>B201+1</f>
        <v>13</v>
      </c>
      <c r="C224" s="65" t="str">
        <f>VLOOKUP(B224,Ausschreibung!$B$5:$I$35,2,FALSE)</f>
        <v>Ergocup</v>
      </c>
      <c r="D224" s="27" t="s">
        <v>500</v>
      </c>
      <c r="E224" s="65" t="s">
        <v>458</v>
      </c>
      <c r="F224" s="65" t="str">
        <f>VLOOKUP(B224,Ausschreibung!$B$5:$I$35,5,FALSE)</f>
        <v>Lgw. bis 67,5kg</v>
      </c>
      <c r="G224" s="65" t="str">
        <f>VLOOKUP(B224,Ausschreibung!$B$5:$I$35,6,FALSE)</f>
        <v>15-16</v>
      </c>
      <c r="H224" s="65" t="str">
        <f>VLOOKUP(B224,Ausschreibung!$B$5:$I$35,8,FALSE)</f>
        <v>1500 m</v>
      </c>
      <c r="I224" s="28" t="s">
        <v>497</v>
      </c>
      <c r="K224" s="15"/>
      <c r="M224" s="11"/>
      <c r="N224" s="10"/>
      <c r="O224" s="11"/>
      <c r="P224" s="11"/>
      <c r="Q224" s="11"/>
      <c r="R224" s="11"/>
      <c r="S224" s="11"/>
      <c r="W224" s="15"/>
    </row>
    <row r="225" spans="2:23" ht="13.2" thickBot="1" x14ac:dyDescent="0.25">
      <c r="B225" s="19" t="s">
        <v>1</v>
      </c>
      <c r="C225" s="18" t="s">
        <v>2</v>
      </c>
      <c r="D225" s="17" t="s">
        <v>49</v>
      </c>
      <c r="E225" s="130" t="s">
        <v>16</v>
      </c>
      <c r="F225" s="17" t="s">
        <v>18</v>
      </c>
      <c r="G225" s="73" t="s">
        <v>50</v>
      </c>
      <c r="H225" s="17" t="s">
        <v>51</v>
      </c>
      <c r="I225" s="30" t="s">
        <v>17</v>
      </c>
      <c r="K225" s="15"/>
      <c r="M225" s="11"/>
      <c r="N225" s="10"/>
      <c r="O225" s="11"/>
      <c r="P225" s="11"/>
      <c r="Q225" s="11"/>
      <c r="R225" s="11"/>
      <c r="S225" s="11"/>
      <c r="W225" s="15"/>
    </row>
    <row r="226" spans="2:23" ht="15.75" customHeight="1" x14ac:dyDescent="0.2">
      <c r="B226" s="131" t="str">
        <f t="array" ref="B226">IF(ISERROR(INDEX('Eingabe Meldungen'!$C$2:$C$492,LARGE(('Eingabe Meldungen'!$A$2:$A$492=$B$224)*(ROW('Eingabe Meldungen'!$A$2:$A$492)-1),COUNTIF('Eingabe Meldungen'!$A$2:$A$492,$B$224)+1-ROW('Eingabe Meldungen'!A1)))),"",INDEX('Eingabe Meldungen'!$C$2:$C$492,LARGE(('Eingabe Meldungen'!$A$2:$A$492=$B$224)*(ROW('Eingabe Meldungen'!$A$2:$A$492)-1),COUNTIF('Eingabe Meldungen'!$A$2:$A$492,$B$224)+1-ROW('Eingabe Meldungen'!A1))))</f>
        <v>Friebe</v>
      </c>
      <c r="C226" s="132" t="str">
        <f t="array" ref="C226">IF(ISERROR(INDEX('Eingabe Meldungen'!$D$2:$D$492,LARGE(('Eingabe Meldungen'!$A$2:$A$492=$B$224)*(ROW('Eingabe Meldungen'!$A$2:$A$492)-1),COUNTIF('Eingabe Meldungen'!$A$2:$A$492,$B$224)+1-ROW('Eingabe Meldungen'!A1)))),"",INDEX('Eingabe Meldungen'!$D$2:$D$492,LARGE(('Eingabe Meldungen'!$A$2:$A$492=$B$224)*(ROW('Eingabe Meldungen'!$A$2:$A$492)-1),COUNTIF('Eingabe Meldungen'!$A$2:$A$492,$B$224)+1-ROW('Eingabe Meldungen'!A1))))</f>
        <v>Bruno</v>
      </c>
      <c r="D226" s="78">
        <f t="array" ref="D226">IF(B226&lt;&gt;"",INDEX('Eingabe Meldungen'!$C$2:$H$492,MATCH(B226&amp;C226,'Eingabe Meldungen'!$C$2:$C$492&amp;'Eingabe Meldungen'!$D$2:$D$492,0),6),"")</f>
        <v>2004</v>
      </c>
      <c r="E226" s="78" t="str">
        <f t="array" ref="E226">IF(B226&lt;&gt;"",INDEX('Eingabe Meldungen'!$C$2:$H$492,MATCH(B226&amp;C226,'Eingabe Meldungen'!$C$2:$C$492&amp;'Eingabe Meldungen'!$D$2:$D$492,0),4),"")</f>
        <v>Lgw. bis 67,5kg</v>
      </c>
      <c r="F226" s="78">
        <v>1</v>
      </c>
      <c r="G226" s="133"/>
      <c r="H226" s="132" t="e">
        <f t="shared" ref="H226:H245" si="19">RANK(G226,$G$226:$G$245,1)</f>
        <v>#N/A</v>
      </c>
      <c r="I226" s="134" t="str">
        <f t="array" ref="I226">IF(B226&lt;&gt;"",INDEX('Eingabe Meldungen'!$C$2:$J$492,MATCH(B226&amp;C226,'Eingabe Meldungen'!$C$2:$C$492&amp;'Eingabe Meldungen'!$D$2:$D$492,0),8),"")</f>
        <v>RC Nürtingen</v>
      </c>
      <c r="K226" s="426" t="s">
        <v>454</v>
      </c>
      <c r="M226" s="11"/>
      <c r="N226" s="10"/>
      <c r="O226" s="11"/>
      <c r="P226" s="11"/>
      <c r="Q226" s="11"/>
      <c r="R226" s="11"/>
      <c r="S226" s="11"/>
      <c r="W226" s="15"/>
    </row>
    <row r="227" spans="2:23" x14ac:dyDescent="0.2">
      <c r="B227" s="100" t="str">
        <f t="array" ref="B227">IF(ISERROR(INDEX('Eingabe Meldungen'!$C$2:$C$492,LARGE(('Eingabe Meldungen'!$A$2:$A$492=$B$224)*(ROW('Eingabe Meldungen'!$A$2:$A$492)-1),COUNTIF('Eingabe Meldungen'!$A$2:$A$492,$B$224)+1-ROW('Eingabe Meldungen'!A2)))),"",INDEX('Eingabe Meldungen'!$C$2:$C$492,LARGE(('Eingabe Meldungen'!$A$2:$A$492=$B$224)*(ROW('Eingabe Meldungen'!$A$2:$A$492)-1),COUNTIF('Eingabe Meldungen'!$A$2:$A$492,$B$224)+1-ROW('Eingabe Meldungen'!A2))))</f>
        <v>Grünewald</v>
      </c>
      <c r="C227" s="4" t="str">
        <f t="array" ref="C227">IF(ISERROR(INDEX('Eingabe Meldungen'!$D$2:$D$492,LARGE(('Eingabe Meldungen'!$A$2:$A$492=$B$224)*(ROW('Eingabe Meldungen'!$A$2:$A$492)-1),COUNTIF('Eingabe Meldungen'!$A$2:$A$492,$B$224)+1-ROW('Eingabe Meldungen'!A2)))),"",INDEX('Eingabe Meldungen'!$D$2:$D$492,LARGE(('Eingabe Meldungen'!$A$2:$A$492=$B$224)*(ROW('Eingabe Meldungen'!$A$2:$A$492)-1),COUNTIF('Eingabe Meldungen'!$A$2:$A$492,$B$224)+1-ROW('Eingabe Meldungen'!A2))))</f>
        <v>Florian</v>
      </c>
      <c r="D227" s="66">
        <f t="array" ref="D227">IF(B227&lt;&gt;"",INDEX('Eingabe Meldungen'!$C$2:$H$492,MATCH(B227&amp;C227,'Eingabe Meldungen'!$C$2:$C$492&amp;'Eingabe Meldungen'!$D$2:$D$492,0),6),"")</f>
        <v>2004</v>
      </c>
      <c r="E227" s="66" t="str">
        <f t="array" ref="E227">IF(B227&lt;&gt;"",INDEX('Eingabe Meldungen'!$C$2:$H$492,MATCH(B227&amp;C227,'Eingabe Meldungen'!$C$2:$C$492&amp;'Eingabe Meldungen'!$D$2:$D$492,0),4),"")</f>
        <v>Lgw. bis 67,5kg</v>
      </c>
      <c r="F227" s="66">
        <v>2</v>
      </c>
      <c r="G227" s="135"/>
      <c r="H227" s="4" t="e">
        <f t="shared" si="19"/>
        <v>#N/A</v>
      </c>
      <c r="I227" s="136" t="str">
        <f t="array" ref="I227">IF(B227&lt;&gt;"",INDEX('Eingabe Meldungen'!$C$2:$J$492,MATCH(B227&amp;C227,'Eingabe Meldungen'!$C$2:$C$492&amp;'Eingabe Meldungen'!$D$2:$D$492,0),8),"")</f>
        <v>Marbacher Ruderverein</v>
      </c>
      <c r="K227" s="427"/>
      <c r="M227" s="11"/>
      <c r="N227" s="10"/>
      <c r="O227" s="11"/>
      <c r="P227" s="11"/>
      <c r="Q227" s="11"/>
      <c r="R227" s="11"/>
      <c r="S227" s="11"/>
      <c r="W227" s="15"/>
    </row>
    <row r="228" spans="2:23" x14ac:dyDescent="0.2">
      <c r="B228" s="100" t="str">
        <f t="array" ref="B228">IF(ISERROR(INDEX('Eingabe Meldungen'!$C$2:$C$492,LARGE(('Eingabe Meldungen'!$A$2:$A$492=$B$224)*(ROW('Eingabe Meldungen'!$A$2:$A$492)-1),COUNTIF('Eingabe Meldungen'!$A$2:$A$492,$B$224)+1-ROW('Eingabe Meldungen'!A3)))),"",INDEX('Eingabe Meldungen'!$C$2:$C$492,LARGE(('Eingabe Meldungen'!$A$2:$A$492=$B$224)*(ROW('Eingabe Meldungen'!$A$2:$A$492)-1),COUNTIF('Eingabe Meldungen'!$A$2:$A$492,$B$224)+1-ROW('Eingabe Meldungen'!A3))))</f>
        <v>Swoboda</v>
      </c>
      <c r="C228" s="4" t="str">
        <f t="array" ref="C228">IF(ISERROR(INDEX('Eingabe Meldungen'!$D$2:$D$492,LARGE(('Eingabe Meldungen'!$A$2:$A$492=$B$224)*(ROW('Eingabe Meldungen'!$A$2:$A$492)-1),COUNTIF('Eingabe Meldungen'!$A$2:$A$492,$B$224)+1-ROW('Eingabe Meldungen'!A3)))),"",INDEX('Eingabe Meldungen'!$D$2:$D$492,LARGE(('Eingabe Meldungen'!$A$2:$A$492=$B$224)*(ROW('Eingabe Meldungen'!$A$2:$A$492)-1),COUNTIF('Eingabe Meldungen'!$A$2:$A$492,$B$224)+1-ROW('Eingabe Meldungen'!A3))))</f>
        <v>Luca</v>
      </c>
      <c r="D228" s="66">
        <f t="array" ref="D228">IF(B228&lt;&gt;"",INDEX('Eingabe Meldungen'!$C$2:$H$492,MATCH(B228&amp;C228,'Eingabe Meldungen'!$C$2:$C$492&amp;'Eingabe Meldungen'!$D$2:$D$492,0),6),"")</f>
        <v>2004</v>
      </c>
      <c r="E228" s="66" t="str">
        <f t="array" ref="E228">IF(B228&lt;&gt;"",INDEX('Eingabe Meldungen'!$C$2:$H$492,MATCH(B228&amp;C228,'Eingabe Meldungen'!$C$2:$C$492&amp;'Eingabe Meldungen'!$D$2:$D$492,0),4),"")</f>
        <v>Lgw. bis 67,5kg</v>
      </c>
      <c r="F228" s="66">
        <v>3</v>
      </c>
      <c r="G228" s="135"/>
      <c r="H228" s="4" t="e">
        <f t="shared" si="19"/>
        <v>#N/A</v>
      </c>
      <c r="I228" s="136" t="str">
        <f t="array" ref="I228">IF(B228&lt;&gt;"",INDEX('Eingabe Meldungen'!$C$2:$J$492,MATCH(B228&amp;C228,'Eingabe Meldungen'!$C$2:$C$492&amp;'Eingabe Meldungen'!$D$2:$D$492,0),8),"")</f>
        <v>RC Nürtingen</v>
      </c>
      <c r="K228" s="427"/>
      <c r="M228" s="11"/>
      <c r="N228" s="10"/>
      <c r="O228" s="11"/>
      <c r="P228" s="11"/>
      <c r="Q228" s="11"/>
      <c r="R228" s="11"/>
      <c r="S228" s="11"/>
      <c r="W228" s="15"/>
    </row>
    <row r="229" spans="2:23" x14ac:dyDescent="0.2">
      <c r="B229" s="100" t="str">
        <f t="array" ref="B229">IF(ISERROR(INDEX('Eingabe Meldungen'!$C$2:$C$492,LARGE(('Eingabe Meldungen'!$A$2:$A$492=$B$224)*(ROW('Eingabe Meldungen'!$A$2:$A$492)-1),COUNTIF('Eingabe Meldungen'!$A$2:$A$492,$B$224)+1-ROW('Eingabe Meldungen'!A4)))),"",INDEX('Eingabe Meldungen'!$C$2:$C$492,LARGE(('Eingabe Meldungen'!$A$2:$A$492=$B$224)*(ROW('Eingabe Meldungen'!$A$2:$A$492)-1),COUNTIF('Eingabe Meldungen'!$A$2:$A$492,$B$224)+1-ROW('Eingabe Meldungen'!A4))))</f>
        <v>Schwarz</v>
      </c>
      <c r="C229" s="4" t="str">
        <f t="array" ref="C229">IF(ISERROR(INDEX('Eingabe Meldungen'!$D$2:$D$492,LARGE(('Eingabe Meldungen'!$A$2:$A$492=$B$224)*(ROW('Eingabe Meldungen'!$A$2:$A$492)-1),COUNTIF('Eingabe Meldungen'!$A$2:$A$492,$B$224)+1-ROW('Eingabe Meldungen'!A4)))),"",INDEX('Eingabe Meldungen'!$D$2:$D$492,LARGE(('Eingabe Meldungen'!$A$2:$A$492=$B$224)*(ROW('Eingabe Meldungen'!$A$2:$A$492)-1),COUNTIF('Eingabe Meldungen'!$A$2:$A$492,$B$224)+1-ROW('Eingabe Meldungen'!A4))))</f>
        <v>Max</v>
      </c>
      <c r="D229" s="66">
        <f t="array" ref="D229">IF(B229&lt;&gt;"",INDEX('Eingabe Meldungen'!$C$2:$H$492,MATCH(B229&amp;C229,'Eingabe Meldungen'!$C$2:$C$492&amp;'Eingabe Meldungen'!$D$2:$D$492,0),6),"")</f>
        <v>2004</v>
      </c>
      <c r="E229" s="66" t="str">
        <f t="array" ref="E229">IF(B229&lt;&gt;"",INDEX('Eingabe Meldungen'!$C$2:$H$492,MATCH(B229&amp;C229,'Eingabe Meldungen'!$C$2:$C$492&amp;'Eingabe Meldungen'!$D$2:$D$492,0),4),"")</f>
        <v>Lgw. bis 67,5kg</v>
      </c>
      <c r="F229" s="66">
        <v>4</v>
      </c>
      <c r="G229" s="135"/>
      <c r="H229" s="4" t="e">
        <f t="shared" si="19"/>
        <v>#N/A</v>
      </c>
      <c r="I229" s="136" t="str">
        <f t="array" ref="I229">IF(B229&lt;&gt;"",INDEX('Eingabe Meldungen'!$C$2:$J$492,MATCH(B229&amp;C229,'Eingabe Meldungen'!$C$2:$C$492&amp;'Eingabe Meldungen'!$D$2:$D$492,0),8),"")</f>
        <v>RC Nürtingen</v>
      </c>
      <c r="K229" s="427"/>
      <c r="M229" s="11"/>
      <c r="N229" s="10"/>
      <c r="O229" s="11"/>
      <c r="P229" s="11"/>
      <c r="Q229" s="11"/>
      <c r="R229" s="11"/>
      <c r="S229" s="11"/>
      <c r="W229" s="15"/>
    </row>
    <row r="230" spans="2:23" x14ac:dyDescent="0.2">
      <c r="B230" s="100" t="str">
        <f t="array" ref="B230">IF(ISERROR(INDEX('Eingabe Meldungen'!$C$2:$C$492,LARGE(('Eingabe Meldungen'!$A$2:$A$492=$B$224)*(ROW('Eingabe Meldungen'!$A$2:$A$492)-1),COUNTIF('Eingabe Meldungen'!$A$2:$A$492,$B$224)+1-ROW('Eingabe Meldungen'!A5)))),"",INDEX('Eingabe Meldungen'!$C$2:$C$492,LARGE(('Eingabe Meldungen'!$A$2:$A$492=$B$224)*(ROW('Eingabe Meldungen'!$A$2:$A$492)-1),COUNTIF('Eingabe Meldungen'!$A$2:$A$492,$B$224)+1-ROW('Eingabe Meldungen'!A5))))</f>
        <v>Zahn</v>
      </c>
      <c r="C230" s="4" t="str">
        <f t="array" ref="C230">IF(ISERROR(INDEX('Eingabe Meldungen'!$D$2:$D$492,LARGE(('Eingabe Meldungen'!$A$2:$A$492=$B$224)*(ROW('Eingabe Meldungen'!$A$2:$A$492)-1),COUNTIF('Eingabe Meldungen'!$A$2:$A$492,$B$224)+1-ROW('Eingabe Meldungen'!A5)))),"",INDEX('Eingabe Meldungen'!$D$2:$D$492,LARGE(('Eingabe Meldungen'!$A$2:$A$492=$B$224)*(ROW('Eingabe Meldungen'!$A$2:$A$492)-1),COUNTIF('Eingabe Meldungen'!$A$2:$A$492,$B$224)+1-ROW('Eingabe Meldungen'!A5))))</f>
        <v>Simon</v>
      </c>
      <c r="D230" s="66">
        <f t="array" ref="D230">IF(B230&lt;&gt;"",INDEX('Eingabe Meldungen'!$C$2:$H$492,MATCH(B230&amp;C230,'Eingabe Meldungen'!$C$2:$C$492&amp;'Eingabe Meldungen'!$D$2:$D$492,0),6),"")</f>
        <v>2004</v>
      </c>
      <c r="E230" s="66" t="str">
        <f t="array" ref="E230">IF(B230&lt;&gt;"",INDEX('Eingabe Meldungen'!$C$2:$H$492,MATCH(B230&amp;C230,'Eingabe Meldungen'!$C$2:$C$492&amp;'Eingabe Meldungen'!$D$2:$D$492,0),4),"")</f>
        <v>Lgw. bis 67,5kg</v>
      </c>
      <c r="F230" s="66">
        <v>5</v>
      </c>
      <c r="G230" s="135"/>
      <c r="H230" s="4" t="e">
        <f t="shared" si="19"/>
        <v>#N/A</v>
      </c>
      <c r="I230" s="136" t="str">
        <f t="array" ref="I230">IF(B230&lt;&gt;"",INDEX('Eingabe Meldungen'!$C$2:$J$492,MATCH(B230&amp;C230,'Eingabe Meldungen'!$C$2:$C$492&amp;'Eingabe Meldungen'!$D$2:$D$492,0),8),"")</f>
        <v>Marbacher Ruderverein</v>
      </c>
      <c r="K230" s="427"/>
      <c r="M230" s="11"/>
      <c r="N230" s="10"/>
      <c r="O230" s="11"/>
      <c r="P230" s="11"/>
      <c r="Q230" s="11"/>
      <c r="R230" s="11"/>
      <c r="S230" s="11"/>
      <c r="W230" s="15"/>
    </row>
    <row r="231" spans="2:23" x14ac:dyDescent="0.2">
      <c r="B231" s="100" t="str">
        <f t="array" ref="B231">IF(ISERROR(INDEX('Eingabe Meldungen'!$C$2:$C$492,LARGE(('Eingabe Meldungen'!$A$2:$A$492=$B$224)*(ROW('Eingabe Meldungen'!$A$2:$A$492)-1),COUNTIF('Eingabe Meldungen'!$A$2:$A$492,$B$224)+1-ROW('Eingabe Meldungen'!A6)))),"",INDEX('Eingabe Meldungen'!$C$2:$C$492,LARGE(('Eingabe Meldungen'!$A$2:$A$492=$B$224)*(ROW('Eingabe Meldungen'!$A$2:$A$492)-1),COUNTIF('Eingabe Meldungen'!$A$2:$A$492,$B$224)+1-ROW('Eingabe Meldungen'!A6))))</f>
        <v>Hodapp</v>
      </c>
      <c r="C231" s="4" t="str">
        <f t="array" ref="C231">IF(ISERROR(INDEX('Eingabe Meldungen'!$D$2:$D$492,LARGE(('Eingabe Meldungen'!$A$2:$A$492=$B$224)*(ROW('Eingabe Meldungen'!$A$2:$A$492)-1),COUNTIF('Eingabe Meldungen'!$A$2:$A$492,$B$224)+1-ROW('Eingabe Meldungen'!A6)))),"",INDEX('Eingabe Meldungen'!$D$2:$D$492,LARGE(('Eingabe Meldungen'!$A$2:$A$492=$B$224)*(ROW('Eingabe Meldungen'!$A$2:$A$492)-1),COUNTIF('Eingabe Meldungen'!$A$2:$A$492,$B$224)+1-ROW('Eingabe Meldungen'!A6))))</f>
        <v>Bjarne</v>
      </c>
      <c r="D231" s="66">
        <f t="array" ref="D231">IF(B231&lt;&gt;"",INDEX('Eingabe Meldungen'!$C$2:$H$492,MATCH(B231&amp;C231,'Eingabe Meldungen'!$C$2:$C$492&amp;'Eingabe Meldungen'!$D$2:$D$492,0),6),"")</f>
        <v>2005</v>
      </c>
      <c r="E231" s="66" t="str">
        <f t="array" ref="E231">IF(B231&lt;&gt;"",INDEX('Eingabe Meldungen'!$C$2:$H$492,MATCH(B231&amp;C231,'Eingabe Meldungen'!$C$2:$C$492&amp;'Eingabe Meldungen'!$D$2:$D$492,0),4),"")</f>
        <v>Lgw. bis 67,5kg</v>
      </c>
      <c r="F231" s="66">
        <v>6</v>
      </c>
      <c r="G231" s="135"/>
      <c r="H231" s="4" t="e">
        <f t="shared" si="19"/>
        <v>#N/A</v>
      </c>
      <c r="I231" s="136" t="str">
        <f t="array" ref="I231">IF(B231&lt;&gt;"",INDEX('Eingabe Meldungen'!$C$2:$J$492,MATCH(B231&amp;C231,'Eingabe Meldungen'!$C$2:$C$492&amp;'Eingabe Meldungen'!$D$2:$D$492,0),8),"")</f>
        <v>RC Nürtingen</v>
      </c>
      <c r="K231" s="427"/>
      <c r="M231" s="11"/>
      <c r="N231" s="10"/>
      <c r="O231" s="11"/>
      <c r="P231" s="11"/>
      <c r="Q231" s="11"/>
      <c r="R231" s="11"/>
      <c r="S231" s="11"/>
      <c r="W231" s="15"/>
    </row>
    <row r="232" spans="2:23" x14ac:dyDescent="0.2">
      <c r="B232" s="100" t="str">
        <f t="array" ref="B232">IF(ISERROR(INDEX('Eingabe Meldungen'!$C$2:$C$492,LARGE(('Eingabe Meldungen'!$A$2:$A$492=$B$224)*(ROW('Eingabe Meldungen'!$A$2:$A$492)-1),COUNTIF('Eingabe Meldungen'!$A$2:$A$492,$B$224)+1-ROW('Eingabe Meldungen'!A7)))),"",INDEX('Eingabe Meldungen'!$C$2:$C$492,LARGE(('Eingabe Meldungen'!$A$2:$A$492=$B$224)*(ROW('Eingabe Meldungen'!$A$2:$A$492)-1),COUNTIF('Eingabe Meldungen'!$A$2:$A$492,$B$224)+1-ROW('Eingabe Meldungen'!A7))))</f>
        <v>Höring</v>
      </c>
      <c r="C232" s="4" t="str">
        <f t="array" ref="C232">IF(ISERROR(INDEX('Eingabe Meldungen'!$D$2:$D$492,LARGE(('Eingabe Meldungen'!$A$2:$A$492=$B$224)*(ROW('Eingabe Meldungen'!$A$2:$A$492)-1),COUNTIF('Eingabe Meldungen'!$A$2:$A$492,$B$224)+1-ROW('Eingabe Meldungen'!A7)))),"",INDEX('Eingabe Meldungen'!$D$2:$D$492,LARGE(('Eingabe Meldungen'!$A$2:$A$492=$B$224)*(ROW('Eingabe Meldungen'!$A$2:$A$492)-1),COUNTIF('Eingabe Meldungen'!$A$2:$A$492,$B$224)+1-ROW('Eingabe Meldungen'!A7))))</f>
        <v>Clemens</v>
      </c>
      <c r="D232" s="66">
        <f t="array" ref="D232">IF(B232&lt;&gt;"",INDEX('Eingabe Meldungen'!$C$2:$H$492,MATCH(B232&amp;C232,'Eingabe Meldungen'!$C$2:$C$492&amp;'Eingabe Meldungen'!$D$2:$D$492,0),6),"")</f>
        <v>2005</v>
      </c>
      <c r="E232" s="66" t="str">
        <f t="array" ref="E232">IF(B232&lt;&gt;"",INDEX('Eingabe Meldungen'!$C$2:$H$492,MATCH(B232&amp;C232,'Eingabe Meldungen'!$C$2:$C$492&amp;'Eingabe Meldungen'!$D$2:$D$492,0),4),"")</f>
        <v>Lgw. bis 67,5kg</v>
      </c>
      <c r="F232" s="66">
        <v>7</v>
      </c>
      <c r="G232" s="135"/>
      <c r="H232" s="4" t="e">
        <f t="shared" si="19"/>
        <v>#N/A</v>
      </c>
      <c r="I232" s="136" t="str">
        <f t="array" ref="I232">IF(B232&lt;&gt;"",INDEX('Eingabe Meldungen'!$C$2:$J$492,MATCH(B232&amp;C232,'Eingabe Meldungen'!$C$2:$C$492&amp;'Eingabe Meldungen'!$D$2:$D$492,0),8),"")</f>
        <v>RC Nürtingen</v>
      </c>
      <c r="K232" s="427"/>
      <c r="M232" s="11"/>
      <c r="N232" s="10"/>
      <c r="O232" s="11"/>
      <c r="P232" s="11"/>
      <c r="Q232" s="11"/>
      <c r="R232" s="11"/>
      <c r="S232" s="11"/>
      <c r="W232" s="15"/>
    </row>
    <row r="233" spans="2:23" x14ac:dyDescent="0.2">
      <c r="B233" s="100" t="str">
        <f t="array" ref="B233">IF(ISERROR(INDEX('Eingabe Meldungen'!$C$2:$C$492,LARGE(('Eingabe Meldungen'!$A$2:$A$492=$B$224)*(ROW('Eingabe Meldungen'!$A$2:$A$492)-1),COUNTIF('Eingabe Meldungen'!$A$2:$A$492,$B$224)+1-ROW('Eingabe Meldungen'!A8)))),"",INDEX('Eingabe Meldungen'!$C$2:$C$492,LARGE(('Eingabe Meldungen'!$A$2:$A$492=$B$224)*(ROW('Eingabe Meldungen'!$A$2:$A$492)-1),COUNTIF('Eingabe Meldungen'!$A$2:$A$492,$B$224)+1-ROW('Eingabe Meldungen'!A8))))</f>
        <v>Wiens</v>
      </c>
      <c r="C233" s="4" t="str">
        <f t="array" ref="C233">IF(ISERROR(INDEX('Eingabe Meldungen'!$D$2:$D$492,LARGE(('Eingabe Meldungen'!$A$2:$A$492=$B$224)*(ROW('Eingabe Meldungen'!$A$2:$A$492)-1),COUNTIF('Eingabe Meldungen'!$A$2:$A$492,$B$224)+1-ROW('Eingabe Meldungen'!A8)))),"",INDEX('Eingabe Meldungen'!$D$2:$D$492,LARGE(('Eingabe Meldungen'!$A$2:$A$492=$B$224)*(ROW('Eingabe Meldungen'!$A$2:$A$492)-1),COUNTIF('Eingabe Meldungen'!$A$2:$A$492,$B$224)+1-ROW('Eingabe Meldungen'!A8))))</f>
        <v>Daniel</v>
      </c>
      <c r="D233" s="66">
        <f t="array" ref="D233">IF(B233&lt;&gt;"",INDEX('Eingabe Meldungen'!$C$2:$H$492,MATCH(B233&amp;C233,'Eingabe Meldungen'!$C$2:$C$492&amp;'Eingabe Meldungen'!$D$2:$D$492,0),6),"")</f>
        <v>2005</v>
      </c>
      <c r="E233" s="66" t="str">
        <f t="array" ref="E233">IF(B233&lt;&gt;"",INDEX('Eingabe Meldungen'!$C$2:$H$492,MATCH(B233&amp;C233,'Eingabe Meldungen'!$C$2:$C$492&amp;'Eingabe Meldungen'!$D$2:$D$492,0),4),"")</f>
        <v>Lgw. bis 67,5kg</v>
      </c>
      <c r="F233" s="66">
        <v>8</v>
      </c>
      <c r="G233" s="135"/>
      <c r="H233" s="4" t="e">
        <f t="shared" si="19"/>
        <v>#N/A</v>
      </c>
      <c r="I233" s="136" t="str">
        <f t="array" ref="I233">IF(B233&lt;&gt;"",INDEX('Eingabe Meldungen'!$C$2:$J$492,MATCH(B233&amp;C233,'Eingabe Meldungen'!$C$2:$C$492&amp;'Eingabe Meldungen'!$D$2:$D$492,0),8),"")</f>
        <v>RV Waldsee</v>
      </c>
      <c r="K233" s="427"/>
      <c r="M233" s="11"/>
      <c r="N233" s="10"/>
      <c r="O233" s="11"/>
      <c r="P233" s="11"/>
      <c r="Q233" s="11"/>
      <c r="R233" s="11"/>
      <c r="S233" s="11"/>
      <c r="W233" s="15"/>
    </row>
    <row r="234" spans="2:23" x14ac:dyDescent="0.2">
      <c r="B234" s="100" t="str">
        <f t="array" ref="B234">IF(ISERROR(INDEX('Eingabe Meldungen'!$C$2:$C$492,LARGE(('Eingabe Meldungen'!$A$2:$A$492=$B$224)*(ROW('Eingabe Meldungen'!$A$2:$A$492)-1),COUNTIF('Eingabe Meldungen'!$A$2:$A$492,$B$224)+1-ROW('Eingabe Meldungen'!A9)))),"",INDEX('Eingabe Meldungen'!$C$2:$C$492,LARGE(('Eingabe Meldungen'!$A$2:$A$492=$B$224)*(ROW('Eingabe Meldungen'!$A$2:$A$492)-1),COUNTIF('Eingabe Meldungen'!$A$2:$A$492,$B$224)+1-ROW('Eingabe Meldungen'!A9))))</f>
        <v>Wolf</v>
      </c>
      <c r="C234" s="4" t="str">
        <f t="array" ref="C234">IF(ISERROR(INDEX('Eingabe Meldungen'!$D$2:$D$492,LARGE(('Eingabe Meldungen'!$A$2:$A$492=$B$224)*(ROW('Eingabe Meldungen'!$A$2:$A$492)-1),COUNTIF('Eingabe Meldungen'!$A$2:$A$492,$B$224)+1-ROW('Eingabe Meldungen'!A9)))),"",INDEX('Eingabe Meldungen'!$D$2:$D$492,LARGE(('Eingabe Meldungen'!$A$2:$A$492=$B$224)*(ROW('Eingabe Meldungen'!$A$2:$A$492)-1),COUNTIF('Eingabe Meldungen'!$A$2:$A$492,$B$224)+1-ROW('Eingabe Meldungen'!A9))))</f>
        <v>Enno</v>
      </c>
      <c r="D234" s="66">
        <f t="array" ref="D234">IF(B234&lt;&gt;"",INDEX('Eingabe Meldungen'!$C$2:$H$492,MATCH(B234&amp;C234,'Eingabe Meldungen'!$C$2:$C$492&amp;'Eingabe Meldungen'!$D$2:$D$492,0),6),"")</f>
        <v>2005</v>
      </c>
      <c r="E234" s="66" t="str">
        <f t="array" ref="E234">IF(B234&lt;&gt;"",INDEX('Eingabe Meldungen'!$C$2:$H$492,MATCH(B234&amp;C234,'Eingabe Meldungen'!$C$2:$C$492&amp;'Eingabe Meldungen'!$D$2:$D$492,0),4),"")</f>
        <v>Lgw. bis 67,5kg</v>
      </c>
      <c r="F234" s="66">
        <v>9</v>
      </c>
      <c r="G234" s="135"/>
      <c r="H234" s="4" t="e">
        <f t="shared" si="19"/>
        <v>#N/A</v>
      </c>
      <c r="I234" s="136" t="str">
        <f t="array" ref="I234">IF(B234&lt;&gt;"",INDEX('Eingabe Meldungen'!$C$2:$J$492,MATCH(B234&amp;C234,'Eingabe Meldungen'!$C$2:$C$492&amp;'Eingabe Meldungen'!$D$2:$D$492,0),8),"")</f>
        <v>HRG Schwaben</v>
      </c>
      <c r="K234" s="427"/>
      <c r="M234" s="11"/>
      <c r="N234" s="10"/>
      <c r="O234" s="11"/>
      <c r="P234" s="11"/>
      <c r="Q234" s="11"/>
      <c r="R234" s="11"/>
      <c r="S234" s="11"/>
      <c r="W234" s="15"/>
    </row>
    <row r="235" spans="2:23" ht="13.2" thickBot="1" x14ac:dyDescent="0.25">
      <c r="B235" s="138" t="str">
        <f t="array" ref="B235">IF(ISERROR(INDEX('Eingabe Meldungen'!$C$2:$C$492,LARGE(('Eingabe Meldungen'!$A$2:$A$492=$B$224)*(ROW('Eingabe Meldungen'!$A$2:$A$492)-1),COUNTIF('Eingabe Meldungen'!$A$2:$A$492,$B$224)+1-ROW('Eingabe Meldungen'!A10)))),"",INDEX('Eingabe Meldungen'!$C$2:$C$492,LARGE(('Eingabe Meldungen'!$A$2:$A$492=$B$224)*(ROW('Eingabe Meldungen'!$A$2:$A$492)-1),COUNTIF('Eingabe Meldungen'!$A$2:$A$492,$B$224)+1-ROW('Eingabe Meldungen'!A10))))</f>
        <v>Fouque</v>
      </c>
      <c r="C235" s="139" t="str">
        <f t="array" ref="C235">IF(ISERROR(INDEX('Eingabe Meldungen'!$D$2:$D$492,LARGE(('Eingabe Meldungen'!$A$2:$A$492=$B$224)*(ROW('Eingabe Meldungen'!$A$2:$A$492)-1),COUNTIF('Eingabe Meldungen'!$A$2:$A$492,$B$224)+1-ROW('Eingabe Meldungen'!A10)))),"",INDEX('Eingabe Meldungen'!$D$2:$D$492,LARGE(('Eingabe Meldungen'!$A$2:$A$492=$B$224)*(ROW('Eingabe Meldungen'!$A$2:$A$492)-1),COUNTIF('Eingabe Meldungen'!$A$2:$A$492,$B$224)+1-ROW('Eingabe Meldungen'!A10))))</f>
        <v>Finn</v>
      </c>
      <c r="D235" s="99">
        <f t="array" ref="D235">IF(B235&lt;&gt;"",INDEX('Eingabe Meldungen'!$C$2:$H$492,MATCH(B235&amp;C235,'Eingabe Meldungen'!$C$2:$C$492&amp;'Eingabe Meldungen'!$D$2:$D$492,0),6),"")</f>
        <v>2005</v>
      </c>
      <c r="E235" s="99" t="str">
        <f t="array" ref="E235">IF(B235&lt;&gt;"",INDEX('Eingabe Meldungen'!$C$2:$H$492,MATCH(B235&amp;C235,'Eingabe Meldungen'!$C$2:$C$492&amp;'Eingabe Meldungen'!$D$2:$D$492,0),4),"")</f>
        <v>Lgw. bis 67,5kg</v>
      </c>
      <c r="F235" s="99">
        <v>10</v>
      </c>
      <c r="G235" s="143"/>
      <c r="H235" s="139" t="e">
        <f t="shared" si="19"/>
        <v>#N/A</v>
      </c>
      <c r="I235" s="141" t="str">
        <f t="array" ref="I235">IF(B235&lt;&gt;"",INDEX('Eingabe Meldungen'!$C$2:$J$492,MATCH(B235&amp;C235,'Eingabe Meldungen'!$C$2:$C$492&amp;'Eingabe Meldungen'!$D$2:$D$492,0),8),"")</f>
        <v>RC Nürtingen</v>
      </c>
      <c r="K235" s="428"/>
      <c r="M235" s="11"/>
      <c r="N235" s="10"/>
      <c r="O235" s="11"/>
      <c r="P235" s="11"/>
      <c r="Q235" s="11"/>
      <c r="R235" s="11"/>
      <c r="S235" s="11"/>
      <c r="W235" s="15"/>
    </row>
    <row r="236" spans="2:23" x14ac:dyDescent="0.2">
      <c r="B236" s="131" t="str">
        <f t="array" ref="B236">IF(ISERROR(INDEX('Eingabe Meldungen'!$C$2:$C$492,LARGE(('Eingabe Meldungen'!$A$2:$A$492=$B$224)*(ROW('Eingabe Meldungen'!$A$2:$A$492)-1),COUNTIF('Eingabe Meldungen'!$A$2:$A$492,$B$224)+1-ROW('Eingabe Meldungen'!A11)))),"",INDEX('Eingabe Meldungen'!$C$2:$C$492,LARGE(('Eingabe Meldungen'!$A$2:$A$492=$B$224)*(ROW('Eingabe Meldungen'!$A$2:$A$492)-1),COUNTIF('Eingabe Meldungen'!$A$2:$A$492,$B$224)+1-ROW('Eingabe Meldungen'!A11))))</f>
        <v>Wilke</v>
      </c>
      <c r="C236" s="132" t="str">
        <f t="array" ref="C236">IF(ISERROR(INDEX('Eingabe Meldungen'!$D$2:$D$492,LARGE(('Eingabe Meldungen'!$A$2:$A$492=$B$224)*(ROW('Eingabe Meldungen'!$A$2:$A$492)-1),COUNTIF('Eingabe Meldungen'!$A$2:$A$492,$B$224)+1-ROW('Eingabe Meldungen'!A11)))),"",INDEX('Eingabe Meldungen'!$D$2:$D$492,LARGE(('Eingabe Meldungen'!$A$2:$A$492=$B$224)*(ROW('Eingabe Meldungen'!$A$2:$A$492)-1),COUNTIF('Eingabe Meldungen'!$A$2:$A$492,$B$224)+1-ROW('Eingabe Meldungen'!A11))))</f>
        <v>Henri</v>
      </c>
      <c r="D236" s="78">
        <f t="array" ref="D236">IF(B236&lt;&gt;"",INDEX('Eingabe Meldungen'!$C$2:$H$492,MATCH(B236&amp;C236,'Eingabe Meldungen'!$C$2:$C$492&amp;'Eingabe Meldungen'!$D$2:$D$492,0),6),"")</f>
        <v>2005</v>
      </c>
      <c r="E236" s="78" t="str">
        <f t="array" ref="E236">IF(B236&lt;&gt;"",INDEX('Eingabe Meldungen'!$C$2:$H$492,MATCH(B236&amp;C236,'Eingabe Meldungen'!$C$2:$C$492&amp;'Eingabe Meldungen'!$D$2:$D$492,0),4),"")</f>
        <v>Lgw. bis 67,5kg</v>
      </c>
      <c r="F236" s="78">
        <v>1</v>
      </c>
      <c r="G236" s="133"/>
      <c r="H236" s="132" t="e">
        <f t="shared" si="19"/>
        <v>#N/A</v>
      </c>
      <c r="I236" s="134" t="str">
        <f t="array" ref="I236">IF(B236&lt;&gt;"",INDEX('Eingabe Meldungen'!$C$2:$J$492,MATCH(B236&amp;C236,'Eingabe Meldungen'!$C$2:$C$492&amp;'Eingabe Meldungen'!$D$2:$D$492,0),8),"")</f>
        <v>Rudergesellschaft Heidelberg</v>
      </c>
      <c r="K236" s="426" t="s">
        <v>455</v>
      </c>
      <c r="M236" s="11"/>
      <c r="N236" s="10"/>
      <c r="O236" s="11"/>
      <c r="P236" s="11"/>
      <c r="Q236" s="11"/>
      <c r="R236" s="11"/>
      <c r="S236" s="11"/>
      <c r="W236" s="15"/>
    </row>
    <row r="237" spans="2:23" x14ac:dyDescent="0.2">
      <c r="B237" s="100" t="str">
        <f t="array" ref="B237">IF(ISERROR(INDEX('Eingabe Meldungen'!$C$2:$C$492,LARGE(('Eingabe Meldungen'!$A$2:$A$492=$B$224)*(ROW('Eingabe Meldungen'!$A$2:$A$492)-1),COUNTIF('Eingabe Meldungen'!$A$2:$A$492,$B$224)+1-ROW('Eingabe Meldungen'!A12)))),"",INDEX('Eingabe Meldungen'!$C$2:$C$492,LARGE(('Eingabe Meldungen'!$A$2:$A$492=$B$224)*(ROW('Eingabe Meldungen'!$A$2:$A$492)-1),COUNTIF('Eingabe Meldungen'!$A$2:$A$492,$B$224)+1-ROW('Eingabe Meldungen'!A12))))</f>
        <v>Hannig</v>
      </c>
      <c r="C237" s="4" t="str">
        <f t="array" ref="C237">IF(ISERROR(INDEX('Eingabe Meldungen'!$D$2:$D$492,LARGE(('Eingabe Meldungen'!$A$2:$A$492=$B$224)*(ROW('Eingabe Meldungen'!$A$2:$A$492)-1),COUNTIF('Eingabe Meldungen'!$A$2:$A$492,$B$224)+1-ROW('Eingabe Meldungen'!A12)))),"",INDEX('Eingabe Meldungen'!$D$2:$D$492,LARGE(('Eingabe Meldungen'!$A$2:$A$492=$B$224)*(ROW('Eingabe Meldungen'!$A$2:$A$492)-1),COUNTIF('Eingabe Meldungen'!$A$2:$A$492,$B$224)+1-ROW('Eingabe Meldungen'!A12))))</f>
        <v>Jan</v>
      </c>
      <c r="D237" s="66">
        <f t="array" ref="D237">IF(B237&lt;&gt;"",INDEX('Eingabe Meldungen'!$C$2:$H$492,MATCH(B237&amp;C237,'Eingabe Meldungen'!$C$2:$C$492&amp;'Eingabe Meldungen'!$D$2:$D$492,0),6),"")</f>
        <v>2005</v>
      </c>
      <c r="E237" s="66" t="str">
        <f t="array" ref="E237">IF(B237&lt;&gt;"",INDEX('Eingabe Meldungen'!$C$2:$H$492,MATCH(B237&amp;C237,'Eingabe Meldungen'!$C$2:$C$492&amp;'Eingabe Meldungen'!$D$2:$D$492,0),4),"")</f>
        <v>Lgw. bis 67,5kg</v>
      </c>
      <c r="F237" s="66">
        <v>2</v>
      </c>
      <c r="G237" s="135"/>
      <c r="H237" s="4" t="e">
        <f t="shared" si="19"/>
        <v>#N/A</v>
      </c>
      <c r="I237" s="136" t="str">
        <f t="array" ref="I237">IF(B237&lt;&gt;"",INDEX('Eingabe Meldungen'!$C$2:$J$492,MATCH(B237&amp;C237,'Eingabe Meldungen'!$C$2:$C$492&amp;'Eingabe Meldungen'!$D$2:$D$492,0),8),"")</f>
        <v>Schweinfurter Ruder-Club Franken</v>
      </c>
      <c r="K237" s="427"/>
      <c r="M237" s="11"/>
      <c r="N237" s="10"/>
      <c r="O237" s="11"/>
      <c r="P237" s="11"/>
      <c r="Q237" s="11"/>
      <c r="R237" s="11"/>
      <c r="S237" s="11"/>
      <c r="W237" s="15"/>
    </row>
    <row r="238" spans="2:23" x14ac:dyDescent="0.2">
      <c r="B238" s="100" t="str">
        <f t="array" ref="B238">IF(ISERROR(INDEX('Eingabe Meldungen'!$C$2:$C$492,LARGE(('Eingabe Meldungen'!$A$2:$A$492=$B$224)*(ROW('Eingabe Meldungen'!$A$2:$A$492)-1),COUNTIF('Eingabe Meldungen'!$A$2:$A$492,$B$224)+1-ROW('Eingabe Meldungen'!A13)))),"",INDEX('Eingabe Meldungen'!$C$2:$C$492,LARGE(('Eingabe Meldungen'!$A$2:$A$492=$B$224)*(ROW('Eingabe Meldungen'!$A$2:$A$492)-1),COUNTIF('Eingabe Meldungen'!$A$2:$A$492,$B$224)+1-ROW('Eingabe Meldungen'!A13))))</f>
        <v>Grimm</v>
      </c>
      <c r="C238" s="4" t="str">
        <f t="array" ref="C238">IF(ISERROR(INDEX('Eingabe Meldungen'!$D$2:$D$492,LARGE(('Eingabe Meldungen'!$A$2:$A$492=$B$224)*(ROW('Eingabe Meldungen'!$A$2:$A$492)-1),COUNTIF('Eingabe Meldungen'!$A$2:$A$492,$B$224)+1-ROW('Eingabe Meldungen'!A13)))),"",INDEX('Eingabe Meldungen'!$D$2:$D$492,LARGE(('Eingabe Meldungen'!$A$2:$A$492=$B$224)*(ROW('Eingabe Meldungen'!$A$2:$A$492)-1),COUNTIF('Eingabe Meldungen'!$A$2:$A$492,$B$224)+1-ROW('Eingabe Meldungen'!A13))))</f>
        <v>Lorenz</v>
      </c>
      <c r="D238" s="66">
        <f t="array" ref="D238">IF(B238&lt;&gt;"",INDEX('Eingabe Meldungen'!$C$2:$H$492,MATCH(B238&amp;C238,'Eingabe Meldungen'!$C$2:$C$492&amp;'Eingabe Meldungen'!$D$2:$D$492,0),6),"")</f>
        <v>2005</v>
      </c>
      <c r="E238" s="66" t="str">
        <f t="array" ref="E238">IF(B238&lt;&gt;"",INDEX('Eingabe Meldungen'!$C$2:$H$492,MATCH(B238&amp;C238,'Eingabe Meldungen'!$C$2:$C$492&amp;'Eingabe Meldungen'!$D$2:$D$492,0),4),"")</f>
        <v>Lgw. bis 67,5kg</v>
      </c>
      <c r="F238" s="66">
        <v>3</v>
      </c>
      <c r="G238" s="135"/>
      <c r="H238" s="4" t="e">
        <f t="shared" si="19"/>
        <v>#N/A</v>
      </c>
      <c r="I238" s="136" t="str">
        <f t="array" ref="I238">IF(B238&lt;&gt;"",INDEX('Eingabe Meldungen'!$C$2:$J$492,MATCH(B238&amp;C238,'Eingabe Meldungen'!$C$2:$C$492&amp;'Eingabe Meldungen'!$D$2:$D$492,0),8),"")</f>
        <v>Schweinfurter Ruder-Club Franken</v>
      </c>
      <c r="K238" s="427"/>
      <c r="M238" s="11"/>
      <c r="N238" s="10"/>
      <c r="O238" s="11"/>
      <c r="P238" s="11"/>
      <c r="Q238" s="11"/>
      <c r="R238" s="11"/>
      <c r="S238" s="11"/>
      <c r="W238" s="15"/>
    </row>
    <row r="239" spans="2:23" x14ac:dyDescent="0.2">
      <c r="B239" s="100" t="str">
        <f t="array" ref="B239">IF(ISERROR(INDEX('Eingabe Meldungen'!$C$2:$C$492,LARGE(('Eingabe Meldungen'!$A$2:$A$492=$B$224)*(ROW('Eingabe Meldungen'!$A$2:$A$492)-1),COUNTIF('Eingabe Meldungen'!$A$2:$A$492,$B$224)+1-ROW('Eingabe Meldungen'!A14)))),"",INDEX('Eingabe Meldungen'!$C$2:$C$492,LARGE(('Eingabe Meldungen'!$A$2:$A$492=$B$224)*(ROW('Eingabe Meldungen'!$A$2:$A$492)-1),COUNTIF('Eingabe Meldungen'!$A$2:$A$492,$B$224)+1-ROW('Eingabe Meldungen'!A14))))</f>
        <v>Schnaidt</v>
      </c>
      <c r="C239" s="4" t="str">
        <f t="array" ref="C239">IF(ISERROR(INDEX('Eingabe Meldungen'!$D$2:$D$492,LARGE(('Eingabe Meldungen'!$A$2:$A$492=$B$224)*(ROW('Eingabe Meldungen'!$A$2:$A$492)-1),COUNTIF('Eingabe Meldungen'!$A$2:$A$492,$B$224)+1-ROW('Eingabe Meldungen'!A14)))),"",INDEX('Eingabe Meldungen'!$D$2:$D$492,LARGE(('Eingabe Meldungen'!$A$2:$A$492=$B$224)*(ROW('Eingabe Meldungen'!$A$2:$A$492)-1),COUNTIF('Eingabe Meldungen'!$A$2:$A$492,$B$224)+1-ROW('Eingabe Meldungen'!A14))))</f>
        <v>Manuel</v>
      </c>
      <c r="D239" s="66">
        <f t="array" ref="D239">IF(B239&lt;&gt;"",INDEX('Eingabe Meldungen'!$C$2:$H$492,MATCH(B239&amp;C239,'Eingabe Meldungen'!$C$2:$C$492&amp;'Eingabe Meldungen'!$D$2:$D$492,0),6),"")</f>
        <v>2005</v>
      </c>
      <c r="E239" s="66" t="str">
        <f t="array" ref="E239">IF(B239&lt;&gt;"",INDEX('Eingabe Meldungen'!$C$2:$H$492,MATCH(B239&amp;C239,'Eingabe Meldungen'!$C$2:$C$492&amp;'Eingabe Meldungen'!$D$2:$D$492,0),4),"")</f>
        <v>Lgw. bis 67,5kg</v>
      </c>
      <c r="F239" s="66">
        <v>4</v>
      </c>
      <c r="G239" s="135"/>
      <c r="H239" s="4" t="e">
        <f t="shared" si="19"/>
        <v>#N/A</v>
      </c>
      <c r="I239" s="136" t="str">
        <f t="array" ref="I239">IF(B239&lt;&gt;"",INDEX('Eingabe Meldungen'!$C$2:$J$492,MATCH(B239&amp;C239,'Eingabe Meldungen'!$C$2:$C$492&amp;'Eingabe Meldungen'!$D$2:$D$492,0),8),"")</f>
        <v>RC Nürtingen</v>
      </c>
      <c r="K239" s="427"/>
      <c r="M239" s="11"/>
      <c r="N239" s="10"/>
      <c r="O239" s="11"/>
      <c r="P239" s="11"/>
      <c r="Q239" s="11"/>
      <c r="R239" s="11"/>
      <c r="S239" s="11"/>
      <c r="W239" s="15"/>
    </row>
    <row r="240" spans="2:23" x14ac:dyDescent="0.2">
      <c r="B240" s="100" t="str">
        <f t="array" ref="B240">IF(ISERROR(INDEX('Eingabe Meldungen'!$C$2:$C$492,LARGE(('Eingabe Meldungen'!$A$2:$A$492=$B$224)*(ROW('Eingabe Meldungen'!$A$2:$A$492)-1),COUNTIF('Eingabe Meldungen'!$A$2:$A$492,$B$224)+1-ROW('Eingabe Meldungen'!A15)))),"",INDEX('Eingabe Meldungen'!$C$2:$C$492,LARGE(('Eingabe Meldungen'!$A$2:$A$492=$B$224)*(ROW('Eingabe Meldungen'!$A$2:$A$492)-1),COUNTIF('Eingabe Meldungen'!$A$2:$A$492,$B$224)+1-ROW('Eingabe Meldungen'!A15))))</f>
        <v>Tschöke</v>
      </c>
      <c r="C240" s="4" t="str">
        <f t="array" ref="C240">IF(ISERROR(INDEX('Eingabe Meldungen'!$D$2:$D$492,LARGE(('Eingabe Meldungen'!$A$2:$A$492=$B$224)*(ROW('Eingabe Meldungen'!$A$2:$A$492)-1),COUNTIF('Eingabe Meldungen'!$A$2:$A$492,$B$224)+1-ROW('Eingabe Meldungen'!A15)))),"",INDEX('Eingabe Meldungen'!$D$2:$D$492,LARGE(('Eingabe Meldungen'!$A$2:$A$492=$B$224)*(ROW('Eingabe Meldungen'!$A$2:$A$492)-1),COUNTIF('Eingabe Meldungen'!$A$2:$A$492,$B$224)+1-ROW('Eingabe Meldungen'!A15))))</f>
        <v>Pascal</v>
      </c>
      <c r="D240" s="66">
        <f t="array" ref="D240">IF(B240&lt;&gt;"",INDEX('Eingabe Meldungen'!$C$2:$H$492,MATCH(B240&amp;C240,'Eingabe Meldungen'!$C$2:$C$492&amp;'Eingabe Meldungen'!$D$2:$D$492,0),6),"")</f>
        <v>2005</v>
      </c>
      <c r="E240" s="66" t="str">
        <f t="array" ref="E240">IF(B240&lt;&gt;"",INDEX('Eingabe Meldungen'!$C$2:$H$492,MATCH(B240&amp;C240,'Eingabe Meldungen'!$C$2:$C$492&amp;'Eingabe Meldungen'!$D$2:$D$492,0),4),"")</f>
        <v>Lgw. bis 67,5kg</v>
      </c>
      <c r="F240" s="66">
        <v>5</v>
      </c>
      <c r="G240" s="135"/>
      <c r="H240" s="4" t="e">
        <f t="shared" si="19"/>
        <v>#N/A</v>
      </c>
      <c r="I240" s="136" t="str">
        <f t="array" ref="I240">IF(B240&lt;&gt;"",INDEX('Eingabe Meldungen'!$C$2:$J$492,MATCH(B240&amp;C240,'Eingabe Meldungen'!$C$2:$C$492&amp;'Eingabe Meldungen'!$D$2:$D$492,0),8),"")</f>
        <v>RV Waldsee</v>
      </c>
      <c r="K240" s="427"/>
      <c r="M240" s="11"/>
      <c r="N240" s="10"/>
      <c r="O240" s="11"/>
      <c r="P240" s="11"/>
      <c r="Q240" s="11"/>
      <c r="R240" s="11"/>
      <c r="S240" s="11"/>
      <c r="W240" s="15"/>
    </row>
    <row r="241" spans="2:23" x14ac:dyDescent="0.2">
      <c r="B241" s="100" t="str">
        <f t="array" ref="B241">IF(ISERROR(INDEX('Eingabe Meldungen'!$C$2:$C$492,LARGE(('Eingabe Meldungen'!$A$2:$A$492=$B$224)*(ROW('Eingabe Meldungen'!$A$2:$A$492)-1),COUNTIF('Eingabe Meldungen'!$A$2:$A$492,$B$224)+1-ROW('Eingabe Meldungen'!A16)))),"",INDEX('Eingabe Meldungen'!$C$2:$C$492,LARGE(('Eingabe Meldungen'!$A$2:$A$492=$B$224)*(ROW('Eingabe Meldungen'!$A$2:$A$492)-1),COUNTIF('Eingabe Meldungen'!$A$2:$A$492,$B$224)+1-ROW('Eingabe Meldungen'!A16))))</f>
        <v>Philipp</v>
      </c>
      <c r="C241" s="4" t="str">
        <f t="array" ref="C241">IF(ISERROR(INDEX('Eingabe Meldungen'!$D$2:$D$492,LARGE(('Eingabe Meldungen'!$A$2:$A$492=$B$224)*(ROW('Eingabe Meldungen'!$A$2:$A$492)-1),COUNTIF('Eingabe Meldungen'!$A$2:$A$492,$B$224)+1-ROW('Eingabe Meldungen'!A16)))),"",INDEX('Eingabe Meldungen'!$D$2:$D$492,LARGE(('Eingabe Meldungen'!$A$2:$A$492=$B$224)*(ROW('Eingabe Meldungen'!$A$2:$A$492)-1),COUNTIF('Eingabe Meldungen'!$A$2:$A$492,$B$224)+1-ROW('Eingabe Meldungen'!A16))))</f>
        <v>Paul</v>
      </c>
      <c r="D241" s="66">
        <f t="array" ref="D241">IF(B241&lt;&gt;"",INDEX('Eingabe Meldungen'!$C$2:$H$492,MATCH(B241&amp;C241,'Eingabe Meldungen'!$C$2:$C$492&amp;'Eingabe Meldungen'!$D$2:$D$492,0),6),"")</f>
        <v>2005</v>
      </c>
      <c r="E241" s="66" t="str">
        <f t="array" ref="E241">IF(B241&lt;&gt;"",INDEX('Eingabe Meldungen'!$C$2:$H$492,MATCH(B241&amp;C241,'Eingabe Meldungen'!$C$2:$C$492&amp;'Eingabe Meldungen'!$D$2:$D$492,0),4),"")</f>
        <v>Lgw. bis 67,5kg</v>
      </c>
      <c r="F241" s="66">
        <v>6</v>
      </c>
      <c r="G241" s="135"/>
      <c r="H241" s="4" t="e">
        <f t="shared" si="19"/>
        <v>#N/A</v>
      </c>
      <c r="I241" s="136" t="str">
        <f t="array" ref="I241">IF(B241&lt;&gt;"",INDEX('Eingabe Meldungen'!$C$2:$J$492,MATCH(B241&amp;C241,'Eingabe Meldungen'!$C$2:$C$492&amp;'Eingabe Meldungen'!$D$2:$D$492,0),8),"")</f>
        <v>Schweinfurter Ruder-Club Franken</v>
      </c>
      <c r="K241" s="427"/>
      <c r="M241" s="11"/>
      <c r="N241" s="10"/>
      <c r="O241" s="11"/>
      <c r="P241" s="11"/>
      <c r="Q241" s="11"/>
      <c r="R241" s="11"/>
      <c r="S241" s="11"/>
      <c r="W241" s="15"/>
    </row>
    <row r="242" spans="2:23" x14ac:dyDescent="0.2">
      <c r="B242" s="100" t="str">
        <f t="array" ref="B242">IF(ISERROR(INDEX('Eingabe Meldungen'!$C$2:$C$492,LARGE(('Eingabe Meldungen'!$A$2:$A$492=$B$224)*(ROW('Eingabe Meldungen'!$A$2:$A$492)-1),COUNTIF('Eingabe Meldungen'!$A$2:$A$492,$B$224)+1-ROW('Eingabe Meldungen'!A17)))),"",INDEX('Eingabe Meldungen'!$C$2:$C$492,LARGE(('Eingabe Meldungen'!$A$2:$A$492=$B$224)*(ROW('Eingabe Meldungen'!$A$2:$A$492)-1),COUNTIF('Eingabe Meldungen'!$A$2:$A$492,$B$224)+1-ROW('Eingabe Meldungen'!A17))))</f>
        <v>Weckenmann</v>
      </c>
      <c r="C242" s="4" t="str">
        <f t="array" ref="C242">IF(ISERROR(INDEX('Eingabe Meldungen'!$D$2:$D$492,LARGE(('Eingabe Meldungen'!$A$2:$A$492=$B$224)*(ROW('Eingabe Meldungen'!$A$2:$A$492)-1),COUNTIF('Eingabe Meldungen'!$A$2:$A$492,$B$224)+1-ROW('Eingabe Meldungen'!A17)))),"",INDEX('Eingabe Meldungen'!$D$2:$D$492,LARGE(('Eingabe Meldungen'!$A$2:$A$492=$B$224)*(ROW('Eingabe Meldungen'!$A$2:$A$492)-1),COUNTIF('Eingabe Meldungen'!$A$2:$A$492,$B$224)+1-ROW('Eingabe Meldungen'!A17))))</f>
        <v>Phil Ole</v>
      </c>
      <c r="D242" s="66">
        <f t="array" ref="D242">IF(B242&lt;&gt;"",INDEX('Eingabe Meldungen'!$C$2:$H$492,MATCH(B242&amp;C242,'Eingabe Meldungen'!$C$2:$C$492&amp;'Eingabe Meldungen'!$D$2:$D$492,0),6),"")</f>
        <v>2005</v>
      </c>
      <c r="E242" s="66" t="str">
        <f t="array" ref="E242">IF(B242&lt;&gt;"",INDEX('Eingabe Meldungen'!$C$2:$H$492,MATCH(B242&amp;C242,'Eingabe Meldungen'!$C$2:$C$492&amp;'Eingabe Meldungen'!$D$2:$D$492,0),4),"")</f>
        <v>Lgw. bis 67,5kg</v>
      </c>
      <c r="F242" s="66">
        <v>7</v>
      </c>
      <c r="G242" s="135"/>
      <c r="H242" s="4" t="e">
        <f t="shared" si="19"/>
        <v>#N/A</v>
      </c>
      <c r="I242" s="136" t="str">
        <f t="array" ref="I242">IF(B242&lt;&gt;"",INDEX('Eingabe Meldungen'!$C$2:$J$492,MATCH(B242&amp;C242,'Eingabe Meldungen'!$C$2:$C$492&amp;'Eingabe Meldungen'!$D$2:$D$492,0),8),"")</f>
        <v>RC Nürtingen</v>
      </c>
      <c r="K242" s="427"/>
      <c r="M242" s="11"/>
      <c r="N242" s="10"/>
      <c r="O242" s="11"/>
      <c r="P242" s="11"/>
      <c r="Q242" s="11"/>
      <c r="R242" s="11"/>
      <c r="S242" s="11"/>
      <c r="W242" s="15"/>
    </row>
    <row r="243" spans="2:23" x14ac:dyDescent="0.2">
      <c r="B243" s="100" t="str">
        <f t="array" ref="B243">IF(ISERROR(INDEX('Eingabe Meldungen'!$C$2:$C$492,LARGE(('Eingabe Meldungen'!$A$2:$A$492=$B$224)*(ROW('Eingabe Meldungen'!$A$2:$A$492)-1),COUNTIF('Eingabe Meldungen'!$A$2:$A$492,$B$224)+1-ROW('Eingabe Meldungen'!A18)))),"",INDEX('Eingabe Meldungen'!$C$2:$C$492,LARGE(('Eingabe Meldungen'!$A$2:$A$492=$B$224)*(ROW('Eingabe Meldungen'!$A$2:$A$492)-1),COUNTIF('Eingabe Meldungen'!$A$2:$A$492,$B$224)+1-ROW('Eingabe Meldungen'!A18))))</f>
        <v>Degasperi</v>
      </c>
      <c r="C243" s="4" t="str">
        <f t="array" ref="C243">IF(ISERROR(INDEX('Eingabe Meldungen'!$D$2:$D$492,LARGE(('Eingabe Meldungen'!$A$2:$A$492=$B$224)*(ROW('Eingabe Meldungen'!$A$2:$A$492)-1),COUNTIF('Eingabe Meldungen'!$A$2:$A$492,$B$224)+1-ROW('Eingabe Meldungen'!A18)))),"",INDEX('Eingabe Meldungen'!$D$2:$D$492,LARGE(('Eingabe Meldungen'!$A$2:$A$492=$B$224)*(ROW('Eingabe Meldungen'!$A$2:$A$492)-1),COUNTIF('Eingabe Meldungen'!$A$2:$A$492,$B$224)+1-ROW('Eingabe Meldungen'!A18))))</f>
        <v>Samuel</v>
      </c>
      <c r="D243" s="66">
        <f t="array" ref="D243">IF(B243&lt;&gt;"",INDEX('Eingabe Meldungen'!$C$2:$H$492,MATCH(B243&amp;C243,'Eingabe Meldungen'!$C$2:$C$492&amp;'Eingabe Meldungen'!$D$2:$D$492,0),6),"")</f>
        <v>2005</v>
      </c>
      <c r="E243" s="66" t="str">
        <f t="array" ref="E243">IF(B243&lt;&gt;"",INDEX('Eingabe Meldungen'!$C$2:$H$492,MATCH(B243&amp;C243,'Eingabe Meldungen'!$C$2:$C$492&amp;'Eingabe Meldungen'!$D$2:$D$492,0),4),"")</f>
        <v>Lgw. bis 67,5kg</v>
      </c>
      <c r="F243" s="66">
        <v>8</v>
      </c>
      <c r="G243" s="135"/>
      <c r="H243" s="4" t="e">
        <f t="shared" si="19"/>
        <v>#N/A</v>
      </c>
      <c r="I243" s="136" t="str">
        <f t="array" ref="I243">IF(B243&lt;&gt;"",INDEX('Eingabe Meldungen'!$C$2:$J$492,MATCH(B243&amp;C243,'Eingabe Meldungen'!$C$2:$C$492&amp;'Eingabe Meldungen'!$D$2:$D$492,0),8),"")</f>
        <v>RV Waldsee</v>
      </c>
      <c r="K243" s="427"/>
      <c r="M243" s="11"/>
      <c r="N243" s="10"/>
      <c r="O243" s="11"/>
      <c r="P243" s="11"/>
      <c r="Q243" s="11"/>
      <c r="R243" s="11"/>
      <c r="S243" s="11"/>
      <c r="W243" s="15"/>
    </row>
    <row r="244" spans="2:23" x14ac:dyDescent="0.2">
      <c r="B244" s="100" t="str">
        <f t="array" ref="B244">IF(ISERROR(INDEX('Eingabe Meldungen'!$C$2:$C$492,LARGE(('Eingabe Meldungen'!$A$2:$A$492=$B$224)*(ROW('Eingabe Meldungen'!$A$2:$A$492)-1),COUNTIF('Eingabe Meldungen'!$A$2:$A$492,$B$224)+1-ROW('Eingabe Meldungen'!A19)))),"",INDEX('Eingabe Meldungen'!$C$2:$C$492,LARGE(('Eingabe Meldungen'!$A$2:$A$492=$B$224)*(ROW('Eingabe Meldungen'!$A$2:$A$492)-1),COUNTIF('Eingabe Meldungen'!$A$2:$A$492,$B$224)+1-ROW('Eingabe Meldungen'!A19))))</f>
        <v>Strohmann</v>
      </c>
      <c r="C244" s="4" t="str">
        <f t="array" ref="C244">IF(ISERROR(INDEX('Eingabe Meldungen'!$D$2:$D$492,LARGE(('Eingabe Meldungen'!$A$2:$A$492=$B$224)*(ROW('Eingabe Meldungen'!$A$2:$A$492)-1),COUNTIF('Eingabe Meldungen'!$A$2:$A$492,$B$224)+1-ROW('Eingabe Meldungen'!A19)))),"",INDEX('Eingabe Meldungen'!$D$2:$D$492,LARGE(('Eingabe Meldungen'!$A$2:$A$492=$B$224)*(ROW('Eingabe Meldungen'!$A$2:$A$492)-1),COUNTIF('Eingabe Meldungen'!$A$2:$A$492,$B$224)+1-ROW('Eingabe Meldungen'!A19))))</f>
        <v>Urs</v>
      </c>
      <c r="D244" s="66">
        <f t="array" ref="D244">IF(B244&lt;&gt;"",INDEX('Eingabe Meldungen'!$C$2:$H$492,MATCH(B244&amp;C244,'Eingabe Meldungen'!$C$2:$C$492&amp;'Eingabe Meldungen'!$D$2:$D$492,0),6),"")</f>
        <v>2005</v>
      </c>
      <c r="E244" s="66" t="str">
        <f t="array" ref="E244">IF(B244&lt;&gt;"",INDEX('Eingabe Meldungen'!$C$2:$H$492,MATCH(B244&amp;C244,'Eingabe Meldungen'!$C$2:$C$492&amp;'Eingabe Meldungen'!$D$2:$D$492,0),4),"")</f>
        <v>Lgw. bis 67,5kg</v>
      </c>
      <c r="F244" s="66">
        <v>9</v>
      </c>
      <c r="G244" s="135"/>
      <c r="H244" s="4" t="e">
        <f t="shared" si="19"/>
        <v>#N/A</v>
      </c>
      <c r="I244" s="136" t="str">
        <f t="array" ref="I244">IF(B244&lt;&gt;"",INDEX('Eingabe Meldungen'!$C$2:$J$492,MATCH(B244&amp;C244,'Eingabe Meldungen'!$C$2:$C$492&amp;'Eingabe Meldungen'!$D$2:$D$492,0),8),"")</f>
        <v>RC Nürtingen</v>
      </c>
      <c r="K244" s="427"/>
      <c r="M244" s="11"/>
      <c r="N244" s="10"/>
      <c r="O244" s="11"/>
      <c r="P244" s="11"/>
      <c r="Q244" s="11"/>
      <c r="R244" s="11"/>
      <c r="S244" s="11"/>
      <c r="W244" s="15"/>
    </row>
    <row r="245" spans="2:23" ht="13.2" thickBot="1" x14ac:dyDescent="0.25">
      <c r="B245" s="100" t="str">
        <f t="array" ref="B245">IF(ISERROR(INDEX('Eingabe Meldungen'!$C$2:$C$492,LARGE(('Eingabe Meldungen'!$A$2:$A$492=$B$224)*(ROW('Eingabe Meldungen'!$A$2:$A$492)-1),COUNTIF('Eingabe Meldungen'!$A$2:$A$492,$B$224)+1-ROW('Eingabe Meldungen'!A20)))),"",INDEX('Eingabe Meldungen'!$C$2:$C$492,LARGE(('Eingabe Meldungen'!$A$2:$A$492=$B$224)*(ROW('Eingabe Meldungen'!$A$2:$A$492)-1),COUNTIF('Eingabe Meldungen'!$A$2:$A$492,$B$224)+1-ROW('Eingabe Meldungen'!A20))))</f>
        <v>Weiß</v>
      </c>
      <c r="C245" s="4" t="str">
        <f t="array" ref="C245">IF(ISERROR(INDEX('Eingabe Meldungen'!$D$2:$D$492,LARGE(('Eingabe Meldungen'!$A$2:$A$492=$B$224)*(ROW('Eingabe Meldungen'!$A$2:$A$492)-1),COUNTIF('Eingabe Meldungen'!$A$2:$A$492,$B$224)+1-ROW('Eingabe Meldungen'!A20)))),"",INDEX('Eingabe Meldungen'!$D$2:$D$492,LARGE(('Eingabe Meldungen'!$A$2:$A$492=$B$224)*(ROW('Eingabe Meldungen'!$A$2:$A$492)-1),COUNTIF('Eingabe Meldungen'!$A$2:$A$492,$B$224)+1-ROW('Eingabe Meldungen'!A20))))</f>
        <v>Vincent</v>
      </c>
      <c r="D245" s="66">
        <f t="array" ref="D245">IF(B245&lt;&gt;"",INDEX('Eingabe Meldungen'!$C$2:$H$492,MATCH(B245&amp;C245,'Eingabe Meldungen'!$C$2:$C$492&amp;'Eingabe Meldungen'!$D$2:$D$492,0),6),"")</f>
        <v>2005</v>
      </c>
      <c r="E245" s="66" t="str">
        <f t="array" ref="E245">IF(B245&lt;&gt;"",INDEX('Eingabe Meldungen'!$C$2:$H$492,MATCH(B245&amp;C245,'Eingabe Meldungen'!$C$2:$C$492&amp;'Eingabe Meldungen'!$D$2:$D$492,0),4),"")</f>
        <v>Lgw. bis 67,5kg</v>
      </c>
      <c r="F245" s="66">
        <v>10</v>
      </c>
      <c r="G245" s="135"/>
      <c r="H245" s="4" t="e">
        <f t="shared" si="19"/>
        <v>#N/A</v>
      </c>
      <c r="I245" s="136" t="str">
        <f t="array" ref="I245">IF(B245&lt;&gt;"",INDEX('Eingabe Meldungen'!$C$2:$J$492,MATCH(B245&amp;C245,'Eingabe Meldungen'!$C$2:$C$492&amp;'Eingabe Meldungen'!$D$2:$D$492,0),8),"")</f>
        <v>Schweinfurter Ruder-Club Franken</v>
      </c>
      <c r="K245" s="427"/>
      <c r="M245" s="11"/>
      <c r="N245" s="10"/>
      <c r="O245" s="11"/>
      <c r="P245" s="11"/>
      <c r="Q245" s="11"/>
      <c r="R245" s="11"/>
      <c r="S245" s="11"/>
      <c r="W245" s="15"/>
    </row>
    <row r="246" spans="2:23" x14ac:dyDescent="0.2">
      <c r="B246" s="131" t="str">
        <f t="array" ref="B246">IF(ISERROR(INDEX('Eingabe Meldungen'!$C$2:$C$492,LARGE(('Eingabe Meldungen'!$A$2:$A$492=$B$224)*(ROW('Eingabe Meldungen'!$A$2:$A$492)-1),COUNTIF('Eingabe Meldungen'!$A$2:$A$492,$B$224)+1-ROW('Eingabe Meldungen'!A21)))),"",INDEX('Eingabe Meldungen'!$C$2:$C$492,LARGE(('Eingabe Meldungen'!$A$2:$A$492=$B$224)*(ROW('Eingabe Meldungen'!$A$2:$A$492)-1),COUNTIF('Eingabe Meldungen'!$A$2:$A$492,$B$224)+1-ROW('Eingabe Meldungen'!A21))))</f>
        <v>Schupp</v>
      </c>
      <c r="C246" s="132" t="str">
        <f t="array" ref="C246">IF(ISERROR(INDEX('Eingabe Meldungen'!$D$2:$D$492,LARGE(('Eingabe Meldungen'!$A$2:$A$492=$B$224)*(ROW('Eingabe Meldungen'!$A$2:$A$492)-1),COUNTIF('Eingabe Meldungen'!$A$2:$A$492,$B$224)+1-ROW('Eingabe Meldungen'!A21)))),"",INDEX('Eingabe Meldungen'!$D$2:$D$492,LARGE(('Eingabe Meldungen'!$A$2:$A$492=$B$224)*(ROW('Eingabe Meldungen'!$A$2:$A$492)-1),COUNTIF('Eingabe Meldungen'!$A$2:$A$492,$B$224)+1-ROW('Eingabe Meldungen'!A21))))</f>
        <v>Malthe</v>
      </c>
      <c r="D246" s="78">
        <f t="array" ref="D246">IF(B246&lt;&gt;"",INDEX('Eingabe Meldungen'!$C$2:$H$492,MATCH(B246&amp;C246,'Eingabe Meldungen'!$C$2:$C$492&amp;'Eingabe Meldungen'!$D$2:$D$492,0),6),"")</f>
        <v>2004</v>
      </c>
      <c r="E246" s="78" t="str">
        <f t="array" ref="E246">IF(B246&lt;&gt;"",INDEX('Eingabe Meldungen'!$C$2:$H$492,MATCH(B246&amp;C246,'Eingabe Meldungen'!$C$2:$C$492&amp;'Eingabe Meldungen'!$D$2:$D$492,0),4),"")</f>
        <v>Lgw. bis 67,5kg</v>
      </c>
      <c r="F246" s="78">
        <v>1</v>
      </c>
      <c r="G246" s="133"/>
      <c r="H246" s="132" t="e">
        <f t="shared" ref="H246:H248" si="20">RANK(G246,$G$226:$G$245,1)</f>
        <v>#N/A</v>
      </c>
      <c r="I246" s="134" t="str">
        <f t="array" ref="I246">IF(B246&lt;&gt;"",INDEX('Eingabe Meldungen'!$C$2:$J$492,MATCH(B246&amp;C246,'Eingabe Meldungen'!$C$2:$C$492&amp;'Eingabe Meldungen'!$D$2:$D$492,0),8),"")</f>
        <v xml:space="preserve">WSV Schifferclub Neckarrems </v>
      </c>
      <c r="J246" s="46"/>
      <c r="K246" s="423" t="s">
        <v>456</v>
      </c>
      <c r="M246" s="11"/>
      <c r="N246" s="10"/>
      <c r="O246" s="11"/>
      <c r="P246" s="11"/>
      <c r="Q246" s="11"/>
      <c r="R246" s="11"/>
      <c r="S246" s="11"/>
      <c r="W246" s="15"/>
    </row>
    <row r="247" spans="2:23" x14ac:dyDescent="0.2">
      <c r="B247" s="100" t="str">
        <f t="array" ref="B247">IF(ISERROR(INDEX('Eingabe Meldungen'!$C$2:$C$492,LARGE(('Eingabe Meldungen'!$A$2:$A$492=$B$224)*(ROW('Eingabe Meldungen'!$A$2:$A$492)-1),COUNTIF('Eingabe Meldungen'!$A$2:$A$492,$B$224)+1-ROW('Eingabe Meldungen'!A22)))),"",INDEX('Eingabe Meldungen'!$C$2:$C$492,LARGE(('Eingabe Meldungen'!$A$2:$A$492=$B$224)*(ROW('Eingabe Meldungen'!$A$2:$A$492)-1),COUNTIF('Eingabe Meldungen'!$A$2:$A$492,$B$224)+1-ROW('Eingabe Meldungen'!A22))))</f>
        <v xml:space="preserve">Haag </v>
      </c>
      <c r="C247" s="4" t="str">
        <f t="array" ref="C247">IF(ISERROR(INDEX('Eingabe Meldungen'!$D$2:$D$492,LARGE(('Eingabe Meldungen'!$A$2:$A$492=$B$224)*(ROW('Eingabe Meldungen'!$A$2:$A$492)-1),COUNTIF('Eingabe Meldungen'!$A$2:$A$492,$B$224)+1-ROW('Eingabe Meldungen'!A22)))),"",INDEX('Eingabe Meldungen'!$D$2:$D$492,LARGE(('Eingabe Meldungen'!$A$2:$A$492=$B$224)*(ROW('Eingabe Meldungen'!$A$2:$A$492)-1),COUNTIF('Eingabe Meldungen'!$A$2:$A$492,$B$224)+1-ROW('Eingabe Meldungen'!A22))))</f>
        <v>Felix</v>
      </c>
      <c r="D247" s="66">
        <f t="array" ref="D247">IF(B247&lt;&gt;"",INDEX('Eingabe Meldungen'!$C$2:$H$492,MATCH(B247&amp;C247,'Eingabe Meldungen'!$C$2:$C$492&amp;'Eingabe Meldungen'!$D$2:$D$492,0),6),"")</f>
        <v>2004</v>
      </c>
      <c r="E247" s="66" t="str">
        <f t="array" ref="E247">IF(B247&lt;&gt;"",INDEX('Eingabe Meldungen'!$C$2:$H$492,MATCH(B247&amp;C247,'Eingabe Meldungen'!$C$2:$C$492&amp;'Eingabe Meldungen'!$D$2:$D$492,0),4),"")</f>
        <v>Lgw. bis 67,5kg</v>
      </c>
      <c r="F247" s="66">
        <v>2</v>
      </c>
      <c r="G247" s="135"/>
      <c r="H247" s="4" t="e">
        <f t="shared" si="20"/>
        <v>#N/A</v>
      </c>
      <c r="I247" s="136" t="str">
        <f t="array" ref="I247">IF(B247&lt;&gt;"",INDEX('Eingabe Meldungen'!$C$2:$J$492,MATCH(B247&amp;C247,'Eingabe Meldungen'!$C$2:$C$492&amp;'Eingabe Meldungen'!$D$2:$D$492,0),8),"")</f>
        <v>Marbacher Ruderverein</v>
      </c>
      <c r="K247" s="424"/>
      <c r="M247" s="11"/>
      <c r="N247" s="10"/>
      <c r="O247" s="11"/>
      <c r="P247" s="11"/>
      <c r="Q247" s="11"/>
      <c r="R247" s="11"/>
      <c r="S247" s="11"/>
      <c r="W247" s="15"/>
    </row>
    <row r="248" spans="2:23" ht="13.2" thickBot="1" x14ac:dyDescent="0.25">
      <c r="B248" s="138" t="str">
        <f t="array" ref="B248">IF(ISERROR(INDEX('Eingabe Meldungen'!$C$2:$C$492,LARGE(('Eingabe Meldungen'!$A$2:$A$492=$B$224)*(ROW('Eingabe Meldungen'!$A$2:$A$492)-1),COUNTIF('Eingabe Meldungen'!$A$2:$A$492,$B$224)+1-ROW('Eingabe Meldungen'!A23)))),"",INDEX('Eingabe Meldungen'!$C$2:$C$492,LARGE(('Eingabe Meldungen'!$A$2:$A$492=$B$224)*(ROW('Eingabe Meldungen'!$A$2:$A$492)-1),COUNTIF('Eingabe Meldungen'!$A$2:$A$492,$B$224)+1-ROW('Eingabe Meldungen'!A23))))</f>
        <v/>
      </c>
      <c r="C248" s="139" t="str">
        <f t="array" ref="C248">IF(ISERROR(INDEX('Eingabe Meldungen'!$D$2:$D$492,LARGE(('Eingabe Meldungen'!$A$2:$A$492=$B$224)*(ROW('Eingabe Meldungen'!$A$2:$A$492)-1),COUNTIF('Eingabe Meldungen'!$A$2:$A$492,$B$224)+1-ROW('Eingabe Meldungen'!A23)))),"",INDEX('Eingabe Meldungen'!$D$2:$D$492,LARGE(('Eingabe Meldungen'!$A$2:$A$492=$B$224)*(ROW('Eingabe Meldungen'!$A$2:$A$492)-1),COUNTIF('Eingabe Meldungen'!$A$2:$A$492,$B$224)+1-ROW('Eingabe Meldungen'!A23))))</f>
        <v/>
      </c>
      <c r="D248" s="99" t="str">
        <f t="array" ref="D248">IF(B248&lt;&gt;"",INDEX('Eingabe Meldungen'!$C$2:$H$492,MATCH(B248&amp;C248,'Eingabe Meldungen'!$C$2:$C$492&amp;'Eingabe Meldungen'!$D$2:$D$492,0),6),"")</f>
        <v/>
      </c>
      <c r="E248" s="99" t="str">
        <f t="array" ref="E248">IF(B248&lt;&gt;"",INDEX('Eingabe Meldungen'!$C$2:$H$492,MATCH(B248&amp;C248,'Eingabe Meldungen'!$C$2:$C$492&amp;'Eingabe Meldungen'!$D$2:$D$492,0),4),"")</f>
        <v/>
      </c>
      <c r="F248" s="99">
        <v>3</v>
      </c>
      <c r="G248" s="143"/>
      <c r="H248" s="139" t="e">
        <f t="shared" si="20"/>
        <v>#N/A</v>
      </c>
      <c r="I248" s="141" t="str">
        <f t="array" ref="I248">IF(B248&lt;&gt;"",INDEX('Eingabe Meldungen'!$C$2:$J$492,MATCH(B248&amp;C248,'Eingabe Meldungen'!$C$2:$C$492&amp;'Eingabe Meldungen'!$D$2:$D$492,0),8),"")</f>
        <v/>
      </c>
      <c r="J248" s="14"/>
      <c r="K248" s="425"/>
      <c r="M248" s="11"/>
      <c r="N248" s="10"/>
      <c r="O248" s="11"/>
      <c r="P248" s="11"/>
      <c r="Q248" s="11"/>
      <c r="R248" s="11"/>
      <c r="S248" s="11"/>
      <c r="W248" s="15"/>
    </row>
    <row r="249" spans="2:23" ht="13.2" thickBot="1" x14ac:dyDescent="0.25">
      <c r="K249" s="15"/>
      <c r="M249" s="11"/>
      <c r="N249" s="10"/>
      <c r="O249" s="11"/>
      <c r="P249" s="11"/>
      <c r="Q249" s="11"/>
      <c r="R249" s="11"/>
      <c r="S249" s="11"/>
      <c r="W249" s="15"/>
    </row>
    <row r="250" spans="2:23" ht="24" customHeight="1" x14ac:dyDescent="0.2">
      <c r="B250" s="26">
        <f>B224+1</f>
        <v>14</v>
      </c>
      <c r="C250" s="65" t="str">
        <f>VLOOKUP(B250,Ausschreibung!$B$5:$I$35,2,FALSE)</f>
        <v>Ergocup</v>
      </c>
      <c r="D250" s="27">
        <f>VLOOKUP(B250,Ausschreibung!$B$5:$I$35,3,FALSE)</f>
        <v>0.60972222222222217</v>
      </c>
      <c r="E250" s="65" t="s">
        <v>458</v>
      </c>
      <c r="F250" s="65" t="str">
        <f>VLOOKUP(B250,Ausschreibung!$B$5:$I$35,5,FALSE)</f>
        <v>-</v>
      </c>
      <c r="G250" s="65" t="str">
        <f>VLOOKUP(B250,Ausschreibung!$B$5:$I$35,6,FALSE)</f>
        <v>15-16</v>
      </c>
      <c r="H250" s="65" t="str">
        <f>VLOOKUP(B250,Ausschreibung!$B$5:$I$35,8,FALSE)</f>
        <v>1500 m</v>
      </c>
      <c r="I250" s="28" t="s">
        <v>501</v>
      </c>
      <c r="K250" s="15"/>
      <c r="M250" s="11"/>
      <c r="N250" s="10"/>
      <c r="O250" s="11"/>
      <c r="P250" s="11"/>
      <c r="Q250" s="11"/>
      <c r="R250" s="11"/>
      <c r="S250" s="11"/>
      <c r="W250" s="15"/>
    </row>
    <row r="251" spans="2:23" ht="13.2" thickBot="1" x14ac:dyDescent="0.25">
      <c r="B251" s="19" t="s">
        <v>1</v>
      </c>
      <c r="C251" s="18" t="s">
        <v>2</v>
      </c>
      <c r="D251" s="17" t="s">
        <v>49</v>
      </c>
      <c r="E251" s="130" t="s">
        <v>16</v>
      </c>
      <c r="F251" s="17" t="s">
        <v>18</v>
      </c>
      <c r="G251" s="73" t="s">
        <v>50</v>
      </c>
      <c r="H251" s="17" t="s">
        <v>51</v>
      </c>
      <c r="I251" s="30" t="s">
        <v>17</v>
      </c>
      <c r="K251" s="15"/>
      <c r="M251" s="11"/>
      <c r="N251" s="10"/>
      <c r="O251" s="11"/>
      <c r="P251" s="11"/>
      <c r="Q251" s="11"/>
      <c r="R251" s="11"/>
      <c r="S251" s="11"/>
      <c r="W251" s="15"/>
    </row>
    <row r="252" spans="2:23" ht="12.75" customHeight="1" x14ac:dyDescent="0.2">
      <c r="B252" s="131" t="str">
        <f t="array" ref="B252">IF(ISERROR(INDEX('Eingabe Meldungen'!$C$2:$C$492,LARGE(('Eingabe Meldungen'!$A$2:$A$492=$B$250)*(ROW('Eingabe Meldungen'!$A$2:$A$492)-1),COUNTIF('Eingabe Meldungen'!$A$2:$A$492,$B$250)+1-ROW('Eingabe Meldungen'!A1)))),"",INDEX('Eingabe Meldungen'!$C$2:$C$492,LARGE(('Eingabe Meldungen'!$A$2:$A$492=$B$250)*(ROW('Eingabe Meldungen'!$A$2:$A$492)-1),COUNTIF('Eingabe Meldungen'!$A$2:$A$492,$B$250)+1-ROW('Eingabe Meldungen'!A1))))</f>
        <v>Schmiegelt</v>
      </c>
      <c r="C252" s="132" t="str">
        <f t="array" ref="C252">IF(ISERROR(INDEX('Eingabe Meldungen'!$D$2:$D$492,LARGE(('Eingabe Meldungen'!$A$2:$A$492=$B$250)*(ROW('Eingabe Meldungen'!$A$2:$A$492)-1),COUNTIF('Eingabe Meldungen'!$A$2:$A$492,$B$250)+1-ROW('Eingabe Meldungen'!A1)))),"",INDEX('Eingabe Meldungen'!$D$2:$D$492,LARGE(('Eingabe Meldungen'!$A$2:$A$492=$B$250)*(ROW('Eingabe Meldungen'!$A$2:$A$492)-1),COUNTIF('Eingabe Meldungen'!$A$2:$A$492,$B$250)+1-ROW('Eingabe Meldungen'!A1))))</f>
        <v>Adrian</v>
      </c>
      <c r="D252" s="78">
        <f t="array" ref="D252">IF(B252&lt;&gt;"",INDEX('Eingabe Meldungen'!$C$2:$H$492,MATCH(B252&amp;C252,'Eingabe Meldungen'!$C$2:$C$492&amp;'Eingabe Meldungen'!$D$2:$D$492,0),6),"")</f>
        <v>2005</v>
      </c>
      <c r="E252" s="78" t="str">
        <f t="array" ref="E252">IF(B252&lt;&gt;"",INDEX('Eingabe Meldungen'!$C$2:$H$492,MATCH(B252&amp;C252,'Eingabe Meldungen'!$C$2:$C$492&amp;'Eingabe Meldungen'!$D$2:$D$492,0),4),"")</f>
        <v>-</v>
      </c>
      <c r="F252" s="78">
        <v>4</v>
      </c>
      <c r="G252" s="133"/>
      <c r="H252" s="132" t="e">
        <f t="shared" ref="H252:H258" si="21">RANK(G252,$G$252:$G$258,1)</f>
        <v>#N/A</v>
      </c>
      <c r="I252" s="134" t="str">
        <f t="array" ref="I252">IF(B252&lt;&gt;"",INDEX('Eingabe Meldungen'!$C$2:$J$492,MATCH(B252&amp;C252,'Eingabe Meldungen'!$C$2:$C$492&amp;'Eingabe Meldungen'!$D$2:$D$492,0),8),"")</f>
        <v>RC Nürtingen</v>
      </c>
      <c r="K252" s="15"/>
      <c r="M252" s="11"/>
      <c r="N252" s="10"/>
      <c r="O252" s="11"/>
      <c r="P252" s="11"/>
      <c r="Q252" s="11"/>
      <c r="R252" s="11"/>
      <c r="S252" s="11"/>
      <c r="W252" s="15"/>
    </row>
    <row r="253" spans="2:23" ht="12.75" customHeight="1" x14ac:dyDescent="0.2">
      <c r="B253" s="100" t="str">
        <f t="array" ref="B253">IF(ISERROR(INDEX('Eingabe Meldungen'!$C$2:$C$492,LARGE(('Eingabe Meldungen'!$A$2:$A$492=$B$250)*(ROW('Eingabe Meldungen'!$A$2:$A$492)-1),COUNTIF('Eingabe Meldungen'!$A$2:$A$492,$B$250)+1-ROW('Eingabe Meldungen'!A2)))),"",INDEX('Eingabe Meldungen'!$C$2:$C$492,LARGE(('Eingabe Meldungen'!$A$2:$A$492=$B$250)*(ROW('Eingabe Meldungen'!$A$2:$A$492)-1),COUNTIF('Eingabe Meldungen'!$A$2:$A$492,$B$250)+1-ROW('Eingabe Meldungen'!A2))))</f>
        <v>Waller</v>
      </c>
      <c r="C253" s="4" t="str">
        <f t="array" ref="C253">IF(ISERROR(INDEX('Eingabe Meldungen'!$D$2:$D$492,LARGE(('Eingabe Meldungen'!$A$2:$A$492=$B$250)*(ROW('Eingabe Meldungen'!$A$2:$A$492)-1),COUNTIF('Eingabe Meldungen'!$A$2:$A$492,$B$250)+1-ROW('Eingabe Meldungen'!A2)))),"",INDEX('Eingabe Meldungen'!$D$2:$D$492,LARGE(('Eingabe Meldungen'!$A$2:$A$492=$B$250)*(ROW('Eingabe Meldungen'!$A$2:$A$492)-1),COUNTIF('Eingabe Meldungen'!$A$2:$A$492,$B$250)+1-ROW('Eingabe Meldungen'!A2))))</f>
        <v>Julian</v>
      </c>
      <c r="D253" s="66">
        <f t="array" ref="D253">IF(B253&lt;&gt;"",INDEX('Eingabe Meldungen'!$C$2:$H$492,MATCH(B253&amp;C253,'Eingabe Meldungen'!$C$2:$C$492&amp;'Eingabe Meldungen'!$D$2:$D$492,0),6),"")</f>
        <v>2005</v>
      </c>
      <c r="E253" s="66" t="str">
        <f t="array" ref="E253">IF(B253&lt;&gt;"",INDEX('Eingabe Meldungen'!$C$2:$H$492,MATCH(B253&amp;C253,'Eingabe Meldungen'!$C$2:$C$492&amp;'Eingabe Meldungen'!$D$2:$D$492,0),4),"")</f>
        <v>-</v>
      </c>
      <c r="F253" s="66">
        <v>5</v>
      </c>
      <c r="G253" s="135"/>
      <c r="H253" s="4" t="e">
        <f t="shared" si="21"/>
        <v>#N/A</v>
      </c>
      <c r="I253" s="136" t="str">
        <f t="array" ref="I253">IF(B253&lt;&gt;"",INDEX('Eingabe Meldungen'!$C$2:$J$492,MATCH(B253&amp;C253,'Eingabe Meldungen'!$C$2:$C$492&amp;'Eingabe Meldungen'!$D$2:$D$492,0),8),"")</f>
        <v>Schweinfurter Ruder-Club Franken</v>
      </c>
      <c r="K253" s="15"/>
      <c r="M253" s="11"/>
      <c r="N253" s="10"/>
      <c r="O253" s="11"/>
      <c r="P253" s="11"/>
      <c r="Q253" s="11"/>
      <c r="R253" s="11"/>
      <c r="S253" s="11"/>
      <c r="W253" s="15"/>
    </row>
    <row r="254" spans="2:23" ht="12.75" customHeight="1" x14ac:dyDescent="0.2">
      <c r="B254" s="100" t="str">
        <f t="array" ref="B254">IF(ISERROR(INDEX('Eingabe Meldungen'!$C$2:$C$492,LARGE(('Eingabe Meldungen'!$A$2:$A$492=$B$250)*(ROW('Eingabe Meldungen'!$A$2:$A$492)-1),COUNTIF('Eingabe Meldungen'!$A$2:$A$492,$B$250)+1-ROW('Eingabe Meldungen'!A3)))),"",INDEX('Eingabe Meldungen'!$C$2:$C$492,LARGE(('Eingabe Meldungen'!$A$2:$A$492=$B$250)*(ROW('Eingabe Meldungen'!$A$2:$A$492)-1),COUNTIF('Eingabe Meldungen'!$A$2:$A$492,$B$250)+1-ROW('Eingabe Meldungen'!A3))))</f>
        <v>Burkhart</v>
      </c>
      <c r="C254" s="4" t="str">
        <f t="array" ref="C254">IF(ISERROR(INDEX('Eingabe Meldungen'!$D$2:$D$492,LARGE(('Eingabe Meldungen'!$A$2:$A$492=$B$250)*(ROW('Eingabe Meldungen'!$A$2:$A$492)-1),COUNTIF('Eingabe Meldungen'!$A$2:$A$492,$B$250)+1-ROW('Eingabe Meldungen'!A3)))),"",INDEX('Eingabe Meldungen'!$D$2:$D$492,LARGE(('Eingabe Meldungen'!$A$2:$A$492=$B$250)*(ROW('Eingabe Meldungen'!$A$2:$A$492)-1),COUNTIF('Eingabe Meldungen'!$A$2:$A$492,$B$250)+1-ROW('Eingabe Meldungen'!A3))))</f>
        <v>Levin</v>
      </c>
      <c r="D254" s="66">
        <f t="array" ref="D254">IF(B254&lt;&gt;"",INDEX('Eingabe Meldungen'!$C$2:$H$492,MATCH(B254&amp;C254,'Eingabe Meldungen'!$C$2:$C$492&amp;'Eingabe Meldungen'!$D$2:$D$492,0),6),"")</f>
        <v>2005</v>
      </c>
      <c r="E254" s="66" t="str">
        <f t="array" ref="E254">IF(B254&lt;&gt;"",INDEX('Eingabe Meldungen'!$C$2:$H$492,MATCH(B254&amp;C254,'Eingabe Meldungen'!$C$2:$C$492&amp;'Eingabe Meldungen'!$D$2:$D$492,0),4),"")</f>
        <v>-</v>
      </c>
      <c r="F254" s="66">
        <v>6</v>
      </c>
      <c r="G254" s="135"/>
      <c r="H254" s="4" t="e">
        <f t="shared" si="21"/>
        <v>#N/A</v>
      </c>
      <c r="I254" s="136" t="str">
        <f t="array" ref="I254">IF(B254&lt;&gt;"",INDEX('Eingabe Meldungen'!$C$2:$J$492,MATCH(B254&amp;C254,'Eingabe Meldungen'!$C$2:$C$492&amp;'Eingabe Meldungen'!$D$2:$D$492,0),8),"")</f>
        <v>RC Nürtingen</v>
      </c>
      <c r="K254" s="15"/>
      <c r="M254" s="11"/>
      <c r="N254" s="10"/>
      <c r="O254" s="11"/>
      <c r="P254" s="11"/>
      <c r="Q254" s="11"/>
      <c r="R254" s="11"/>
      <c r="S254" s="11"/>
      <c r="W254" s="15"/>
    </row>
    <row r="255" spans="2:23" ht="12.75" customHeight="1" x14ac:dyDescent="0.2">
      <c r="B255" s="100" t="str">
        <f t="array" ref="B255">IF(ISERROR(INDEX('Eingabe Meldungen'!$C$2:$C$492,LARGE(('Eingabe Meldungen'!$A$2:$A$492=$B$250)*(ROW('Eingabe Meldungen'!$A$2:$A$492)-1),COUNTIF('Eingabe Meldungen'!$A$2:$A$492,$B$250)+1-ROW('Eingabe Meldungen'!A4)))),"",INDEX('Eingabe Meldungen'!$C$2:$C$492,LARGE(('Eingabe Meldungen'!$A$2:$A$492=$B$250)*(ROW('Eingabe Meldungen'!$A$2:$A$492)-1),COUNTIF('Eingabe Meldungen'!$A$2:$A$492,$B$250)+1-ROW('Eingabe Meldungen'!A4))))</f>
        <v>Gathmann</v>
      </c>
      <c r="C255" s="4" t="str">
        <f t="array" ref="C255">IF(ISERROR(INDEX('Eingabe Meldungen'!$D$2:$D$492,LARGE(('Eingabe Meldungen'!$A$2:$A$492=$B$250)*(ROW('Eingabe Meldungen'!$A$2:$A$492)-1),COUNTIF('Eingabe Meldungen'!$A$2:$A$492,$B$250)+1-ROW('Eingabe Meldungen'!A4)))),"",INDEX('Eingabe Meldungen'!$D$2:$D$492,LARGE(('Eingabe Meldungen'!$A$2:$A$492=$B$250)*(ROW('Eingabe Meldungen'!$A$2:$A$492)-1),COUNTIF('Eingabe Meldungen'!$A$2:$A$492,$B$250)+1-ROW('Eingabe Meldungen'!A4))))</f>
        <v>Tobias</v>
      </c>
      <c r="D255" s="66">
        <f t="array" ref="D255">IF(B255&lt;&gt;"",INDEX('Eingabe Meldungen'!$C$2:$H$492,MATCH(B255&amp;C255,'Eingabe Meldungen'!$C$2:$C$492&amp;'Eingabe Meldungen'!$D$2:$D$492,0),6),"")</f>
        <v>2005</v>
      </c>
      <c r="E255" s="66" t="str">
        <f t="array" ref="E255">IF(B255&lt;&gt;"",INDEX('Eingabe Meldungen'!$C$2:$H$492,MATCH(B255&amp;C255,'Eingabe Meldungen'!$C$2:$C$492&amp;'Eingabe Meldungen'!$D$2:$D$492,0),4),"")</f>
        <v>-</v>
      </c>
      <c r="F255" s="66">
        <v>7</v>
      </c>
      <c r="G255" s="135"/>
      <c r="H255" s="4" t="e">
        <f t="shared" si="21"/>
        <v>#N/A</v>
      </c>
      <c r="I255" s="136" t="str">
        <f t="array" ref="I255">IF(B255&lt;&gt;"",INDEX('Eingabe Meldungen'!$C$2:$J$492,MATCH(B255&amp;C255,'Eingabe Meldungen'!$C$2:$C$492&amp;'Eingabe Meldungen'!$D$2:$D$492,0),8),"")</f>
        <v>Stuttgart-Cannstatter RC</v>
      </c>
      <c r="K255" s="15"/>
      <c r="M255" s="11"/>
      <c r="N255" s="10"/>
      <c r="O255" s="11"/>
      <c r="P255" s="11"/>
      <c r="Q255" s="11"/>
      <c r="R255" s="11"/>
      <c r="S255" s="11"/>
      <c r="W255" s="15"/>
    </row>
    <row r="256" spans="2:23" ht="12.75" customHeight="1" x14ac:dyDescent="0.2">
      <c r="B256" s="100" t="str">
        <f t="array" ref="B256">IF(ISERROR(INDEX('Eingabe Meldungen'!$C$2:$C$492,LARGE(('Eingabe Meldungen'!$A$2:$A$492=$B$250)*(ROW('Eingabe Meldungen'!$A$2:$A$492)-1),COUNTIF('Eingabe Meldungen'!$A$2:$A$492,$B$250)+1-ROW('Eingabe Meldungen'!A5)))),"",INDEX('Eingabe Meldungen'!$C$2:$C$492,LARGE(('Eingabe Meldungen'!$A$2:$A$492=$B$250)*(ROW('Eingabe Meldungen'!$A$2:$A$492)-1),COUNTIF('Eingabe Meldungen'!$A$2:$A$492,$B$250)+1-ROW('Eingabe Meldungen'!A5))))</f>
        <v/>
      </c>
      <c r="C256" s="4" t="str">
        <f t="array" ref="C256">IF(ISERROR(INDEX('Eingabe Meldungen'!$D$2:$D$492,LARGE(('Eingabe Meldungen'!$A$2:$A$492=$B$250)*(ROW('Eingabe Meldungen'!$A$2:$A$492)-1),COUNTIF('Eingabe Meldungen'!$A$2:$A$492,$B$250)+1-ROW('Eingabe Meldungen'!A5)))),"",INDEX('Eingabe Meldungen'!$D$2:$D$492,LARGE(('Eingabe Meldungen'!$A$2:$A$492=$B$250)*(ROW('Eingabe Meldungen'!$A$2:$A$492)-1),COUNTIF('Eingabe Meldungen'!$A$2:$A$492,$B$250)+1-ROW('Eingabe Meldungen'!A5))))</f>
        <v/>
      </c>
      <c r="D256" s="66" t="str">
        <f t="array" ref="D256">IF(B256&lt;&gt;"",INDEX('Eingabe Meldungen'!$C$2:$H$492,MATCH(B256&amp;C256,'Eingabe Meldungen'!$C$2:$C$492&amp;'Eingabe Meldungen'!$D$2:$D$492,0),6),"")</f>
        <v/>
      </c>
      <c r="E256" s="66" t="str">
        <f t="array" ref="E256">IF(B256&lt;&gt;"",INDEX('Eingabe Meldungen'!$C$2:$H$492,MATCH(B256&amp;C256,'Eingabe Meldungen'!$C$2:$C$492&amp;'Eingabe Meldungen'!$D$2:$D$492,0),4),"")</f>
        <v/>
      </c>
      <c r="F256" s="66">
        <v>8</v>
      </c>
      <c r="G256" s="135"/>
      <c r="H256" s="4" t="e">
        <f t="shared" si="21"/>
        <v>#N/A</v>
      </c>
      <c r="I256" s="136" t="str">
        <f t="array" ref="I256">IF(B256&lt;&gt;"",INDEX('Eingabe Meldungen'!$C$2:$J$492,MATCH(B256&amp;C256,'Eingabe Meldungen'!$C$2:$C$492&amp;'Eingabe Meldungen'!$D$2:$D$492,0),8),"")</f>
        <v/>
      </c>
      <c r="K256" s="15"/>
      <c r="M256" s="11"/>
      <c r="N256" s="10"/>
      <c r="O256" s="11"/>
      <c r="P256" s="11"/>
      <c r="Q256" s="11"/>
      <c r="R256" s="11"/>
      <c r="S256" s="11"/>
      <c r="W256" s="15"/>
    </row>
    <row r="257" spans="2:23" x14ac:dyDescent="0.2">
      <c r="B257" s="100" t="str">
        <f t="array" ref="B257">IF(ISERROR(INDEX('Eingabe Meldungen'!$C$2:$C$492,LARGE(('Eingabe Meldungen'!$A$2:$A$492=$B$250)*(ROW('Eingabe Meldungen'!$A$2:$A$492)-1),COUNTIF('Eingabe Meldungen'!$A$2:$A$492,$B$250)+1-ROW('Eingabe Meldungen'!A6)))),"",INDEX('Eingabe Meldungen'!$C$2:$C$492,LARGE(('Eingabe Meldungen'!$A$2:$A$492=$B$250)*(ROW('Eingabe Meldungen'!$A$2:$A$492)-1),COUNTIF('Eingabe Meldungen'!$A$2:$A$492,$B$250)+1-ROW('Eingabe Meldungen'!A6))))</f>
        <v/>
      </c>
      <c r="C257" s="4" t="str">
        <f t="array" ref="C257">IF(ISERROR(INDEX('Eingabe Meldungen'!$D$2:$D$492,LARGE(('Eingabe Meldungen'!$A$2:$A$492=$B$250)*(ROW('Eingabe Meldungen'!$A$2:$A$492)-1),COUNTIF('Eingabe Meldungen'!$A$2:$A$492,$B$250)+1-ROW('Eingabe Meldungen'!A6)))),"",INDEX('Eingabe Meldungen'!$D$2:$D$492,LARGE(('Eingabe Meldungen'!$A$2:$A$492=$B$250)*(ROW('Eingabe Meldungen'!$A$2:$A$492)-1),COUNTIF('Eingabe Meldungen'!$A$2:$A$492,$B$250)+1-ROW('Eingabe Meldungen'!A6))))</f>
        <v/>
      </c>
      <c r="D257" s="66" t="str">
        <f t="array" ref="D257">IF(B257&lt;&gt;"",INDEX('Eingabe Meldungen'!$C$2:$H$492,MATCH(B257&amp;C257,'Eingabe Meldungen'!$C$2:$C$492&amp;'Eingabe Meldungen'!$D$2:$D$492,0),6),"")</f>
        <v/>
      </c>
      <c r="E257" s="66" t="str">
        <f t="array" ref="E257">IF(B257&lt;&gt;"",INDEX('Eingabe Meldungen'!$C$2:$H$492,MATCH(B257&amp;C257,'Eingabe Meldungen'!$C$2:$C$492&amp;'Eingabe Meldungen'!$D$2:$D$492,0),4),"")</f>
        <v/>
      </c>
      <c r="F257" s="66">
        <v>9</v>
      </c>
      <c r="G257" s="135"/>
      <c r="H257" s="4" t="e">
        <f t="shared" si="21"/>
        <v>#N/A</v>
      </c>
      <c r="I257" s="136" t="str">
        <f t="array" ref="I257">IF(B257&lt;&gt;"",INDEX('Eingabe Meldungen'!$C$2:$J$492,MATCH(B257&amp;C257,'Eingabe Meldungen'!$C$2:$C$492&amp;'Eingabe Meldungen'!$D$2:$D$492,0),8),"")</f>
        <v/>
      </c>
      <c r="K257" s="15"/>
      <c r="M257" s="11"/>
      <c r="N257" s="10"/>
      <c r="O257" s="11"/>
      <c r="P257" s="11"/>
      <c r="Q257" s="11"/>
      <c r="R257" s="11"/>
      <c r="S257" s="11"/>
      <c r="W257" s="15"/>
    </row>
    <row r="258" spans="2:23" ht="13.2" thickBot="1" x14ac:dyDescent="0.25">
      <c r="B258" s="138" t="str">
        <f t="array" ref="B258">IF(ISERROR(INDEX('Eingabe Meldungen'!$C$2:$C$492,LARGE(('Eingabe Meldungen'!$A$2:$A$492=$B$250)*(ROW('Eingabe Meldungen'!$A$2:$A$492)-1),COUNTIF('Eingabe Meldungen'!$A$2:$A$492,$B$250)+1-ROW('Eingabe Meldungen'!A7)))),"",INDEX('Eingabe Meldungen'!$C$2:$C$492,LARGE(('Eingabe Meldungen'!$A$2:$A$492=$B$250)*(ROW('Eingabe Meldungen'!$A$2:$A$492)-1),COUNTIF('Eingabe Meldungen'!$A$2:$A$492,$B$250)+1-ROW('Eingabe Meldungen'!A7))))</f>
        <v/>
      </c>
      <c r="C258" s="139" t="str">
        <f t="array" ref="C258">IF(ISERROR(INDEX('Eingabe Meldungen'!$D$2:$D$492,LARGE(('Eingabe Meldungen'!$A$2:$A$492=$B$250)*(ROW('Eingabe Meldungen'!$A$2:$A$492)-1),COUNTIF('Eingabe Meldungen'!$A$2:$A$492,$B$250)+1-ROW('Eingabe Meldungen'!A7)))),"",INDEX('Eingabe Meldungen'!$D$2:$D$492,LARGE(('Eingabe Meldungen'!$A$2:$A$492=$B$250)*(ROW('Eingabe Meldungen'!$A$2:$A$492)-1),COUNTIF('Eingabe Meldungen'!$A$2:$A$492,$B$250)+1-ROW('Eingabe Meldungen'!A7))))</f>
        <v/>
      </c>
      <c r="D258" s="99" t="str">
        <f t="array" ref="D258">IF(B258&lt;&gt;"",INDEX('Eingabe Meldungen'!$C$2:$H$492,MATCH(B258&amp;C258,'Eingabe Meldungen'!$C$2:$C$492&amp;'Eingabe Meldungen'!$D$2:$D$492,0),6),"")</f>
        <v/>
      </c>
      <c r="E258" s="99" t="str">
        <f t="array" ref="E258">IF(B258&lt;&gt;"",INDEX('Eingabe Meldungen'!$C$2:$H$492,MATCH(B258&amp;C258,'Eingabe Meldungen'!$C$2:$C$492&amp;'Eingabe Meldungen'!$D$2:$D$492,0),4),"")</f>
        <v/>
      </c>
      <c r="F258" s="99">
        <v>10</v>
      </c>
      <c r="G258" s="143"/>
      <c r="H258" s="139" t="e">
        <f t="shared" si="21"/>
        <v>#N/A</v>
      </c>
      <c r="I258" s="141" t="str">
        <f t="array" ref="I258">IF(B258&lt;&gt;"",INDEX('Eingabe Meldungen'!$C$2:$J$492,MATCH(B258&amp;C258,'Eingabe Meldungen'!$C$2:$C$492&amp;'Eingabe Meldungen'!$D$2:$D$492,0),8),"")</f>
        <v/>
      </c>
      <c r="K258" s="15"/>
      <c r="M258" s="11"/>
      <c r="N258" s="10"/>
      <c r="O258" s="11"/>
      <c r="P258" s="11"/>
      <c r="Q258" s="11"/>
      <c r="R258" s="11"/>
      <c r="S258" s="11"/>
      <c r="W258" s="15"/>
    </row>
    <row r="259" spans="2:23" ht="13.2" thickBot="1" x14ac:dyDescent="0.25">
      <c r="K259" s="15"/>
      <c r="M259" s="11"/>
      <c r="N259" s="10"/>
      <c r="O259" s="11"/>
      <c r="P259" s="11"/>
      <c r="Q259" s="11"/>
      <c r="R259" s="11"/>
      <c r="S259" s="11"/>
      <c r="W259" s="15"/>
    </row>
    <row r="260" spans="2:23" ht="25.5" customHeight="1" x14ac:dyDescent="0.2">
      <c r="B260" s="26">
        <f>B250+1</f>
        <v>15</v>
      </c>
      <c r="C260" s="65" t="str">
        <f>VLOOKUP(B260,Ausschreibung!$B$5:$I$35,2,FALSE)</f>
        <v>Ergocup</v>
      </c>
      <c r="D260" s="27">
        <f>VLOOKUP(B260,Ausschreibung!$B$5:$I$35,3,FALSE)</f>
        <v>0.61805555555555547</v>
      </c>
      <c r="E260" s="65" t="s">
        <v>99</v>
      </c>
      <c r="F260" s="65" t="s">
        <v>26</v>
      </c>
      <c r="G260" s="65" t="str">
        <f>VLOOKUP(B260,Ausschreibung!$B$5:$I$35,6,FALSE)</f>
        <v>offen</v>
      </c>
      <c r="H260" s="65" t="str">
        <f>VLOOKUP(B260,Ausschreibung!$B$5:$I$35,8,FALSE)</f>
        <v>350 m</v>
      </c>
      <c r="I260" s="28" t="s">
        <v>459</v>
      </c>
      <c r="K260" s="15"/>
      <c r="M260" s="11"/>
      <c r="N260" s="10"/>
      <c r="O260" s="11"/>
      <c r="P260" s="11"/>
      <c r="Q260" s="11"/>
      <c r="R260" s="11"/>
      <c r="S260" s="11"/>
      <c r="W260" s="15"/>
    </row>
    <row r="261" spans="2:23" ht="13.2" thickBot="1" x14ac:dyDescent="0.25">
      <c r="B261" s="19" t="s">
        <v>1</v>
      </c>
      <c r="C261" s="18" t="s">
        <v>2</v>
      </c>
      <c r="D261" s="17" t="s">
        <v>49</v>
      </c>
      <c r="E261" s="130" t="s">
        <v>16</v>
      </c>
      <c r="F261" s="17" t="s">
        <v>18</v>
      </c>
      <c r="G261" s="73" t="s">
        <v>50</v>
      </c>
      <c r="H261" s="17" t="s">
        <v>51</v>
      </c>
      <c r="I261" s="30" t="s">
        <v>17</v>
      </c>
      <c r="K261" s="15"/>
      <c r="M261" s="11"/>
      <c r="N261" s="10"/>
      <c r="O261" s="11"/>
      <c r="P261" s="11"/>
      <c r="Q261" s="11"/>
      <c r="R261" s="11"/>
      <c r="S261" s="11"/>
      <c r="W261" s="15"/>
    </row>
    <row r="262" spans="2:23" x14ac:dyDescent="0.2">
      <c r="B262" s="131" t="str">
        <f t="array" ref="B262">IF(ISERROR(INDEX('Eingabe Meldungen'!$C$2:$C$492,LARGE(('Eingabe Meldungen'!$A$2:$A$492=$B$260)*(ROW('Eingabe Meldungen'!$A$2:$A$492)-1),COUNTIF('Eingabe Meldungen'!$A$2:$A$492,$B$260)+1-ROW('Eingabe Meldungen'!A1)))),"",INDEX('Eingabe Meldungen'!$C$2:$C$492,LARGE(('Eingabe Meldungen'!$A$2:$A$492=$B$260)*(ROW('Eingabe Meldungen'!$A$2:$A$492)-1),COUNTIF('Eingabe Meldungen'!$A$2:$A$492,$B$260)+1-ROW('Eingabe Meldungen'!A1))))</f>
        <v>Munke</v>
      </c>
      <c r="C262" s="132" t="str">
        <f t="array" ref="C262">IF(ISERROR(INDEX('Eingabe Meldungen'!$D$2:$D$492,LARGE(('Eingabe Meldungen'!$A$2:$A$492=$B$260)*(ROW('Eingabe Meldungen'!$A$2:$A$492)-1),COUNTIF('Eingabe Meldungen'!$A$2:$A$492,$B$260)+1-ROW('Eingabe Meldungen'!A1)))),"",INDEX('Eingabe Meldungen'!$D$2:$D$492,LARGE(('Eingabe Meldungen'!$A$2:$A$492=$B$260)*(ROW('Eingabe Meldungen'!$A$2:$A$492)-1),COUNTIF('Eingabe Meldungen'!$A$2:$A$492,$B$260)+1-ROW('Eingabe Meldungen'!A1))))</f>
        <v>Steffi</v>
      </c>
      <c r="D262" s="78">
        <f t="array" ref="D262">IF(B262&lt;&gt;"",INDEX('Eingabe Meldungen'!$C$2:$H$492,MATCH(B262&amp;C262,'Eingabe Meldungen'!$C$2:$C$492&amp;'Eingabe Meldungen'!$D$2:$D$492,0),6),"")</f>
        <v>1968</v>
      </c>
      <c r="E262" s="78" t="str">
        <f t="array" ref="E262">IF(B262&lt;&gt;"",INDEX('Eingabe Meldungen'!$C$2:$H$492,MATCH(B262&amp;C262,'Eingabe Meldungen'!$C$2:$C$492&amp;'Eingabe Meldungen'!$D$2:$D$492,0),4),"")</f>
        <v>D</v>
      </c>
      <c r="F262" s="78">
        <v>1</v>
      </c>
      <c r="G262" s="133"/>
      <c r="H262" s="132" t="e">
        <f>RANK(G262,$G$262:$G$264,1)</f>
        <v>#N/A</v>
      </c>
      <c r="I262" s="134" t="str">
        <f t="array" ref="I262">IF(B262&lt;&gt;"",INDEX('Eingabe Meldungen'!$C$2:$J$492,MATCH(B262&amp;C262,'Eingabe Meldungen'!$C$2:$C$492&amp;'Eingabe Meldungen'!$D$2:$D$492,0),8),"")</f>
        <v xml:space="preserve">WSV Schifferclub Neckarrems </v>
      </c>
      <c r="K262" s="15"/>
      <c r="M262" s="11"/>
      <c r="N262" s="10"/>
      <c r="O262" s="11"/>
      <c r="P262" s="11"/>
      <c r="Q262" s="11"/>
      <c r="R262" s="11"/>
      <c r="S262" s="11"/>
      <c r="W262" s="15"/>
    </row>
    <row r="263" spans="2:23" x14ac:dyDescent="0.2">
      <c r="B263" s="100" t="str">
        <f t="array" ref="B263">IF(ISERROR(INDEX('Eingabe Meldungen'!$C$2:$C$492,LARGE(('Eingabe Meldungen'!$A$2:$A$492=$B$260)*(ROW('Eingabe Meldungen'!$A$2:$A$492)-1),COUNTIF('Eingabe Meldungen'!$A$2:$A$492,$B$260)+1-ROW('Eingabe Meldungen'!A2)))),"",INDEX('Eingabe Meldungen'!$C$2:$C$492,LARGE(('Eingabe Meldungen'!$A$2:$A$492=$B$260)*(ROW('Eingabe Meldungen'!$A$2:$A$492)-1),COUNTIF('Eingabe Meldungen'!$A$2:$A$492,$B$260)+1-ROW('Eingabe Meldungen'!A2))))</f>
        <v>Wöppel</v>
      </c>
      <c r="C263" s="4" t="str">
        <f t="array" ref="C263">IF(ISERROR(INDEX('Eingabe Meldungen'!$D$2:$D$492,LARGE(('Eingabe Meldungen'!$A$2:$A$492=$B$260)*(ROW('Eingabe Meldungen'!$A$2:$A$492)-1),COUNTIF('Eingabe Meldungen'!$A$2:$A$492,$B$260)+1-ROW('Eingabe Meldungen'!A2)))),"",INDEX('Eingabe Meldungen'!$D$2:$D$492,LARGE(('Eingabe Meldungen'!$A$2:$A$492=$B$260)*(ROW('Eingabe Meldungen'!$A$2:$A$492)-1),COUNTIF('Eingabe Meldungen'!$A$2:$A$492,$B$260)+1-ROW('Eingabe Meldungen'!A2))))</f>
        <v>Stefanie</v>
      </c>
      <c r="D263" s="66">
        <f t="array" ref="D263">IF(B263&lt;&gt;"",INDEX('Eingabe Meldungen'!$C$2:$H$492,MATCH(B263&amp;C263,'Eingabe Meldungen'!$C$2:$C$492&amp;'Eingabe Meldungen'!$D$2:$D$492,0),6),"")</f>
        <v>1971</v>
      </c>
      <c r="E263" s="66" t="str">
        <f t="array" ref="E263">IF(B263&lt;&gt;"",INDEX('Eingabe Meldungen'!$C$2:$H$492,MATCH(B263&amp;C263,'Eingabe Meldungen'!$C$2:$C$492&amp;'Eingabe Meldungen'!$D$2:$D$492,0),4),"")</f>
        <v>C</v>
      </c>
      <c r="F263" s="66">
        <v>2</v>
      </c>
      <c r="G263" s="135"/>
      <c r="H263" s="4" t="e">
        <f t="shared" ref="H263:H264" si="22">RANK(G263,$G$262:$G$264,1)</f>
        <v>#N/A</v>
      </c>
      <c r="I263" s="136" t="str">
        <f t="array" ref="I263">IF(B263&lt;&gt;"",INDEX('Eingabe Meldungen'!$C$2:$J$492,MATCH(B263&amp;C263,'Eingabe Meldungen'!$C$2:$C$492&amp;'Eingabe Meldungen'!$D$2:$D$492,0),8),"")</f>
        <v xml:space="preserve">WSV Schifferclub Neckarrems </v>
      </c>
      <c r="K263" s="15"/>
      <c r="M263" s="11"/>
      <c r="N263" s="10"/>
      <c r="O263" s="11"/>
      <c r="P263" s="11"/>
      <c r="Q263" s="11"/>
      <c r="R263" s="11"/>
      <c r="S263" s="11"/>
      <c r="W263" s="15"/>
    </row>
    <row r="264" spans="2:23" ht="13.2" thickBot="1" x14ac:dyDescent="0.25">
      <c r="B264" s="138" t="str">
        <f t="array" ref="B264">IF(ISERROR(INDEX('Eingabe Meldungen'!$C$2:$C$492,LARGE(('Eingabe Meldungen'!$A$2:$A$492=$B$260)*(ROW('Eingabe Meldungen'!$A$2:$A$492)-1),COUNTIF('Eingabe Meldungen'!$A$2:$A$492,$B$260)+1-ROW('Eingabe Meldungen'!A3)))),"",INDEX('Eingabe Meldungen'!$C$2:$C$492,LARGE(('Eingabe Meldungen'!$A$2:$A$492=$B$260)*(ROW('Eingabe Meldungen'!$A$2:$A$492)-1),COUNTIF('Eingabe Meldungen'!$A$2:$A$492,$B$260)+1-ROW('Eingabe Meldungen'!A3))))</f>
        <v/>
      </c>
      <c r="C264" s="139" t="str">
        <f t="array" ref="C264">IF(ISERROR(INDEX('Eingabe Meldungen'!$D$2:$D$492,LARGE(('Eingabe Meldungen'!$A$2:$A$492=$B$260)*(ROW('Eingabe Meldungen'!$A$2:$A$492)-1),COUNTIF('Eingabe Meldungen'!$A$2:$A$492,$B$260)+1-ROW('Eingabe Meldungen'!A3)))),"",INDEX('Eingabe Meldungen'!$D$2:$D$492,LARGE(('Eingabe Meldungen'!$A$2:$A$492=$B$260)*(ROW('Eingabe Meldungen'!$A$2:$A$492)-1),COUNTIF('Eingabe Meldungen'!$A$2:$A$492,$B$260)+1-ROW('Eingabe Meldungen'!A3))))</f>
        <v/>
      </c>
      <c r="D264" s="99" t="str">
        <f t="array" ref="D264">IF(B264&lt;&gt;"",INDEX('Eingabe Meldungen'!$C$2:$H$492,MATCH(B264&amp;C264,'Eingabe Meldungen'!$C$2:$C$492&amp;'Eingabe Meldungen'!$D$2:$D$492,0),6),"")</f>
        <v/>
      </c>
      <c r="E264" s="99" t="str">
        <f t="array" ref="E264">IF(B264&lt;&gt;"",INDEX('Eingabe Meldungen'!$C$2:$H$492,MATCH(B264&amp;C264,'Eingabe Meldungen'!$C$2:$C$492&amp;'Eingabe Meldungen'!$D$2:$D$492,0),4),"")</f>
        <v/>
      </c>
      <c r="F264" s="99">
        <v>3</v>
      </c>
      <c r="G264" s="143"/>
      <c r="H264" s="139" t="e">
        <f t="shared" si="22"/>
        <v>#N/A</v>
      </c>
      <c r="I264" s="141" t="str">
        <f t="array" ref="I264">IF(B264&lt;&gt;"",INDEX('Eingabe Meldungen'!$C$2:$J$492,MATCH(B264&amp;C264,'Eingabe Meldungen'!$C$2:$C$492&amp;'Eingabe Meldungen'!$D$2:$D$492,0),8),"")</f>
        <v/>
      </c>
      <c r="K264" s="15"/>
      <c r="M264" s="11"/>
      <c r="N264" s="10"/>
      <c r="O264" s="11"/>
      <c r="P264" s="11"/>
      <c r="Q264" s="11"/>
      <c r="R264" s="11"/>
      <c r="S264" s="11"/>
      <c r="W264" s="15"/>
    </row>
    <row r="265" spans="2:23" ht="13.2" thickBot="1" x14ac:dyDescent="0.25">
      <c r="M265" s="11"/>
      <c r="N265" s="10"/>
      <c r="O265" s="11"/>
      <c r="P265" s="11"/>
      <c r="Q265" s="11"/>
      <c r="R265" s="11"/>
      <c r="S265" s="11"/>
    </row>
    <row r="266" spans="2:23" ht="25.5" customHeight="1" x14ac:dyDescent="0.2">
      <c r="B266" s="26">
        <f>B260+1</f>
        <v>16</v>
      </c>
      <c r="C266" s="65" t="str">
        <f>VLOOKUP(B266,Ausschreibung!$B$5:$I$35,2,FALSE)</f>
        <v>Ergocup</v>
      </c>
      <c r="D266" s="27">
        <f>VLOOKUP(B266,Ausschreibung!$B$5:$I$35,3,FALSE)</f>
        <v>0.61805555555555547</v>
      </c>
      <c r="E266" s="65" t="s">
        <v>100</v>
      </c>
      <c r="F266" s="65" t="s">
        <v>26</v>
      </c>
      <c r="G266" s="65" t="str">
        <f>VLOOKUP(B266,Ausschreibung!$B$5:$I$35,6,FALSE)</f>
        <v>offen</v>
      </c>
      <c r="H266" s="65" t="str">
        <f>VLOOKUP(B266,Ausschreibung!$B$5:$I$35,8,FALSE)</f>
        <v>350 m</v>
      </c>
      <c r="I266" s="28" t="s">
        <v>460</v>
      </c>
      <c r="K266" s="15"/>
      <c r="M266" s="11"/>
      <c r="N266" s="10"/>
      <c r="O266" s="11"/>
      <c r="P266" s="11"/>
      <c r="Q266" s="11"/>
      <c r="R266" s="11"/>
      <c r="S266" s="11"/>
      <c r="W266" s="15"/>
    </row>
    <row r="267" spans="2:23" ht="13.2" thickBot="1" x14ac:dyDescent="0.25">
      <c r="B267" s="19" t="s">
        <v>1</v>
      </c>
      <c r="C267" s="18" t="s">
        <v>2</v>
      </c>
      <c r="D267" s="17" t="s">
        <v>49</v>
      </c>
      <c r="E267" s="130" t="s">
        <v>16</v>
      </c>
      <c r="F267" s="17" t="s">
        <v>18</v>
      </c>
      <c r="G267" s="73" t="s">
        <v>50</v>
      </c>
      <c r="H267" s="17" t="s">
        <v>51</v>
      </c>
      <c r="I267" s="30" t="s">
        <v>17</v>
      </c>
      <c r="K267" s="15"/>
      <c r="M267" s="11"/>
      <c r="N267" s="10"/>
      <c r="O267" s="11"/>
      <c r="P267" s="11"/>
      <c r="Q267" s="11"/>
      <c r="R267" s="11"/>
      <c r="S267" s="11"/>
      <c r="W267" s="15"/>
    </row>
    <row r="268" spans="2:23" x14ac:dyDescent="0.2">
      <c r="B268" s="131" t="str">
        <f t="array" ref="B268">IF(ISERROR(INDEX('Eingabe Meldungen'!$C$2:$C$492,LARGE(('Eingabe Meldungen'!$A$2:$A$492=$B$266)*(ROW('Eingabe Meldungen'!$A$2:$A$492)-1),COUNTIF('Eingabe Meldungen'!$A$2:$A$492,$B$266)+1-ROW('Eingabe Meldungen'!A1)))),"",INDEX('Eingabe Meldungen'!$C$2:$C$492,LARGE(('Eingabe Meldungen'!$A$2:$A$492=$B$266)*(ROW('Eingabe Meldungen'!$A$2:$A$492)-1),COUNTIF('Eingabe Meldungen'!$A$2:$A$492,$B$266)+1-ROW('Eingabe Meldungen'!A1))))</f>
        <v>Rebmann</v>
      </c>
      <c r="C268" s="132" t="str">
        <f t="array" ref="C268">IF(ISERROR(INDEX('Eingabe Meldungen'!$D$2:$D$492,LARGE(('Eingabe Meldungen'!$A$2:$A$492=$B$266)*(ROW('Eingabe Meldungen'!$A$2:$A$492)-1),COUNTIF('Eingabe Meldungen'!$A$2:$A$492,$B$266)+1-ROW('Eingabe Meldungen'!A1)))),"",INDEX('Eingabe Meldungen'!$D$2:$D$492,LARGE(('Eingabe Meldungen'!$A$2:$A$492=$B$266)*(ROW('Eingabe Meldungen'!$A$2:$A$492)-1),COUNTIF('Eingabe Meldungen'!$A$2:$A$492,$B$266)+1-ROW('Eingabe Meldungen'!A1))))</f>
        <v>Sebastian</v>
      </c>
      <c r="D268" s="78">
        <f t="array" ref="D268">IF(B268&lt;&gt;"",INDEX('Eingabe Meldungen'!$C$2:$H$492,MATCH(B268&amp;C268,'Eingabe Meldungen'!$C$2:$C$492&amp;'Eingabe Meldungen'!$D$2:$D$492,0),6),"")</f>
        <v>1976</v>
      </c>
      <c r="E268" s="78" t="str">
        <f t="array" ref="E268">IF(B268&lt;&gt;"",INDEX('Eingabe Meldungen'!$C$2:$H$492,MATCH(B268&amp;C268,'Eingabe Meldungen'!$C$2:$C$492&amp;'Eingabe Meldungen'!$D$2:$D$492,0),4),"")</f>
        <v>C</v>
      </c>
      <c r="F268" s="78">
        <v>4</v>
      </c>
      <c r="G268" s="133"/>
      <c r="H268" s="132" t="e">
        <f t="shared" ref="H268:H274" si="23">RANK(G268,$G$268:$G$274,1)</f>
        <v>#N/A</v>
      </c>
      <c r="I268" s="134" t="str">
        <f t="array" ref="I268">IF(B268&lt;&gt;"",INDEX('Eingabe Meldungen'!$C$2:$J$492,MATCH(B268&amp;C268,'Eingabe Meldungen'!$C$2:$C$492&amp;'Eingabe Meldungen'!$D$2:$D$492,0),8),"")</f>
        <v>Marbacher Ruderverein</v>
      </c>
      <c r="K268" s="15"/>
      <c r="M268" s="11"/>
      <c r="N268" s="10"/>
      <c r="O268" s="11"/>
      <c r="P268" s="11"/>
      <c r="Q268" s="11"/>
      <c r="R268" s="11"/>
      <c r="S268" s="11"/>
      <c r="W268" s="15"/>
    </row>
    <row r="269" spans="2:23" x14ac:dyDescent="0.2">
      <c r="B269" s="100" t="str">
        <f t="array" ref="B269">IF(ISERROR(INDEX('Eingabe Meldungen'!$C$2:$C$492,LARGE(('Eingabe Meldungen'!$A$2:$A$492=$B$266)*(ROW('Eingabe Meldungen'!$A$2:$A$492)-1),COUNTIF('Eingabe Meldungen'!$A$2:$A$492,$B$266)+1-ROW('Eingabe Meldungen'!A2)))),"",INDEX('Eingabe Meldungen'!$C$2:$C$492,LARGE(('Eingabe Meldungen'!$A$2:$A$492=$B$266)*(ROW('Eingabe Meldungen'!$A$2:$A$492)-1),COUNTIF('Eingabe Meldungen'!$A$2:$A$492,$B$266)+1-ROW('Eingabe Meldungen'!A2))))</f>
        <v>Klinge</v>
      </c>
      <c r="C269" s="4" t="str">
        <f t="array" ref="C269">IF(ISERROR(INDEX('Eingabe Meldungen'!$D$2:$D$492,LARGE(('Eingabe Meldungen'!$A$2:$A$492=$B$266)*(ROW('Eingabe Meldungen'!$A$2:$A$492)-1),COUNTIF('Eingabe Meldungen'!$A$2:$A$492,$B$266)+1-ROW('Eingabe Meldungen'!A2)))),"",INDEX('Eingabe Meldungen'!$D$2:$D$492,LARGE(('Eingabe Meldungen'!$A$2:$A$492=$B$266)*(ROW('Eingabe Meldungen'!$A$2:$A$492)-1),COUNTIF('Eingabe Meldungen'!$A$2:$A$492,$B$266)+1-ROW('Eingabe Meldungen'!A2))))</f>
        <v>Jens</v>
      </c>
      <c r="D269" s="66">
        <f t="array" ref="D269">IF(B269&lt;&gt;"",INDEX('Eingabe Meldungen'!$C$2:$H$492,MATCH(B269&amp;C269,'Eingabe Meldungen'!$C$2:$C$492&amp;'Eingabe Meldungen'!$D$2:$D$492,0),6),"")</f>
        <v>1990</v>
      </c>
      <c r="E269" s="66" t="str">
        <f t="array" ref="E269">IF(B269&lt;&gt;"",INDEX('Eingabe Meldungen'!$C$2:$H$492,MATCH(B269&amp;C269,'Eingabe Meldungen'!$C$2:$C$492&amp;'Eingabe Meldungen'!$D$2:$D$492,0),4),"")</f>
        <v>A</v>
      </c>
      <c r="F269" s="66">
        <v>5</v>
      </c>
      <c r="G269" s="135"/>
      <c r="H269" s="4" t="e">
        <f t="shared" si="23"/>
        <v>#N/A</v>
      </c>
      <c r="I269" s="136" t="str">
        <f t="array" ref="I269">IF(B269&lt;&gt;"",INDEX('Eingabe Meldungen'!$C$2:$J$492,MATCH(B269&amp;C269,'Eingabe Meldungen'!$C$2:$C$492&amp;'Eingabe Meldungen'!$D$2:$D$492,0),8),"")</f>
        <v>HRG Schwaben</v>
      </c>
      <c r="K269" s="15"/>
      <c r="M269" s="11"/>
      <c r="N269" s="10"/>
      <c r="O269" s="11"/>
      <c r="P269" s="11"/>
      <c r="Q269" s="11"/>
      <c r="R269" s="11"/>
      <c r="S269" s="11"/>
      <c r="W269" s="15"/>
    </row>
    <row r="270" spans="2:23" x14ac:dyDescent="0.2">
      <c r="B270" s="100" t="str">
        <f t="array" ref="B270">IF(ISERROR(INDEX('Eingabe Meldungen'!$C$2:$C$492,LARGE(('Eingabe Meldungen'!$A$2:$A$492=$B$266)*(ROW('Eingabe Meldungen'!$A$2:$A$492)-1),COUNTIF('Eingabe Meldungen'!$A$2:$A$492,$B$266)+1-ROW('Eingabe Meldungen'!A3)))),"",INDEX('Eingabe Meldungen'!$C$2:$C$492,LARGE(('Eingabe Meldungen'!$A$2:$A$492=$B$266)*(ROW('Eingabe Meldungen'!$A$2:$A$492)-1),COUNTIF('Eingabe Meldungen'!$A$2:$A$492,$B$266)+1-ROW('Eingabe Meldungen'!A3))))</f>
        <v>Weiß</v>
      </c>
      <c r="C270" s="4" t="str">
        <f t="array" ref="C270">IF(ISERROR(INDEX('Eingabe Meldungen'!$D$2:$D$492,LARGE(('Eingabe Meldungen'!$A$2:$A$492=$B$266)*(ROW('Eingabe Meldungen'!$A$2:$A$492)-1),COUNTIF('Eingabe Meldungen'!$A$2:$A$492,$B$266)+1-ROW('Eingabe Meldungen'!A3)))),"",INDEX('Eingabe Meldungen'!$D$2:$D$492,LARGE(('Eingabe Meldungen'!$A$2:$A$492=$B$266)*(ROW('Eingabe Meldungen'!$A$2:$A$492)-1),COUNTIF('Eingabe Meldungen'!$A$2:$A$492,$B$266)+1-ROW('Eingabe Meldungen'!A3))))</f>
        <v>Fabian</v>
      </c>
      <c r="D270" s="66">
        <f t="array" ref="D270">IF(B270&lt;&gt;"",INDEX('Eingabe Meldungen'!$C$2:$H$492,MATCH(B270&amp;C270,'Eingabe Meldungen'!$C$2:$C$492&amp;'Eingabe Meldungen'!$D$2:$D$492,0),6),"")</f>
        <v>1992</v>
      </c>
      <c r="E270" s="66" t="str">
        <f t="array" ref="E270">IF(B270&lt;&gt;"",INDEX('Eingabe Meldungen'!$C$2:$H$492,MATCH(B270&amp;C270,'Eingabe Meldungen'!$C$2:$C$492&amp;'Eingabe Meldungen'!$D$2:$D$492,0),4),"")</f>
        <v>A</v>
      </c>
      <c r="F270" s="66">
        <v>6</v>
      </c>
      <c r="G270" s="135"/>
      <c r="H270" s="4" t="e">
        <f t="shared" si="23"/>
        <v>#N/A</v>
      </c>
      <c r="I270" s="136" t="str">
        <f t="array" ref="I270">IF(B270&lt;&gt;"",INDEX('Eingabe Meldungen'!$C$2:$J$492,MATCH(B270&amp;C270,'Eingabe Meldungen'!$C$2:$C$492&amp;'Eingabe Meldungen'!$D$2:$D$492,0),8),"")</f>
        <v>HRG Schwaben</v>
      </c>
      <c r="K270" s="15"/>
      <c r="M270" s="11"/>
      <c r="N270" s="10"/>
      <c r="O270" s="11"/>
      <c r="P270" s="11"/>
      <c r="Q270" s="11"/>
      <c r="R270" s="11"/>
      <c r="S270" s="11"/>
      <c r="W270" s="15"/>
    </row>
    <row r="271" spans="2:23" x14ac:dyDescent="0.2">
      <c r="B271" s="100" t="str">
        <f t="array" ref="B271">IF(ISERROR(INDEX('Eingabe Meldungen'!$C$2:$C$492,LARGE(('Eingabe Meldungen'!$A$2:$A$492=$B$266)*(ROW('Eingabe Meldungen'!$A$2:$A$492)-1),COUNTIF('Eingabe Meldungen'!$A$2:$A$492,$B$266)+1-ROW('Eingabe Meldungen'!A4)))),"",INDEX('Eingabe Meldungen'!$C$2:$C$492,LARGE(('Eingabe Meldungen'!$A$2:$A$492=$B$266)*(ROW('Eingabe Meldungen'!$A$2:$A$492)-1),COUNTIF('Eingabe Meldungen'!$A$2:$A$492,$B$266)+1-ROW('Eingabe Meldungen'!A4))))</f>
        <v>Wöppel</v>
      </c>
      <c r="C271" s="4" t="str">
        <f t="array" ref="C271">IF(ISERROR(INDEX('Eingabe Meldungen'!$D$2:$D$492,LARGE(('Eingabe Meldungen'!$A$2:$A$492=$B$266)*(ROW('Eingabe Meldungen'!$A$2:$A$492)-1),COUNTIF('Eingabe Meldungen'!$A$2:$A$492,$B$266)+1-ROW('Eingabe Meldungen'!A4)))),"",INDEX('Eingabe Meldungen'!$D$2:$D$492,LARGE(('Eingabe Meldungen'!$A$2:$A$492=$B$266)*(ROW('Eingabe Meldungen'!$A$2:$A$492)-1),COUNTIF('Eingabe Meldungen'!$A$2:$A$492,$B$266)+1-ROW('Eingabe Meldungen'!A4))))</f>
        <v>Stefan</v>
      </c>
      <c r="D271" s="66">
        <f t="array" ref="D271">IF(B271&lt;&gt;"",INDEX('Eingabe Meldungen'!$C$2:$H$492,MATCH(B271&amp;C271,'Eingabe Meldungen'!$C$2:$C$492&amp;'Eingabe Meldungen'!$D$2:$D$492,0),6),"")</f>
        <v>1967</v>
      </c>
      <c r="E271" s="66" t="str">
        <f t="array" ref="E271">IF(B271&lt;&gt;"",INDEX('Eingabe Meldungen'!$C$2:$H$492,MATCH(B271&amp;C271,'Eingabe Meldungen'!$C$2:$C$492&amp;'Eingabe Meldungen'!$D$2:$D$492,0),4),"")</f>
        <v>D</v>
      </c>
      <c r="F271" s="66">
        <v>7</v>
      </c>
      <c r="G271" s="135"/>
      <c r="H271" s="4" t="e">
        <f t="shared" si="23"/>
        <v>#N/A</v>
      </c>
      <c r="I271" s="136" t="str">
        <f t="array" ref="I271">IF(B271&lt;&gt;"",INDEX('Eingabe Meldungen'!$C$2:$J$492,MATCH(B271&amp;C271,'Eingabe Meldungen'!$C$2:$C$492&amp;'Eingabe Meldungen'!$D$2:$D$492,0),8),"")</f>
        <v xml:space="preserve">WSV Schifferclub Neckarrems </v>
      </c>
      <c r="K271" s="15"/>
      <c r="M271" s="11"/>
      <c r="N271" s="10"/>
      <c r="O271" s="11"/>
      <c r="P271" s="11"/>
      <c r="Q271" s="11"/>
      <c r="R271" s="11"/>
      <c r="S271" s="11"/>
      <c r="W271" s="15"/>
    </row>
    <row r="272" spans="2:23" x14ac:dyDescent="0.2">
      <c r="B272" s="100" t="str">
        <f t="array" ref="B272">IF(ISERROR(INDEX('Eingabe Meldungen'!$C$2:$C$492,LARGE(('Eingabe Meldungen'!$A$2:$A$492=$B$266)*(ROW('Eingabe Meldungen'!$A$2:$A$492)-1),COUNTIF('Eingabe Meldungen'!$A$2:$A$492,$B$266)+1-ROW('Eingabe Meldungen'!A5)))),"",INDEX('Eingabe Meldungen'!$C$2:$C$492,LARGE(('Eingabe Meldungen'!$A$2:$A$492=$B$266)*(ROW('Eingabe Meldungen'!$A$2:$A$492)-1),COUNTIF('Eingabe Meldungen'!$A$2:$A$492,$B$266)+1-ROW('Eingabe Meldungen'!A5))))</f>
        <v>Schupp</v>
      </c>
      <c r="C272" s="4" t="str">
        <f t="array" ref="C272">IF(ISERROR(INDEX('Eingabe Meldungen'!$D$2:$D$492,LARGE(('Eingabe Meldungen'!$A$2:$A$492=$B$266)*(ROW('Eingabe Meldungen'!$A$2:$A$492)-1),COUNTIF('Eingabe Meldungen'!$A$2:$A$492,$B$266)+1-ROW('Eingabe Meldungen'!A5)))),"",INDEX('Eingabe Meldungen'!$D$2:$D$492,LARGE(('Eingabe Meldungen'!$A$2:$A$492=$B$266)*(ROW('Eingabe Meldungen'!$A$2:$A$492)-1),COUNTIF('Eingabe Meldungen'!$A$2:$A$492,$B$266)+1-ROW('Eingabe Meldungen'!A5))))</f>
        <v>Malthe</v>
      </c>
      <c r="D272" s="66">
        <f t="array" ref="D272">IF(B272&lt;&gt;"",INDEX('Eingabe Meldungen'!$C$2:$H$492,MATCH(B272&amp;C272,'Eingabe Meldungen'!$C$2:$C$492&amp;'Eingabe Meldungen'!$D$2:$D$492,0),6),"")</f>
        <v>2004</v>
      </c>
      <c r="E272" s="66" t="str">
        <f t="array" ref="E272">IF(B272&lt;&gt;"",INDEX('Eingabe Meldungen'!$C$2:$H$492,MATCH(B272&amp;C272,'Eingabe Meldungen'!$C$2:$C$492&amp;'Eingabe Meldungen'!$D$2:$D$492,0),4),"")</f>
        <v>Lgw. bis 67,5kg</v>
      </c>
      <c r="F272" s="66">
        <v>8</v>
      </c>
      <c r="G272" s="135"/>
      <c r="H272" s="4" t="e">
        <f t="shared" si="23"/>
        <v>#N/A</v>
      </c>
      <c r="I272" s="136" t="str">
        <f t="array" ref="I272">IF(B272&lt;&gt;"",INDEX('Eingabe Meldungen'!$C$2:$J$492,MATCH(B272&amp;C272,'Eingabe Meldungen'!$C$2:$C$492&amp;'Eingabe Meldungen'!$D$2:$D$492,0),8),"")</f>
        <v xml:space="preserve">WSV Schifferclub Neckarrems </v>
      </c>
      <c r="K272" s="15"/>
      <c r="M272" s="11"/>
      <c r="N272" s="10"/>
      <c r="O272" s="11"/>
      <c r="P272" s="11"/>
      <c r="Q272" s="11"/>
      <c r="R272" s="11"/>
      <c r="S272" s="11"/>
      <c r="W272" s="15"/>
    </row>
    <row r="273" spans="2:23" x14ac:dyDescent="0.2">
      <c r="B273" s="100" t="str">
        <f t="array" ref="B273">IF(ISERROR(INDEX('Eingabe Meldungen'!$C$2:$C$492,LARGE(('Eingabe Meldungen'!$A$2:$A$492=$B$266)*(ROW('Eingabe Meldungen'!$A$2:$A$492)-1),COUNTIF('Eingabe Meldungen'!$A$2:$A$492,$B$266)+1-ROW('Eingabe Meldungen'!A6)))),"",INDEX('Eingabe Meldungen'!$C$2:$C$492,LARGE(('Eingabe Meldungen'!$A$2:$A$492=$B$266)*(ROW('Eingabe Meldungen'!$A$2:$A$492)-1),COUNTIF('Eingabe Meldungen'!$A$2:$A$492,$B$266)+1-ROW('Eingabe Meldungen'!A6))))</f>
        <v/>
      </c>
      <c r="C273" s="4" t="str">
        <f t="array" ref="C273">IF(ISERROR(INDEX('Eingabe Meldungen'!$D$2:$D$492,LARGE(('Eingabe Meldungen'!$A$2:$A$492=$B$266)*(ROW('Eingabe Meldungen'!$A$2:$A$492)-1),COUNTIF('Eingabe Meldungen'!$A$2:$A$492,$B$266)+1-ROW('Eingabe Meldungen'!A6)))),"",INDEX('Eingabe Meldungen'!$D$2:$D$492,LARGE(('Eingabe Meldungen'!$A$2:$A$492=$B$266)*(ROW('Eingabe Meldungen'!$A$2:$A$492)-1),COUNTIF('Eingabe Meldungen'!$A$2:$A$492,$B$266)+1-ROW('Eingabe Meldungen'!A6))))</f>
        <v/>
      </c>
      <c r="D273" s="66" t="str">
        <f t="array" ref="D273">IF(B273&lt;&gt;"",INDEX('Eingabe Meldungen'!$C$2:$H$492,MATCH(B273&amp;C273,'Eingabe Meldungen'!$C$2:$C$492&amp;'Eingabe Meldungen'!$D$2:$D$492,0),6),"")</f>
        <v/>
      </c>
      <c r="E273" s="66" t="str">
        <f t="array" ref="E273">IF(B273&lt;&gt;"",INDEX('Eingabe Meldungen'!$C$2:$H$492,MATCH(B273&amp;C273,'Eingabe Meldungen'!$C$2:$C$492&amp;'Eingabe Meldungen'!$D$2:$D$492,0),4),"")</f>
        <v/>
      </c>
      <c r="F273" s="66">
        <v>9</v>
      </c>
      <c r="G273" s="135"/>
      <c r="H273" s="4" t="e">
        <f t="shared" si="23"/>
        <v>#N/A</v>
      </c>
      <c r="I273" s="136" t="str">
        <f t="array" ref="I273">IF(B273&lt;&gt;"",INDEX('Eingabe Meldungen'!$C$2:$J$492,MATCH(B273&amp;C273,'Eingabe Meldungen'!$C$2:$C$492&amp;'Eingabe Meldungen'!$D$2:$D$492,0),8),"")</f>
        <v/>
      </c>
      <c r="M273" s="11"/>
      <c r="N273" s="10"/>
      <c r="O273" s="11"/>
      <c r="P273" s="11"/>
      <c r="Q273" s="11"/>
      <c r="R273" s="11"/>
      <c r="S273" s="11"/>
      <c r="W273" s="15"/>
    </row>
    <row r="274" spans="2:23" ht="13.2" thickBot="1" x14ac:dyDescent="0.25">
      <c r="B274" s="138" t="str">
        <f t="array" ref="B274">IF(ISERROR(INDEX('Eingabe Meldungen'!$C$2:$C$492,LARGE(('Eingabe Meldungen'!$A$2:$A$492=$B$266)*(ROW('Eingabe Meldungen'!$A$2:$A$492)-1),COUNTIF('Eingabe Meldungen'!$A$2:$A$492,$B$266)+1-ROW('Eingabe Meldungen'!A7)))),"",INDEX('Eingabe Meldungen'!$C$2:$C$492,LARGE(('Eingabe Meldungen'!$A$2:$A$492=$B$266)*(ROW('Eingabe Meldungen'!$A$2:$A$492)-1),COUNTIF('Eingabe Meldungen'!$A$2:$A$492,$B$266)+1-ROW('Eingabe Meldungen'!A7))))</f>
        <v/>
      </c>
      <c r="C274" s="139" t="str">
        <f t="array" ref="C274">IF(ISERROR(INDEX('Eingabe Meldungen'!$D$2:$D$492,LARGE(('Eingabe Meldungen'!$A$2:$A$492=$B$266)*(ROW('Eingabe Meldungen'!$A$2:$A$492)-1),COUNTIF('Eingabe Meldungen'!$A$2:$A$492,$B$266)+1-ROW('Eingabe Meldungen'!A7)))),"",INDEX('Eingabe Meldungen'!$D$2:$D$492,LARGE(('Eingabe Meldungen'!$A$2:$A$492=$B$266)*(ROW('Eingabe Meldungen'!$A$2:$A$492)-1),COUNTIF('Eingabe Meldungen'!$A$2:$A$492,$B$266)+1-ROW('Eingabe Meldungen'!A7))))</f>
        <v/>
      </c>
      <c r="D274" s="99" t="str">
        <f t="array" ref="D274">IF(B274&lt;&gt;"",INDEX('Eingabe Meldungen'!$C$2:$H$492,MATCH(B274&amp;C274,'Eingabe Meldungen'!$C$2:$C$492&amp;'Eingabe Meldungen'!$D$2:$D$492,0),6),"")</f>
        <v/>
      </c>
      <c r="E274" s="99" t="str">
        <f t="array" ref="E274">IF(B274&lt;&gt;"",INDEX('Eingabe Meldungen'!$C$2:$H$492,MATCH(B274&amp;C274,'Eingabe Meldungen'!$C$2:$C$492&amp;'Eingabe Meldungen'!$D$2:$D$492,0),4),"")</f>
        <v/>
      </c>
      <c r="F274" s="99">
        <v>10</v>
      </c>
      <c r="G274" s="143"/>
      <c r="H274" s="139" t="e">
        <f t="shared" si="23"/>
        <v>#N/A</v>
      </c>
      <c r="I274" s="141" t="str">
        <f t="array" ref="I274">IF(B274&lt;&gt;"",INDEX('Eingabe Meldungen'!$C$2:$J$492,MATCH(B274&amp;C274,'Eingabe Meldungen'!$C$2:$C$492&amp;'Eingabe Meldungen'!$D$2:$D$492,0),8),"")</f>
        <v/>
      </c>
      <c r="M274" s="11"/>
      <c r="N274" s="10"/>
      <c r="O274" s="11"/>
      <c r="P274" s="11"/>
      <c r="Q274" s="11"/>
      <c r="R274" s="11"/>
      <c r="S274" s="11"/>
      <c r="W274" s="15"/>
    </row>
    <row r="275" spans="2:23" ht="13.2" thickBot="1" x14ac:dyDescent="0.25"/>
    <row r="276" spans="2:23" ht="26.25" customHeight="1" x14ac:dyDescent="0.2">
      <c r="B276" s="26">
        <v>17</v>
      </c>
      <c r="C276" s="65" t="str">
        <f>VLOOKUP(B276,Ausschreibung!$B$5:$I$35,2,FALSE)</f>
        <v>Ergocup</v>
      </c>
      <c r="D276" s="27">
        <f>VLOOKUP(B276,Ausschreibung!$B$5:$I$35,3,FALSE)</f>
        <v>0.62083333333333324</v>
      </c>
      <c r="E276" s="65" t="s">
        <v>101</v>
      </c>
      <c r="F276" s="65" t="str">
        <f>VLOOKUP(B276,Ausschreibung!$B$5:$I$35,5,FALSE)</f>
        <v>LGW. bis 60 kg</v>
      </c>
      <c r="G276" s="65" t="str">
        <f>VLOOKUP(B276,Ausschreibung!$B$5:$I$35,6,FALSE)</f>
        <v>17-18</v>
      </c>
      <c r="H276" s="65" t="str">
        <f>VLOOKUP(B276,Ausschreibung!$B$5:$I$35,8,FALSE)</f>
        <v>2000 m</v>
      </c>
      <c r="I276" s="28" t="s">
        <v>461</v>
      </c>
    </row>
    <row r="277" spans="2:23" ht="13.2" thickBot="1" x14ac:dyDescent="0.25">
      <c r="B277" s="19" t="s">
        <v>1</v>
      </c>
      <c r="C277" s="18" t="s">
        <v>2</v>
      </c>
      <c r="D277" s="17" t="s">
        <v>49</v>
      </c>
      <c r="E277" s="130" t="s">
        <v>16</v>
      </c>
      <c r="F277" s="17" t="s">
        <v>18</v>
      </c>
      <c r="G277" s="73" t="s">
        <v>50</v>
      </c>
      <c r="H277" s="17" t="s">
        <v>51</v>
      </c>
      <c r="I277" s="30" t="s">
        <v>17</v>
      </c>
    </row>
    <row r="278" spans="2:23" x14ac:dyDescent="0.2">
      <c r="B278" s="131" t="str">
        <f t="array" ref="B278">IF(ISERROR(INDEX('Eingabe Meldungen'!$C$2:$C$492,LARGE(('Eingabe Meldungen'!$A$2:$A$492=$B$276)*(ROW('Eingabe Meldungen'!$A$2:$A$492)-1),COUNTIF('Eingabe Meldungen'!$A$2:$A$492,$B$276)+1-ROW('Eingabe Meldungen'!A1)))),"",INDEX('Eingabe Meldungen'!$C$2:$C$492,LARGE(('Eingabe Meldungen'!$A$2:$A$492=$B$276)*(ROW('Eingabe Meldungen'!$A$2:$A$492)-1),COUNTIF('Eingabe Meldungen'!$A$2:$A$492,$B$276)+1-ROW('Eingabe Meldungen'!A1))))</f>
        <v>Röhling</v>
      </c>
      <c r="C278" s="132" t="str">
        <f t="array" ref="C278">IF(ISERROR(INDEX('Eingabe Meldungen'!$D$2:$D$492,LARGE(('Eingabe Meldungen'!$A$2:$A$492=$B$276)*(ROW('Eingabe Meldungen'!$A$2:$A$492)-1),COUNTIF('Eingabe Meldungen'!$A$2:$A$492,$B$276)+1-ROW('Eingabe Meldungen'!A1)))),"",INDEX('Eingabe Meldungen'!$D$2:$D$492,LARGE(('Eingabe Meldungen'!$A$2:$A$492=$B$276)*(ROW('Eingabe Meldungen'!$A$2:$A$492)-1),COUNTIF('Eingabe Meldungen'!$A$2:$A$492,$B$276)+1-ROW('Eingabe Meldungen'!A1))))</f>
        <v>Nina</v>
      </c>
      <c r="D278" s="78">
        <f t="array" ref="D278">IF(B278&lt;&gt;"",INDEX('Eingabe Meldungen'!$C$2:$H$492,MATCH(B278&amp;C278,'Eingabe Meldungen'!$C$2:$C$492&amp;'Eingabe Meldungen'!$D$2:$D$492,0),6),"")</f>
        <v>2003</v>
      </c>
      <c r="E278" s="78" t="str">
        <f t="array" ref="E278">IF(B278&lt;&gt;"",INDEX('Eingabe Meldungen'!$C$2:$H$492,MATCH(B278&amp;C278,'Eingabe Meldungen'!$C$2:$C$492&amp;'Eingabe Meldungen'!$D$2:$D$492,0),4),"")</f>
        <v>LGW. bis 60 kg</v>
      </c>
      <c r="F278" s="78">
        <v>1</v>
      </c>
      <c r="G278" s="133"/>
      <c r="H278" s="132" t="e">
        <f>RANK(G278,$G$278:$G$279,1)</f>
        <v>#N/A</v>
      </c>
      <c r="I278" s="134" t="str">
        <f t="array" ref="I278">IF(B278&lt;&gt;"",INDEX('Eingabe Meldungen'!$C$2:$J$492,MATCH(B278&amp;C278,'Eingabe Meldungen'!$C$2:$C$492&amp;'Eingabe Meldungen'!$D$2:$D$492,0),8),"")</f>
        <v>RG Eberbach</v>
      </c>
    </row>
    <row r="279" spans="2:23" ht="13.2" thickBot="1" x14ac:dyDescent="0.25">
      <c r="B279" s="138" t="str">
        <f t="array" ref="B279">IF(ISERROR(INDEX('Eingabe Meldungen'!$C$2:$C$492,LARGE(('Eingabe Meldungen'!$A$2:$A$492=$B$276)*(ROW('Eingabe Meldungen'!$A$2:$A$492)-1),COUNTIF('Eingabe Meldungen'!$A$2:$A$492,$B$276)+1-ROW('Eingabe Meldungen'!A2)))),"",INDEX('Eingabe Meldungen'!$C$2:$C$492,LARGE(('Eingabe Meldungen'!$A$2:$A$492=$B$276)*(ROW('Eingabe Meldungen'!$A$2:$A$492)-1),COUNTIF('Eingabe Meldungen'!$A$2:$A$492,$B$276)+1-ROW('Eingabe Meldungen'!A2))))</f>
        <v/>
      </c>
      <c r="C279" s="139" t="str">
        <f t="array" ref="C279">IF(ISERROR(INDEX('Eingabe Meldungen'!$D$2:$D$492,LARGE(('Eingabe Meldungen'!$A$2:$A$492=$B$276)*(ROW('Eingabe Meldungen'!$A$2:$A$492)-1),COUNTIF('Eingabe Meldungen'!$A$2:$A$492,$B$276)+1-ROW('Eingabe Meldungen'!A2)))),"",INDEX('Eingabe Meldungen'!$D$2:$D$492,LARGE(('Eingabe Meldungen'!$A$2:$A$492=$B$276)*(ROW('Eingabe Meldungen'!$A$2:$A$492)-1),COUNTIF('Eingabe Meldungen'!$A$2:$A$492,$B$276)+1-ROW('Eingabe Meldungen'!A2))))</f>
        <v/>
      </c>
      <c r="D279" s="99" t="str">
        <f t="array" ref="D279">IF(B279&lt;&gt;"",INDEX('Eingabe Meldungen'!$C$2:$H$492,MATCH(B279&amp;C279,'Eingabe Meldungen'!$C$2:$C$492&amp;'Eingabe Meldungen'!$D$2:$D$492,0),6),"")</f>
        <v/>
      </c>
      <c r="E279" s="99" t="str">
        <f t="array" ref="E279">IF(B279&lt;&gt;"",INDEX('Eingabe Meldungen'!$C$2:$H$492,MATCH(B279&amp;C279,'Eingabe Meldungen'!$C$2:$C$492&amp;'Eingabe Meldungen'!$D$2:$D$492,0),4),"")</f>
        <v/>
      </c>
      <c r="F279" s="99">
        <v>2</v>
      </c>
      <c r="G279" s="143"/>
      <c r="H279" s="139" t="e">
        <f>RANK(G279,$G$278:$G$279,1)</f>
        <v>#N/A</v>
      </c>
      <c r="I279" s="141" t="str">
        <f t="array" ref="I279">IF(B279&lt;&gt;"",INDEX('Eingabe Meldungen'!$C$2:$J$492,MATCH(B279&amp;C279,'Eingabe Meldungen'!$C$2:$C$492&amp;'Eingabe Meldungen'!$D$2:$D$492,0),8),"")</f>
        <v/>
      </c>
    </row>
    <row r="280" spans="2:23" ht="13.2" thickBot="1" x14ac:dyDescent="0.25"/>
    <row r="281" spans="2:23" ht="24.75" customHeight="1" x14ac:dyDescent="0.2">
      <c r="B281" s="26">
        <f>B276+1</f>
        <v>18</v>
      </c>
      <c r="C281" s="65" t="str">
        <f>VLOOKUP(B281,Ausschreibung!$B$5:$I$35,2,FALSE)</f>
        <v>Ergocup</v>
      </c>
      <c r="D281" s="27">
        <f>VLOOKUP(B281,Ausschreibung!$B$5:$I$35,3,FALSE)</f>
        <v>0.62083333333333324</v>
      </c>
      <c r="E281" s="65" t="s">
        <v>101</v>
      </c>
      <c r="F281" s="65" t="str">
        <f>VLOOKUP(B281,Ausschreibung!$B$5:$I$35,5,FALSE)</f>
        <v>-</v>
      </c>
      <c r="G281" s="65" t="str">
        <f>VLOOKUP(B281,Ausschreibung!$B$5:$I$35,6,FALSE)</f>
        <v>17-18</v>
      </c>
      <c r="H281" s="65" t="str">
        <f>VLOOKUP(B281,Ausschreibung!$B$5:$I$35,8,FALSE)</f>
        <v>2000 m</v>
      </c>
      <c r="I281" s="28" t="s">
        <v>462</v>
      </c>
    </row>
    <row r="282" spans="2:23" ht="13.2" thickBot="1" x14ac:dyDescent="0.25">
      <c r="B282" s="19" t="s">
        <v>1</v>
      </c>
      <c r="C282" s="18" t="s">
        <v>2</v>
      </c>
      <c r="D282" s="17" t="s">
        <v>49</v>
      </c>
      <c r="E282" s="130" t="s">
        <v>16</v>
      </c>
      <c r="F282" s="17" t="s">
        <v>18</v>
      </c>
      <c r="G282" s="73" t="s">
        <v>50</v>
      </c>
      <c r="H282" s="17" t="s">
        <v>51</v>
      </c>
      <c r="I282" s="30" t="s">
        <v>17</v>
      </c>
    </row>
    <row r="283" spans="2:23" x14ac:dyDescent="0.2">
      <c r="B283" s="131" t="str">
        <f t="array" ref="B283">IF(ISERROR(INDEX('Eingabe Meldungen'!$C$2:$C$492,LARGE(('Eingabe Meldungen'!$A$2:$A$492=$B$281)*(ROW('Eingabe Meldungen'!$A$2:$A$492)-1),COUNTIF('Eingabe Meldungen'!$A$2:$A$492,$B$281)+1-ROW('Eingabe Meldungen'!A1)))),"",INDEX('Eingabe Meldungen'!$C$2:$C$492,LARGE(('Eingabe Meldungen'!$A$2:$A$492=$B$281)*(ROW('Eingabe Meldungen'!$A$2:$A$492)-1),COUNTIF('Eingabe Meldungen'!$A$2:$A$492,$B$281)+1-ROW('Eingabe Meldungen'!A1))))</f>
        <v>Löwer</v>
      </c>
      <c r="C283" s="132" t="str">
        <f t="array" ref="C283">IF(ISERROR(INDEX('Eingabe Meldungen'!$D$2:$D$492,LARGE(('Eingabe Meldungen'!$A$2:$A$492=$B$281)*(ROW('Eingabe Meldungen'!$A$2:$A$492)-1),COUNTIF('Eingabe Meldungen'!$A$2:$A$492,$B$281)+1-ROW('Eingabe Meldungen'!A1)))),"",INDEX('Eingabe Meldungen'!$D$2:$D$492,LARGE(('Eingabe Meldungen'!$A$2:$A$492=$B$281)*(ROW('Eingabe Meldungen'!$A$2:$A$492)-1),COUNTIF('Eingabe Meldungen'!$A$2:$A$492,$B$281)+1-ROW('Eingabe Meldungen'!A1))))</f>
        <v>Kim</v>
      </c>
      <c r="D283" s="78">
        <f t="array" ref="D283">IF(B283&lt;&gt;"",INDEX('Eingabe Meldungen'!$C$2:$H$492,MATCH(B283&amp;C283,'Eingabe Meldungen'!$C$2:$C$492&amp;'Eingabe Meldungen'!$D$2:$D$492,0),6),"")</f>
        <v>2002</v>
      </c>
      <c r="E283" s="78" t="str">
        <f t="array" ref="E283">IF(B283&lt;&gt;"",INDEX('Eingabe Meldungen'!$C$2:$H$492,MATCH(B283&amp;C283,'Eingabe Meldungen'!$C$2:$C$492&amp;'Eingabe Meldungen'!$D$2:$D$492,0),4),"")</f>
        <v>-</v>
      </c>
      <c r="F283" s="78">
        <v>3</v>
      </c>
      <c r="G283" s="133"/>
      <c r="H283" s="132" t="e">
        <f t="shared" ref="H283:H290" si="24">RANK(G283,$G$283:$G$290,1)</f>
        <v>#N/A</v>
      </c>
      <c r="I283" s="134" t="str">
        <f t="array" ref="I283">IF(B283&lt;&gt;"",INDEX('Eingabe Meldungen'!$C$2:$J$492,MATCH(B283&amp;C283,'Eingabe Meldungen'!$C$2:$C$492&amp;'Eingabe Meldungen'!$D$2:$D$492,0),8),"")</f>
        <v>Marbacher Ruderverein</v>
      </c>
    </row>
    <row r="284" spans="2:23" x14ac:dyDescent="0.2">
      <c r="B284" s="100" t="str">
        <f t="array" ref="B284">IF(ISERROR(INDEX('Eingabe Meldungen'!$C$2:$C$492,LARGE(('Eingabe Meldungen'!$A$2:$A$492=$B$281)*(ROW('Eingabe Meldungen'!$A$2:$A$492)-1),COUNTIF('Eingabe Meldungen'!$A$2:$A$492,$B$281)+1-ROW('Eingabe Meldungen'!A2)))),"",INDEX('Eingabe Meldungen'!$C$2:$C$492,LARGE(('Eingabe Meldungen'!$A$2:$A$492=$B$281)*(ROW('Eingabe Meldungen'!$A$2:$A$492)-1),COUNTIF('Eingabe Meldungen'!$A$2:$A$492,$B$281)+1-ROW('Eingabe Meldungen'!A2))))</f>
        <v>Groß</v>
      </c>
      <c r="C284" s="4" t="str">
        <f t="array" ref="C284">IF(ISERROR(INDEX('Eingabe Meldungen'!$D$2:$D$492,LARGE(('Eingabe Meldungen'!$A$2:$A$492=$B$281)*(ROW('Eingabe Meldungen'!$A$2:$A$492)-1),COUNTIF('Eingabe Meldungen'!$A$2:$A$492,$B$281)+1-ROW('Eingabe Meldungen'!A2)))),"",INDEX('Eingabe Meldungen'!$D$2:$D$492,LARGE(('Eingabe Meldungen'!$A$2:$A$492=$B$281)*(ROW('Eingabe Meldungen'!$A$2:$A$492)-1),COUNTIF('Eingabe Meldungen'!$A$2:$A$492,$B$281)+1-ROW('Eingabe Meldungen'!A2))))</f>
        <v>Amelie</v>
      </c>
      <c r="D284" s="66">
        <f t="array" ref="D284">IF(B284&lt;&gt;"",INDEX('Eingabe Meldungen'!$C$2:$H$492,MATCH(B284&amp;C284,'Eingabe Meldungen'!$C$2:$C$492&amp;'Eingabe Meldungen'!$D$2:$D$492,0),6),"")</f>
        <v>2003</v>
      </c>
      <c r="E284" s="66" t="str">
        <f t="array" ref="E284">IF(B284&lt;&gt;"",INDEX('Eingabe Meldungen'!$C$2:$H$492,MATCH(B284&amp;C284,'Eingabe Meldungen'!$C$2:$C$492&amp;'Eingabe Meldungen'!$D$2:$D$492,0),4),"")</f>
        <v>-</v>
      </c>
      <c r="F284" s="66">
        <v>4</v>
      </c>
      <c r="G284" s="135"/>
      <c r="H284" s="4" t="e">
        <f t="shared" si="24"/>
        <v>#N/A</v>
      </c>
      <c r="I284" s="136" t="str">
        <f t="array" ref="I284">IF(B284&lt;&gt;"",INDEX('Eingabe Meldungen'!$C$2:$J$492,MATCH(B284&amp;C284,'Eingabe Meldungen'!$C$2:$C$492&amp;'Eingabe Meldungen'!$D$2:$D$492,0),8),"")</f>
        <v>Marbacher Ruderverein</v>
      </c>
    </row>
    <row r="285" spans="2:23" x14ac:dyDescent="0.2">
      <c r="B285" s="100" t="str">
        <f t="array" ref="B285">IF(ISERROR(INDEX('Eingabe Meldungen'!$C$2:$C$492,LARGE(('Eingabe Meldungen'!$A$2:$A$492=$B$281)*(ROW('Eingabe Meldungen'!$A$2:$A$492)-1),COUNTIF('Eingabe Meldungen'!$A$2:$A$492,$B$281)+1-ROW('Eingabe Meldungen'!A3)))),"",INDEX('Eingabe Meldungen'!$C$2:$C$492,LARGE(('Eingabe Meldungen'!$A$2:$A$492=$B$281)*(ROW('Eingabe Meldungen'!$A$2:$A$492)-1),COUNTIF('Eingabe Meldungen'!$A$2:$A$492,$B$281)+1-ROW('Eingabe Meldungen'!A3))))</f>
        <v>Ross</v>
      </c>
      <c r="C285" s="4" t="str">
        <f t="array" ref="C285">IF(ISERROR(INDEX('Eingabe Meldungen'!$D$2:$D$492,LARGE(('Eingabe Meldungen'!$A$2:$A$492=$B$281)*(ROW('Eingabe Meldungen'!$A$2:$A$492)-1),COUNTIF('Eingabe Meldungen'!$A$2:$A$492,$B$281)+1-ROW('Eingabe Meldungen'!A3)))),"",INDEX('Eingabe Meldungen'!$D$2:$D$492,LARGE(('Eingabe Meldungen'!$A$2:$A$492=$B$281)*(ROW('Eingabe Meldungen'!$A$2:$A$492)-1),COUNTIF('Eingabe Meldungen'!$A$2:$A$492,$B$281)+1-ROW('Eingabe Meldungen'!A3))))</f>
        <v>Charlotte</v>
      </c>
      <c r="D285" s="66">
        <f t="array" ref="D285">IF(B285&lt;&gt;"",INDEX('Eingabe Meldungen'!$C$2:$H$492,MATCH(B285&amp;C285,'Eingabe Meldungen'!$C$2:$C$492&amp;'Eingabe Meldungen'!$D$2:$D$492,0),6),"")</f>
        <v>2003</v>
      </c>
      <c r="E285" s="66" t="str">
        <f t="array" ref="E285">IF(B285&lt;&gt;"",INDEX('Eingabe Meldungen'!$C$2:$H$492,MATCH(B285&amp;C285,'Eingabe Meldungen'!$C$2:$C$492&amp;'Eingabe Meldungen'!$D$2:$D$492,0),4),"")</f>
        <v>-</v>
      </c>
      <c r="F285" s="66">
        <v>5</v>
      </c>
      <c r="G285" s="135"/>
      <c r="H285" s="4" t="e">
        <f t="shared" si="24"/>
        <v>#N/A</v>
      </c>
      <c r="I285" s="136" t="str">
        <f t="array" ref="I285">IF(B285&lt;&gt;"",INDEX('Eingabe Meldungen'!$C$2:$J$492,MATCH(B285&amp;C285,'Eingabe Meldungen'!$C$2:$C$492&amp;'Eingabe Meldungen'!$D$2:$D$492,0),8),"")</f>
        <v>RC Nürtingen</v>
      </c>
    </row>
    <row r="286" spans="2:23" x14ac:dyDescent="0.2">
      <c r="B286" s="100" t="str">
        <f t="array" ref="B286">IF(ISERROR(INDEX('Eingabe Meldungen'!$C$2:$C$492,LARGE(('Eingabe Meldungen'!$A$2:$A$492=$B$281)*(ROW('Eingabe Meldungen'!$A$2:$A$492)-1),COUNTIF('Eingabe Meldungen'!$A$2:$A$492,$B$281)+1-ROW('Eingabe Meldungen'!A4)))),"",INDEX('Eingabe Meldungen'!$C$2:$C$492,LARGE(('Eingabe Meldungen'!$A$2:$A$492=$B$281)*(ROW('Eingabe Meldungen'!$A$2:$A$492)-1),COUNTIF('Eingabe Meldungen'!$A$2:$A$492,$B$281)+1-ROW('Eingabe Meldungen'!A4))))</f>
        <v>Stephan</v>
      </c>
      <c r="C286" s="4" t="str">
        <f t="array" ref="C286">IF(ISERROR(INDEX('Eingabe Meldungen'!$D$2:$D$492,LARGE(('Eingabe Meldungen'!$A$2:$A$492=$B$281)*(ROW('Eingabe Meldungen'!$A$2:$A$492)-1),COUNTIF('Eingabe Meldungen'!$A$2:$A$492,$B$281)+1-ROW('Eingabe Meldungen'!A4)))),"",INDEX('Eingabe Meldungen'!$D$2:$D$492,LARGE(('Eingabe Meldungen'!$A$2:$A$492=$B$281)*(ROW('Eingabe Meldungen'!$A$2:$A$492)-1),COUNTIF('Eingabe Meldungen'!$A$2:$A$492,$B$281)+1-ROW('Eingabe Meldungen'!A4))))</f>
        <v>Julia</v>
      </c>
      <c r="D286" s="66">
        <f t="array" ref="D286">IF(B286&lt;&gt;"",INDEX('Eingabe Meldungen'!$C$2:$H$492,MATCH(B286&amp;C286,'Eingabe Meldungen'!$C$2:$C$492&amp;'Eingabe Meldungen'!$D$2:$D$492,0),6),"")</f>
        <v>2003</v>
      </c>
      <c r="E286" s="66" t="str">
        <f t="array" ref="E286">IF(B286&lt;&gt;"",INDEX('Eingabe Meldungen'!$C$2:$H$492,MATCH(B286&amp;C286,'Eingabe Meldungen'!$C$2:$C$492&amp;'Eingabe Meldungen'!$D$2:$D$492,0),4),"")</f>
        <v>-</v>
      </c>
      <c r="F286" s="66">
        <v>6</v>
      </c>
      <c r="G286" s="135"/>
      <c r="H286" s="4" t="e">
        <f t="shared" si="24"/>
        <v>#N/A</v>
      </c>
      <c r="I286" s="136" t="str">
        <f t="array" ref="I286">IF(B286&lt;&gt;"",INDEX('Eingabe Meldungen'!$C$2:$J$492,MATCH(B286&amp;C286,'Eingabe Meldungen'!$C$2:$C$492&amp;'Eingabe Meldungen'!$D$2:$D$492,0),8),"")</f>
        <v>Ruderverein Bad Wimpfen</v>
      </c>
    </row>
    <row r="287" spans="2:23" x14ac:dyDescent="0.2">
      <c r="B287" s="100" t="str">
        <f t="array" ref="B287">IF(ISERROR(INDEX('Eingabe Meldungen'!$C$2:$C$492,LARGE(('Eingabe Meldungen'!$A$2:$A$492=$B$281)*(ROW('Eingabe Meldungen'!$A$2:$A$492)-1),COUNTIF('Eingabe Meldungen'!$A$2:$A$492,$B$281)+1-ROW('Eingabe Meldungen'!A5)))),"",INDEX('Eingabe Meldungen'!$C$2:$C$492,LARGE(('Eingabe Meldungen'!$A$2:$A$492=$B$281)*(ROW('Eingabe Meldungen'!$A$2:$A$492)-1),COUNTIF('Eingabe Meldungen'!$A$2:$A$492,$B$281)+1-ROW('Eingabe Meldungen'!A5))))</f>
        <v/>
      </c>
      <c r="C287" s="4" t="str">
        <f t="array" ref="C287">IF(ISERROR(INDEX('Eingabe Meldungen'!$D$2:$D$492,LARGE(('Eingabe Meldungen'!$A$2:$A$492=$B$281)*(ROW('Eingabe Meldungen'!$A$2:$A$492)-1),COUNTIF('Eingabe Meldungen'!$A$2:$A$492,$B$281)+1-ROW('Eingabe Meldungen'!A5)))),"",INDEX('Eingabe Meldungen'!$D$2:$D$492,LARGE(('Eingabe Meldungen'!$A$2:$A$492=$B$281)*(ROW('Eingabe Meldungen'!$A$2:$A$492)-1),COUNTIF('Eingabe Meldungen'!$A$2:$A$492,$B$281)+1-ROW('Eingabe Meldungen'!A5))))</f>
        <v/>
      </c>
      <c r="D287" s="66" t="str">
        <f t="array" ref="D287">IF(B287&lt;&gt;"",INDEX('Eingabe Meldungen'!$C$2:$H$492,MATCH(B287&amp;C287,'Eingabe Meldungen'!$C$2:$C$492&amp;'Eingabe Meldungen'!$D$2:$D$492,0),6),"")</f>
        <v/>
      </c>
      <c r="E287" s="66" t="str">
        <f t="array" ref="E287">IF(B287&lt;&gt;"",INDEX('Eingabe Meldungen'!$C$2:$H$492,MATCH(B287&amp;C287,'Eingabe Meldungen'!$C$2:$C$492&amp;'Eingabe Meldungen'!$D$2:$D$492,0),4),"")</f>
        <v/>
      </c>
      <c r="F287" s="66">
        <v>7</v>
      </c>
      <c r="G287" s="135"/>
      <c r="H287" s="4" t="e">
        <f t="shared" si="24"/>
        <v>#N/A</v>
      </c>
      <c r="I287" s="136" t="str">
        <f t="array" ref="I287">IF(B287&lt;&gt;"",INDEX('Eingabe Meldungen'!$C$2:$J$492,MATCH(B287&amp;C287,'Eingabe Meldungen'!$C$2:$C$492&amp;'Eingabe Meldungen'!$D$2:$D$492,0),8),"")</f>
        <v/>
      </c>
    </row>
    <row r="288" spans="2:23" x14ac:dyDescent="0.2">
      <c r="B288" s="100" t="str">
        <f t="array" ref="B288">IF(ISERROR(INDEX('Eingabe Meldungen'!$C$2:$C$492,LARGE(('Eingabe Meldungen'!$A$2:$A$492=$B$281)*(ROW('Eingabe Meldungen'!$A$2:$A$492)-1),COUNTIF('Eingabe Meldungen'!$A$2:$A$492,$B$281)+1-ROW('Eingabe Meldungen'!A6)))),"",INDEX('Eingabe Meldungen'!$C$2:$C$492,LARGE(('Eingabe Meldungen'!$A$2:$A$492=$B$281)*(ROW('Eingabe Meldungen'!$A$2:$A$492)-1),COUNTIF('Eingabe Meldungen'!$A$2:$A$492,$B$281)+1-ROW('Eingabe Meldungen'!A6))))</f>
        <v/>
      </c>
      <c r="C288" s="4" t="str">
        <f t="array" ref="C288">IF(ISERROR(INDEX('Eingabe Meldungen'!$D$2:$D$492,LARGE(('Eingabe Meldungen'!$A$2:$A$492=$B$281)*(ROW('Eingabe Meldungen'!$A$2:$A$492)-1),COUNTIF('Eingabe Meldungen'!$A$2:$A$492,$B$281)+1-ROW('Eingabe Meldungen'!A6)))),"",INDEX('Eingabe Meldungen'!$D$2:$D$492,LARGE(('Eingabe Meldungen'!$A$2:$A$492=$B$281)*(ROW('Eingabe Meldungen'!$A$2:$A$492)-1),COUNTIF('Eingabe Meldungen'!$A$2:$A$492,$B$281)+1-ROW('Eingabe Meldungen'!A6))))</f>
        <v/>
      </c>
      <c r="D288" s="66" t="str">
        <f t="array" ref="D288">IF(B288&lt;&gt;"",INDEX('Eingabe Meldungen'!$C$2:$H$492,MATCH(B288&amp;C288,'Eingabe Meldungen'!$C$2:$C$492&amp;'Eingabe Meldungen'!$D$2:$D$492,0),6),"")</f>
        <v/>
      </c>
      <c r="E288" s="66" t="str">
        <f t="array" ref="E288">IF(B288&lt;&gt;"",INDEX('Eingabe Meldungen'!$C$2:$H$492,MATCH(B288&amp;C288,'Eingabe Meldungen'!$C$2:$C$492&amp;'Eingabe Meldungen'!$D$2:$D$492,0),4),"")</f>
        <v/>
      </c>
      <c r="F288" s="66">
        <v>8</v>
      </c>
      <c r="G288" s="135"/>
      <c r="H288" s="4" t="e">
        <f t="shared" si="24"/>
        <v>#N/A</v>
      </c>
      <c r="I288" s="136" t="str">
        <f t="array" ref="I288">IF(B288&lt;&gt;"",INDEX('Eingabe Meldungen'!$C$2:$J$492,MATCH(B288&amp;C288,'Eingabe Meldungen'!$C$2:$C$492&amp;'Eingabe Meldungen'!$D$2:$D$492,0),8),"")</f>
        <v/>
      </c>
    </row>
    <row r="289" spans="2:9" x14ac:dyDescent="0.2">
      <c r="B289" s="100" t="str">
        <f t="array" ref="B289">IF(ISERROR(INDEX('Eingabe Meldungen'!$C$2:$C$492,LARGE(('Eingabe Meldungen'!$A$2:$A$492=$B$281)*(ROW('Eingabe Meldungen'!$A$2:$A$492)-1),COUNTIF('Eingabe Meldungen'!$A$2:$A$492,$B$281)+1-ROW('Eingabe Meldungen'!A7)))),"",INDEX('Eingabe Meldungen'!$C$2:$C$492,LARGE(('Eingabe Meldungen'!$A$2:$A$492=$B$281)*(ROW('Eingabe Meldungen'!$A$2:$A$492)-1),COUNTIF('Eingabe Meldungen'!$A$2:$A$492,$B$281)+1-ROW('Eingabe Meldungen'!A7))))</f>
        <v/>
      </c>
      <c r="C289" s="4" t="str">
        <f t="array" ref="C289">IF(ISERROR(INDEX('Eingabe Meldungen'!$D$2:$D$492,LARGE(('Eingabe Meldungen'!$A$2:$A$492=$B$281)*(ROW('Eingabe Meldungen'!$A$2:$A$492)-1),COUNTIF('Eingabe Meldungen'!$A$2:$A$492,$B$281)+1-ROW('Eingabe Meldungen'!A7)))),"",INDEX('Eingabe Meldungen'!$D$2:$D$492,LARGE(('Eingabe Meldungen'!$A$2:$A$492=$B$281)*(ROW('Eingabe Meldungen'!$A$2:$A$492)-1),COUNTIF('Eingabe Meldungen'!$A$2:$A$492,$B$281)+1-ROW('Eingabe Meldungen'!A7))))</f>
        <v/>
      </c>
      <c r="D289" s="66" t="str">
        <f t="array" ref="D289">IF(B289&lt;&gt;"",INDEX('Eingabe Meldungen'!$C$2:$H$492,MATCH(B289&amp;C289,'Eingabe Meldungen'!$C$2:$C$492&amp;'Eingabe Meldungen'!$D$2:$D$492,0),6),"")</f>
        <v/>
      </c>
      <c r="E289" s="66" t="str">
        <f t="array" ref="E289">IF(B289&lt;&gt;"",INDEX('Eingabe Meldungen'!$C$2:$H$492,MATCH(B289&amp;C289,'Eingabe Meldungen'!$C$2:$C$492&amp;'Eingabe Meldungen'!$D$2:$D$492,0),4),"")</f>
        <v/>
      </c>
      <c r="F289" s="66">
        <v>9</v>
      </c>
      <c r="G289" s="135"/>
      <c r="H289" s="4" t="e">
        <f t="shared" si="24"/>
        <v>#N/A</v>
      </c>
      <c r="I289" s="136" t="str">
        <f t="array" ref="I289">IF(B289&lt;&gt;"",INDEX('Eingabe Meldungen'!$C$2:$J$492,MATCH(B289&amp;C289,'Eingabe Meldungen'!$C$2:$C$492&amp;'Eingabe Meldungen'!$D$2:$D$492,0),8),"")</f>
        <v/>
      </c>
    </row>
    <row r="290" spans="2:9" ht="13.2" thickBot="1" x14ac:dyDescent="0.25">
      <c r="B290" s="138" t="str">
        <f t="array" ref="B290">IF(ISERROR(INDEX('Eingabe Meldungen'!$C$2:$C$492,LARGE(('Eingabe Meldungen'!$A$2:$A$492=$B$281)*(ROW('Eingabe Meldungen'!$A$2:$A$492)-1),COUNTIF('Eingabe Meldungen'!$A$2:$A$492,$B$281)+1-ROW('Eingabe Meldungen'!A8)))),"",INDEX('Eingabe Meldungen'!$C$2:$C$492,LARGE(('Eingabe Meldungen'!$A$2:$A$492=$B$281)*(ROW('Eingabe Meldungen'!$A$2:$A$492)-1),COUNTIF('Eingabe Meldungen'!$A$2:$A$492,$B$281)+1-ROW('Eingabe Meldungen'!A8))))</f>
        <v/>
      </c>
      <c r="C290" s="139" t="str">
        <f t="array" ref="C290">IF(ISERROR(INDEX('Eingabe Meldungen'!$D$2:$D$492,LARGE(('Eingabe Meldungen'!$A$2:$A$492=$B$281)*(ROW('Eingabe Meldungen'!$A$2:$A$492)-1),COUNTIF('Eingabe Meldungen'!$A$2:$A$492,$B$281)+1-ROW('Eingabe Meldungen'!A8)))),"",INDEX('Eingabe Meldungen'!$D$2:$D$492,LARGE(('Eingabe Meldungen'!$A$2:$A$492=$B$281)*(ROW('Eingabe Meldungen'!$A$2:$A$492)-1),COUNTIF('Eingabe Meldungen'!$A$2:$A$492,$B$281)+1-ROW('Eingabe Meldungen'!A8))))</f>
        <v/>
      </c>
      <c r="D290" s="99" t="str">
        <f t="array" ref="D290">IF(B290&lt;&gt;"",INDEX('Eingabe Meldungen'!$C$2:$H$492,MATCH(B290&amp;C290,'Eingabe Meldungen'!$C$2:$C$492&amp;'Eingabe Meldungen'!$D$2:$D$492,0),6),"")</f>
        <v/>
      </c>
      <c r="E290" s="99" t="str">
        <f t="array" ref="E290">IF(B290&lt;&gt;"",INDEX('Eingabe Meldungen'!$C$2:$H$492,MATCH(B290&amp;C290,'Eingabe Meldungen'!$C$2:$C$492&amp;'Eingabe Meldungen'!$D$2:$D$492,0),4),"")</f>
        <v/>
      </c>
      <c r="F290" s="99">
        <v>10</v>
      </c>
      <c r="G290" s="143"/>
      <c r="H290" s="139" t="e">
        <f t="shared" si="24"/>
        <v>#N/A</v>
      </c>
      <c r="I290" s="141" t="str">
        <f t="array" ref="I290">IF(B290&lt;&gt;"",INDEX('Eingabe Meldungen'!$C$2:$J$492,MATCH(B290&amp;C290,'Eingabe Meldungen'!$C$2:$C$492&amp;'Eingabe Meldungen'!$D$2:$D$492,0),8),"")</f>
        <v/>
      </c>
    </row>
    <row r="291" spans="2:9" ht="13.2" thickBot="1" x14ac:dyDescent="0.25">
      <c r="B291" s="4"/>
      <c r="C291" s="4"/>
      <c r="D291" s="66"/>
      <c r="E291" s="66"/>
      <c r="F291" s="15"/>
      <c r="G291" s="142"/>
      <c r="H291" s="4"/>
      <c r="I291" s="66"/>
    </row>
    <row r="292" spans="2:9" ht="24.75" customHeight="1" x14ac:dyDescent="0.2">
      <c r="B292" s="26">
        <f>B281+1</f>
        <v>19</v>
      </c>
      <c r="C292" s="65" t="str">
        <f>VLOOKUP(B292,Ausschreibung!$B$5:$I$35,2,FALSE)</f>
        <v>Ergocup</v>
      </c>
      <c r="D292" s="27">
        <f>VLOOKUP(B292,Ausschreibung!$B$5:$I$35,3,FALSE)</f>
        <v>0.63124999999999987</v>
      </c>
      <c r="E292" s="65" t="s">
        <v>102</v>
      </c>
      <c r="F292" s="65" t="str">
        <f>VLOOKUP(B292,Ausschreibung!$B$5:$I$35,5,FALSE)</f>
        <v>LGW. bis 70 kg</v>
      </c>
      <c r="G292" s="65" t="str">
        <f>VLOOKUP(B292,Ausschreibung!$B$5:$I$35,6,FALSE)</f>
        <v>17-18</v>
      </c>
      <c r="H292" s="65" t="str">
        <f>VLOOKUP(B292,Ausschreibung!$B$5:$I$35,8,FALSE)</f>
        <v>2000 m</v>
      </c>
      <c r="I292" s="28" t="s">
        <v>463</v>
      </c>
    </row>
    <row r="293" spans="2:9" ht="13.2" thickBot="1" x14ac:dyDescent="0.25">
      <c r="B293" s="19" t="s">
        <v>1</v>
      </c>
      <c r="C293" s="18" t="s">
        <v>2</v>
      </c>
      <c r="D293" s="17" t="s">
        <v>49</v>
      </c>
      <c r="E293" s="130" t="s">
        <v>16</v>
      </c>
      <c r="F293" s="17" t="s">
        <v>18</v>
      </c>
      <c r="G293" s="73" t="s">
        <v>50</v>
      </c>
      <c r="H293" s="17" t="s">
        <v>51</v>
      </c>
      <c r="I293" s="30" t="s">
        <v>17</v>
      </c>
    </row>
    <row r="294" spans="2:9" x14ac:dyDescent="0.2">
      <c r="B294" s="131" t="str">
        <f t="array" ref="B294">IF(ISERROR(INDEX('Eingabe Meldungen'!$C$2:$C$492,LARGE(('Eingabe Meldungen'!$A$2:$A$492=$B$292)*(ROW('Eingabe Meldungen'!$A$2:$A$492)-1),COUNTIF('Eingabe Meldungen'!$A$2:$A$492,$B$292)+1-ROW('Eingabe Meldungen'!A1)))),"",INDEX('Eingabe Meldungen'!$C$2:$C$492,LARGE(('Eingabe Meldungen'!$A$2:$A$492=$B$292)*(ROW('Eingabe Meldungen'!$A$2:$A$492)-1),COUNTIF('Eingabe Meldungen'!$A$2:$A$492,$B$292)+1-ROW('Eingabe Meldungen'!A1))))</f>
        <v>Walz</v>
      </c>
      <c r="C294" s="132" t="str">
        <f t="array" ref="C294">IF(ISERROR(INDEX('Eingabe Meldungen'!$D$2:$D$492,LARGE(('Eingabe Meldungen'!$A$2:$A$492=$B$292)*(ROW('Eingabe Meldungen'!$A$2:$A$492)-1),COUNTIF('Eingabe Meldungen'!$A$2:$A$492,$B$292)+1-ROW('Eingabe Meldungen'!A1)))),"",INDEX('Eingabe Meldungen'!$D$2:$D$492,LARGE(('Eingabe Meldungen'!$A$2:$A$492=$B$292)*(ROW('Eingabe Meldungen'!$A$2:$A$492)-1),COUNTIF('Eingabe Meldungen'!$A$2:$A$492,$B$292)+1-ROW('Eingabe Meldungen'!A1))))</f>
        <v>Jona</v>
      </c>
      <c r="D294" s="78">
        <f t="array" ref="D294">IF(B294&lt;&gt;"",INDEX('Eingabe Meldungen'!$C$2:$H$492,MATCH(B294&amp;C294,'Eingabe Meldungen'!$C$2:$C$492&amp;'Eingabe Meldungen'!$D$2:$D$492,0),6),"")</f>
        <v>2003</v>
      </c>
      <c r="E294" s="78" t="str">
        <f t="array" ref="E294">IF(B294&lt;&gt;"",INDEX('Eingabe Meldungen'!$C$2:$H$492,MATCH(B294&amp;C294,'Eingabe Meldungen'!$C$2:$C$492&amp;'Eingabe Meldungen'!$D$2:$D$492,0),4),"")</f>
        <v>LGW. bis 70 kg</v>
      </c>
      <c r="F294" s="78">
        <v>1</v>
      </c>
      <c r="G294" s="133"/>
      <c r="H294" s="132" t="e">
        <f>RANK(G294,$G$294:$G$295,1)</f>
        <v>#N/A</v>
      </c>
      <c r="I294" s="134" t="str">
        <f t="array" ref="I294">IF(B294&lt;&gt;"",INDEX('Eingabe Meldungen'!$C$2:$J$492,MATCH(B294&amp;C294,'Eingabe Meldungen'!$C$2:$C$492&amp;'Eingabe Meldungen'!$D$2:$D$492,0),8),"")</f>
        <v>RC Nürtingen</v>
      </c>
    </row>
    <row r="295" spans="2:9" ht="13.2" thickBot="1" x14ac:dyDescent="0.25">
      <c r="B295" s="138" t="str">
        <f t="array" ref="B295">IF(ISERROR(INDEX('Eingabe Meldungen'!$C$2:$C$492,LARGE(('Eingabe Meldungen'!$A$2:$A$492=$B$292)*(ROW('Eingabe Meldungen'!$A$2:$A$492)-1),COUNTIF('Eingabe Meldungen'!$A$2:$A$492,$B$292)+1-ROW('Eingabe Meldungen'!A2)))),"",INDEX('Eingabe Meldungen'!$C$2:$C$492,LARGE(('Eingabe Meldungen'!$A$2:$A$492=$B$292)*(ROW('Eingabe Meldungen'!$A$2:$A$492)-1),COUNTIF('Eingabe Meldungen'!$A$2:$A$492,$B$292)+1-ROW('Eingabe Meldungen'!A2))))</f>
        <v>Weber</v>
      </c>
      <c r="C295" s="139" t="str">
        <f t="array" ref="C295">IF(ISERROR(INDEX('Eingabe Meldungen'!$D$2:$D$492,LARGE(('Eingabe Meldungen'!$A$2:$A$492=$B$292)*(ROW('Eingabe Meldungen'!$A$2:$A$492)-1),COUNTIF('Eingabe Meldungen'!$A$2:$A$492,$B$292)+1-ROW('Eingabe Meldungen'!A2)))),"",INDEX('Eingabe Meldungen'!$D$2:$D$492,LARGE(('Eingabe Meldungen'!$A$2:$A$492=$B$292)*(ROW('Eingabe Meldungen'!$A$2:$A$492)-1),COUNTIF('Eingabe Meldungen'!$A$2:$A$492,$B$292)+1-ROW('Eingabe Meldungen'!A2))))</f>
        <v>Nils</v>
      </c>
      <c r="D295" s="99">
        <f t="array" ref="D295">IF(B295&lt;&gt;"",INDEX('Eingabe Meldungen'!$C$2:$H$492,MATCH(B295&amp;C295,'Eingabe Meldungen'!$C$2:$C$492&amp;'Eingabe Meldungen'!$D$2:$D$492,0),6),"")</f>
        <v>2003</v>
      </c>
      <c r="E295" s="99" t="str">
        <f t="array" ref="E295">IF(B295&lt;&gt;"",INDEX('Eingabe Meldungen'!$C$2:$H$492,MATCH(B295&amp;C295,'Eingabe Meldungen'!$C$2:$C$492&amp;'Eingabe Meldungen'!$D$2:$D$492,0),4),"")</f>
        <v>LGW. bis 70 kg</v>
      </c>
      <c r="F295" s="99">
        <v>2</v>
      </c>
      <c r="G295" s="143"/>
      <c r="H295" s="139" t="e">
        <f>RANK(G295,$G$294:$G$295,1)</f>
        <v>#N/A</v>
      </c>
      <c r="I295" s="141" t="str">
        <f t="array" ref="I295">IF(B295&lt;&gt;"",INDEX('Eingabe Meldungen'!$C$2:$J$492,MATCH(B295&amp;C295,'Eingabe Meldungen'!$C$2:$C$492&amp;'Eingabe Meldungen'!$D$2:$D$492,0),8),"")</f>
        <v>RG Eberbach</v>
      </c>
    </row>
    <row r="296" spans="2:9" ht="13.2" thickBot="1" x14ac:dyDescent="0.25"/>
    <row r="297" spans="2:9" ht="25.5" customHeight="1" x14ac:dyDescent="0.2">
      <c r="B297" s="26">
        <f>B292+1</f>
        <v>20</v>
      </c>
      <c r="C297" s="65" t="str">
        <f>VLOOKUP(B297,Ausschreibung!$B$5:$I$35,2,FALSE)</f>
        <v>Ergocup</v>
      </c>
      <c r="D297" s="27">
        <f>VLOOKUP(B297,Ausschreibung!$B$5:$I$35,3,FALSE)</f>
        <v>0.63124999999999987</v>
      </c>
      <c r="E297" s="65" t="s">
        <v>102</v>
      </c>
      <c r="F297" s="65" t="str">
        <f>VLOOKUP(B297,Ausschreibung!$B$5:$I$35,5,FALSE)</f>
        <v>-</v>
      </c>
      <c r="G297" s="65" t="str">
        <f>VLOOKUP(B297,Ausschreibung!$B$5:$I$35,6,FALSE)</f>
        <v>17-18</v>
      </c>
      <c r="H297" s="65" t="str">
        <f>VLOOKUP(B297,Ausschreibung!$B$5:$I$35,8,FALSE)</f>
        <v>2000 m</v>
      </c>
      <c r="I297" s="28" t="s">
        <v>464</v>
      </c>
    </row>
    <row r="298" spans="2:9" ht="13.2" thickBot="1" x14ac:dyDescent="0.25">
      <c r="B298" s="19" t="s">
        <v>1</v>
      </c>
      <c r="C298" s="18" t="s">
        <v>2</v>
      </c>
      <c r="D298" s="17" t="s">
        <v>49</v>
      </c>
      <c r="E298" s="130" t="s">
        <v>16</v>
      </c>
      <c r="F298" s="17" t="s">
        <v>18</v>
      </c>
      <c r="G298" s="73" t="s">
        <v>50</v>
      </c>
      <c r="H298" s="17" t="s">
        <v>51</v>
      </c>
      <c r="I298" s="30" t="s">
        <v>17</v>
      </c>
    </row>
    <row r="299" spans="2:9" x14ac:dyDescent="0.2">
      <c r="B299" s="131" t="str">
        <f t="array" ref="B299">IF(ISERROR(INDEX('Eingabe Meldungen'!$C$2:$C$492,LARGE(('Eingabe Meldungen'!$A$2:$A$492=$B$297)*(ROW('Eingabe Meldungen'!$A$2:$A$492)-1),COUNTIF('Eingabe Meldungen'!$A$2:$A$492,$B$297)+1-ROW('Eingabe Meldungen'!A1)))),"",INDEX('Eingabe Meldungen'!$C$2:$C$492,LARGE(('Eingabe Meldungen'!$A$2:$A$492=$B$297)*(ROW('Eingabe Meldungen'!$A$2:$A$492)-1),COUNTIF('Eingabe Meldungen'!$A$2:$A$492,$B$297)+1-ROW('Eingabe Meldungen'!A1))))</f>
        <v>Bachmann</v>
      </c>
      <c r="C299" s="132" t="str">
        <f t="array" ref="C299">IF(ISERROR(INDEX('Eingabe Meldungen'!$D$2:$D$492,LARGE(('Eingabe Meldungen'!$A$2:$A$492=$B$297)*(ROW('Eingabe Meldungen'!$A$2:$A$492)-1),COUNTIF('Eingabe Meldungen'!$A$2:$A$492,$B$297)+1-ROW('Eingabe Meldungen'!A1)))),"",INDEX('Eingabe Meldungen'!$D$2:$D$492,LARGE(('Eingabe Meldungen'!$A$2:$A$492=$B$297)*(ROW('Eingabe Meldungen'!$A$2:$A$492)-1),COUNTIF('Eingabe Meldungen'!$A$2:$A$492,$B$297)+1-ROW('Eingabe Meldungen'!A1))))</f>
        <v>Julius</v>
      </c>
      <c r="D299" s="78">
        <f t="array" ref="D299">IF(B299&lt;&gt;"",INDEX('Eingabe Meldungen'!$C$2:$H$492,MATCH(B299&amp;C299,'Eingabe Meldungen'!$C$2:$C$492&amp;'Eingabe Meldungen'!$D$2:$D$492,0),6),"")</f>
        <v>2002</v>
      </c>
      <c r="E299" s="78" t="str">
        <f t="array" ref="E299">IF(B299&lt;&gt;"",INDEX('Eingabe Meldungen'!$C$2:$H$492,MATCH(B299&amp;C299,'Eingabe Meldungen'!$C$2:$C$492&amp;'Eingabe Meldungen'!$D$2:$D$492,0),4),"")</f>
        <v>-</v>
      </c>
      <c r="F299" s="78">
        <v>3</v>
      </c>
      <c r="G299" s="133"/>
      <c r="H299" s="132" t="e">
        <f t="shared" ref="H299:H306" si="25">RANK(G299,$G$299:$G$306,1)</f>
        <v>#N/A</v>
      </c>
      <c r="I299" s="134" t="str">
        <f t="array" ref="I299">IF(B299&lt;&gt;"",INDEX('Eingabe Meldungen'!$C$2:$J$492,MATCH(B299&amp;C299,'Eingabe Meldungen'!$C$2:$C$492&amp;'Eingabe Meldungen'!$D$2:$D$492,0),8),"")</f>
        <v>HRG Schwaben</v>
      </c>
    </row>
    <row r="300" spans="2:9" x14ac:dyDescent="0.2">
      <c r="B300" s="100" t="str">
        <f t="array" ref="B300">IF(ISERROR(INDEX('Eingabe Meldungen'!$C$2:$C$492,LARGE(('Eingabe Meldungen'!$A$2:$A$492=$B$297)*(ROW('Eingabe Meldungen'!$A$2:$A$492)-1),COUNTIF('Eingabe Meldungen'!$A$2:$A$492,$B$297)+1-ROW('Eingabe Meldungen'!A2)))),"",INDEX('Eingabe Meldungen'!$C$2:$C$492,LARGE(('Eingabe Meldungen'!$A$2:$A$492=$B$297)*(ROW('Eingabe Meldungen'!$A$2:$A$492)-1),COUNTIF('Eingabe Meldungen'!$A$2:$A$492,$B$297)+1-ROW('Eingabe Meldungen'!A2))))</f>
        <v>Hamzaoui</v>
      </c>
      <c r="C300" s="4" t="str">
        <f t="array" ref="C300">IF(ISERROR(INDEX('Eingabe Meldungen'!$D$2:$D$492,LARGE(('Eingabe Meldungen'!$A$2:$A$492=$B$297)*(ROW('Eingabe Meldungen'!$A$2:$A$492)-1),COUNTIF('Eingabe Meldungen'!$A$2:$A$492,$B$297)+1-ROW('Eingabe Meldungen'!A2)))),"",INDEX('Eingabe Meldungen'!$D$2:$D$492,LARGE(('Eingabe Meldungen'!$A$2:$A$492=$B$297)*(ROW('Eingabe Meldungen'!$A$2:$A$492)-1),COUNTIF('Eingabe Meldungen'!$A$2:$A$492,$B$297)+1-ROW('Eingabe Meldungen'!A2))))</f>
        <v>Latif</v>
      </c>
      <c r="D300" s="66">
        <f t="array" ref="D300">IF(B300&lt;&gt;"",INDEX('Eingabe Meldungen'!$C$2:$H$492,MATCH(B300&amp;C300,'Eingabe Meldungen'!$C$2:$C$492&amp;'Eingabe Meldungen'!$D$2:$D$492,0),6),"")</f>
        <v>2003</v>
      </c>
      <c r="E300" s="66" t="str">
        <f t="array" ref="E300">IF(B300&lt;&gt;"",INDEX('Eingabe Meldungen'!$C$2:$H$492,MATCH(B300&amp;C300,'Eingabe Meldungen'!$C$2:$C$492&amp;'Eingabe Meldungen'!$D$2:$D$492,0),4),"")</f>
        <v>-</v>
      </c>
      <c r="F300" s="66">
        <v>4</v>
      </c>
      <c r="G300" s="135"/>
      <c r="H300" s="4" t="e">
        <f t="shared" si="25"/>
        <v>#N/A</v>
      </c>
      <c r="I300" s="136" t="str">
        <f t="array" ref="I300">IF(B300&lt;&gt;"",INDEX('Eingabe Meldungen'!$C$2:$J$492,MATCH(B300&amp;C300,'Eingabe Meldungen'!$C$2:$C$492&amp;'Eingabe Meldungen'!$D$2:$D$492,0),8),"")</f>
        <v>RG Eberbach</v>
      </c>
    </row>
    <row r="301" spans="2:9" x14ac:dyDescent="0.2">
      <c r="B301" s="100" t="str">
        <f t="array" ref="B301">IF(ISERROR(INDEX('Eingabe Meldungen'!$C$2:$C$492,LARGE(('Eingabe Meldungen'!$A$2:$A$492=$B$297)*(ROW('Eingabe Meldungen'!$A$2:$A$492)-1),COUNTIF('Eingabe Meldungen'!$A$2:$A$492,$B$297)+1-ROW('Eingabe Meldungen'!A3)))),"",INDEX('Eingabe Meldungen'!$C$2:$C$492,LARGE(('Eingabe Meldungen'!$A$2:$A$492=$B$297)*(ROW('Eingabe Meldungen'!$A$2:$A$492)-1),COUNTIF('Eingabe Meldungen'!$A$2:$A$492,$B$297)+1-ROW('Eingabe Meldungen'!A3))))</f>
        <v>Spandel</v>
      </c>
      <c r="C301" s="4" t="str">
        <f t="array" ref="C301">IF(ISERROR(INDEX('Eingabe Meldungen'!$D$2:$D$492,LARGE(('Eingabe Meldungen'!$A$2:$A$492=$B$297)*(ROW('Eingabe Meldungen'!$A$2:$A$492)-1),COUNTIF('Eingabe Meldungen'!$A$2:$A$492,$B$297)+1-ROW('Eingabe Meldungen'!A3)))),"",INDEX('Eingabe Meldungen'!$D$2:$D$492,LARGE(('Eingabe Meldungen'!$A$2:$A$492=$B$297)*(ROW('Eingabe Meldungen'!$A$2:$A$492)-1),COUNTIF('Eingabe Meldungen'!$A$2:$A$492,$B$297)+1-ROW('Eingabe Meldungen'!A3))))</f>
        <v>Maximilian</v>
      </c>
      <c r="D301" s="66">
        <f t="array" ref="D301">IF(B301&lt;&gt;"",INDEX('Eingabe Meldungen'!$C$2:$H$492,MATCH(B301&amp;C301,'Eingabe Meldungen'!$C$2:$C$492&amp;'Eingabe Meldungen'!$D$2:$D$492,0),6),"")</f>
        <v>2003</v>
      </c>
      <c r="E301" s="66" t="str">
        <f t="array" ref="E301">IF(B301&lt;&gt;"",INDEX('Eingabe Meldungen'!$C$2:$H$492,MATCH(B301&amp;C301,'Eingabe Meldungen'!$C$2:$C$492&amp;'Eingabe Meldungen'!$D$2:$D$492,0),4),"")</f>
        <v>-</v>
      </c>
      <c r="F301" s="66">
        <v>5</v>
      </c>
      <c r="G301" s="135"/>
      <c r="H301" s="4" t="e">
        <f t="shared" si="25"/>
        <v>#N/A</v>
      </c>
      <c r="I301" s="136" t="str">
        <f t="array" ref="I301">IF(B301&lt;&gt;"",INDEX('Eingabe Meldungen'!$C$2:$J$492,MATCH(B301&amp;C301,'Eingabe Meldungen'!$C$2:$C$492&amp;'Eingabe Meldungen'!$D$2:$D$492,0),8),"")</f>
        <v>Marbacher Ruderverein</v>
      </c>
    </row>
    <row r="302" spans="2:9" x14ac:dyDescent="0.2">
      <c r="B302" s="100" t="str">
        <f t="array" ref="B302">IF(ISERROR(INDEX('Eingabe Meldungen'!$C$2:$C$492,LARGE(('Eingabe Meldungen'!$A$2:$A$492=$B$297)*(ROW('Eingabe Meldungen'!$A$2:$A$492)-1),COUNTIF('Eingabe Meldungen'!$A$2:$A$492,$B$297)+1-ROW('Eingabe Meldungen'!A4)))),"",INDEX('Eingabe Meldungen'!$C$2:$C$492,LARGE(('Eingabe Meldungen'!$A$2:$A$492=$B$297)*(ROW('Eingabe Meldungen'!$A$2:$A$492)-1),COUNTIF('Eingabe Meldungen'!$A$2:$A$492,$B$297)+1-ROW('Eingabe Meldungen'!A4))))</f>
        <v>Walter</v>
      </c>
      <c r="C302" s="4" t="str">
        <f t="array" ref="C302">IF(ISERROR(INDEX('Eingabe Meldungen'!$D$2:$D$492,LARGE(('Eingabe Meldungen'!$A$2:$A$492=$B$297)*(ROW('Eingabe Meldungen'!$A$2:$A$492)-1),COUNTIF('Eingabe Meldungen'!$A$2:$A$492,$B$297)+1-ROW('Eingabe Meldungen'!A4)))),"",INDEX('Eingabe Meldungen'!$D$2:$D$492,LARGE(('Eingabe Meldungen'!$A$2:$A$492=$B$297)*(ROW('Eingabe Meldungen'!$A$2:$A$492)-1),COUNTIF('Eingabe Meldungen'!$A$2:$A$492,$B$297)+1-ROW('Eingabe Meldungen'!A4))))</f>
        <v>Miron</v>
      </c>
      <c r="D302" s="66">
        <f t="array" ref="D302">IF(B302&lt;&gt;"",INDEX('Eingabe Meldungen'!$C$2:$H$492,MATCH(B302&amp;C302,'Eingabe Meldungen'!$C$2:$C$492&amp;'Eingabe Meldungen'!$D$2:$D$492,0),6),"")</f>
        <v>2003</v>
      </c>
      <c r="E302" s="66" t="str">
        <f t="array" ref="E302">IF(B302&lt;&gt;"",INDEX('Eingabe Meldungen'!$C$2:$H$492,MATCH(B302&amp;C302,'Eingabe Meldungen'!$C$2:$C$492&amp;'Eingabe Meldungen'!$D$2:$D$492,0),4),"")</f>
        <v>-</v>
      </c>
      <c r="F302" s="66">
        <v>6</v>
      </c>
      <c r="G302" s="135"/>
      <c r="H302" s="4" t="e">
        <f t="shared" si="25"/>
        <v>#N/A</v>
      </c>
      <c r="I302" s="136" t="str">
        <f t="array" ref="I302">IF(B302&lt;&gt;"",INDEX('Eingabe Meldungen'!$C$2:$J$492,MATCH(B302&amp;C302,'Eingabe Meldungen'!$C$2:$C$492&amp;'Eingabe Meldungen'!$D$2:$D$492,0),8),"")</f>
        <v>RG Eberbach</v>
      </c>
    </row>
    <row r="303" spans="2:9" x14ac:dyDescent="0.2">
      <c r="B303" s="100" t="str">
        <f t="array" ref="B303">IF(ISERROR(INDEX('Eingabe Meldungen'!$C$2:$C$492,LARGE(('Eingabe Meldungen'!$A$2:$A$492=$B$297)*(ROW('Eingabe Meldungen'!$A$2:$A$492)-1),COUNTIF('Eingabe Meldungen'!$A$2:$A$492,$B$297)+1-ROW('Eingabe Meldungen'!A5)))),"",INDEX('Eingabe Meldungen'!$C$2:$C$492,LARGE(('Eingabe Meldungen'!$A$2:$A$492=$B$297)*(ROW('Eingabe Meldungen'!$A$2:$A$492)-1),COUNTIF('Eingabe Meldungen'!$A$2:$A$492,$B$297)+1-ROW('Eingabe Meldungen'!A5))))</f>
        <v>Tafelmaier</v>
      </c>
      <c r="C303" s="4" t="str">
        <f t="array" ref="C303">IF(ISERROR(INDEX('Eingabe Meldungen'!$D$2:$D$492,LARGE(('Eingabe Meldungen'!$A$2:$A$492=$B$297)*(ROW('Eingabe Meldungen'!$A$2:$A$492)-1),COUNTIF('Eingabe Meldungen'!$A$2:$A$492,$B$297)+1-ROW('Eingabe Meldungen'!A5)))),"",INDEX('Eingabe Meldungen'!$D$2:$D$492,LARGE(('Eingabe Meldungen'!$A$2:$A$492=$B$297)*(ROW('Eingabe Meldungen'!$A$2:$A$492)-1),COUNTIF('Eingabe Meldungen'!$A$2:$A$492,$B$297)+1-ROW('Eingabe Meldungen'!A5))))</f>
        <v>Moritz</v>
      </c>
      <c r="D303" s="66">
        <f t="array" ref="D303">IF(B303&lt;&gt;"",INDEX('Eingabe Meldungen'!$C$2:$H$492,MATCH(B303&amp;C303,'Eingabe Meldungen'!$C$2:$C$492&amp;'Eingabe Meldungen'!$D$2:$D$492,0),6),"")</f>
        <v>2003</v>
      </c>
      <c r="E303" s="66" t="str">
        <f t="array" ref="E303">IF(B303&lt;&gt;"",INDEX('Eingabe Meldungen'!$C$2:$H$492,MATCH(B303&amp;C303,'Eingabe Meldungen'!$C$2:$C$492&amp;'Eingabe Meldungen'!$D$2:$D$492,0),4),"")</f>
        <v>-</v>
      </c>
      <c r="F303" s="66">
        <v>7</v>
      </c>
      <c r="G303" s="135"/>
      <c r="H303" s="4" t="e">
        <f t="shared" si="25"/>
        <v>#N/A</v>
      </c>
      <c r="I303" s="136" t="str">
        <f t="array" ref="I303">IF(B303&lt;&gt;"",INDEX('Eingabe Meldungen'!$C$2:$J$492,MATCH(B303&amp;C303,'Eingabe Meldungen'!$C$2:$C$492&amp;'Eingabe Meldungen'!$D$2:$D$492,0),8),"")</f>
        <v>Marbacher Ruderverein</v>
      </c>
    </row>
    <row r="304" spans="2:9" x14ac:dyDescent="0.2">
      <c r="B304" s="100" t="str">
        <f t="array" ref="B304">IF(ISERROR(INDEX('Eingabe Meldungen'!$C$2:$C$492,LARGE(('Eingabe Meldungen'!$A$2:$A$492=$B$297)*(ROW('Eingabe Meldungen'!$A$2:$A$492)-1),COUNTIF('Eingabe Meldungen'!$A$2:$A$492,$B$297)+1-ROW('Eingabe Meldungen'!A6)))),"",INDEX('Eingabe Meldungen'!$C$2:$C$492,LARGE(('Eingabe Meldungen'!$A$2:$A$492=$B$297)*(ROW('Eingabe Meldungen'!$A$2:$A$492)-1),COUNTIF('Eingabe Meldungen'!$A$2:$A$492,$B$297)+1-ROW('Eingabe Meldungen'!A6))))</f>
        <v>Keefer</v>
      </c>
      <c r="C304" s="4" t="str">
        <f t="array" ref="C304">IF(ISERROR(INDEX('Eingabe Meldungen'!$D$2:$D$492,LARGE(('Eingabe Meldungen'!$A$2:$A$492=$B$297)*(ROW('Eingabe Meldungen'!$A$2:$A$492)-1),COUNTIF('Eingabe Meldungen'!$A$2:$A$492,$B$297)+1-ROW('Eingabe Meldungen'!A6)))),"",INDEX('Eingabe Meldungen'!$D$2:$D$492,LARGE(('Eingabe Meldungen'!$A$2:$A$492=$B$297)*(ROW('Eingabe Meldungen'!$A$2:$A$492)-1),COUNTIF('Eingabe Meldungen'!$A$2:$A$492,$B$297)+1-ROW('Eingabe Meldungen'!A6))))</f>
        <v>Nicolai</v>
      </c>
      <c r="D304" s="66">
        <f t="array" ref="D304">IF(B304&lt;&gt;"",INDEX('Eingabe Meldungen'!$C$2:$H$492,MATCH(B304&amp;C304,'Eingabe Meldungen'!$C$2:$C$492&amp;'Eingabe Meldungen'!$D$2:$D$492,0),6),"")</f>
        <v>2003</v>
      </c>
      <c r="E304" s="66" t="str">
        <f t="array" ref="E304">IF(B304&lt;&gt;"",INDEX('Eingabe Meldungen'!$C$2:$H$492,MATCH(B304&amp;C304,'Eingabe Meldungen'!$C$2:$C$492&amp;'Eingabe Meldungen'!$D$2:$D$492,0),4),"")</f>
        <v>-</v>
      </c>
      <c r="F304" s="66">
        <v>8</v>
      </c>
      <c r="G304" s="135"/>
      <c r="H304" s="4" t="e">
        <f t="shared" si="25"/>
        <v>#N/A</v>
      </c>
      <c r="I304" s="136" t="str">
        <f t="array" ref="I304">IF(B304&lt;&gt;"",INDEX('Eingabe Meldungen'!$C$2:$J$492,MATCH(B304&amp;C304,'Eingabe Meldungen'!$C$2:$C$492&amp;'Eingabe Meldungen'!$D$2:$D$492,0),8),"")</f>
        <v>Marbacher Ruderverein</v>
      </c>
    </row>
    <row r="305" spans="2:10" x14ac:dyDescent="0.2">
      <c r="B305" s="100" t="str">
        <f t="array" ref="B305">IF(ISERROR(INDEX('Eingabe Meldungen'!$C$2:$C$492,LARGE(('Eingabe Meldungen'!$A$2:$A$492=$B$297)*(ROW('Eingabe Meldungen'!$A$2:$A$492)-1),COUNTIF('Eingabe Meldungen'!$A$2:$A$492,$B$297)+1-ROW('Eingabe Meldungen'!A7)))),"",INDEX('Eingabe Meldungen'!$C$2:$C$492,LARGE(('Eingabe Meldungen'!$A$2:$A$492=$B$297)*(ROW('Eingabe Meldungen'!$A$2:$A$492)-1),COUNTIF('Eingabe Meldungen'!$A$2:$A$492,$B$297)+1-ROW('Eingabe Meldungen'!A7))))</f>
        <v>Burkert</v>
      </c>
      <c r="C305" s="4" t="str">
        <f t="array" ref="C305">IF(ISERROR(INDEX('Eingabe Meldungen'!$D$2:$D$492,LARGE(('Eingabe Meldungen'!$A$2:$A$492=$B$297)*(ROW('Eingabe Meldungen'!$A$2:$A$492)-1),COUNTIF('Eingabe Meldungen'!$A$2:$A$492,$B$297)+1-ROW('Eingabe Meldungen'!A7)))),"",INDEX('Eingabe Meldungen'!$D$2:$D$492,LARGE(('Eingabe Meldungen'!$A$2:$A$492=$B$297)*(ROW('Eingabe Meldungen'!$A$2:$A$492)-1),COUNTIF('Eingabe Meldungen'!$A$2:$A$492,$B$297)+1-ROW('Eingabe Meldungen'!A7))))</f>
        <v>Niklas</v>
      </c>
      <c r="D305" s="66">
        <f t="array" ref="D305">IF(B305&lt;&gt;"",INDEX('Eingabe Meldungen'!$C$2:$H$492,MATCH(B305&amp;C305,'Eingabe Meldungen'!$C$2:$C$492&amp;'Eingabe Meldungen'!$D$2:$D$492,0),6),"")</f>
        <v>2003</v>
      </c>
      <c r="E305" s="66" t="str">
        <f t="array" ref="E305">IF(B305&lt;&gt;"",INDEX('Eingabe Meldungen'!$C$2:$H$492,MATCH(B305&amp;C305,'Eingabe Meldungen'!$C$2:$C$492&amp;'Eingabe Meldungen'!$D$2:$D$492,0),4),"")</f>
        <v>-</v>
      </c>
      <c r="F305" s="66">
        <v>9</v>
      </c>
      <c r="G305" s="135"/>
      <c r="H305" s="4" t="e">
        <f t="shared" si="25"/>
        <v>#N/A</v>
      </c>
      <c r="I305" s="136" t="str">
        <f t="array" ref="I305">IF(B305&lt;&gt;"",INDEX('Eingabe Meldungen'!$C$2:$J$492,MATCH(B305&amp;C305,'Eingabe Meldungen'!$C$2:$C$492&amp;'Eingabe Meldungen'!$D$2:$D$492,0),8),"")</f>
        <v>Marbacher Ruderverein</v>
      </c>
    </row>
    <row r="306" spans="2:10" ht="13.2" thickBot="1" x14ac:dyDescent="0.25">
      <c r="B306" s="138" t="str">
        <f t="array" ref="B306">IF(ISERROR(INDEX('Eingabe Meldungen'!$C$2:$C$492,LARGE(('Eingabe Meldungen'!$A$2:$A$492=$B$297)*(ROW('Eingabe Meldungen'!$A$2:$A$492)-1),COUNTIF('Eingabe Meldungen'!$A$2:$A$492,$B$297)+1-ROW('Eingabe Meldungen'!A8)))),"",INDEX('Eingabe Meldungen'!$C$2:$C$492,LARGE(('Eingabe Meldungen'!$A$2:$A$492=$B$297)*(ROW('Eingabe Meldungen'!$A$2:$A$492)-1),COUNTIF('Eingabe Meldungen'!$A$2:$A$492,$B$297)+1-ROW('Eingabe Meldungen'!A8))))</f>
        <v/>
      </c>
      <c r="C306" s="139" t="str">
        <f t="array" ref="C306">IF(ISERROR(INDEX('Eingabe Meldungen'!$D$2:$D$492,LARGE(('Eingabe Meldungen'!$A$2:$A$492=$B$297)*(ROW('Eingabe Meldungen'!$A$2:$A$492)-1),COUNTIF('Eingabe Meldungen'!$A$2:$A$492,$B$297)+1-ROW('Eingabe Meldungen'!A8)))),"",INDEX('Eingabe Meldungen'!$D$2:$D$492,LARGE(('Eingabe Meldungen'!$A$2:$A$492=$B$297)*(ROW('Eingabe Meldungen'!$A$2:$A$492)-1),COUNTIF('Eingabe Meldungen'!$A$2:$A$492,$B$297)+1-ROW('Eingabe Meldungen'!A8))))</f>
        <v/>
      </c>
      <c r="D306" s="99" t="str">
        <f t="array" ref="D306">IF(B306&lt;&gt;"",INDEX('Eingabe Meldungen'!$C$2:$H$492,MATCH(B306&amp;C306,'Eingabe Meldungen'!$C$2:$C$492&amp;'Eingabe Meldungen'!$D$2:$D$492,0),6),"")</f>
        <v/>
      </c>
      <c r="E306" s="99" t="str">
        <f t="array" ref="E306">IF(B306&lt;&gt;"",INDEX('Eingabe Meldungen'!$C$2:$H$492,MATCH(B306&amp;C306,'Eingabe Meldungen'!$C$2:$C$492&amp;'Eingabe Meldungen'!$D$2:$D$492,0),4),"")</f>
        <v/>
      </c>
      <c r="F306" s="99">
        <v>10</v>
      </c>
      <c r="G306" s="143"/>
      <c r="H306" s="139" t="e">
        <f t="shared" si="25"/>
        <v>#N/A</v>
      </c>
      <c r="I306" s="141" t="str">
        <f t="array" ref="I306">IF(B306&lt;&gt;"",INDEX('Eingabe Meldungen'!$C$2:$J$492,MATCH(B306&amp;C306,'Eingabe Meldungen'!$C$2:$C$492&amp;'Eingabe Meldungen'!$D$2:$D$492,0),8),"")</f>
        <v/>
      </c>
    </row>
    <row r="307" spans="2:10" ht="13.2" thickBot="1" x14ac:dyDescent="0.25"/>
    <row r="308" spans="2:10" ht="26.25" customHeight="1" x14ac:dyDescent="0.2">
      <c r="B308" s="26">
        <v>21</v>
      </c>
      <c r="C308" s="65" t="str">
        <f>VLOOKUP(B308,Ausschreibung!$B$5:$I$35,2,FALSE)</f>
        <v>Ergocup</v>
      </c>
      <c r="D308" s="27">
        <f>VLOOKUP(B308,Ausschreibung!$B$5:$I$35,3,FALSE)</f>
        <v>0.6416666666666665</v>
      </c>
      <c r="E308" s="65" t="s">
        <v>103</v>
      </c>
      <c r="F308" s="65" t="str">
        <f>VLOOKUP(B308,Ausschreibung!$B$5:$I$35,5,FALSE)</f>
        <v>LGW. bis 61 kg</v>
      </c>
      <c r="G308" s="65" t="str">
        <f>VLOOKUP(B308,Ausschreibung!$B$5:$I$35,6,FALSE)</f>
        <v>19 und älter</v>
      </c>
      <c r="H308" s="65" t="str">
        <f>VLOOKUP(B308,Ausschreibung!$B$5:$I$35,8,FALSE)</f>
        <v>2000 m</v>
      </c>
      <c r="I308" s="28" t="s">
        <v>465</v>
      </c>
    </row>
    <row r="309" spans="2:10" ht="13.2" thickBot="1" x14ac:dyDescent="0.25">
      <c r="B309" s="19" t="s">
        <v>1</v>
      </c>
      <c r="C309" s="18" t="s">
        <v>2</v>
      </c>
      <c r="D309" s="17" t="s">
        <v>49</v>
      </c>
      <c r="E309" s="130" t="s">
        <v>16</v>
      </c>
      <c r="F309" s="17" t="s">
        <v>18</v>
      </c>
      <c r="G309" s="73" t="s">
        <v>50</v>
      </c>
      <c r="H309" s="17" t="s">
        <v>51</v>
      </c>
      <c r="I309" s="30" t="s">
        <v>17</v>
      </c>
    </row>
    <row r="310" spans="2:10" x14ac:dyDescent="0.2">
      <c r="B310" s="131" t="str">
        <f>'Ergebnisse Rennen'!B504</f>
        <v>Leuter</v>
      </c>
      <c r="C310" s="132" t="str">
        <f>'Ergebnisse Rennen'!C504</f>
        <v>Nadine</v>
      </c>
      <c r="D310" s="78">
        <f t="array" ref="D310">IF(B310&lt;&gt;"",INDEX('Eingabe Meldungen'!$C$2:$H$492,MATCH(B310&amp;C310,'Eingabe Meldungen'!$C$2:$C$492&amp;'Eingabe Meldungen'!$D$2:$D$492,0),6),"")</f>
        <v>1995</v>
      </c>
      <c r="E310" s="78" t="str">
        <f t="array" ref="E310">IF(B310&lt;&gt;"",INDEX('Eingabe Meldungen'!$C$2:$H$492,MATCH(B310&amp;C310,'Eingabe Meldungen'!$C$2:$C$492&amp;'Eingabe Meldungen'!$D$2:$D$492,0),4),"")</f>
        <v>LGW. bis 61 kg</v>
      </c>
      <c r="F310" s="86">
        <v>1</v>
      </c>
      <c r="G310" s="133"/>
      <c r="H310" s="132" t="e">
        <f>RANK(G310,$G$318:$G$322,1)</f>
        <v>#N/A</v>
      </c>
      <c r="I310" s="134" t="str">
        <f t="array" ref="I310">IF(B310&lt;&gt;"",INDEX('Eingabe Meldungen'!$C$2:$J$492,MATCH(B310&amp;C310,'Eingabe Meldungen'!$C$2:$C$492&amp;'Eingabe Meldungen'!$D$2:$D$492,0),8),"")</f>
        <v>RV Waldsee</v>
      </c>
    </row>
    <row r="311" spans="2:10" x14ac:dyDescent="0.2">
      <c r="B311" s="100" t="str">
        <f>'Ergebnisse Rennen'!B505</f>
        <v>Reimer</v>
      </c>
      <c r="C311" s="4" t="str">
        <f>'Ergebnisse Rennen'!C505</f>
        <v>Cathrin</v>
      </c>
      <c r="D311" s="66">
        <f t="array" ref="D311">IF(B311&lt;&gt;"",INDEX('Eingabe Meldungen'!$C$2:$H$492,MATCH(B311&amp;C311,'Eingabe Meldungen'!$C$2:$C$492&amp;'Eingabe Meldungen'!$D$2:$D$492,0),6),"")</f>
        <v>2001</v>
      </c>
      <c r="E311" s="66" t="str">
        <f t="array" ref="E311">IF(B311&lt;&gt;"",INDEX('Eingabe Meldungen'!$C$2:$H$492,MATCH(B311&amp;C311,'Eingabe Meldungen'!$C$2:$C$492&amp;'Eingabe Meldungen'!$D$2:$D$492,0),4),"")</f>
        <v>LGW. bis 61 kg</v>
      </c>
      <c r="F311" s="15">
        <v>2</v>
      </c>
      <c r="G311" s="135"/>
      <c r="H311" s="4" t="e">
        <f>RANK(G311,$G$318:$G$322,1)</f>
        <v>#N/A</v>
      </c>
      <c r="I311" s="136" t="str">
        <f t="array" ref="I311">IF(B311&lt;&gt;"",INDEX('Eingabe Meldungen'!$C$2:$J$492,MATCH(B311&amp;C311,'Eingabe Meldungen'!$C$2:$C$492&amp;'Eingabe Meldungen'!$D$2:$D$492,0),8),"")</f>
        <v>RV Waldsee</v>
      </c>
    </row>
    <row r="312" spans="2:10" x14ac:dyDescent="0.2">
      <c r="B312" s="100" t="str">
        <f>'Ergebnisse Rennen'!B506</f>
        <v>Outojane</v>
      </c>
      <c r="C312" s="4" t="str">
        <f>'Ergebnisse Rennen'!C506</f>
        <v>Hanaa</v>
      </c>
      <c r="D312" s="66">
        <f t="array" ref="D312">IF(B312&lt;&gt;"",INDEX('Eingabe Meldungen'!$C$2:$H$492,MATCH(B312&amp;C312,'Eingabe Meldungen'!$C$2:$C$492&amp;'Eingabe Meldungen'!$D$2:$D$492,0),6),"")</f>
        <v>2001</v>
      </c>
      <c r="E312" s="66" t="str">
        <f t="array" ref="E312">IF(B312&lt;&gt;"",INDEX('Eingabe Meldungen'!$C$2:$H$492,MATCH(B312&amp;C312,'Eingabe Meldungen'!$C$2:$C$492&amp;'Eingabe Meldungen'!$D$2:$D$492,0),4),"")</f>
        <v>LGW. bis 61 kg</v>
      </c>
      <c r="F312" s="15">
        <v>3</v>
      </c>
      <c r="G312" s="135"/>
      <c r="H312" s="4" t="e">
        <f>RANK(G312,$G$318:$G$322,1)</f>
        <v>#N/A</v>
      </c>
      <c r="I312" s="136" t="str">
        <f t="array" ref="I312">IF(B312&lt;&gt;"",INDEX('Eingabe Meldungen'!$C$2:$J$492,MATCH(B312&amp;C312,'Eingabe Meldungen'!$C$2:$C$492&amp;'Eingabe Meldungen'!$D$2:$D$492,0),8),"")</f>
        <v>RG Eberbach</v>
      </c>
    </row>
    <row r="313" spans="2:10" x14ac:dyDescent="0.2">
      <c r="B313" s="100" t="str">
        <f>'Ergebnisse Rennen'!B507</f>
        <v/>
      </c>
      <c r="C313" s="4" t="str">
        <f>'Ergebnisse Rennen'!C507</f>
        <v/>
      </c>
      <c r="D313" s="66" t="str">
        <f t="array" ref="D313">IF(B313&lt;&gt;"",INDEX('Eingabe Meldungen'!$C$2:$H$492,MATCH(B313&amp;C313,'Eingabe Meldungen'!$C$2:$C$492&amp;'Eingabe Meldungen'!$D$2:$D$492,0),6),"")</f>
        <v/>
      </c>
      <c r="E313" s="66" t="str">
        <f t="array" ref="E313">IF(B313&lt;&gt;"",INDEX('Eingabe Meldungen'!$C$2:$H$492,MATCH(B313&amp;C313,'Eingabe Meldungen'!$C$2:$C$492&amp;'Eingabe Meldungen'!$D$2:$D$492,0),4),"")</f>
        <v/>
      </c>
      <c r="F313" s="15">
        <v>4</v>
      </c>
      <c r="G313" s="135"/>
      <c r="H313" s="4" t="e">
        <f>RANK(G313,$G$318:$G$322,1)</f>
        <v>#N/A</v>
      </c>
      <c r="I313" s="136" t="str">
        <f t="array" ref="I313">IF(B313&lt;&gt;"",INDEX('Eingabe Meldungen'!$C$2:$J$492,MATCH(B313&amp;C313,'Eingabe Meldungen'!$C$2:$C$492&amp;'Eingabe Meldungen'!$D$2:$D$492,0),8),"")</f>
        <v/>
      </c>
    </row>
    <row r="314" spans="2:10" ht="13.2" thickBot="1" x14ac:dyDescent="0.25">
      <c r="B314" s="138" t="str">
        <f>'Ergebnisse Rennen'!B508</f>
        <v/>
      </c>
      <c r="C314" s="139" t="str">
        <f>'Ergebnisse Rennen'!C508</f>
        <v/>
      </c>
      <c r="D314" s="99" t="str">
        <f t="array" ref="D314">IF(B314&lt;&gt;"",INDEX('Eingabe Meldungen'!$C$2:$H$492,MATCH(B314&amp;C314,'Eingabe Meldungen'!$C$2:$C$492&amp;'Eingabe Meldungen'!$D$2:$D$492,0),6),"")</f>
        <v/>
      </c>
      <c r="E314" s="99" t="str">
        <f t="array" ref="E314">IF(B314&lt;&gt;"",INDEX('Eingabe Meldungen'!$C$2:$H$492,MATCH(B314&amp;C314,'Eingabe Meldungen'!$C$2:$C$492&amp;'Eingabe Meldungen'!$D$2:$D$492,0),4),"")</f>
        <v/>
      </c>
      <c r="F314" s="84">
        <v>5</v>
      </c>
      <c r="G314" s="143"/>
      <c r="H314" s="139" t="e">
        <f>RANK(G314,$G$318:$G$322,1)</f>
        <v>#N/A</v>
      </c>
      <c r="I314" s="141" t="str">
        <f t="array" ref="I314">IF(B314&lt;&gt;"",INDEX('Eingabe Meldungen'!$C$2:$J$492,MATCH(B314&amp;C314,'Eingabe Meldungen'!$C$2:$C$492&amp;'Eingabe Meldungen'!$D$2:$D$492,0),8),"")</f>
        <v/>
      </c>
    </row>
    <row r="315" spans="2:10" ht="13.2" thickBot="1" x14ac:dyDescent="0.25">
      <c r="B315" s="4"/>
      <c r="C315" s="4"/>
      <c r="D315" s="4"/>
      <c r="E315" s="4"/>
      <c r="F315" s="4"/>
      <c r="G315" s="4"/>
      <c r="H315" s="4"/>
      <c r="I315" s="4"/>
    </row>
    <row r="316" spans="2:10" ht="26.25" customHeight="1" x14ac:dyDescent="0.2">
      <c r="B316" s="26">
        <v>22</v>
      </c>
      <c r="C316" s="65" t="str">
        <f>VLOOKUP(B316,Ausschreibung!$B$5:$I$35,2,FALSE)</f>
        <v>Ergocup</v>
      </c>
      <c r="D316" s="27">
        <f>VLOOKUP(B316,Ausschreibung!$B$5:$I$35,3,FALSE)</f>
        <v>0.6416666666666665</v>
      </c>
      <c r="E316" s="65" t="s">
        <v>103</v>
      </c>
      <c r="F316" s="65" t="str">
        <f>VLOOKUP(B316,Ausschreibung!$B$5:$I$35,5,FALSE)</f>
        <v>-</v>
      </c>
      <c r="G316" s="65" t="str">
        <f>VLOOKUP(B316,Ausschreibung!$B$5:$I$35,6,FALSE)</f>
        <v>19 und älter</v>
      </c>
      <c r="H316" s="65" t="str">
        <f>VLOOKUP(B316,Ausschreibung!$B$5:$I$35,8,FALSE)</f>
        <v>2000 m</v>
      </c>
      <c r="I316" s="28" t="s">
        <v>466</v>
      </c>
    </row>
    <row r="317" spans="2:10" ht="13.2" thickBot="1" x14ac:dyDescent="0.25">
      <c r="B317" s="19" t="s">
        <v>1</v>
      </c>
      <c r="C317" s="18" t="s">
        <v>2</v>
      </c>
      <c r="D317" s="17" t="s">
        <v>49</v>
      </c>
      <c r="E317" s="130" t="s">
        <v>16</v>
      </c>
      <c r="F317" s="17" t="s">
        <v>18</v>
      </c>
      <c r="G317" s="73" t="s">
        <v>50</v>
      </c>
      <c r="H317" s="17" t="s">
        <v>51</v>
      </c>
      <c r="I317" s="30" t="s">
        <v>17</v>
      </c>
    </row>
    <row r="318" spans="2:10" x14ac:dyDescent="0.2">
      <c r="B318" s="131" t="str">
        <f t="array" ref="B318">IF(ISERROR(INDEX('Eingabe Meldungen'!$C$2:$C$492,LARGE(('Eingabe Meldungen'!$A$2:$A$492=$B$316)*(ROW('Eingabe Meldungen'!$A$2:$A$492)-1),COUNTIF('Eingabe Meldungen'!$A$2:$A$492,$B$316)+1-ROW('Eingabe Meldungen'!A1)))),"",INDEX('Eingabe Meldungen'!$C$2:$C$492,LARGE(('Eingabe Meldungen'!$A$2:$A$492=$B$316)*(ROW('Eingabe Meldungen'!$A$2:$A$492)-1),COUNTIF('Eingabe Meldungen'!$A$2:$A$492,$B$316)+1-ROW('Eingabe Meldungen'!A1))))</f>
        <v>Marquardt</v>
      </c>
      <c r="C318" s="132" t="str">
        <f t="array" ref="C318">IF(ISERROR(INDEX('Eingabe Meldungen'!$D$2:$D$492,LARGE(('Eingabe Meldungen'!$A$2:$A$492=$B$316)*(ROW('Eingabe Meldungen'!$A$2:$A$492)-1),COUNTIF('Eingabe Meldungen'!$A$2:$A$492,$B$316)+1-ROW('Eingabe Meldungen'!A1)))),"",INDEX('Eingabe Meldungen'!$D$2:$D$492,LARGE(('Eingabe Meldungen'!$A$2:$A$492=$B$316)*(ROW('Eingabe Meldungen'!$A$2:$A$492)-1),COUNTIF('Eingabe Meldungen'!$A$2:$A$492,$B$316)+1-ROW('Eingabe Meldungen'!A1))))</f>
        <v>Linda</v>
      </c>
      <c r="D318" s="78">
        <f t="array" ref="D318">IF(B318&lt;&gt;"",INDEX('Eingabe Meldungen'!$C$2:$H$492,MATCH(B318&amp;C318,'Eingabe Meldungen'!$C$2:$C$492&amp;'Eingabe Meldungen'!$D$2:$D$492,0),6),"")</f>
        <v>1995</v>
      </c>
      <c r="E318" s="78" t="str">
        <f t="array" ref="E318">IF(B318&lt;&gt;"",INDEX('Eingabe Meldungen'!$C$2:$H$492,MATCH(B318&amp;C318,'Eingabe Meldungen'!$C$2:$C$492&amp;'Eingabe Meldungen'!$D$2:$D$492,0),4),"")</f>
        <v>-</v>
      </c>
      <c r="F318" s="78">
        <v>6</v>
      </c>
      <c r="G318" s="133"/>
      <c r="H318" s="132" t="e">
        <f>RANK(G318,$G$318:$G$322,1)</f>
        <v>#N/A</v>
      </c>
      <c r="I318" s="134" t="str">
        <f t="array" ref="I318">IF(B318&lt;&gt;"",INDEX('Eingabe Meldungen'!$C$2:$J$492,MATCH(B318&amp;C318,'Eingabe Meldungen'!$C$2:$C$492&amp;'Eingabe Meldungen'!$D$2:$D$492,0),8),"")</f>
        <v>Ruderverein Bad Wimpfen</v>
      </c>
      <c r="J318" s="72" t="e">
        <f>SUM(#REF!)</f>
        <v>#REF!</v>
      </c>
    </row>
    <row r="319" spans="2:10" x14ac:dyDescent="0.2">
      <c r="B319" s="100" t="str">
        <f t="array" ref="B319">IF(ISERROR(INDEX('Eingabe Meldungen'!$C$2:$C$492,LARGE(('Eingabe Meldungen'!$A$2:$A$492=$B$316)*(ROW('Eingabe Meldungen'!$A$2:$A$492)-1),COUNTIF('Eingabe Meldungen'!$A$2:$A$492,$B$316)+1-ROW('Eingabe Meldungen'!A2)))),"",INDEX('Eingabe Meldungen'!$C$2:$C$492,LARGE(('Eingabe Meldungen'!$A$2:$A$492=$B$316)*(ROW('Eingabe Meldungen'!$A$2:$A$492)-1),COUNTIF('Eingabe Meldungen'!$A$2:$A$492,$B$316)+1-ROW('Eingabe Meldungen'!A2))))</f>
        <v>Jendrozek</v>
      </c>
      <c r="C319" s="4" t="str">
        <f t="array" ref="C319">IF(ISERROR(INDEX('Eingabe Meldungen'!$D$2:$D$492,LARGE(('Eingabe Meldungen'!$A$2:$A$492=$B$316)*(ROW('Eingabe Meldungen'!$A$2:$A$492)-1),COUNTIF('Eingabe Meldungen'!$A$2:$A$492,$B$316)+1-ROW('Eingabe Meldungen'!A2)))),"",INDEX('Eingabe Meldungen'!$D$2:$D$492,LARGE(('Eingabe Meldungen'!$A$2:$A$492=$B$316)*(ROW('Eingabe Meldungen'!$A$2:$A$492)-1),COUNTIF('Eingabe Meldungen'!$A$2:$A$492,$B$316)+1-ROW('Eingabe Meldungen'!A2))))</f>
        <v>Luisa</v>
      </c>
      <c r="D319" s="66">
        <f t="array" ref="D319">IF(B319&lt;&gt;"",INDEX('Eingabe Meldungen'!$C$2:$H$492,MATCH(B319&amp;C319,'Eingabe Meldungen'!$C$2:$C$492&amp;'Eingabe Meldungen'!$D$2:$D$492,0),6),"")</f>
        <v>1998</v>
      </c>
      <c r="E319" s="66" t="str">
        <f t="array" ref="E319">IF(B319&lt;&gt;"",INDEX('Eingabe Meldungen'!$C$2:$H$492,MATCH(B319&amp;C319,'Eingabe Meldungen'!$C$2:$C$492&amp;'Eingabe Meldungen'!$D$2:$D$492,0),4),"")</f>
        <v>-</v>
      </c>
      <c r="F319" s="66">
        <v>7</v>
      </c>
      <c r="G319" s="135"/>
      <c r="H319" s="4" t="e">
        <f>RANK(G319,$G$318:$G$322,1)</f>
        <v>#N/A</v>
      </c>
      <c r="I319" s="136" t="str">
        <f t="array" ref="I319">IF(B319&lt;&gt;"",INDEX('Eingabe Meldungen'!$C$2:$J$492,MATCH(B319&amp;C319,'Eingabe Meldungen'!$C$2:$C$492&amp;'Eingabe Meldungen'!$D$2:$D$492,0),8),"")</f>
        <v>Stuttgarter RG</v>
      </c>
      <c r="J319" s="72"/>
    </row>
    <row r="320" spans="2:10" x14ac:dyDescent="0.2">
      <c r="B320" s="100" t="str">
        <f t="array" ref="B320">IF(ISERROR(INDEX('Eingabe Meldungen'!$C$2:$C$492,LARGE(('Eingabe Meldungen'!$A$2:$A$492=$B$316)*(ROW('Eingabe Meldungen'!$A$2:$A$492)-1),COUNTIF('Eingabe Meldungen'!$A$2:$A$492,$B$316)+1-ROW('Eingabe Meldungen'!A3)))),"",INDEX('Eingabe Meldungen'!$C$2:$C$492,LARGE(('Eingabe Meldungen'!$A$2:$A$492=$B$316)*(ROW('Eingabe Meldungen'!$A$2:$A$492)-1),COUNTIF('Eingabe Meldungen'!$A$2:$A$492,$B$316)+1-ROW('Eingabe Meldungen'!A3))))</f>
        <v>Bergler</v>
      </c>
      <c r="C320" s="4" t="str">
        <f t="array" ref="C320">IF(ISERROR(INDEX('Eingabe Meldungen'!$D$2:$D$492,LARGE(('Eingabe Meldungen'!$A$2:$A$492=$B$316)*(ROW('Eingabe Meldungen'!$A$2:$A$492)-1),COUNTIF('Eingabe Meldungen'!$A$2:$A$492,$B$316)+1-ROW('Eingabe Meldungen'!A3)))),"",INDEX('Eingabe Meldungen'!$D$2:$D$492,LARGE(('Eingabe Meldungen'!$A$2:$A$492=$B$316)*(ROW('Eingabe Meldungen'!$A$2:$A$492)-1),COUNTIF('Eingabe Meldungen'!$A$2:$A$492,$B$316)+1-ROW('Eingabe Meldungen'!A3))))</f>
        <v>Nils</v>
      </c>
      <c r="D320" s="66">
        <f t="array" ref="D320">IF(B320&lt;&gt;"",INDEX('Eingabe Meldungen'!$C$2:$H$492,MATCH(B320&amp;C320,'Eingabe Meldungen'!$C$2:$C$492&amp;'Eingabe Meldungen'!$D$2:$D$492,0),6),"")</f>
        <v>2001</v>
      </c>
      <c r="E320" s="66" t="str">
        <f t="array" ref="E320">IF(B320&lt;&gt;"",INDEX('Eingabe Meldungen'!$C$2:$H$492,MATCH(B320&amp;C320,'Eingabe Meldungen'!$C$2:$C$492&amp;'Eingabe Meldungen'!$D$2:$D$492,0),4),"")</f>
        <v>-</v>
      </c>
      <c r="F320" s="66">
        <v>8</v>
      </c>
      <c r="G320" s="135"/>
      <c r="H320" s="4" t="e">
        <f>RANK(G320,$G$318:$G$322,1)</f>
        <v>#N/A</v>
      </c>
      <c r="I320" s="136" t="str">
        <f t="array" ref="I320">IF(B320&lt;&gt;"",INDEX('Eingabe Meldungen'!$C$2:$J$492,MATCH(B320&amp;C320,'Eingabe Meldungen'!$C$2:$C$492&amp;'Eingabe Meldungen'!$D$2:$D$492,0),8),"")</f>
        <v>RG Eberbach</v>
      </c>
      <c r="J320" s="72"/>
    </row>
    <row r="321" spans="2:10" x14ac:dyDescent="0.2">
      <c r="B321" s="100" t="str">
        <f t="array" ref="B321">IF(ISERROR(INDEX('Eingabe Meldungen'!$C$2:$C$492,LARGE(('Eingabe Meldungen'!$A$2:$A$492=$B$316)*(ROW('Eingabe Meldungen'!$A$2:$A$492)-1),COUNTIF('Eingabe Meldungen'!$A$2:$A$492,$B$316)+1-ROW('Eingabe Meldungen'!A4)))),"",INDEX('Eingabe Meldungen'!$C$2:$C$492,LARGE(('Eingabe Meldungen'!$A$2:$A$492=$B$316)*(ROW('Eingabe Meldungen'!$A$2:$A$492)-1),COUNTIF('Eingabe Meldungen'!$A$2:$A$492,$B$316)+1-ROW('Eingabe Meldungen'!A4))))</f>
        <v/>
      </c>
      <c r="C321" s="4" t="str">
        <f t="array" ref="C321">IF(ISERROR(INDEX('Eingabe Meldungen'!$D$2:$D$492,LARGE(('Eingabe Meldungen'!$A$2:$A$492=$B$316)*(ROW('Eingabe Meldungen'!$A$2:$A$492)-1),COUNTIF('Eingabe Meldungen'!$A$2:$A$492,$B$316)+1-ROW('Eingabe Meldungen'!A4)))),"",INDEX('Eingabe Meldungen'!$D$2:$D$492,LARGE(('Eingabe Meldungen'!$A$2:$A$492=$B$316)*(ROW('Eingabe Meldungen'!$A$2:$A$492)-1),COUNTIF('Eingabe Meldungen'!$A$2:$A$492,$B$316)+1-ROW('Eingabe Meldungen'!A4))))</f>
        <v/>
      </c>
      <c r="D321" s="66" t="str">
        <f t="array" ref="D321">IF(B321&lt;&gt;"",INDEX('Eingabe Meldungen'!$C$2:$H$492,MATCH(B321&amp;C321,'Eingabe Meldungen'!$C$2:$C$492&amp;'Eingabe Meldungen'!$D$2:$D$492,0),6),"")</f>
        <v/>
      </c>
      <c r="E321" s="66" t="str">
        <f t="array" ref="E321">IF(B321&lt;&gt;"",INDEX('Eingabe Meldungen'!$C$2:$H$492,MATCH(B321&amp;C321,'Eingabe Meldungen'!$C$2:$C$492&amp;'Eingabe Meldungen'!$D$2:$D$492,0),4),"")</f>
        <v/>
      </c>
      <c r="F321" s="66">
        <v>9</v>
      </c>
      <c r="G321" s="135"/>
      <c r="H321" s="4" t="e">
        <f>RANK(G321,$G$318:$G$322,1)</f>
        <v>#N/A</v>
      </c>
      <c r="I321" s="136" t="str">
        <f t="array" ref="I321">IF(B321&lt;&gt;"",INDEX('Eingabe Meldungen'!$C$2:$J$492,MATCH(B321&amp;C321,'Eingabe Meldungen'!$C$2:$C$492&amp;'Eingabe Meldungen'!$D$2:$D$492,0),8),"")</f>
        <v/>
      </c>
    </row>
    <row r="322" spans="2:10" ht="13.2" thickBot="1" x14ac:dyDescent="0.25">
      <c r="B322" s="138" t="str">
        <f t="array" ref="B322">IF(ISERROR(INDEX('Eingabe Meldungen'!$C$2:$C$492,LARGE(('Eingabe Meldungen'!$A$2:$A$492=$B$316)*(ROW('Eingabe Meldungen'!$A$2:$A$492)-1),COUNTIF('Eingabe Meldungen'!$A$2:$A$492,$B$316)+1-ROW('Eingabe Meldungen'!A5)))),"",INDEX('Eingabe Meldungen'!$C$2:$C$492,LARGE(('Eingabe Meldungen'!$A$2:$A$492=$B$316)*(ROW('Eingabe Meldungen'!$A$2:$A$492)-1),COUNTIF('Eingabe Meldungen'!$A$2:$A$492,$B$316)+1-ROW('Eingabe Meldungen'!A5))))</f>
        <v/>
      </c>
      <c r="C322" s="139" t="str">
        <f t="array" ref="C322">IF(ISERROR(INDEX('Eingabe Meldungen'!$D$2:$D$492,LARGE(('Eingabe Meldungen'!$A$2:$A$492=$B$316)*(ROW('Eingabe Meldungen'!$A$2:$A$492)-1),COUNTIF('Eingabe Meldungen'!$A$2:$A$492,$B$316)+1-ROW('Eingabe Meldungen'!A5)))),"",INDEX('Eingabe Meldungen'!$D$2:$D$492,LARGE(('Eingabe Meldungen'!$A$2:$A$492=$B$316)*(ROW('Eingabe Meldungen'!$A$2:$A$492)-1),COUNTIF('Eingabe Meldungen'!$A$2:$A$492,$B$316)+1-ROW('Eingabe Meldungen'!A5))))</f>
        <v/>
      </c>
      <c r="D322" s="99" t="str">
        <f t="array" ref="D322">IF(B322&lt;&gt;"",INDEX('Eingabe Meldungen'!$C$2:$H$492,MATCH(B322&amp;C322,'Eingabe Meldungen'!$C$2:$C$492&amp;'Eingabe Meldungen'!$D$2:$D$492,0),6),"")</f>
        <v/>
      </c>
      <c r="E322" s="99" t="str">
        <f t="array" ref="E322">IF(B322&lt;&gt;"",INDEX('Eingabe Meldungen'!$C$2:$H$492,MATCH(B322&amp;C322,'Eingabe Meldungen'!$C$2:$C$492&amp;'Eingabe Meldungen'!$D$2:$D$492,0),4),"")</f>
        <v/>
      </c>
      <c r="F322" s="99">
        <v>10</v>
      </c>
      <c r="G322" s="143"/>
      <c r="H322" s="139" t="e">
        <f>RANK(G322,$G$318:$G$322,1)</f>
        <v>#N/A</v>
      </c>
      <c r="I322" s="141" t="str">
        <f t="array" ref="I322">IF(B322&lt;&gt;"",INDEX('Eingabe Meldungen'!$C$2:$J$492,MATCH(B322&amp;C322,'Eingabe Meldungen'!$C$2:$C$492&amp;'Eingabe Meldungen'!$D$2:$D$492,0),8),"")</f>
        <v/>
      </c>
      <c r="J322" s="72"/>
    </row>
    <row r="323" spans="2:10" ht="13.2" thickBot="1" x14ac:dyDescent="0.25">
      <c r="B323" s="4"/>
      <c r="C323" s="4"/>
      <c r="D323" s="4"/>
      <c r="E323" s="4"/>
      <c r="F323" s="4"/>
      <c r="G323" s="4"/>
      <c r="H323" s="4"/>
      <c r="I323" s="4"/>
    </row>
    <row r="324" spans="2:10" ht="25.5" customHeight="1" x14ac:dyDescent="0.2">
      <c r="B324" s="26">
        <f>B316+1</f>
        <v>23</v>
      </c>
      <c r="C324" s="65" t="str">
        <f>VLOOKUP(B324,Ausschreibung!$B$5:$I$35,2,FALSE)</f>
        <v>Ergocup</v>
      </c>
      <c r="D324" s="27">
        <f>VLOOKUP(B324,Ausschreibung!$B$5:$I$35,3,FALSE)</f>
        <v>0.65208333333333313</v>
      </c>
      <c r="E324" s="65" t="s">
        <v>104</v>
      </c>
      <c r="F324" s="65" t="str">
        <f>VLOOKUP(B324,Ausschreibung!$B$5:$I$35,5,FALSE)</f>
        <v>LGW. bis 75 kg</v>
      </c>
      <c r="G324" s="65" t="str">
        <f>VLOOKUP(B324,Ausschreibung!$B$5:$I$35,6,FALSE)</f>
        <v>19 und älter</v>
      </c>
      <c r="H324" s="65" t="str">
        <f>VLOOKUP(B324,Ausschreibung!$B$5:$I$35,8,FALSE)</f>
        <v>2000 m</v>
      </c>
      <c r="I324" s="28" t="s">
        <v>467</v>
      </c>
    </row>
    <row r="325" spans="2:10" ht="13.2" thickBot="1" x14ac:dyDescent="0.25">
      <c r="B325" s="19" t="s">
        <v>1</v>
      </c>
      <c r="C325" s="18" t="s">
        <v>2</v>
      </c>
      <c r="D325" s="17" t="s">
        <v>49</v>
      </c>
      <c r="E325" s="130" t="s">
        <v>16</v>
      </c>
      <c r="F325" s="17" t="s">
        <v>18</v>
      </c>
      <c r="G325" s="73" t="s">
        <v>50</v>
      </c>
      <c r="H325" s="17" t="s">
        <v>51</v>
      </c>
      <c r="I325" s="30" t="s">
        <v>17</v>
      </c>
    </row>
    <row r="326" spans="2:10" x14ac:dyDescent="0.2">
      <c r="B326" s="131" t="str">
        <f t="array" ref="B326">IF(ISERROR(INDEX('Eingabe Meldungen'!$C$2:$C$492,LARGE(('Eingabe Meldungen'!$A$2:$A$492=$B$324)*(ROW('Eingabe Meldungen'!$A$2:$A$492)-1),COUNTIF('Eingabe Meldungen'!$A$2:$A$492,$B$324)+1-ROW('Eingabe Meldungen'!A1)))),"",INDEX('Eingabe Meldungen'!$C$2:$C$492,LARGE(('Eingabe Meldungen'!$A$2:$A$492=$B$324)*(ROW('Eingabe Meldungen'!$A$2:$A$492)-1),COUNTIF('Eingabe Meldungen'!$A$2:$A$492,$B$324)+1-ROW('Eingabe Meldungen'!A1))))</f>
        <v>Bogenschütz</v>
      </c>
      <c r="C326" s="132" t="str">
        <f t="array" ref="C326">IF(ISERROR(INDEX('Eingabe Meldungen'!$D$2:$D$492,LARGE(('Eingabe Meldungen'!$A$2:$A$492=$B$324)*(ROW('Eingabe Meldungen'!$A$2:$A$492)-1),COUNTIF('Eingabe Meldungen'!$A$2:$A$492,$B$324)+1-ROW('Eingabe Meldungen'!A1)))),"",INDEX('Eingabe Meldungen'!$D$2:$D$492,LARGE(('Eingabe Meldungen'!$A$2:$A$492=$B$324)*(ROW('Eingabe Meldungen'!$A$2:$A$492)-1),COUNTIF('Eingabe Meldungen'!$A$2:$A$492,$B$324)+1-ROW('Eingabe Meldungen'!A1))))</f>
        <v>Benjamin</v>
      </c>
      <c r="D326" s="78">
        <f t="array" ref="D326">IF(B326&lt;&gt;"",INDEX('Eingabe Meldungen'!$C$2:$H$492,MATCH(B326&amp;C326,'Eingabe Meldungen'!$C$2:$C$492&amp;'Eingabe Meldungen'!$D$2:$D$492,0),6),"")</f>
        <v>1986</v>
      </c>
      <c r="E326" s="78" t="str">
        <f t="array" ref="E326">IF(B326&lt;&gt;"",INDEX('Eingabe Meldungen'!$C$2:$H$492,MATCH(B326&amp;C326,'Eingabe Meldungen'!$C$2:$C$492&amp;'Eingabe Meldungen'!$D$2:$D$492,0),4),"")</f>
        <v>LGW. bis 75 kg</v>
      </c>
      <c r="F326" s="78">
        <v>1</v>
      </c>
      <c r="G326" s="133"/>
      <c r="H326" s="132" t="e">
        <f>RANK(G326,$G$326:$G$330,1)</f>
        <v>#N/A</v>
      </c>
      <c r="I326" s="134" t="str">
        <f t="array" ref="I326">IF(B326&lt;&gt;"",INDEX('Eingabe Meldungen'!$C$2:$J$492,MATCH(B326&amp;C326,'Eingabe Meldungen'!$C$2:$C$492&amp;'Eingabe Meldungen'!$D$2:$D$492,0),8),"")</f>
        <v>Stuttgarter RG</v>
      </c>
      <c r="J326" s="72" t="e">
        <f>SUM(#REF!)</f>
        <v>#REF!</v>
      </c>
    </row>
    <row r="327" spans="2:10" x14ac:dyDescent="0.2">
      <c r="B327" s="100" t="str">
        <f t="array" ref="B327">IF(ISERROR(INDEX('Eingabe Meldungen'!$C$2:$C$492,LARGE(('Eingabe Meldungen'!$A$2:$A$492=$B$324)*(ROW('Eingabe Meldungen'!$A$2:$A$492)-1),COUNTIF('Eingabe Meldungen'!$A$2:$A$492,$B$324)+1-ROW('Eingabe Meldungen'!A2)))),"",INDEX('Eingabe Meldungen'!$C$2:$C$492,LARGE(('Eingabe Meldungen'!$A$2:$A$492=$B$324)*(ROW('Eingabe Meldungen'!$A$2:$A$492)-1),COUNTIF('Eingabe Meldungen'!$A$2:$A$492,$B$324)+1-ROW('Eingabe Meldungen'!A2))))</f>
        <v>Schneckenberger</v>
      </c>
      <c r="C327" s="4" t="str">
        <f t="array" ref="C327">IF(ISERROR(INDEX('Eingabe Meldungen'!$D$2:$D$492,LARGE(('Eingabe Meldungen'!$A$2:$A$492=$B$324)*(ROW('Eingabe Meldungen'!$A$2:$A$492)-1),COUNTIF('Eingabe Meldungen'!$A$2:$A$492,$B$324)+1-ROW('Eingabe Meldungen'!A2)))),"",INDEX('Eingabe Meldungen'!$D$2:$D$492,LARGE(('Eingabe Meldungen'!$A$2:$A$492=$B$324)*(ROW('Eingabe Meldungen'!$A$2:$A$492)-1),COUNTIF('Eingabe Meldungen'!$A$2:$A$492,$B$324)+1-ROW('Eingabe Meldungen'!A2))))</f>
        <v>Lukas</v>
      </c>
      <c r="D327" s="66">
        <f t="array" ref="D327">IF(B327&lt;&gt;"",INDEX('Eingabe Meldungen'!$C$2:$H$492,MATCH(B327&amp;C327,'Eingabe Meldungen'!$C$2:$C$492&amp;'Eingabe Meldungen'!$D$2:$D$492,0),6),"")</f>
        <v>2000</v>
      </c>
      <c r="E327" s="66" t="str">
        <f t="array" ref="E327">IF(B327&lt;&gt;"",INDEX('Eingabe Meldungen'!$C$2:$H$492,MATCH(B327&amp;C327,'Eingabe Meldungen'!$C$2:$C$492&amp;'Eingabe Meldungen'!$D$2:$D$492,0),4),"")</f>
        <v>LGW. bis 75 kg</v>
      </c>
      <c r="F327" s="66">
        <v>2</v>
      </c>
      <c r="G327" s="135"/>
      <c r="H327" s="4" t="e">
        <f>RANK(G327,$G$326:$G$330,1)</f>
        <v>#N/A</v>
      </c>
      <c r="I327" s="136" t="str">
        <f t="array" ref="I327">IF(B327&lt;&gt;"",INDEX('Eingabe Meldungen'!$C$2:$J$492,MATCH(B327&amp;C327,'Eingabe Meldungen'!$C$2:$C$492&amp;'Eingabe Meldungen'!$D$2:$D$492,0),8),"")</f>
        <v>RC Nürtingen</v>
      </c>
      <c r="J327" s="72"/>
    </row>
    <row r="328" spans="2:10" x14ac:dyDescent="0.2">
      <c r="B328" s="100" t="str">
        <f t="array" ref="B328">IF(ISERROR(INDEX('Eingabe Meldungen'!$C$2:$C$492,LARGE(('Eingabe Meldungen'!$A$2:$A$492=$B$324)*(ROW('Eingabe Meldungen'!$A$2:$A$492)-1),COUNTIF('Eingabe Meldungen'!$A$2:$A$492,$B$324)+1-ROW('Eingabe Meldungen'!A3)))),"",INDEX('Eingabe Meldungen'!$C$2:$C$492,LARGE(('Eingabe Meldungen'!$A$2:$A$492=$B$324)*(ROW('Eingabe Meldungen'!$A$2:$A$492)-1),COUNTIF('Eingabe Meldungen'!$A$2:$A$492,$B$324)+1-ROW('Eingabe Meldungen'!A3))))</f>
        <v>Remelé</v>
      </c>
      <c r="C328" s="4" t="str">
        <f t="array" ref="C328">IF(ISERROR(INDEX('Eingabe Meldungen'!$D$2:$D$492,LARGE(('Eingabe Meldungen'!$A$2:$A$492=$B$324)*(ROW('Eingabe Meldungen'!$A$2:$A$492)-1),COUNTIF('Eingabe Meldungen'!$A$2:$A$492,$B$324)+1-ROW('Eingabe Meldungen'!A3)))),"",INDEX('Eingabe Meldungen'!$D$2:$D$492,LARGE(('Eingabe Meldungen'!$A$2:$A$492=$B$324)*(ROW('Eingabe Meldungen'!$A$2:$A$492)-1),COUNTIF('Eingabe Meldungen'!$A$2:$A$492,$B$324)+1-ROW('Eingabe Meldungen'!A3))))</f>
        <v>Friedrich</v>
      </c>
      <c r="D328" s="66">
        <f t="array" ref="D328">IF(B328&lt;&gt;"",INDEX('Eingabe Meldungen'!$C$2:$H$492,MATCH(B328&amp;C328,'Eingabe Meldungen'!$C$2:$C$492&amp;'Eingabe Meldungen'!$D$2:$D$492,0),6),"")</f>
        <v>2001</v>
      </c>
      <c r="E328" s="66" t="str">
        <f t="array" ref="E328">IF(B328&lt;&gt;"",INDEX('Eingabe Meldungen'!$C$2:$H$492,MATCH(B328&amp;C328,'Eingabe Meldungen'!$C$2:$C$492&amp;'Eingabe Meldungen'!$D$2:$D$492,0),4),"")</f>
        <v>LGW. bis 75 kg</v>
      </c>
      <c r="F328" s="66">
        <v>3</v>
      </c>
      <c r="G328" s="135"/>
      <c r="H328" s="4" t="e">
        <f>RANK(G328,$G$326:$G$330,1)</f>
        <v>#N/A</v>
      </c>
      <c r="I328" s="136" t="str">
        <f t="array" ref="I328">IF(B328&lt;&gt;"",INDEX('Eingabe Meldungen'!$C$2:$J$492,MATCH(B328&amp;C328,'Eingabe Meldungen'!$C$2:$C$492&amp;'Eingabe Meldungen'!$D$2:$D$492,0),8),"")</f>
        <v>Schweinfurter Ruder-Club Franken</v>
      </c>
      <c r="J328" s="72"/>
    </row>
    <row r="329" spans="2:10" x14ac:dyDescent="0.2">
      <c r="B329" s="100" t="str">
        <f t="array" ref="B329">IF(ISERROR(INDEX('Eingabe Meldungen'!$C$2:$C$492,LARGE(('Eingabe Meldungen'!$A$2:$A$492=$B$324)*(ROW('Eingabe Meldungen'!$A$2:$A$492)-1),COUNTIF('Eingabe Meldungen'!$A$2:$A$492,$B$324)+1-ROW('Eingabe Meldungen'!A4)))),"",INDEX('Eingabe Meldungen'!$C$2:$C$492,LARGE(('Eingabe Meldungen'!$A$2:$A$492=$B$324)*(ROW('Eingabe Meldungen'!$A$2:$A$492)-1),COUNTIF('Eingabe Meldungen'!$A$2:$A$492,$B$324)+1-ROW('Eingabe Meldungen'!A4))))</f>
        <v>Stein</v>
      </c>
      <c r="C329" s="4" t="str">
        <f t="array" ref="C329">IF(ISERROR(INDEX('Eingabe Meldungen'!$D$2:$D$492,LARGE(('Eingabe Meldungen'!$A$2:$A$492=$B$324)*(ROW('Eingabe Meldungen'!$A$2:$A$492)-1),COUNTIF('Eingabe Meldungen'!$A$2:$A$492,$B$324)+1-ROW('Eingabe Meldungen'!A4)))),"",INDEX('Eingabe Meldungen'!$D$2:$D$492,LARGE(('Eingabe Meldungen'!$A$2:$A$492=$B$324)*(ROW('Eingabe Meldungen'!$A$2:$A$492)-1),COUNTIF('Eingabe Meldungen'!$A$2:$A$492,$B$324)+1-ROW('Eingabe Meldungen'!A4))))</f>
        <v>Jonas</v>
      </c>
      <c r="D329" s="66">
        <f t="array" ref="D329">IF(B329&lt;&gt;"",INDEX('Eingabe Meldungen'!$C$2:$H$492,MATCH(B329&amp;C329,'Eingabe Meldungen'!$C$2:$C$492&amp;'Eingabe Meldungen'!$D$2:$D$492,0),6),"")</f>
        <v>2001</v>
      </c>
      <c r="E329" s="66" t="str">
        <f t="array" ref="E329">IF(B329&lt;&gt;"",INDEX('Eingabe Meldungen'!$C$2:$H$492,MATCH(B329&amp;C329,'Eingabe Meldungen'!$C$2:$C$492&amp;'Eingabe Meldungen'!$D$2:$D$492,0),4),"")</f>
        <v>LGW. bis 75 kg</v>
      </c>
      <c r="F329" s="66">
        <v>4</v>
      </c>
      <c r="G329" s="135"/>
      <c r="H329" s="4" t="e">
        <f>RANK(G329,$G$326:$G$330,1)</f>
        <v>#N/A</v>
      </c>
      <c r="I329" s="136" t="str">
        <f t="array" ref="I329">IF(B329&lt;&gt;"",INDEX('Eingabe Meldungen'!$C$2:$J$492,MATCH(B329&amp;C329,'Eingabe Meldungen'!$C$2:$C$492&amp;'Eingabe Meldungen'!$D$2:$D$492,0),8),"")</f>
        <v>Marbacher Ruderverein</v>
      </c>
      <c r="J329" s="72"/>
    </row>
    <row r="330" spans="2:10" ht="13.2" thickBot="1" x14ac:dyDescent="0.25">
      <c r="B330" s="138" t="str">
        <f t="array" ref="B330">IF(ISERROR(INDEX('Eingabe Meldungen'!$C$2:$C$492,LARGE(('Eingabe Meldungen'!$A$2:$A$492=$B$324)*(ROW('Eingabe Meldungen'!$A$2:$A$492)-1),COUNTIF('Eingabe Meldungen'!$A$2:$A$492,$B$324)+1-ROW('Eingabe Meldungen'!A5)))),"",INDEX('Eingabe Meldungen'!$C$2:$C$492,LARGE(('Eingabe Meldungen'!$A$2:$A$492=$B$324)*(ROW('Eingabe Meldungen'!$A$2:$A$492)-1),COUNTIF('Eingabe Meldungen'!$A$2:$A$492,$B$324)+1-ROW('Eingabe Meldungen'!A5))))</f>
        <v/>
      </c>
      <c r="C330" s="139" t="str">
        <f t="array" ref="C330">IF(ISERROR(INDEX('Eingabe Meldungen'!$D$2:$D$492,LARGE(('Eingabe Meldungen'!$A$2:$A$492=$B$324)*(ROW('Eingabe Meldungen'!$A$2:$A$492)-1),COUNTIF('Eingabe Meldungen'!$A$2:$A$492,$B$324)+1-ROW('Eingabe Meldungen'!A5)))),"",INDEX('Eingabe Meldungen'!$D$2:$D$492,LARGE(('Eingabe Meldungen'!$A$2:$A$492=$B$324)*(ROW('Eingabe Meldungen'!$A$2:$A$492)-1),COUNTIF('Eingabe Meldungen'!$A$2:$A$492,$B$324)+1-ROW('Eingabe Meldungen'!A5))))</f>
        <v/>
      </c>
      <c r="D330" s="99" t="str">
        <f t="array" ref="D330">IF(B330&lt;&gt;"",INDEX('Eingabe Meldungen'!$C$2:$H$492,MATCH(B330&amp;C330,'Eingabe Meldungen'!$C$2:$C$492&amp;'Eingabe Meldungen'!$D$2:$D$492,0),6),"")</f>
        <v/>
      </c>
      <c r="E330" s="99" t="str">
        <f t="array" ref="E330">IF(B330&lt;&gt;"",INDEX('Eingabe Meldungen'!$C$2:$H$492,MATCH(B330&amp;C330,'Eingabe Meldungen'!$C$2:$C$492&amp;'Eingabe Meldungen'!$D$2:$D$492,0),4),"")</f>
        <v/>
      </c>
      <c r="F330" s="99">
        <v>5</v>
      </c>
      <c r="G330" s="143"/>
      <c r="H330" s="139" t="e">
        <f>RANK(G330,$G$326:$G$330,1)</f>
        <v>#N/A</v>
      </c>
      <c r="I330" s="141" t="str">
        <f t="array" ref="I330">IF(B330&lt;&gt;"",INDEX('Eingabe Meldungen'!$C$2:$J$492,MATCH(B330&amp;C330,'Eingabe Meldungen'!$C$2:$C$492&amp;'Eingabe Meldungen'!$D$2:$D$492,0),8),"")</f>
        <v/>
      </c>
      <c r="J330" s="72"/>
    </row>
    <row r="331" spans="2:10" ht="13.2" thickBot="1" x14ac:dyDescent="0.25">
      <c r="B331" s="4"/>
      <c r="C331" s="4"/>
      <c r="D331" s="4"/>
      <c r="E331" s="4"/>
      <c r="F331" s="4"/>
      <c r="G331" s="4"/>
      <c r="H331" s="4"/>
      <c r="I331" s="4"/>
      <c r="J331" s="72" t="e">
        <f>SUM(#REF!)</f>
        <v>#REF!</v>
      </c>
    </row>
    <row r="332" spans="2:10" ht="26.25" customHeight="1" x14ac:dyDescent="0.2">
      <c r="B332" s="26">
        <f>B324+1</f>
        <v>24</v>
      </c>
      <c r="C332" s="65" t="str">
        <f>VLOOKUP(B332,Ausschreibung!$B$5:$I$35,2,FALSE)</f>
        <v>Ergocup</v>
      </c>
      <c r="D332" s="27">
        <f>VLOOKUP(B332,Ausschreibung!$B$5:$I$35,3,FALSE)</f>
        <v>0.65208333333333313</v>
      </c>
      <c r="E332" s="65" t="s">
        <v>104</v>
      </c>
      <c r="F332" s="65" t="str">
        <f>VLOOKUP(B332,Ausschreibung!$B$5:$I$35,5,FALSE)</f>
        <v>-</v>
      </c>
      <c r="G332" s="65" t="str">
        <f>VLOOKUP(B332,Ausschreibung!$B$5:$I$35,6,FALSE)</f>
        <v>19 und älter</v>
      </c>
      <c r="H332" s="65" t="str">
        <f>VLOOKUP(B332,Ausschreibung!$B$5:$I$35,8,FALSE)</f>
        <v>2000 m</v>
      </c>
      <c r="I332" s="28" t="s">
        <v>468</v>
      </c>
    </row>
    <row r="333" spans="2:10" ht="13.2" thickBot="1" x14ac:dyDescent="0.25">
      <c r="B333" s="19" t="s">
        <v>1</v>
      </c>
      <c r="C333" s="18" t="s">
        <v>2</v>
      </c>
      <c r="D333" s="17" t="s">
        <v>49</v>
      </c>
      <c r="E333" s="130" t="s">
        <v>16</v>
      </c>
      <c r="F333" s="17" t="s">
        <v>18</v>
      </c>
      <c r="G333" s="73" t="s">
        <v>50</v>
      </c>
      <c r="H333" s="17" t="s">
        <v>51</v>
      </c>
      <c r="I333" s="30" t="s">
        <v>17</v>
      </c>
    </row>
    <row r="334" spans="2:10" x14ac:dyDescent="0.2">
      <c r="B334" s="131" t="str">
        <f t="array" ref="B334">IF(ISERROR(INDEX('Eingabe Meldungen'!$C$2:$C$492,LARGE(('Eingabe Meldungen'!$A$2:$A$492=$B$332)*(ROW('Eingabe Meldungen'!$A$2:$A$492)-1),COUNTIF('Eingabe Meldungen'!$A$2:$A$492,$B$332)+1-ROW('Eingabe Meldungen'!A1)))),"",INDEX('Eingabe Meldungen'!$C$2:$C$492,LARGE(('Eingabe Meldungen'!$A$2:$A$492=$B$332)*(ROW('Eingabe Meldungen'!$A$2:$A$492)-1),COUNTIF('Eingabe Meldungen'!$A$2:$A$492,$B$332)+1-ROW('Eingabe Meldungen'!A1))))</f>
        <v>Killinger</v>
      </c>
      <c r="C334" s="132" t="str">
        <f t="array" ref="C334">IF(ISERROR(INDEX('Eingabe Meldungen'!$D$2:$D$492,LARGE(('Eingabe Meldungen'!$A$2:$A$492=$B$332)*(ROW('Eingabe Meldungen'!$A$2:$A$492)-1),COUNTIF('Eingabe Meldungen'!$A$2:$A$492,$B$332)+1-ROW('Eingabe Meldungen'!A1)))),"",INDEX('Eingabe Meldungen'!$D$2:$D$492,LARGE(('Eingabe Meldungen'!$A$2:$A$492=$B$332)*(ROW('Eingabe Meldungen'!$A$2:$A$492)-1),COUNTIF('Eingabe Meldungen'!$A$2:$A$492,$B$332)+1-ROW('Eingabe Meldungen'!A1))))</f>
        <v>Cornelius</v>
      </c>
      <c r="D334" s="78">
        <f t="array" ref="D334">IF(B334&lt;&gt;"",INDEX('Eingabe Meldungen'!$C$2:$H$492,MATCH(B334&amp;C334,'Eingabe Meldungen'!$C$2:$C$492&amp;'Eingabe Meldungen'!$D$2:$D$492,0),6),"")</f>
        <v>1992</v>
      </c>
      <c r="E334" s="78" t="str">
        <f t="array" ref="E334">IF(B334&lt;&gt;"",INDEX('Eingabe Meldungen'!$C$2:$H$492,MATCH(B334&amp;C334,'Eingabe Meldungen'!$C$2:$C$492&amp;'Eingabe Meldungen'!$D$2:$D$492,0),4),"")</f>
        <v>-</v>
      </c>
      <c r="F334" s="78">
        <v>6</v>
      </c>
      <c r="G334" s="133"/>
      <c r="H334" s="132" t="e">
        <f>RANK(G334,$G$334:$G$338,1)</f>
        <v>#N/A</v>
      </c>
      <c r="I334" s="134" t="str">
        <f t="array" ref="I334">IF(B334&lt;&gt;"",INDEX('Eingabe Meldungen'!$C$2:$J$492,MATCH(B334&amp;C334,'Eingabe Meldungen'!$C$2:$C$492&amp;'Eingabe Meldungen'!$D$2:$D$492,0),8),"")</f>
        <v>Marbacher Ruderverein</v>
      </c>
    </row>
    <row r="335" spans="2:10" x14ac:dyDescent="0.2">
      <c r="B335" s="100" t="str">
        <f t="array" ref="B335">IF(ISERROR(INDEX('Eingabe Meldungen'!$C$2:$C$492,LARGE(('Eingabe Meldungen'!$A$2:$A$492=$B$332)*(ROW('Eingabe Meldungen'!$A$2:$A$492)-1),COUNTIF('Eingabe Meldungen'!$A$2:$A$492,$B$332)+1-ROW('Eingabe Meldungen'!A2)))),"",INDEX('Eingabe Meldungen'!$C$2:$C$492,LARGE(('Eingabe Meldungen'!$A$2:$A$492=$B$332)*(ROW('Eingabe Meldungen'!$A$2:$A$492)-1),COUNTIF('Eingabe Meldungen'!$A$2:$A$492,$B$332)+1-ROW('Eingabe Meldungen'!A2))))</f>
        <v>Schmidt</v>
      </c>
      <c r="C335" s="4" t="str">
        <f t="array" ref="C335">IF(ISERROR(INDEX('Eingabe Meldungen'!$D$2:$D$492,LARGE(('Eingabe Meldungen'!$A$2:$A$492=$B$332)*(ROW('Eingabe Meldungen'!$A$2:$A$492)-1),COUNTIF('Eingabe Meldungen'!$A$2:$A$492,$B$332)+1-ROW('Eingabe Meldungen'!A2)))),"",INDEX('Eingabe Meldungen'!$D$2:$D$492,LARGE(('Eingabe Meldungen'!$A$2:$A$492=$B$332)*(ROW('Eingabe Meldungen'!$A$2:$A$492)-1),COUNTIF('Eingabe Meldungen'!$A$2:$A$492,$B$332)+1-ROW('Eingabe Meldungen'!A2))))</f>
        <v>Jonas</v>
      </c>
      <c r="D335" s="66">
        <f t="array" ref="D335">IF(B335&lt;&gt;"",INDEX('Eingabe Meldungen'!$C$2:$H$492,MATCH(B335&amp;C335,'Eingabe Meldungen'!$C$2:$C$492&amp;'Eingabe Meldungen'!$D$2:$D$492,0),6),"")</f>
        <v>1997</v>
      </c>
      <c r="E335" s="66" t="str">
        <f t="array" ref="E335">IF(B335&lt;&gt;"",INDEX('Eingabe Meldungen'!$C$2:$H$492,MATCH(B335&amp;C335,'Eingabe Meldungen'!$C$2:$C$492&amp;'Eingabe Meldungen'!$D$2:$D$492,0),4),"")</f>
        <v>-</v>
      </c>
      <c r="F335" s="66">
        <v>7</v>
      </c>
      <c r="G335" s="135"/>
      <c r="H335" s="4" t="e">
        <f>RANK(G335,$G$334:$G$338,1)</f>
        <v>#N/A</v>
      </c>
      <c r="I335" s="136" t="str">
        <f t="array" ref="I335">IF(B335&lt;&gt;"",INDEX('Eingabe Meldungen'!$C$2:$J$492,MATCH(B335&amp;C335,'Eingabe Meldungen'!$C$2:$C$492&amp;'Eingabe Meldungen'!$D$2:$D$492,0),8),"")</f>
        <v>Marbacher Ruderverein</v>
      </c>
      <c r="J335" s="72" t="e">
        <f>SUM(#REF!)</f>
        <v>#REF!</v>
      </c>
    </row>
    <row r="336" spans="2:10" x14ac:dyDescent="0.2">
      <c r="B336" s="100" t="str">
        <f t="array" ref="B336">IF(ISERROR(INDEX('Eingabe Meldungen'!$C$2:$C$492,LARGE(('Eingabe Meldungen'!$A$2:$A$492=$B$332)*(ROW('Eingabe Meldungen'!$A$2:$A$492)-1),COUNTIF('Eingabe Meldungen'!$A$2:$A$492,$B$332)+1-ROW('Eingabe Meldungen'!A3)))),"",INDEX('Eingabe Meldungen'!$C$2:$C$492,LARGE(('Eingabe Meldungen'!$A$2:$A$492=$B$332)*(ROW('Eingabe Meldungen'!$A$2:$A$492)-1),COUNTIF('Eingabe Meldungen'!$A$2:$A$492,$B$332)+1-ROW('Eingabe Meldungen'!A3))))</f>
        <v/>
      </c>
      <c r="C336" s="4" t="str">
        <f t="array" ref="C336">IF(ISERROR(INDEX('Eingabe Meldungen'!$D$2:$D$492,LARGE(('Eingabe Meldungen'!$A$2:$A$492=$B$332)*(ROW('Eingabe Meldungen'!$A$2:$A$492)-1),COUNTIF('Eingabe Meldungen'!$A$2:$A$492,$B$332)+1-ROW('Eingabe Meldungen'!A3)))),"",INDEX('Eingabe Meldungen'!$D$2:$D$492,LARGE(('Eingabe Meldungen'!$A$2:$A$492=$B$332)*(ROW('Eingabe Meldungen'!$A$2:$A$492)-1),COUNTIF('Eingabe Meldungen'!$A$2:$A$492,$B$332)+1-ROW('Eingabe Meldungen'!A3))))</f>
        <v/>
      </c>
      <c r="D336" s="66" t="str">
        <f t="array" ref="D336">IF(B336&lt;&gt;"",INDEX('Eingabe Meldungen'!$C$2:$H$492,MATCH(B336&amp;C336,'Eingabe Meldungen'!$C$2:$C$492&amp;'Eingabe Meldungen'!$D$2:$D$492,0),6),"")</f>
        <v/>
      </c>
      <c r="E336" s="66" t="str">
        <f t="array" ref="E336">IF(B336&lt;&gt;"",INDEX('Eingabe Meldungen'!$C$2:$H$492,MATCH(B336&amp;C336,'Eingabe Meldungen'!$C$2:$C$492&amp;'Eingabe Meldungen'!$D$2:$D$492,0),4),"")</f>
        <v/>
      </c>
      <c r="F336" s="66">
        <v>8</v>
      </c>
      <c r="G336" s="135"/>
      <c r="H336" s="4" t="e">
        <f>RANK(G336,$G$334:$G$338,1)</f>
        <v>#N/A</v>
      </c>
      <c r="I336" s="136" t="str">
        <f t="array" ref="I336">IF(B336&lt;&gt;"",INDEX('Eingabe Meldungen'!$C$2:$J$492,MATCH(B336&amp;C336,'Eingabe Meldungen'!$C$2:$C$492&amp;'Eingabe Meldungen'!$D$2:$D$492,0),8),"")</f>
        <v/>
      </c>
    </row>
    <row r="337" spans="2:9" x14ac:dyDescent="0.2">
      <c r="B337" s="100" t="str">
        <f t="array" ref="B337">IF(ISERROR(INDEX('Eingabe Meldungen'!$C$2:$C$492,LARGE(('Eingabe Meldungen'!$A$2:$A$492=$B$332)*(ROW('Eingabe Meldungen'!$A$2:$A$492)-1),COUNTIF('Eingabe Meldungen'!$A$2:$A$492,$B$332)+1-ROW('Eingabe Meldungen'!A4)))),"",INDEX('Eingabe Meldungen'!$C$2:$C$492,LARGE(('Eingabe Meldungen'!$A$2:$A$492=$B$332)*(ROW('Eingabe Meldungen'!$A$2:$A$492)-1),COUNTIF('Eingabe Meldungen'!$A$2:$A$492,$B$332)+1-ROW('Eingabe Meldungen'!A4))))</f>
        <v/>
      </c>
      <c r="C337" s="4" t="str">
        <f t="array" ref="C337">IF(ISERROR(INDEX('Eingabe Meldungen'!$D$2:$D$492,LARGE(('Eingabe Meldungen'!$A$2:$A$492=$B$332)*(ROW('Eingabe Meldungen'!$A$2:$A$492)-1),COUNTIF('Eingabe Meldungen'!$A$2:$A$492,$B$332)+1-ROW('Eingabe Meldungen'!A4)))),"",INDEX('Eingabe Meldungen'!$D$2:$D$492,LARGE(('Eingabe Meldungen'!$A$2:$A$492=$B$332)*(ROW('Eingabe Meldungen'!$A$2:$A$492)-1),COUNTIF('Eingabe Meldungen'!$A$2:$A$492,$B$332)+1-ROW('Eingabe Meldungen'!A4))))</f>
        <v/>
      </c>
      <c r="D337" s="66" t="str">
        <f t="array" ref="D337">IF(B337&lt;&gt;"",INDEX('Eingabe Meldungen'!$C$2:$H$492,MATCH(B337&amp;C337,'Eingabe Meldungen'!$C$2:$C$492&amp;'Eingabe Meldungen'!$D$2:$D$492,0),6),"")</f>
        <v/>
      </c>
      <c r="E337" s="66" t="str">
        <f t="array" ref="E337">IF(B337&lt;&gt;"",INDEX('Eingabe Meldungen'!$C$2:$H$492,MATCH(B337&amp;C337,'Eingabe Meldungen'!$C$2:$C$492&amp;'Eingabe Meldungen'!$D$2:$D$492,0),4),"")</f>
        <v/>
      </c>
      <c r="F337" s="66">
        <v>9</v>
      </c>
      <c r="G337" s="135"/>
      <c r="H337" s="4" t="e">
        <f>RANK(G337,$G$334:$G$338,1)</f>
        <v>#N/A</v>
      </c>
      <c r="I337" s="136" t="str">
        <f t="array" ref="I337">IF(B337&lt;&gt;"",INDEX('Eingabe Meldungen'!$C$2:$J$492,MATCH(B337&amp;C337,'Eingabe Meldungen'!$C$2:$C$492&amp;'Eingabe Meldungen'!$D$2:$D$492,0),8),"")</f>
        <v/>
      </c>
    </row>
    <row r="338" spans="2:9" ht="13.2" thickBot="1" x14ac:dyDescent="0.25">
      <c r="B338" s="138" t="str">
        <f t="array" ref="B338">IF(ISERROR(INDEX('Eingabe Meldungen'!$C$2:$C$492,LARGE(('Eingabe Meldungen'!$A$2:$A$492=$B$332)*(ROW('Eingabe Meldungen'!$A$2:$A$492)-1),COUNTIF('Eingabe Meldungen'!$A$2:$A$492,$B$332)+1-ROW('Eingabe Meldungen'!A5)))),"",INDEX('Eingabe Meldungen'!$C$2:$C$492,LARGE(('Eingabe Meldungen'!$A$2:$A$492=$B$332)*(ROW('Eingabe Meldungen'!$A$2:$A$492)-1),COUNTIF('Eingabe Meldungen'!$A$2:$A$492,$B$332)+1-ROW('Eingabe Meldungen'!A5))))</f>
        <v/>
      </c>
      <c r="C338" s="139" t="str">
        <f t="array" ref="C338">IF(ISERROR(INDEX('Eingabe Meldungen'!$D$2:$D$492,LARGE(('Eingabe Meldungen'!$A$2:$A$492=$B$332)*(ROW('Eingabe Meldungen'!$A$2:$A$492)-1),COUNTIF('Eingabe Meldungen'!$A$2:$A$492,$B$332)+1-ROW('Eingabe Meldungen'!A5)))),"",INDEX('Eingabe Meldungen'!$D$2:$D$492,LARGE(('Eingabe Meldungen'!$A$2:$A$492=$B$332)*(ROW('Eingabe Meldungen'!$A$2:$A$492)-1),COUNTIF('Eingabe Meldungen'!$A$2:$A$492,$B$332)+1-ROW('Eingabe Meldungen'!A5))))</f>
        <v/>
      </c>
      <c r="D338" s="99" t="str">
        <f t="array" ref="D338">IF(B338&lt;&gt;"",INDEX('Eingabe Meldungen'!$C$2:$H$492,MATCH(B338&amp;C338,'Eingabe Meldungen'!$C$2:$C$492&amp;'Eingabe Meldungen'!$D$2:$D$492,0),6),"")</f>
        <v/>
      </c>
      <c r="E338" s="99" t="str">
        <f t="array" ref="E338">IF(B338&lt;&gt;"",INDEX('Eingabe Meldungen'!$C$2:$H$492,MATCH(B338&amp;C338,'Eingabe Meldungen'!$C$2:$C$492&amp;'Eingabe Meldungen'!$D$2:$D$492,0),4),"")</f>
        <v/>
      </c>
      <c r="F338" s="99">
        <v>10</v>
      </c>
      <c r="G338" s="143"/>
      <c r="H338" s="139" t="e">
        <f>RANK(G338,$G$334:$G$338,1)</f>
        <v>#N/A</v>
      </c>
      <c r="I338" s="141" t="str">
        <f t="array" ref="I338">IF(B338&lt;&gt;"",INDEX('Eingabe Meldungen'!$C$2:$J$492,MATCH(B338&amp;C338,'Eingabe Meldungen'!$C$2:$C$492&amp;'Eingabe Meldungen'!$D$2:$D$492,0),8),"")</f>
        <v/>
      </c>
    </row>
    <row r="339" spans="2:9" ht="13.2" thickBot="1" x14ac:dyDescent="0.25">
      <c r="B339" s="4"/>
      <c r="C339" s="4"/>
      <c r="D339" s="4"/>
      <c r="E339" s="4"/>
      <c r="F339" s="4"/>
      <c r="G339" s="4"/>
      <c r="H339" s="4"/>
      <c r="I339" s="4"/>
    </row>
    <row r="340" spans="2:9" ht="25.5" customHeight="1" x14ac:dyDescent="0.2">
      <c r="B340" s="26">
        <f>B332+1</f>
        <v>25</v>
      </c>
      <c r="C340" s="65" t="str">
        <f>VLOOKUP(B340,Ausschreibung!$B$5:$I$35,2,FALSE)</f>
        <v>Ergocup</v>
      </c>
      <c r="D340" s="27">
        <f>VLOOKUP(B340,Ausschreibung!$B$5:$I$35,3,FALSE)</f>
        <v>0.66249999999999976</v>
      </c>
      <c r="E340" s="65" t="s">
        <v>106</v>
      </c>
      <c r="F340" s="65" t="str">
        <f>VLOOKUP(B340,Ausschreibung!$B$5:$I$35,5,FALSE)</f>
        <v>-</v>
      </c>
      <c r="G340" s="65" t="str">
        <f>VLOOKUP(B340,Ausschreibung!$B$5:$I$35,6,FALSE)</f>
        <v>27 und älter</v>
      </c>
      <c r="H340" s="65" t="str">
        <f>VLOOKUP(B340,Ausschreibung!$B$5:$I$35,8,FALSE)</f>
        <v>2000 m</v>
      </c>
      <c r="I340" s="28"/>
    </row>
    <row r="341" spans="2:9" ht="13.2" thickBot="1" x14ac:dyDescent="0.25">
      <c r="B341" s="19" t="s">
        <v>1</v>
      </c>
      <c r="C341" s="18" t="s">
        <v>2</v>
      </c>
      <c r="D341" s="17" t="s">
        <v>49</v>
      </c>
      <c r="E341" s="130" t="s">
        <v>16</v>
      </c>
      <c r="F341" s="17" t="s">
        <v>18</v>
      </c>
      <c r="G341" s="73" t="s">
        <v>50</v>
      </c>
      <c r="H341" s="17" t="s">
        <v>51</v>
      </c>
      <c r="I341" s="30" t="s">
        <v>17</v>
      </c>
    </row>
    <row r="342" spans="2:9" x14ac:dyDescent="0.2">
      <c r="B342" s="131" t="str">
        <f t="array" ref="B342">IF(ISERROR(INDEX('Eingabe Meldungen'!$C$2:$C$492,LARGE(('Eingabe Meldungen'!$A$2:$A$492=$B$340)*(ROW('Eingabe Meldungen'!$A$2:$A$492)-1),COUNTIF('Eingabe Meldungen'!$A$2:$A$492,$B$340)+1-ROW('Eingabe Meldungen'!A1)))),"",INDEX('Eingabe Meldungen'!$C$2:$C$492,LARGE(('Eingabe Meldungen'!$A$2:$A$492=$B$340)*(ROW('Eingabe Meldungen'!$A$2:$A$492)-1),COUNTIF('Eingabe Meldungen'!$A$2:$A$492,$B$340)+1-ROW('Eingabe Meldungen'!A1))))</f>
        <v>Sommer</v>
      </c>
      <c r="C342" s="132" t="str">
        <f t="array" ref="C342">IF(ISERROR(INDEX('Eingabe Meldungen'!$D$2:$D$492,LARGE(('Eingabe Meldungen'!$A$2:$A$492=$B$340)*(ROW('Eingabe Meldungen'!$A$2:$A$492)-1),COUNTIF('Eingabe Meldungen'!$A$2:$A$492,$B$340)+1-ROW('Eingabe Meldungen'!A1)))),"",INDEX('Eingabe Meldungen'!$D$2:$D$492,LARGE(('Eingabe Meldungen'!$A$2:$A$492=$B$340)*(ROW('Eingabe Meldungen'!$A$2:$A$492)-1),COUNTIF('Eingabe Meldungen'!$A$2:$A$492,$B$340)+1-ROW('Eingabe Meldungen'!A1))))</f>
        <v>Christian</v>
      </c>
      <c r="D342" s="78">
        <f t="array" ref="D342">IF(B342&lt;&gt;"",INDEX('Eingabe Meldungen'!$C$2:$H$492,MATCH(B342&amp;C342,'Eingabe Meldungen'!$C$2:$C$492&amp;'Eingabe Meldungen'!$D$2:$D$492,0),6),"")</f>
        <v>1942</v>
      </c>
      <c r="E342" s="78" t="str">
        <f t="array" ref="E342">IF(B342&lt;&gt;"",INDEX('Eingabe Meldungen'!$C$2:$H$492,MATCH(B342&amp;C342,'Eingabe Meldungen'!$C$2:$C$492&amp;'Eingabe Meldungen'!$D$2:$D$492,0),4),"")</f>
        <v>I</v>
      </c>
      <c r="F342" s="78">
        <v>1</v>
      </c>
      <c r="G342" s="133"/>
      <c r="H342" s="132" t="e">
        <f>RANK(G342,$G$342:$G$351,1)</f>
        <v>#N/A</v>
      </c>
      <c r="I342" s="134" t="str">
        <f t="array" ref="I342">IF(B342&lt;&gt;"",INDEX('Eingabe Meldungen'!$C$2:$J$492,MATCH(B342&amp;C342,'Eingabe Meldungen'!$C$2:$C$492&amp;'Eingabe Meldungen'!$D$2:$D$492,0),8),"")</f>
        <v>USV TU Dresden</v>
      </c>
    </row>
    <row r="343" spans="2:9" x14ac:dyDescent="0.2">
      <c r="B343" s="100" t="str">
        <f t="array" ref="B343">IF(ISERROR(INDEX('Eingabe Meldungen'!$C$2:$C$492,LARGE(('Eingabe Meldungen'!$A$2:$A$492=$B$340)*(ROW('Eingabe Meldungen'!$A$2:$A$492)-1),COUNTIF('Eingabe Meldungen'!$A$2:$A$492,$B$340)+1-ROW('Eingabe Meldungen'!A2)))),"",INDEX('Eingabe Meldungen'!$C$2:$C$492,LARGE(('Eingabe Meldungen'!$A$2:$A$492=$B$340)*(ROW('Eingabe Meldungen'!$A$2:$A$492)-1),COUNTIF('Eingabe Meldungen'!$A$2:$A$492,$B$340)+1-ROW('Eingabe Meldungen'!A2))))</f>
        <v>Köhler</v>
      </c>
      <c r="C343" s="4" t="str">
        <f t="array" ref="C343">IF(ISERROR(INDEX('Eingabe Meldungen'!$D$2:$D$492,LARGE(('Eingabe Meldungen'!$A$2:$A$492=$B$340)*(ROW('Eingabe Meldungen'!$A$2:$A$492)-1),COUNTIF('Eingabe Meldungen'!$A$2:$A$492,$B$340)+1-ROW('Eingabe Meldungen'!A2)))),"",INDEX('Eingabe Meldungen'!$D$2:$D$492,LARGE(('Eingabe Meldungen'!$A$2:$A$492=$B$340)*(ROW('Eingabe Meldungen'!$A$2:$A$492)-1),COUNTIF('Eingabe Meldungen'!$A$2:$A$492,$B$340)+1-ROW('Eingabe Meldungen'!A2))))</f>
        <v>Bernhard</v>
      </c>
      <c r="D343" s="66">
        <f t="array" ref="D343">IF(B343&lt;&gt;"",INDEX('Eingabe Meldungen'!$C$2:$H$492,MATCH(B343&amp;C343,'Eingabe Meldungen'!$C$2:$C$492&amp;'Eingabe Meldungen'!$D$2:$D$492,0),6),"")</f>
        <v>1958</v>
      </c>
      <c r="E343" s="66" t="str">
        <f t="array" ref="E343">IF(B343&lt;&gt;"",INDEX('Eingabe Meldungen'!$C$2:$H$492,MATCH(B343&amp;C343,'Eingabe Meldungen'!$C$2:$C$492&amp;'Eingabe Meldungen'!$D$2:$D$492,0),4),"")</f>
        <v>F</v>
      </c>
      <c r="F343" s="66">
        <v>2</v>
      </c>
      <c r="G343" s="135"/>
      <c r="H343" s="4" t="e">
        <f>RANK(G343,$G$342:$G$351,1)</f>
        <v>#N/A</v>
      </c>
      <c r="I343" s="136" t="str">
        <f t="array" ref="I343">IF(B343&lt;&gt;"",INDEX('Eingabe Meldungen'!$C$2:$J$492,MATCH(B343&amp;C343,'Eingabe Meldungen'!$C$2:$C$492&amp;'Eingabe Meldungen'!$D$2:$D$492,0),8),"")</f>
        <v>Fitness Oase in Regen</v>
      </c>
    </row>
    <row r="344" spans="2:9" ht="12.75" customHeight="1" x14ac:dyDescent="0.2">
      <c r="B344" s="100" t="str">
        <f t="array" ref="B344">IF(ISERROR(INDEX('Eingabe Meldungen'!$C$2:$C$492,LARGE(('Eingabe Meldungen'!$A$2:$A$492=$B$340)*(ROW('Eingabe Meldungen'!$A$2:$A$492)-1),COUNTIF('Eingabe Meldungen'!$A$2:$A$492,$B$340)+1-ROW('Eingabe Meldungen'!A3)))),"",INDEX('Eingabe Meldungen'!$C$2:$C$492,LARGE(('Eingabe Meldungen'!$A$2:$A$492=$B$340)*(ROW('Eingabe Meldungen'!$A$2:$A$492)-1),COUNTIF('Eingabe Meldungen'!$A$2:$A$492,$B$340)+1-ROW('Eingabe Meldungen'!A3))))</f>
        <v>Grün</v>
      </c>
      <c r="C344" s="4" t="str">
        <f t="array" ref="C344">IF(ISERROR(INDEX('Eingabe Meldungen'!$D$2:$D$492,LARGE(('Eingabe Meldungen'!$A$2:$A$492=$B$340)*(ROW('Eingabe Meldungen'!$A$2:$A$492)-1),COUNTIF('Eingabe Meldungen'!$A$2:$A$492,$B$340)+1-ROW('Eingabe Meldungen'!A3)))),"",INDEX('Eingabe Meldungen'!$D$2:$D$492,LARGE(('Eingabe Meldungen'!$A$2:$A$492=$B$340)*(ROW('Eingabe Meldungen'!$A$2:$A$492)-1),COUNTIF('Eingabe Meldungen'!$A$2:$A$492,$B$340)+1-ROW('Eingabe Meldungen'!A3))))</f>
        <v>Michael</v>
      </c>
      <c r="D344" s="66">
        <f t="array" ref="D344">IF(B344&lt;&gt;"",INDEX('Eingabe Meldungen'!$C$2:$H$492,MATCH(B344&amp;C344,'Eingabe Meldungen'!$C$2:$C$492&amp;'Eingabe Meldungen'!$D$2:$D$492,0),6),"")</f>
        <v>1968</v>
      </c>
      <c r="E344" s="66" t="str">
        <f t="array" ref="E344">IF(B344&lt;&gt;"",INDEX('Eingabe Meldungen'!$C$2:$H$492,MATCH(B344&amp;C344,'Eingabe Meldungen'!$C$2:$C$492&amp;'Eingabe Meldungen'!$D$2:$D$492,0),4),"")</f>
        <v>D</v>
      </c>
      <c r="F344" s="66">
        <v>3</v>
      </c>
      <c r="G344" s="135"/>
      <c r="H344" s="4" t="e">
        <f t="shared" ref="H344:H351" si="26">RANK(G344,$G$342:$G$351,1)</f>
        <v>#N/A</v>
      </c>
      <c r="I344" s="136" t="str">
        <f t="array" ref="I344">IF(B344&lt;&gt;"",INDEX('Eingabe Meldungen'!$C$2:$J$492,MATCH(B344&amp;C344,'Eingabe Meldungen'!$C$2:$C$492&amp;'Eingabe Meldungen'!$D$2:$D$492,0),8),"")</f>
        <v>HRG Schwaben</v>
      </c>
    </row>
    <row r="345" spans="2:9" x14ac:dyDescent="0.2">
      <c r="B345" s="100" t="str">
        <f t="array" ref="B345">IF(ISERROR(INDEX('Eingabe Meldungen'!$C$2:$C$492,LARGE(('Eingabe Meldungen'!$A$2:$A$492=$B$340)*(ROW('Eingabe Meldungen'!$A$2:$A$492)-1),COUNTIF('Eingabe Meldungen'!$A$2:$A$492,$B$340)+1-ROW('Eingabe Meldungen'!A4)))),"",INDEX('Eingabe Meldungen'!$C$2:$C$492,LARGE(('Eingabe Meldungen'!$A$2:$A$492=$B$340)*(ROW('Eingabe Meldungen'!$A$2:$A$492)-1),COUNTIF('Eingabe Meldungen'!$A$2:$A$492,$B$340)+1-ROW('Eingabe Meldungen'!A4))))</f>
        <v>Angelakov</v>
      </c>
      <c r="C345" s="4" t="str">
        <f t="array" ref="C345">IF(ISERROR(INDEX('Eingabe Meldungen'!$D$2:$D$492,LARGE(('Eingabe Meldungen'!$A$2:$A$492=$B$340)*(ROW('Eingabe Meldungen'!$A$2:$A$492)-1),COUNTIF('Eingabe Meldungen'!$A$2:$A$492,$B$340)+1-ROW('Eingabe Meldungen'!A4)))),"",INDEX('Eingabe Meldungen'!$D$2:$D$492,LARGE(('Eingabe Meldungen'!$A$2:$A$492=$B$340)*(ROW('Eingabe Meldungen'!$A$2:$A$492)-1),COUNTIF('Eingabe Meldungen'!$A$2:$A$492,$B$340)+1-ROW('Eingabe Meldungen'!A4))))</f>
        <v>David</v>
      </c>
      <c r="D345" s="66">
        <f t="array" ref="D345">IF(B345&lt;&gt;"",INDEX('Eingabe Meldungen'!$C$2:$H$492,MATCH(B345&amp;C345,'Eingabe Meldungen'!$C$2:$C$492&amp;'Eingabe Meldungen'!$D$2:$D$492,0),6),"")</f>
        <v>1970</v>
      </c>
      <c r="E345" s="66" t="str">
        <f t="array" ref="E345">IF(B345&lt;&gt;"",INDEX('Eingabe Meldungen'!$C$2:$H$492,MATCH(B345&amp;C345,'Eingabe Meldungen'!$C$2:$C$492&amp;'Eingabe Meldungen'!$D$2:$D$492,0),4),"")</f>
        <v>D</v>
      </c>
      <c r="F345" s="66">
        <v>4</v>
      </c>
      <c r="G345" s="135"/>
      <c r="H345" s="4" t="e">
        <f t="shared" si="26"/>
        <v>#N/A</v>
      </c>
      <c r="I345" s="136" t="str">
        <f t="array" ref="I345">IF(B345&lt;&gt;"",INDEX('Eingabe Meldungen'!$C$2:$J$492,MATCH(B345&amp;C345,'Eingabe Meldungen'!$C$2:$C$492&amp;'Eingabe Meldungen'!$D$2:$D$492,0),8),"")</f>
        <v>Marbacher Ruderverein</v>
      </c>
    </row>
    <row r="346" spans="2:9" x14ac:dyDescent="0.2">
      <c r="B346" s="100" t="str">
        <f t="array" ref="B346">IF(ISERROR(INDEX('Eingabe Meldungen'!$C$2:$C$492,LARGE(('Eingabe Meldungen'!$A$2:$A$492=$B$340)*(ROW('Eingabe Meldungen'!$A$2:$A$492)-1),COUNTIF('Eingabe Meldungen'!$A$2:$A$492,$B$340)+1-ROW('Eingabe Meldungen'!A5)))),"",INDEX('Eingabe Meldungen'!$C$2:$C$492,LARGE(('Eingabe Meldungen'!$A$2:$A$492=$B$340)*(ROW('Eingabe Meldungen'!$A$2:$A$492)-1),COUNTIF('Eingabe Meldungen'!$A$2:$A$492,$B$340)+1-ROW('Eingabe Meldungen'!A5))))</f>
        <v>Marx</v>
      </c>
      <c r="C346" s="4" t="str">
        <f t="array" ref="C346">IF(ISERROR(INDEX('Eingabe Meldungen'!$D$2:$D$492,LARGE(('Eingabe Meldungen'!$A$2:$A$492=$B$340)*(ROW('Eingabe Meldungen'!$A$2:$A$492)-1),COUNTIF('Eingabe Meldungen'!$A$2:$A$492,$B$340)+1-ROW('Eingabe Meldungen'!A5)))),"",INDEX('Eingabe Meldungen'!$D$2:$D$492,LARGE(('Eingabe Meldungen'!$A$2:$A$492=$B$340)*(ROW('Eingabe Meldungen'!$A$2:$A$492)-1),COUNTIF('Eingabe Meldungen'!$A$2:$A$492,$B$340)+1-ROW('Eingabe Meldungen'!A5))))</f>
        <v>Johannes</v>
      </c>
      <c r="D346" s="66">
        <f t="array" ref="D346">IF(B346&lt;&gt;"",INDEX('Eingabe Meldungen'!$C$2:$H$492,MATCH(B346&amp;C346,'Eingabe Meldungen'!$C$2:$C$492&amp;'Eingabe Meldungen'!$D$2:$D$492,0),6),"")</f>
        <v>1962</v>
      </c>
      <c r="E346" s="66" t="str">
        <f t="array" ref="E346">IF(B346&lt;&gt;"",INDEX('Eingabe Meldungen'!$C$2:$H$492,MATCH(B346&amp;C346,'Eingabe Meldungen'!$C$2:$C$492&amp;'Eingabe Meldungen'!$D$2:$D$492,0),4),"")</f>
        <v>E</v>
      </c>
      <c r="F346" s="66">
        <v>5</v>
      </c>
      <c r="G346" s="135"/>
      <c r="H346" s="4" t="e">
        <f t="shared" si="26"/>
        <v>#N/A</v>
      </c>
      <c r="I346" s="136" t="str">
        <f t="array" ref="I346">IF(B346&lt;&gt;"",INDEX('Eingabe Meldungen'!$C$2:$J$492,MATCH(B346&amp;C346,'Eingabe Meldungen'!$C$2:$C$492&amp;'Eingabe Meldungen'!$D$2:$D$492,0),8),"")</f>
        <v>RC Neptun Neckarelz</v>
      </c>
    </row>
    <row r="347" spans="2:9" x14ac:dyDescent="0.2">
      <c r="B347" s="100" t="str">
        <f t="array" ref="B347">IF(ISERROR(INDEX('Eingabe Meldungen'!$C$2:$C$492,LARGE(('Eingabe Meldungen'!$A$2:$A$492=$B$340)*(ROW('Eingabe Meldungen'!$A$2:$A$492)-1),COUNTIF('Eingabe Meldungen'!$A$2:$A$492,$B$340)+1-ROW('Eingabe Meldungen'!A6)))),"",INDEX('Eingabe Meldungen'!$C$2:$C$492,LARGE(('Eingabe Meldungen'!$A$2:$A$492=$B$340)*(ROW('Eingabe Meldungen'!$A$2:$A$492)-1),COUNTIF('Eingabe Meldungen'!$A$2:$A$492,$B$340)+1-ROW('Eingabe Meldungen'!A6))))</f>
        <v>Schönmann Fink</v>
      </c>
      <c r="C347" s="4" t="str">
        <f t="array" ref="C347">IF(ISERROR(INDEX('Eingabe Meldungen'!$D$2:$D$492,LARGE(('Eingabe Meldungen'!$A$2:$A$492=$B$340)*(ROW('Eingabe Meldungen'!$A$2:$A$492)-1),COUNTIF('Eingabe Meldungen'!$A$2:$A$492,$B$340)+1-ROW('Eingabe Meldungen'!A6)))),"",INDEX('Eingabe Meldungen'!$D$2:$D$492,LARGE(('Eingabe Meldungen'!$A$2:$A$492=$B$340)*(ROW('Eingabe Meldungen'!$A$2:$A$492)-1),COUNTIF('Eingabe Meldungen'!$A$2:$A$492,$B$340)+1-ROW('Eingabe Meldungen'!A6))))</f>
        <v>Matthias</v>
      </c>
      <c r="D347" s="66">
        <f t="array" ref="D347">IF(B347&lt;&gt;"",INDEX('Eingabe Meldungen'!$C$2:$H$492,MATCH(B347&amp;C347,'Eingabe Meldungen'!$C$2:$C$492&amp;'Eingabe Meldungen'!$D$2:$D$492,0),6),"")</f>
        <v>1979</v>
      </c>
      <c r="E347" s="66" t="str">
        <f t="array" ref="E347">IF(B347&lt;&gt;"",INDEX('Eingabe Meldungen'!$C$2:$H$492,MATCH(B347&amp;C347,'Eingabe Meldungen'!$C$2:$C$492&amp;'Eingabe Meldungen'!$D$2:$D$492,0),4),"")</f>
        <v>B</v>
      </c>
      <c r="F347" s="66">
        <v>6</v>
      </c>
      <c r="G347" s="135"/>
      <c r="H347" s="4" t="e">
        <f t="shared" si="26"/>
        <v>#N/A</v>
      </c>
      <c r="I347" s="136" t="str">
        <f t="array" ref="I347">IF(B347&lt;&gt;"",INDEX('Eingabe Meldungen'!$C$2:$J$492,MATCH(B347&amp;C347,'Eingabe Meldungen'!$C$2:$C$492&amp;'Eingabe Meldungen'!$D$2:$D$492,0),8),"")</f>
        <v>RC Neptun Neckarelz</v>
      </c>
    </row>
    <row r="348" spans="2:9" x14ac:dyDescent="0.2">
      <c r="B348" s="100" t="str">
        <f t="array" ref="B348">IF(ISERROR(INDEX('Eingabe Meldungen'!$C$2:$C$492,LARGE(('Eingabe Meldungen'!$A$2:$A$492=$B$340)*(ROW('Eingabe Meldungen'!$A$2:$A$492)-1),COUNTIF('Eingabe Meldungen'!$A$2:$A$492,$B$340)+1-ROW('Eingabe Meldungen'!A7)))),"",INDEX('Eingabe Meldungen'!$C$2:$C$492,LARGE(('Eingabe Meldungen'!$A$2:$A$492=$B$340)*(ROW('Eingabe Meldungen'!$A$2:$A$492)-1),COUNTIF('Eingabe Meldungen'!$A$2:$A$492,$B$340)+1-ROW('Eingabe Meldungen'!A7))))</f>
        <v>Häfner</v>
      </c>
      <c r="C348" s="4" t="str">
        <f t="array" ref="C348">IF(ISERROR(INDEX('Eingabe Meldungen'!$D$2:$D$492,LARGE(('Eingabe Meldungen'!$A$2:$A$492=$B$340)*(ROW('Eingabe Meldungen'!$A$2:$A$492)-1),COUNTIF('Eingabe Meldungen'!$A$2:$A$492,$B$340)+1-ROW('Eingabe Meldungen'!A7)))),"",INDEX('Eingabe Meldungen'!$D$2:$D$492,LARGE(('Eingabe Meldungen'!$A$2:$A$492=$B$340)*(ROW('Eingabe Meldungen'!$A$2:$A$492)-1),COUNTIF('Eingabe Meldungen'!$A$2:$A$492,$B$340)+1-ROW('Eingabe Meldungen'!A7))))</f>
        <v>Christian</v>
      </c>
      <c r="D348" s="66">
        <f t="array" ref="D348">IF(B348&lt;&gt;"",INDEX('Eingabe Meldungen'!$C$2:$H$492,MATCH(B348&amp;C348,'Eingabe Meldungen'!$C$2:$C$492&amp;'Eingabe Meldungen'!$D$2:$D$492,0),6),"")</f>
        <v>1990</v>
      </c>
      <c r="E348" s="66" t="str">
        <f t="array" ref="E348">IF(B348&lt;&gt;"",INDEX('Eingabe Meldungen'!$C$2:$H$492,MATCH(B348&amp;C348,'Eingabe Meldungen'!$C$2:$C$492&amp;'Eingabe Meldungen'!$D$2:$D$492,0),4),"")</f>
        <v>A</v>
      </c>
      <c r="F348" s="66">
        <v>7</v>
      </c>
      <c r="G348" s="135"/>
      <c r="H348" s="4" t="e">
        <f t="shared" si="26"/>
        <v>#N/A</v>
      </c>
      <c r="I348" s="136" t="str">
        <f t="array" ref="I348">IF(B348&lt;&gt;"",INDEX('Eingabe Meldungen'!$C$2:$J$492,MATCH(B348&amp;C348,'Eingabe Meldungen'!$C$2:$C$492&amp;'Eingabe Meldungen'!$D$2:$D$492,0),8),"")</f>
        <v>Ruderverein Bad Wimpfen</v>
      </c>
    </row>
    <row r="349" spans="2:9" x14ac:dyDescent="0.2">
      <c r="B349" s="100" t="str">
        <f t="array" ref="B349">IF(ISERROR(INDEX('Eingabe Meldungen'!$C$2:$C$492,LARGE(('Eingabe Meldungen'!$A$2:$A$492=$B$340)*(ROW('Eingabe Meldungen'!$A$2:$A$492)-1),COUNTIF('Eingabe Meldungen'!$A$2:$A$492,$B$340)+1-ROW('Eingabe Meldungen'!A8)))),"",INDEX('Eingabe Meldungen'!$C$2:$C$492,LARGE(('Eingabe Meldungen'!$A$2:$A$492=$B$340)*(ROW('Eingabe Meldungen'!$A$2:$A$492)-1),COUNTIF('Eingabe Meldungen'!$A$2:$A$492,$B$340)+1-ROW('Eingabe Meldungen'!A8))))</f>
        <v>Weiß</v>
      </c>
      <c r="C349" s="4" t="str">
        <f t="array" ref="C349">IF(ISERROR(INDEX('Eingabe Meldungen'!$D$2:$D$492,LARGE(('Eingabe Meldungen'!$A$2:$A$492=$B$340)*(ROW('Eingabe Meldungen'!$A$2:$A$492)-1),COUNTIF('Eingabe Meldungen'!$A$2:$A$492,$B$340)+1-ROW('Eingabe Meldungen'!A8)))),"",INDEX('Eingabe Meldungen'!$D$2:$D$492,LARGE(('Eingabe Meldungen'!$A$2:$A$492=$B$340)*(ROW('Eingabe Meldungen'!$A$2:$A$492)-1),COUNTIF('Eingabe Meldungen'!$A$2:$A$492,$B$340)+1-ROW('Eingabe Meldungen'!A8))))</f>
        <v>Fabian</v>
      </c>
      <c r="D349" s="66">
        <f t="array" ref="D349">IF(B349&lt;&gt;"",INDEX('Eingabe Meldungen'!$C$2:$H$492,MATCH(B349&amp;C349,'Eingabe Meldungen'!$C$2:$C$492&amp;'Eingabe Meldungen'!$D$2:$D$492,0),6),"")</f>
        <v>1992</v>
      </c>
      <c r="E349" s="66" t="str">
        <f t="array" ref="E349">IF(B349&lt;&gt;"",INDEX('Eingabe Meldungen'!$C$2:$H$492,MATCH(B349&amp;C349,'Eingabe Meldungen'!$C$2:$C$492&amp;'Eingabe Meldungen'!$D$2:$D$492,0),4),"")</f>
        <v>A</v>
      </c>
      <c r="F349" s="66">
        <v>8</v>
      </c>
      <c r="G349" s="135"/>
      <c r="H349" s="4" t="e">
        <f t="shared" si="26"/>
        <v>#N/A</v>
      </c>
      <c r="I349" s="136" t="str">
        <f t="array" ref="I349">IF(B349&lt;&gt;"",INDEX('Eingabe Meldungen'!$C$2:$J$492,MATCH(B349&amp;C349,'Eingabe Meldungen'!$C$2:$C$492&amp;'Eingabe Meldungen'!$D$2:$D$492,0),8),"")</f>
        <v>HRG Schwaben</v>
      </c>
    </row>
    <row r="350" spans="2:9" x14ac:dyDescent="0.2">
      <c r="B350" s="100" t="str">
        <f t="array" ref="B350">IF(ISERROR(INDEX('Eingabe Meldungen'!$C$2:$C$492,LARGE(('Eingabe Meldungen'!$A$2:$A$492=$B$340)*(ROW('Eingabe Meldungen'!$A$2:$A$492)-1),COUNTIF('Eingabe Meldungen'!$A$2:$A$492,$B$340)+1-ROW('Eingabe Meldungen'!A9)))),"",INDEX('Eingabe Meldungen'!$C$2:$C$492,LARGE(('Eingabe Meldungen'!$A$2:$A$492=$B$340)*(ROW('Eingabe Meldungen'!$A$2:$A$492)-1),COUNTIF('Eingabe Meldungen'!$A$2:$A$492,$B$340)+1-ROW('Eingabe Meldungen'!A9))))</f>
        <v/>
      </c>
      <c r="C350" s="4" t="str">
        <f t="array" ref="C350">IF(ISERROR(INDEX('Eingabe Meldungen'!$D$2:$D$492,LARGE(('Eingabe Meldungen'!$A$2:$A$492=$B$340)*(ROW('Eingabe Meldungen'!$A$2:$A$492)-1),COUNTIF('Eingabe Meldungen'!$A$2:$A$492,$B$340)+1-ROW('Eingabe Meldungen'!A9)))),"",INDEX('Eingabe Meldungen'!$D$2:$D$492,LARGE(('Eingabe Meldungen'!$A$2:$A$492=$B$340)*(ROW('Eingabe Meldungen'!$A$2:$A$492)-1),COUNTIF('Eingabe Meldungen'!$A$2:$A$492,$B$340)+1-ROW('Eingabe Meldungen'!A9))))</f>
        <v/>
      </c>
      <c r="D350" s="66" t="str">
        <f t="array" ref="D350">IF(B350&lt;&gt;"",INDEX('Eingabe Meldungen'!$C$2:$H$492,MATCH(B350&amp;C350,'Eingabe Meldungen'!$C$2:$C$492&amp;'Eingabe Meldungen'!$D$2:$D$492,0),6),"")</f>
        <v/>
      </c>
      <c r="E350" s="66" t="str">
        <f t="array" ref="E350">IF(B350&lt;&gt;"",INDEX('Eingabe Meldungen'!$C$2:$H$492,MATCH(B350&amp;C350,'Eingabe Meldungen'!$C$2:$C$492&amp;'Eingabe Meldungen'!$D$2:$D$492,0),4),"")</f>
        <v/>
      </c>
      <c r="F350" s="66">
        <v>9</v>
      </c>
      <c r="G350" s="135"/>
      <c r="H350" s="4" t="e">
        <f t="shared" si="26"/>
        <v>#N/A</v>
      </c>
      <c r="I350" s="136" t="str">
        <f t="array" ref="I350">IF(B350&lt;&gt;"",INDEX('Eingabe Meldungen'!$C$2:$J$492,MATCH(B350&amp;C350,'Eingabe Meldungen'!$C$2:$C$492&amp;'Eingabe Meldungen'!$D$2:$D$492,0),8),"")</f>
        <v/>
      </c>
    </row>
    <row r="351" spans="2:9" ht="12.75" customHeight="1" thickBot="1" x14ac:dyDescent="0.25">
      <c r="B351" s="138" t="str">
        <f t="array" ref="B351">IF(ISERROR(INDEX('Eingabe Meldungen'!$C$2:$C$492,LARGE(('Eingabe Meldungen'!$A$2:$A$492=$B$340)*(ROW('Eingabe Meldungen'!$A$2:$A$492)-1),COUNTIF('Eingabe Meldungen'!$A$2:$A$492,$B$340)+1-ROW('Eingabe Meldungen'!A10)))),"",INDEX('Eingabe Meldungen'!$C$2:$C$492,LARGE(('Eingabe Meldungen'!$A$2:$A$492=$B$340)*(ROW('Eingabe Meldungen'!$A$2:$A$492)-1),COUNTIF('Eingabe Meldungen'!$A$2:$A$492,$B$340)+1-ROW('Eingabe Meldungen'!A10))))</f>
        <v/>
      </c>
      <c r="C351" s="139" t="str">
        <f t="array" ref="C351">IF(ISERROR(INDEX('Eingabe Meldungen'!$D$2:$D$492,LARGE(('Eingabe Meldungen'!$A$2:$A$492=$B$340)*(ROW('Eingabe Meldungen'!$A$2:$A$492)-1),COUNTIF('Eingabe Meldungen'!$A$2:$A$492,$B$340)+1-ROW('Eingabe Meldungen'!A10)))),"",INDEX('Eingabe Meldungen'!$D$2:$D$492,LARGE(('Eingabe Meldungen'!$A$2:$A$492=$B$340)*(ROW('Eingabe Meldungen'!$A$2:$A$492)-1),COUNTIF('Eingabe Meldungen'!$A$2:$A$492,$B$340)+1-ROW('Eingabe Meldungen'!A10))))</f>
        <v/>
      </c>
      <c r="D351" s="99" t="str">
        <f t="array" ref="D351">IF(B351&lt;&gt;"",INDEX('Eingabe Meldungen'!$C$2:$H$492,MATCH(B351&amp;C351,'Eingabe Meldungen'!$C$2:$C$492&amp;'Eingabe Meldungen'!$D$2:$D$492,0),6),"")</f>
        <v/>
      </c>
      <c r="E351" s="99" t="str">
        <f t="array" ref="E351">IF(B351&lt;&gt;"",INDEX('Eingabe Meldungen'!$C$2:$H$492,MATCH(B351&amp;C351,'Eingabe Meldungen'!$C$2:$C$492&amp;'Eingabe Meldungen'!$D$2:$D$492,0),4),"")</f>
        <v/>
      </c>
      <c r="F351" s="99">
        <v>10</v>
      </c>
      <c r="G351" s="143"/>
      <c r="H351" s="139" t="e">
        <f t="shared" si="26"/>
        <v>#N/A</v>
      </c>
      <c r="I351" s="141" t="str">
        <f t="array" ref="I351">IF(B351&lt;&gt;"",INDEX('Eingabe Meldungen'!$C$2:$J$492,MATCH(B351&amp;C351,'Eingabe Meldungen'!$C$2:$C$492&amp;'Eingabe Meldungen'!$D$2:$D$492,0),8),"")</f>
        <v/>
      </c>
    </row>
    <row r="352" spans="2:9" ht="13.2" thickBot="1" x14ac:dyDescent="0.25">
      <c r="B352" s="4"/>
      <c r="C352" s="4"/>
      <c r="D352" s="4"/>
      <c r="E352" s="4"/>
      <c r="F352" s="4"/>
      <c r="G352" s="4"/>
      <c r="H352" s="4"/>
      <c r="I352" s="4"/>
    </row>
    <row r="353" spans="2:10" ht="25.5" customHeight="1" x14ac:dyDescent="0.2">
      <c r="B353" s="26">
        <f>B340+1</f>
        <v>26</v>
      </c>
      <c r="C353" s="65" t="str">
        <f>VLOOKUP(B353,Ausschreibung!$B$5:$I$35,2,FALSE)</f>
        <v>Ergocup</v>
      </c>
      <c r="D353" s="403">
        <f>VLOOKUP(B353,Ausschreibung!$B$5:$I$35,3,FALSE)</f>
        <v>0.67291666666666639</v>
      </c>
      <c r="E353" s="65" t="s">
        <v>105</v>
      </c>
      <c r="F353" s="65" t="str">
        <f>VLOOKUP(B353,Ausschreibung!$B$5:$I$35,5,FALSE)</f>
        <v>-</v>
      </c>
      <c r="G353" s="65" t="str">
        <f>VLOOKUP(B353,Ausschreibung!$B$5:$I$35,6,FALSE)</f>
        <v>27 und älter</v>
      </c>
      <c r="H353" s="65" t="str">
        <f>VLOOKUP(B353,Ausschreibung!$B$5:$I$35,8,FALSE)</f>
        <v>2000 m</v>
      </c>
      <c r="I353" s="28"/>
      <c r="J353" s="72" t="e">
        <f>SUM(#REF!)</f>
        <v>#REF!</v>
      </c>
    </row>
    <row r="354" spans="2:10" ht="13.2" thickBot="1" x14ac:dyDescent="0.25">
      <c r="B354" s="19" t="s">
        <v>1</v>
      </c>
      <c r="C354" s="18" t="s">
        <v>2</v>
      </c>
      <c r="D354" s="17" t="s">
        <v>49</v>
      </c>
      <c r="E354" s="130" t="s">
        <v>16</v>
      </c>
      <c r="F354" s="17" t="s">
        <v>18</v>
      </c>
      <c r="G354" s="73" t="s">
        <v>50</v>
      </c>
      <c r="H354" s="17" t="s">
        <v>51</v>
      </c>
      <c r="I354" s="30" t="s">
        <v>17</v>
      </c>
    </row>
    <row r="355" spans="2:10" x14ac:dyDescent="0.2">
      <c r="B355" s="131" t="str">
        <f t="array" ref="B355">IF(ISERROR(INDEX('Eingabe Meldungen'!$C$2:$C$492,LARGE(('Eingabe Meldungen'!$A$2:$A$492=$B$353)*(ROW('Eingabe Meldungen'!$A$2:$A$492)-1),COUNTIF('Eingabe Meldungen'!$A$2:$A$492,$B$353)+1-ROW('Eingabe Meldungen'!A1)))),"",INDEX('Eingabe Meldungen'!$C$2:$C$492,LARGE(('Eingabe Meldungen'!$A$2:$A$492=$B$353)*(ROW('Eingabe Meldungen'!$A$2:$A$492)-1),COUNTIF('Eingabe Meldungen'!$A$2:$A$492,$B$353)+1-ROW('Eingabe Meldungen'!A1))))</f>
        <v/>
      </c>
      <c r="C355" s="132" t="str">
        <f t="array" ref="C355">IF(ISERROR(INDEX('Eingabe Meldungen'!$D$2:$D$492,LARGE(('Eingabe Meldungen'!$A$2:$A$492=$B$353)*(ROW('Eingabe Meldungen'!$A$2:$A$492)-1),COUNTIF('Eingabe Meldungen'!$A$2:$A$492,$B$353)+1-ROW('Eingabe Meldungen'!A1)))),"",INDEX('Eingabe Meldungen'!$D$2:$D$492,LARGE(('Eingabe Meldungen'!$A$2:$A$492=$B$353)*(ROW('Eingabe Meldungen'!$A$2:$A$492)-1),COUNTIF('Eingabe Meldungen'!$A$2:$A$492,$B$353)+1-ROW('Eingabe Meldungen'!A1))))</f>
        <v/>
      </c>
      <c r="D355" s="78" t="str">
        <f t="array" ref="D355">IF(B355&lt;&gt;"",INDEX('Eingabe Meldungen'!$C$2:$H$492,MATCH(B355&amp;C355,'Eingabe Meldungen'!$C$2:$C$492&amp;'Eingabe Meldungen'!$D$2:$D$492,0),6),"")</f>
        <v/>
      </c>
      <c r="E355" s="78" t="str">
        <f t="array" ref="E355">IF(B355&lt;&gt;"",INDEX('Eingabe Meldungen'!$C$2:$H$492,MATCH(B355&amp;C355,'Eingabe Meldungen'!$C$2:$C$492&amp;'Eingabe Meldungen'!$D$2:$D$492,0),4),"")</f>
        <v/>
      </c>
      <c r="F355" s="78">
        <v>1</v>
      </c>
      <c r="G355" s="133"/>
      <c r="H355" s="132" t="e">
        <f>RANK(G355,$G$355:$G$355,1)</f>
        <v>#N/A</v>
      </c>
      <c r="I355" s="134" t="str">
        <f t="array" ref="I355">IF(B355&lt;&gt;"",INDEX('Eingabe Meldungen'!$C$2:$J$492,MATCH(B355&amp;C355,'Eingabe Meldungen'!$C$2:$C$492&amp;'Eingabe Meldungen'!$D$2:$D$492,0),8),"")</f>
        <v/>
      </c>
    </row>
    <row r="356" spans="2:10" x14ac:dyDescent="0.2">
      <c r="B356" s="100" t="str">
        <f t="array" ref="B356">IF(ISERROR(INDEX('Eingabe Meldungen'!$C$2:$C$492,LARGE(('Eingabe Meldungen'!$A$2:$A$492=$B$353)*(ROW('Eingabe Meldungen'!$A$2:$A$492)-1),COUNTIF('Eingabe Meldungen'!$A$2:$A$492,$B$353)+1-ROW('Eingabe Meldungen'!A2)))),"",INDEX('Eingabe Meldungen'!$C$2:$C$492,LARGE(('Eingabe Meldungen'!$A$2:$A$492=$B$353)*(ROW('Eingabe Meldungen'!$A$2:$A$492)-1),COUNTIF('Eingabe Meldungen'!$A$2:$A$492,$B$353)+1-ROW('Eingabe Meldungen'!A2))))</f>
        <v/>
      </c>
      <c r="C356" s="4" t="str">
        <f t="array" ref="C356">IF(ISERROR(INDEX('Eingabe Meldungen'!$D$2:$D$492,LARGE(('Eingabe Meldungen'!$A$2:$A$492=$B$353)*(ROW('Eingabe Meldungen'!$A$2:$A$492)-1),COUNTIF('Eingabe Meldungen'!$A$2:$A$492,$B$353)+1-ROW('Eingabe Meldungen'!A2)))),"",INDEX('Eingabe Meldungen'!$D$2:$D$492,LARGE(('Eingabe Meldungen'!$A$2:$A$492=$B$353)*(ROW('Eingabe Meldungen'!$A$2:$A$492)-1),COUNTIF('Eingabe Meldungen'!$A$2:$A$492,$B$353)+1-ROW('Eingabe Meldungen'!A2))))</f>
        <v/>
      </c>
      <c r="D356" s="66" t="str">
        <f t="array" ref="D356">IF(B356&lt;&gt;"",INDEX('Eingabe Meldungen'!$C$2:$H$492,MATCH(B356&amp;C356,'Eingabe Meldungen'!$C$2:$C$492&amp;'Eingabe Meldungen'!$D$2:$D$492,0),6),"")</f>
        <v/>
      </c>
      <c r="E356" s="66" t="str">
        <f t="array" ref="E356">IF(B356&lt;&gt;"",INDEX('Eingabe Meldungen'!$C$2:$H$492,MATCH(B356&amp;C356,'Eingabe Meldungen'!$C$2:$C$492&amp;'Eingabe Meldungen'!$D$2:$D$492,0),4),"")</f>
        <v/>
      </c>
      <c r="F356" s="66">
        <v>2</v>
      </c>
      <c r="G356" s="135"/>
      <c r="H356" s="4" t="e">
        <f t="shared" ref="H356:H364" si="27">RANK(G356,$G$355:$G$355,1)</f>
        <v>#N/A</v>
      </c>
      <c r="I356" s="136" t="str">
        <f t="array" ref="I356">IF(B356&lt;&gt;"",INDEX('Eingabe Meldungen'!$C$2:$J$492,MATCH(B356&amp;C356,'Eingabe Meldungen'!$C$2:$C$492&amp;'Eingabe Meldungen'!$D$2:$D$492,0),8),"")</f>
        <v/>
      </c>
    </row>
    <row r="357" spans="2:10" x14ac:dyDescent="0.2">
      <c r="B357" s="100" t="str">
        <f t="array" ref="B357">IF(ISERROR(INDEX('Eingabe Meldungen'!$C$2:$C$492,LARGE(('Eingabe Meldungen'!$A$2:$A$492=$B$353)*(ROW('Eingabe Meldungen'!$A$2:$A$492)-1),COUNTIF('Eingabe Meldungen'!$A$2:$A$492,$B$353)+1-ROW('Eingabe Meldungen'!A3)))),"",INDEX('Eingabe Meldungen'!$C$2:$C$492,LARGE(('Eingabe Meldungen'!$A$2:$A$492=$B$353)*(ROW('Eingabe Meldungen'!$A$2:$A$492)-1),COUNTIF('Eingabe Meldungen'!$A$2:$A$492,$B$353)+1-ROW('Eingabe Meldungen'!A3))))</f>
        <v/>
      </c>
      <c r="C357" s="4" t="str">
        <f t="array" ref="C357">IF(ISERROR(INDEX('Eingabe Meldungen'!$D$2:$D$492,LARGE(('Eingabe Meldungen'!$A$2:$A$492=$B$353)*(ROW('Eingabe Meldungen'!$A$2:$A$492)-1),COUNTIF('Eingabe Meldungen'!$A$2:$A$492,$B$353)+1-ROW('Eingabe Meldungen'!A3)))),"",INDEX('Eingabe Meldungen'!$D$2:$D$492,LARGE(('Eingabe Meldungen'!$A$2:$A$492=$B$353)*(ROW('Eingabe Meldungen'!$A$2:$A$492)-1),COUNTIF('Eingabe Meldungen'!$A$2:$A$492,$B$353)+1-ROW('Eingabe Meldungen'!A3))))</f>
        <v/>
      </c>
      <c r="D357" s="66" t="str">
        <f t="array" ref="D357">IF(B357&lt;&gt;"",INDEX('Eingabe Meldungen'!$C$2:$H$492,MATCH(B357&amp;C357,'Eingabe Meldungen'!$C$2:$C$492&amp;'Eingabe Meldungen'!$D$2:$D$492,0),6),"")</f>
        <v/>
      </c>
      <c r="E357" s="66" t="str">
        <f t="array" ref="E357">IF(B357&lt;&gt;"",INDEX('Eingabe Meldungen'!$C$2:$H$492,MATCH(B357&amp;C357,'Eingabe Meldungen'!$C$2:$C$492&amp;'Eingabe Meldungen'!$D$2:$D$492,0),4),"")</f>
        <v/>
      </c>
      <c r="F357" s="66">
        <v>3</v>
      </c>
      <c r="G357" s="135"/>
      <c r="H357" s="4" t="e">
        <f t="shared" si="27"/>
        <v>#N/A</v>
      </c>
      <c r="I357" s="136" t="str">
        <f t="array" ref="I357">IF(B357&lt;&gt;"",INDEX('Eingabe Meldungen'!$C$2:$J$492,MATCH(B357&amp;C357,'Eingabe Meldungen'!$C$2:$C$492&amp;'Eingabe Meldungen'!$D$2:$D$492,0),8),"")</f>
        <v/>
      </c>
    </row>
    <row r="358" spans="2:10" x14ac:dyDescent="0.2">
      <c r="B358" s="100" t="str">
        <f t="array" ref="B358">IF(ISERROR(INDEX('Eingabe Meldungen'!$C$2:$C$492,LARGE(('Eingabe Meldungen'!$A$2:$A$492=$B$353)*(ROW('Eingabe Meldungen'!$A$2:$A$492)-1),COUNTIF('Eingabe Meldungen'!$A$2:$A$492,$B$353)+1-ROW('Eingabe Meldungen'!A4)))),"",INDEX('Eingabe Meldungen'!$C$2:$C$492,LARGE(('Eingabe Meldungen'!$A$2:$A$492=$B$353)*(ROW('Eingabe Meldungen'!$A$2:$A$492)-1),COUNTIF('Eingabe Meldungen'!$A$2:$A$492,$B$353)+1-ROW('Eingabe Meldungen'!A4))))</f>
        <v/>
      </c>
      <c r="C358" s="4" t="str">
        <f t="array" ref="C358">IF(ISERROR(INDEX('Eingabe Meldungen'!$D$2:$D$492,LARGE(('Eingabe Meldungen'!$A$2:$A$492=$B$353)*(ROW('Eingabe Meldungen'!$A$2:$A$492)-1),COUNTIF('Eingabe Meldungen'!$A$2:$A$492,$B$353)+1-ROW('Eingabe Meldungen'!A4)))),"",INDEX('Eingabe Meldungen'!$D$2:$D$492,LARGE(('Eingabe Meldungen'!$A$2:$A$492=$B$353)*(ROW('Eingabe Meldungen'!$A$2:$A$492)-1),COUNTIF('Eingabe Meldungen'!$A$2:$A$492,$B$353)+1-ROW('Eingabe Meldungen'!A4))))</f>
        <v/>
      </c>
      <c r="D358" s="66" t="str">
        <f t="array" ref="D358">IF(B358&lt;&gt;"",INDEX('Eingabe Meldungen'!$C$2:$H$492,MATCH(B358&amp;C358,'Eingabe Meldungen'!$C$2:$C$492&amp;'Eingabe Meldungen'!$D$2:$D$492,0),6),"")</f>
        <v/>
      </c>
      <c r="E358" s="66" t="str">
        <f t="array" ref="E358">IF(B358&lt;&gt;"",INDEX('Eingabe Meldungen'!$C$2:$H$492,MATCH(B358&amp;C358,'Eingabe Meldungen'!$C$2:$C$492&amp;'Eingabe Meldungen'!$D$2:$D$492,0),4),"")</f>
        <v/>
      </c>
      <c r="F358" s="66">
        <v>4</v>
      </c>
      <c r="G358" s="135"/>
      <c r="H358" s="4" t="e">
        <f t="shared" si="27"/>
        <v>#N/A</v>
      </c>
      <c r="I358" s="136" t="str">
        <f t="array" ref="I358">IF(B358&lt;&gt;"",INDEX('Eingabe Meldungen'!$C$2:$J$492,MATCH(B358&amp;C358,'Eingabe Meldungen'!$C$2:$C$492&amp;'Eingabe Meldungen'!$D$2:$D$492,0),8),"")</f>
        <v/>
      </c>
    </row>
    <row r="359" spans="2:10" x14ac:dyDescent="0.2">
      <c r="B359" s="100" t="str">
        <f t="array" ref="B359">IF(ISERROR(INDEX('Eingabe Meldungen'!$C$2:$C$492,LARGE(('Eingabe Meldungen'!$A$2:$A$492=$B$353)*(ROW('Eingabe Meldungen'!$A$2:$A$492)-1),COUNTIF('Eingabe Meldungen'!$A$2:$A$492,$B$353)+1-ROW('Eingabe Meldungen'!A5)))),"",INDEX('Eingabe Meldungen'!$C$2:$C$492,LARGE(('Eingabe Meldungen'!$A$2:$A$492=$B$353)*(ROW('Eingabe Meldungen'!$A$2:$A$492)-1),COUNTIF('Eingabe Meldungen'!$A$2:$A$492,$B$353)+1-ROW('Eingabe Meldungen'!A5))))</f>
        <v/>
      </c>
      <c r="C359" s="4" t="str">
        <f t="array" ref="C359">IF(ISERROR(INDEX('Eingabe Meldungen'!$D$2:$D$492,LARGE(('Eingabe Meldungen'!$A$2:$A$492=$B$353)*(ROW('Eingabe Meldungen'!$A$2:$A$492)-1),COUNTIF('Eingabe Meldungen'!$A$2:$A$492,$B$353)+1-ROW('Eingabe Meldungen'!A5)))),"",INDEX('Eingabe Meldungen'!$D$2:$D$492,LARGE(('Eingabe Meldungen'!$A$2:$A$492=$B$353)*(ROW('Eingabe Meldungen'!$A$2:$A$492)-1),COUNTIF('Eingabe Meldungen'!$A$2:$A$492,$B$353)+1-ROW('Eingabe Meldungen'!A5))))</f>
        <v/>
      </c>
      <c r="D359" s="66" t="str">
        <f t="array" ref="D359">IF(B359&lt;&gt;"",INDEX('Eingabe Meldungen'!$C$2:$H$492,MATCH(B359&amp;C359,'Eingabe Meldungen'!$C$2:$C$492&amp;'Eingabe Meldungen'!$D$2:$D$492,0),6),"")</f>
        <v/>
      </c>
      <c r="E359" s="402" t="s">
        <v>469</v>
      </c>
      <c r="F359" s="66">
        <v>5</v>
      </c>
      <c r="G359" s="135"/>
      <c r="H359" s="4" t="e">
        <f t="shared" si="27"/>
        <v>#N/A</v>
      </c>
      <c r="I359" s="136" t="str">
        <f t="array" ref="I359">IF(B359&lt;&gt;"",INDEX('Eingabe Meldungen'!$C$2:$J$492,MATCH(B359&amp;C359,'Eingabe Meldungen'!$C$2:$C$492&amp;'Eingabe Meldungen'!$D$2:$D$492,0),8),"")</f>
        <v/>
      </c>
    </row>
    <row r="360" spans="2:10" x14ac:dyDescent="0.2">
      <c r="B360" s="100" t="str">
        <f t="array" ref="B360">IF(ISERROR(INDEX('Eingabe Meldungen'!$C$2:$C$492,LARGE(('Eingabe Meldungen'!$A$2:$A$492=$B$353)*(ROW('Eingabe Meldungen'!$A$2:$A$492)-1),COUNTIF('Eingabe Meldungen'!$A$2:$A$492,$B$353)+1-ROW('Eingabe Meldungen'!A6)))),"",INDEX('Eingabe Meldungen'!$C$2:$C$492,LARGE(('Eingabe Meldungen'!$A$2:$A$492=$B$353)*(ROW('Eingabe Meldungen'!$A$2:$A$492)-1),COUNTIF('Eingabe Meldungen'!$A$2:$A$492,$B$353)+1-ROW('Eingabe Meldungen'!A6))))</f>
        <v/>
      </c>
      <c r="C360" s="4" t="str">
        <f t="array" ref="C360">IF(ISERROR(INDEX('Eingabe Meldungen'!$D$2:$D$492,LARGE(('Eingabe Meldungen'!$A$2:$A$492=$B$353)*(ROW('Eingabe Meldungen'!$A$2:$A$492)-1),COUNTIF('Eingabe Meldungen'!$A$2:$A$492,$B$353)+1-ROW('Eingabe Meldungen'!A6)))),"",INDEX('Eingabe Meldungen'!$D$2:$D$492,LARGE(('Eingabe Meldungen'!$A$2:$A$492=$B$353)*(ROW('Eingabe Meldungen'!$A$2:$A$492)-1),COUNTIF('Eingabe Meldungen'!$A$2:$A$492,$B$353)+1-ROW('Eingabe Meldungen'!A6))))</f>
        <v/>
      </c>
      <c r="D360" s="66" t="str">
        <f t="array" ref="D360">IF(B360&lt;&gt;"",INDEX('Eingabe Meldungen'!$C$2:$H$492,MATCH(B360&amp;C360,'Eingabe Meldungen'!$C$2:$C$492&amp;'Eingabe Meldungen'!$D$2:$D$492,0),6),"")</f>
        <v/>
      </c>
      <c r="E360" s="66" t="str">
        <f t="array" ref="E360">IF(B360&lt;&gt;"",INDEX('Eingabe Meldungen'!$C$2:$H$492,MATCH(B360&amp;C360,'Eingabe Meldungen'!$C$2:$C$492&amp;'Eingabe Meldungen'!$D$2:$D$492,0),4),"")</f>
        <v/>
      </c>
      <c r="F360" s="66">
        <v>6</v>
      </c>
      <c r="G360" s="135"/>
      <c r="H360" s="4" t="e">
        <f t="shared" si="27"/>
        <v>#N/A</v>
      </c>
      <c r="I360" s="136" t="str">
        <f t="array" ref="I360">IF(B360&lt;&gt;"",INDEX('Eingabe Meldungen'!$C$2:$J$492,MATCH(B360&amp;C360,'Eingabe Meldungen'!$C$2:$C$492&amp;'Eingabe Meldungen'!$D$2:$D$492,0),8),"")</f>
        <v/>
      </c>
    </row>
    <row r="361" spans="2:10" x14ac:dyDescent="0.2">
      <c r="B361" s="100" t="str">
        <f t="array" ref="B361">IF(ISERROR(INDEX('Eingabe Meldungen'!$C$2:$C$492,LARGE(('Eingabe Meldungen'!$A$2:$A$492=$B$353)*(ROW('Eingabe Meldungen'!$A$2:$A$492)-1),COUNTIF('Eingabe Meldungen'!$A$2:$A$492,$B$353)+1-ROW('Eingabe Meldungen'!A7)))),"",INDEX('Eingabe Meldungen'!$C$2:$C$492,LARGE(('Eingabe Meldungen'!$A$2:$A$492=$B$353)*(ROW('Eingabe Meldungen'!$A$2:$A$492)-1),COUNTIF('Eingabe Meldungen'!$A$2:$A$492,$B$353)+1-ROW('Eingabe Meldungen'!A7))))</f>
        <v/>
      </c>
      <c r="C361" s="4" t="str">
        <f t="array" ref="C361">IF(ISERROR(INDEX('Eingabe Meldungen'!$D$2:$D$492,LARGE(('Eingabe Meldungen'!$A$2:$A$492=$B$353)*(ROW('Eingabe Meldungen'!$A$2:$A$492)-1),COUNTIF('Eingabe Meldungen'!$A$2:$A$492,$B$353)+1-ROW('Eingabe Meldungen'!A7)))),"",INDEX('Eingabe Meldungen'!$D$2:$D$492,LARGE(('Eingabe Meldungen'!$A$2:$A$492=$B$353)*(ROW('Eingabe Meldungen'!$A$2:$A$492)-1),COUNTIF('Eingabe Meldungen'!$A$2:$A$492,$B$353)+1-ROW('Eingabe Meldungen'!A7))))</f>
        <v/>
      </c>
      <c r="D361" s="66" t="str">
        <f t="array" ref="D361">IF(B361&lt;&gt;"",INDEX('Eingabe Meldungen'!$C$2:$H$492,MATCH(B361&amp;C361,'Eingabe Meldungen'!$C$2:$C$492&amp;'Eingabe Meldungen'!$D$2:$D$492,0),6),"")</f>
        <v/>
      </c>
      <c r="E361" s="66" t="str">
        <f t="array" ref="E361">IF(B361&lt;&gt;"",INDEX('Eingabe Meldungen'!$C$2:$H$492,MATCH(B361&amp;C361,'Eingabe Meldungen'!$C$2:$C$492&amp;'Eingabe Meldungen'!$D$2:$D$492,0),4),"")</f>
        <v/>
      </c>
      <c r="F361" s="66">
        <v>7</v>
      </c>
      <c r="G361" s="135"/>
      <c r="H361" s="4" t="e">
        <f t="shared" si="27"/>
        <v>#N/A</v>
      </c>
      <c r="I361" s="136" t="str">
        <f t="array" ref="I361">IF(B361&lt;&gt;"",INDEX('Eingabe Meldungen'!$C$2:$J$492,MATCH(B361&amp;C361,'Eingabe Meldungen'!$C$2:$C$492&amp;'Eingabe Meldungen'!$D$2:$D$492,0),8),"")</f>
        <v/>
      </c>
    </row>
    <row r="362" spans="2:10" x14ac:dyDescent="0.2">
      <c r="B362" s="100" t="str">
        <f t="array" ref="B362">IF(ISERROR(INDEX('Eingabe Meldungen'!$C$2:$C$492,LARGE(('Eingabe Meldungen'!$A$2:$A$492=$B$353)*(ROW('Eingabe Meldungen'!$A$2:$A$492)-1),COUNTIF('Eingabe Meldungen'!$A$2:$A$492,$B$353)+1-ROW('Eingabe Meldungen'!A8)))),"",INDEX('Eingabe Meldungen'!$C$2:$C$492,LARGE(('Eingabe Meldungen'!$A$2:$A$492=$B$353)*(ROW('Eingabe Meldungen'!$A$2:$A$492)-1),COUNTIF('Eingabe Meldungen'!$A$2:$A$492,$B$353)+1-ROW('Eingabe Meldungen'!A8))))</f>
        <v/>
      </c>
      <c r="C362" s="4" t="str">
        <f t="array" ref="C362">IF(ISERROR(INDEX('Eingabe Meldungen'!$D$2:$D$492,LARGE(('Eingabe Meldungen'!$A$2:$A$492=$B$353)*(ROW('Eingabe Meldungen'!$A$2:$A$492)-1),COUNTIF('Eingabe Meldungen'!$A$2:$A$492,$B$353)+1-ROW('Eingabe Meldungen'!A8)))),"",INDEX('Eingabe Meldungen'!$D$2:$D$492,LARGE(('Eingabe Meldungen'!$A$2:$A$492=$B$353)*(ROW('Eingabe Meldungen'!$A$2:$A$492)-1),COUNTIF('Eingabe Meldungen'!$A$2:$A$492,$B$353)+1-ROW('Eingabe Meldungen'!A8))))</f>
        <v/>
      </c>
      <c r="D362" s="66" t="str">
        <f t="array" ref="D362">IF(B362&lt;&gt;"",INDEX('Eingabe Meldungen'!$C$2:$H$492,MATCH(B362&amp;C362,'Eingabe Meldungen'!$C$2:$C$492&amp;'Eingabe Meldungen'!$D$2:$D$492,0),6),"")</f>
        <v/>
      </c>
      <c r="E362" s="66" t="str">
        <f t="array" ref="E362">IF(B362&lt;&gt;"",INDEX('Eingabe Meldungen'!$C$2:$H$492,MATCH(B362&amp;C362,'Eingabe Meldungen'!$C$2:$C$492&amp;'Eingabe Meldungen'!$D$2:$D$492,0),4),"")</f>
        <v/>
      </c>
      <c r="F362" s="66">
        <v>8</v>
      </c>
      <c r="G362" s="135"/>
      <c r="H362" s="4" t="e">
        <f t="shared" si="27"/>
        <v>#N/A</v>
      </c>
      <c r="I362" s="136" t="str">
        <f t="array" ref="I362">IF(B362&lt;&gt;"",INDEX('Eingabe Meldungen'!$C$2:$J$492,MATCH(B362&amp;C362,'Eingabe Meldungen'!$C$2:$C$492&amp;'Eingabe Meldungen'!$D$2:$D$492,0),8),"")</f>
        <v/>
      </c>
    </row>
    <row r="363" spans="2:10" x14ac:dyDescent="0.2">
      <c r="B363" s="100" t="str">
        <f t="array" ref="B363">IF(ISERROR(INDEX('Eingabe Meldungen'!$C$2:$C$492,LARGE(('Eingabe Meldungen'!$A$2:$A$492=$B$353)*(ROW('Eingabe Meldungen'!$A$2:$A$492)-1),COUNTIF('Eingabe Meldungen'!$A$2:$A$492,$B$353)+1-ROW('Eingabe Meldungen'!A9)))),"",INDEX('Eingabe Meldungen'!$C$2:$C$492,LARGE(('Eingabe Meldungen'!$A$2:$A$492=$B$353)*(ROW('Eingabe Meldungen'!$A$2:$A$492)-1),COUNTIF('Eingabe Meldungen'!$A$2:$A$492,$B$353)+1-ROW('Eingabe Meldungen'!A9))))</f>
        <v/>
      </c>
      <c r="C363" s="4" t="str">
        <f t="array" ref="C363">IF(ISERROR(INDEX('Eingabe Meldungen'!$D$2:$D$492,LARGE(('Eingabe Meldungen'!$A$2:$A$492=$B$353)*(ROW('Eingabe Meldungen'!$A$2:$A$492)-1),COUNTIF('Eingabe Meldungen'!$A$2:$A$492,$B$353)+1-ROW('Eingabe Meldungen'!A9)))),"",INDEX('Eingabe Meldungen'!$D$2:$D$492,LARGE(('Eingabe Meldungen'!$A$2:$A$492=$B$353)*(ROW('Eingabe Meldungen'!$A$2:$A$492)-1),COUNTIF('Eingabe Meldungen'!$A$2:$A$492,$B$353)+1-ROW('Eingabe Meldungen'!A9))))</f>
        <v/>
      </c>
      <c r="D363" s="66" t="str">
        <f t="array" ref="D363">IF(B363&lt;&gt;"",INDEX('Eingabe Meldungen'!$C$2:$H$492,MATCH(B363&amp;C363,'Eingabe Meldungen'!$C$2:$C$492&amp;'Eingabe Meldungen'!$D$2:$D$492,0),6),"")</f>
        <v/>
      </c>
      <c r="E363" s="66" t="str">
        <f t="array" ref="E363">IF(B363&lt;&gt;"",INDEX('Eingabe Meldungen'!$C$2:$H$492,MATCH(B363&amp;C363,'Eingabe Meldungen'!$C$2:$C$492&amp;'Eingabe Meldungen'!$D$2:$D$492,0),4),"")</f>
        <v/>
      </c>
      <c r="F363" s="66">
        <v>9</v>
      </c>
      <c r="G363" s="135"/>
      <c r="H363" s="4" t="e">
        <f t="shared" si="27"/>
        <v>#N/A</v>
      </c>
      <c r="I363" s="136" t="str">
        <f t="array" ref="I363">IF(B363&lt;&gt;"",INDEX('Eingabe Meldungen'!$C$2:$J$492,MATCH(B363&amp;C363,'Eingabe Meldungen'!$C$2:$C$492&amp;'Eingabe Meldungen'!$D$2:$D$492,0),8),"")</f>
        <v/>
      </c>
    </row>
    <row r="364" spans="2:10" ht="13.2" thickBot="1" x14ac:dyDescent="0.25">
      <c r="B364" s="138" t="str">
        <f t="array" ref="B364">IF(ISERROR(INDEX('Eingabe Meldungen'!$C$2:$C$492,LARGE(('Eingabe Meldungen'!$A$2:$A$492=$B$353)*(ROW('Eingabe Meldungen'!$A$2:$A$492)-1),COUNTIF('Eingabe Meldungen'!$A$2:$A$492,$B$353)+1-ROW('Eingabe Meldungen'!A10)))),"",INDEX('Eingabe Meldungen'!$C$2:$C$492,LARGE(('Eingabe Meldungen'!$A$2:$A$492=$B$353)*(ROW('Eingabe Meldungen'!$A$2:$A$492)-1),COUNTIF('Eingabe Meldungen'!$A$2:$A$492,$B$353)+1-ROW('Eingabe Meldungen'!A10))))</f>
        <v/>
      </c>
      <c r="C364" s="139" t="str">
        <f t="array" ref="C364">IF(ISERROR(INDEX('Eingabe Meldungen'!$D$2:$D$492,LARGE(('Eingabe Meldungen'!$A$2:$A$492=$B$353)*(ROW('Eingabe Meldungen'!$A$2:$A$492)-1),COUNTIF('Eingabe Meldungen'!$A$2:$A$492,$B$353)+1-ROW('Eingabe Meldungen'!A10)))),"",INDEX('Eingabe Meldungen'!$D$2:$D$492,LARGE(('Eingabe Meldungen'!$A$2:$A$492=$B$353)*(ROW('Eingabe Meldungen'!$A$2:$A$492)-1),COUNTIF('Eingabe Meldungen'!$A$2:$A$492,$B$353)+1-ROW('Eingabe Meldungen'!A10))))</f>
        <v/>
      </c>
      <c r="D364" s="99" t="str">
        <f t="array" ref="D364">IF(B364&lt;&gt;"",INDEX('Eingabe Meldungen'!$C$2:$H$492,MATCH(B364&amp;C364,'Eingabe Meldungen'!$C$2:$C$492&amp;'Eingabe Meldungen'!$D$2:$D$492,0),6),"")</f>
        <v/>
      </c>
      <c r="E364" s="99" t="str">
        <f t="array" ref="E364">IF(B364&lt;&gt;"",INDEX('Eingabe Meldungen'!$C$2:$H$492,MATCH(B364&amp;C364,'Eingabe Meldungen'!$C$2:$C$492&amp;'Eingabe Meldungen'!$D$2:$D$492,0),4),"")</f>
        <v/>
      </c>
      <c r="F364" s="99">
        <v>10</v>
      </c>
      <c r="G364" s="143"/>
      <c r="H364" s="139" t="e">
        <f t="shared" si="27"/>
        <v>#N/A</v>
      </c>
      <c r="I364" s="141" t="str">
        <f t="array" ref="I364">IF(B364&lt;&gt;"",INDEX('Eingabe Meldungen'!$C$2:$J$492,MATCH(B364&amp;C364,'Eingabe Meldungen'!$C$2:$C$492&amp;'Eingabe Meldungen'!$D$2:$D$492,0),8),"")</f>
        <v/>
      </c>
    </row>
    <row r="365" spans="2:10" ht="13.2" thickBot="1" x14ac:dyDescent="0.25">
      <c r="B365" s="4"/>
      <c r="C365" s="4"/>
      <c r="D365" s="4"/>
      <c r="E365" s="4"/>
      <c r="F365" s="4"/>
      <c r="G365" s="4"/>
      <c r="H365" s="4"/>
      <c r="I365" s="4"/>
    </row>
    <row r="366" spans="2:10" ht="26.25" customHeight="1" x14ac:dyDescent="0.2">
      <c r="B366" s="26">
        <f>B353+1</f>
        <v>27</v>
      </c>
      <c r="C366" s="65" t="str">
        <f>VLOOKUP(B366,Ausschreibung!$B$5:$I$35,2,FALSE)</f>
        <v>Ergocup</v>
      </c>
      <c r="D366" s="27">
        <f>VLOOKUP(B366,Ausschreibung!$B$5:$I$35,3,FALSE)</f>
        <v>0.67291666666666639</v>
      </c>
      <c r="E366" s="65" t="s">
        <v>115</v>
      </c>
      <c r="F366" s="65"/>
      <c r="G366" s="65" t="str">
        <f>VLOOKUP(B366,Ausschreibung!$B$5:$I$35,6,FALSE)</f>
        <v>27 und älter</v>
      </c>
      <c r="H366" s="65" t="str">
        <f>VLOOKUP(B366,Ausschreibung!$B$5:$I$35,8,FALSE)</f>
        <v>1000 m</v>
      </c>
      <c r="I366" s="28" t="s">
        <v>470</v>
      </c>
    </row>
    <row r="367" spans="2:10" ht="13.2" thickBot="1" x14ac:dyDescent="0.25">
      <c r="B367" s="88" t="s">
        <v>1</v>
      </c>
      <c r="C367" s="89" t="s">
        <v>2</v>
      </c>
      <c r="D367" s="90" t="s">
        <v>49</v>
      </c>
      <c r="E367" s="145" t="s">
        <v>16</v>
      </c>
      <c r="F367" s="90" t="s">
        <v>18</v>
      </c>
      <c r="G367" s="92" t="s">
        <v>50</v>
      </c>
      <c r="H367" s="90" t="s">
        <v>51</v>
      </c>
      <c r="I367" s="297" t="s">
        <v>17</v>
      </c>
    </row>
    <row r="368" spans="2:10" ht="12.75" customHeight="1" thickBot="1" x14ac:dyDescent="0.25">
      <c r="B368" s="404" t="str">
        <f t="array" ref="B368">IF(ISERROR(INDEX('Eingabe Meldungen'!$C$2:$C$492,LARGE(('Eingabe Meldungen'!$A$2:$A$492=$B$366)*(ROW('Eingabe Meldungen'!$A$2:$A$492)-1),COUNTIF('Eingabe Meldungen'!$A$2:$A$492,$B$366)+1-ROW('Eingabe Meldungen'!A1)))),"",INDEX('Eingabe Meldungen'!$C$2:$C$492,LARGE(('Eingabe Meldungen'!$A$2:$A$492=$B$366)*(ROW('Eingabe Meldungen'!$A$2:$A$492)-1),COUNTIF('Eingabe Meldungen'!$A$2:$A$492,$B$366)+1-ROW('Eingabe Meldungen'!A1))))</f>
        <v>Köhler</v>
      </c>
      <c r="C368" s="405" t="str">
        <f t="array" ref="C368">IF(ISERROR(INDEX('Eingabe Meldungen'!$D$2:$D$492,LARGE(('Eingabe Meldungen'!$A$2:$A$492=$B$366)*(ROW('Eingabe Meldungen'!$A$2:$A$492)-1),COUNTIF('Eingabe Meldungen'!$A$2:$A$492,$B$366)+1-ROW('Eingabe Meldungen'!A1)))),"",INDEX('Eingabe Meldungen'!$D$2:$D$492,LARGE(('Eingabe Meldungen'!$A$2:$A$492=$B$366)*(ROW('Eingabe Meldungen'!$A$2:$A$492)-1),COUNTIF('Eingabe Meldungen'!$A$2:$A$492,$B$366)+1-ROW('Eingabe Meldungen'!A1))))</f>
        <v>Bernhard</v>
      </c>
      <c r="D368" s="406">
        <f t="array" ref="D368">IF(B368&lt;&gt;"",INDEX('Eingabe Meldungen'!$C$2:$H$492,MATCH(B368&amp;C368,'Eingabe Meldungen'!$C$2:$C$492&amp;'Eingabe Meldungen'!$D$2:$D$492,0),6),"")</f>
        <v>1958</v>
      </c>
      <c r="E368" s="406" t="str">
        <f t="array" ref="E368">IF(B368&lt;&gt;"",INDEX('Eingabe Meldungen'!$C$2:$H$492,MATCH(B368&amp;C368,'Eingabe Meldungen'!$C$2:$C$492&amp;'Eingabe Meldungen'!$D$2:$D$492,0),4),"")</f>
        <v>F</v>
      </c>
      <c r="F368" s="406">
        <v>1</v>
      </c>
      <c r="G368" s="407"/>
      <c r="H368" s="408" t="e">
        <f>RANK(#REF!,$J$315:$J$322,1)</f>
        <v>#REF!</v>
      </c>
      <c r="I368" s="409" t="str">
        <f t="array" ref="I368">IF(B368&lt;&gt;"",INDEX('Eingabe Meldungen'!$C$2:$J$492,MATCH(B368&amp;C368,'Eingabe Meldungen'!$C$2:$C$492&amp;'Eingabe Meldungen'!$D$2:$D$492,0),8),"")</f>
        <v>Fitness Oase in Regen</v>
      </c>
    </row>
    <row r="369" spans="2:10" ht="13.2" thickBot="1" x14ac:dyDescent="0.25">
      <c r="B369" s="4"/>
      <c r="C369" s="4"/>
      <c r="D369" s="4"/>
      <c r="E369" s="4"/>
      <c r="F369" s="4"/>
      <c r="G369" s="4"/>
      <c r="H369" s="4"/>
      <c r="I369" s="4"/>
    </row>
    <row r="370" spans="2:10" ht="26.25" customHeight="1" x14ac:dyDescent="0.2">
      <c r="B370" s="26">
        <v>28</v>
      </c>
      <c r="C370" s="65" t="str">
        <f>VLOOKUP(B370,Ausschreibung!$B$5:$I$35,2,FALSE)</f>
        <v>Ergocup</v>
      </c>
      <c r="D370" s="27">
        <f>VLOOKUP(B370,Ausschreibung!$B$5:$I$35,3,FALSE)</f>
        <v>0.67291666666666639</v>
      </c>
      <c r="E370" s="65" t="s">
        <v>114</v>
      </c>
      <c r="F370" s="65"/>
      <c r="G370" s="65" t="str">
        <f>VLOOKUP(B370,Ausschreibung!$B$5:$I$35,6,FALSE)</f>
        <v>27 und älter</v>
      </c>
      <c r="H370" s="65" t="str">
        <f>VLOOKUP(B370,Ausschreibung!$B$5:$I$35,8,FALSE)</f>
        <v>1000 m</v>
      </c>
      <c r="I370" s="28" t="s">
        <v>471</v>
      </c>
    </row>
    <row r="371" spans="2:10" ht="13.2" thickBot="1" x14ac:dyDescent="0.25">
      <c r="B371" s="88" t="s">
        <v>1</v>
      </c>
      <c r="C371" s="89" t="s">
        <v>2</v>
      </c>
      <c r="D371" s="90" t="s">
        <v>49</v>
      </c>
      <c r="E371" s="145" t="s">
        <v>16</v>
      </c>
      <c r="F371" s="90" t="s">
        <v>18</v>
      </c>
      <c r="G371" s="92" t="s">
        <v>50</v>
      </c>
      <c r="H371" s="90" t="s">
        <v>51</v>
      </c>
      <c r="I371" s="93" t="s">
        <v>17</v>
      </c>
    </row>
    <row r="372" spans="2:10" x14ac:dyDescent="0.2">
      <c r="B372" s="131" t="str">
        <f>'Ergebnisse Rennen'!B620</f>
        <v>Gocke</v>
      </c>
      <c r="C372" s="132" t="str">
        <f>'Ergebnisse Rennen'!C620</f>
        <v>Eberhard</v>
      </c>
      <c r="D372" s="78">
        <f t="array" ref="D372">IF(B372&lt;&gt;"",INDEX('Eingabe Meldungen'!$C$2:$H$492,MATCH(B372&amp;C372,'Eingabe Meldungen'!$C$2:$C$492&amp;'Eingabe Meldungen'!$D$2:$D$492,0),6),"")</f>
        <v>1940</v>
      </c>
      <c r="E372" s="78" t="str">
        <f t="array" ref="E372">IF(B372&lt;&gt;"",INDEX('Eingabe Meldungen'!$C$2:$H$492,MATCH(B372&amp;C372,'Eingabe Meldungen'!$C$2:$C$492&amp;'Eingabe Meldungen'!$D$2:$D$492,0),4),"")</f>
        <v>J</v>
      </c>
      <c r="F372" s="86">
        <v>2</v>
      </c>
      <c r="G372" s="133"/>
      <c r="H372" s="295"/>
      <c r="I372" s="292" t="str">
        <f t="array" ref="I372">IF(B372&lt;&gt;"",INDEX('Eingabe Meldungen'!$C$2:$J$492,MATCH(B372&amp;C372,'Eingabe Meldungen'!$C$2:$C$492&amp;'Eingabe Meldungen'!$D$2:$D$492,0),8),"")</f>
        <v>RC Neptun Neckarelz</v>
      </c>
    </row>
    <row r="373" spans="2:10" x14ac:dyDescent="0.2">
      <c r="B373" s="100" t="str">
        <f>'Ergebnisse Rennen'!B621</f>
        <v>Schmiedeknecht</v>
      </c>
      <c r="C373" s="4" t="str">
        <f>'Ergebnisse Rennen'!C621</f>
        <v>Helmut</v>
      </c>
      <c r="D373" s="66">
        <f t="array" ref="D373">IF(B373&lt;&gt;"",INDEX('Eingabe Meldungen'!$C$2:$H$492,MATCH(B373&amp;C373,'Eingabe Meldungen'!$C$2:$C$492&amp;'Eingabe Meldungen'!$D$2:$D$492,0),6),"")</f>
        <v>1947</v>
      </c>
      <c r="E373" s="66" t="str">
        <f t="array" ref="E373">IF(B373&lt;&gt;"",INDEX('Eingabe Meldungen'!$C$2:$H$492,MATCH(B373&amp;C373,'Eingabe Meldungen'!$C$2:$C$492&amp;'Eingabe Meldungen'!$D$2:$D$492,0),4),"")</f>
        <v>H</v>
      </c>
      <c r="F373" s="15">
        <v>3</v>
      </c>
      <c r="G373" s="135"/>
      <c r="H373" s="6"/>
      <c r="I373" s="293" t="str">
        <f t="array" ref="I373">IF(B373&lt;&gt;"",INDEX('Eingabe Meldungen'!$C$2:$J$492,MATCH(B373&amp;C373,'Eingabe Meldungen'!$C$2:$C$492&amp;'Eingabe Meldungen'!$D$2:$D$492,0),8),"")</f>
        <v>Ruderverein Bad Wimpfen</v>
      </c>
    </row>
    <row r="374" spans="2:10" x14ac:dyDescent="0.2">
      <c r="B374" s="100" t="str">
        <f>'Ergebnisse Rennen'!B622</f>
        <v>Münzing</v>
      </c>
      <c r="C374" s="4" t="str">
        <f>'Ergebnisse Rennen'!C622</f>
        <v>Bernhard</v>
      </c>
      <c r="D374" s="66">
        <f t="array" ref="D374">IF(B374&lt;&gt;"",INDEX('Eingabe Meldungen'!$C$2:$H$492,MATCH(B374&amp;C374,'Eingabe Meldungen'!$C$2:$C$492&amp;'Eingabe Meldungen'!$D$2:$D$492,0),6),"")</f>
        <v>1960</v>
      </c>
      <c r="E374" s="66" t="str">
        <f t="array" ref="E374">IF(B374&lt;&gt;"",INDEX('Eingabe Meldungen'!$C$2:$H$492,MATCH(B374&amp;C374,'Eingabe Meldungen'!$C$2:$C$492&amp;'Eingabe Meldungen'!$D$2:$D$492,0),4),"")</f>
        <v>F</v>
      </c>
      <c r="F374" s="15">
        <v>4</v>
      </c>
      <c r="G374" s="135"/>
      <c r="H374" s="6"/>
      <c r="I374" s="293" t="str">
        <f t="array" ref="I374">IF(B374&lt;&gt;"",INDEX('Eingabe Meldungen'!$C$2:$J$492,MATCH(B374&amp;C374,'Eingabe Meldungen'!$C$2:$C$492&amp;'Eingabe Meldungen'!$D$2:$D$492,0),8),"")</f>
        <v>HRG Schwaben</v>
      </c>
    </row>
    <row r="375" spans="2:10" x14ac:dyDescent="0.2">
      <c r="B375" s="100" t="str">
        <f>'Ergebnisse Rennen'!B623</f>
        <v>Kunz</v>
      </c>
      <c r="C375" s="4" t="str">
        <f>'Ergebnisse Rennen'!C623</f>
        <v>Gert</v>
      </c>
      <c r="D375" s="66">
        <f t="array" ref="D375">IF(B375&lt;&gt;"",INDEX('Eingabe Meldungen'!$C$2:$H$492,MATCH(B375&amp;C375,'Eingabe Meldungen'!$C$2:$C$492&amp;'Eingabe Meldungen'!$D$2:$D$492,0),6),"")</f>
        <v>1940</v>
      </c>
      <c r="E375" s="66" t="str">
        <f t="array" ref="E375">IF(B375&lt;&gt;"",INDEX('Eingabe Meldungen'!$C$2:$H$492,MATCH(B375&amp;C375,'Eingabe Meldungen'!$C$2:$C$492&amp;'Eingabe Meldungen'!$D$2:$D$492,0),4),"")</f>
        <v>J</v>
      </c>
      <c r="F375" s="15">
        <v>5</v>
      </c>
      <c r="G375" s="135"/>
      <c r="H375" s="6"/>
      <c r="I375" s="293" t="str">
        <f t="array" ref="I375">IF(B375&lt;&gt;"",INDEX('Eingabe Meldungen'!$C$2:$J$492,MATCH(B375&amp;C375,'Eingabe Meldungen'!$C$2:$C$492&amp;'Eingabe Meldungen'!$D$2:$D$492,0),8),"")</f>
        <v>USV TU Dresden</v>
      </c>
    </row>
    <row r="376" spans="2:10" x14ac:dyDescent="0.2">
      <c r="B376" s="100" t="str">
        <f>'Ergebnisse Rennen'!B624</f>
        <v>Öynhausen</v>
      </c>
      <c r="C376" s="4" t="str">
        <f>'Ergebnisse Rennen'!C624</f>
        <v>Jörg</v>
      </c>
      <c r="D376" s="66">
        <f t="array" ref="D376">IF(B376&lt;&gt;"",INDEX('Eingabe Meldungen'!$C$2:$H$492,MATCH(B376&amp;C376,'Eingabe Meldungen'!$C$2:$C$492&amp;'Eingabe Meldungen'!$D$2:$D$492,0),6),"")</f>
        <v>1967</v>
      </c>
      <c r="E376" s="66" t="str">
        <f t="array" ref="E376">IF(B376&lt;&gt;"",INDEX('Eingabe Meldungen'!$C$2:$H$492,MATCH(B376&amp;C376,'Eingabe Meldungen'!$C$2:$C$492&amp;'Eingabe Meldungen'!$D$2:$D$492,0),4),"")</f>
        <v>D</v>
      </c>
      <c r="F376" s="15">
        <v>6</v>
      </c>
      <c r="G376" s="135"/>
      <c r="H376" s="6"/>
      <c r="I376" s="293" t="str">
        <f t="array" ref="I376">IF(B376&lt;&gt;"",INDEX('Eingabe Meldungen'!$C$2:$J$492,MATCH(B376&amp;C376,'Eingabe Meldungen'!$C$2:$C$492&amp;'Eingabe Meldungen'!$D$2:$D$492,0),8),"")</f>
        <v>HRG Schwaben</v>
      </c>
    </row>
    <row r="377" spans="2:10" x14ac:dyDescent="0.2">
      <c r="B377" s="100" t="str">
        <f>'Ergebnisse Rennen'!B625</f>
        <v>Heszler</v>
      </c>
      <c r="C377" s="4" t="str">
        <f>'Ergebnisse Rennen'!C625</f>
        <v>Peter</v>
      </c>
      <c r="D377" s="66">
        <f t="array" ref="D377">IF(B377&lt;&gt;"",INDEX('Eingabe Meldungen'!$C$2:$H$492,MATCH(B377&amp;C377,'Eingabe Meldungen'!$C$2:$C$492&amp;'Eingabe Meldungen'!$D$2:$D$492,0),6),"")</f>
        <v>1967</v>
      </c>
      <c r="E377" s="66" t="str">
        <f t="array" ref="E377">IF(B377&lt;&gt;"",INDEX('Eingabe Meldungen'!$C$2:$H$492,MATCH(B377&amp;C377,'Eingabe Meldungen'!$C$2:$C$492&amp;'Eingabe Meldungen'!$D$2:$D$492,0),4),"")</f>
        <v>D</v>
      </c>
      <c r="F377" s="15">
        <v>7</v>
      </c>
      <c r="G377" s="135"/>
      <c r="H377" s="6"/>
      <c r="I377" s="293" t="str">
        <f t="array" ref="I377">IF(B377&lt;&gt;"",INDEX('Eingabe Meldungen'!$C$2:$J$492,MATCH(B377&amp;C377,'Eingabe Meldungen'!$C$2:$C$492&amp;'Eingabe Meldungen'!$D$2:$D$492,0),8),"")</f>
        <v>RC Nürtingen</v>
      </c>
      <c r="J377" s="72" t="e">
        <f>SUM(#REF!)</f>
        <v>#REF!</v>
      </c>
    </row>
    <row r="378" spans="2:10" x14ac:dyDescent="0.2">
      <c r="B378" s="100" t="str">
        <f>'Ergebnisse Rennen'!B626</f>
        <v>Arnold</v>
      </c>
      <c r="C378" s="4" t="str">
        <f>'Ergebnisse Rennen'!C626</f>
        <v>Frank</v>
      </c>
      <c r="D378" s="66">
        <f t="array" ref="D378">IF(B378&lt;&gt;"",INDEX('Eingabe Meldungen'!$C$2:$H$492,MATCH(B378&amp;C378,'Eingabe Meldungen'!$C$2:$C$492&amp;'Eingabe Meldungen'!$D$2:$D$492,0),6),"")</f>
        <v>1973</v>
      </c>
      <c r="E378" s="66" t="str">
        <f t="array" ref="E378">IF(B378&lt;&gt;"",INDEX('Eingabe Meldungen'!$C$2:$H$492,MATCH(B378&amp;C378,'Eingabe Meldungen'!$C$2:$C$492&amp;'Eingabe Meldungen'!$D$2:$D$492,0),4),"")</f>
        <v>C</v>
      </c>
      <c r="F378" s="15">
        <v>8</v>
      </c>
      <c r="G378" s="135"/>
      <c r="H378" s="6"/>
      <c r="I378" s="293" t="str">
        <f t="array" ref="I378">IF(B378&lt;&gt;"",INDEX('Eingabe Meldungen'!$C$2:$J$492,MATCH(B378&amp;C378,'Eingabe Meldungen'!$C$2:$C$492&amp;'Eingabe Meldungen'!$D$2:$D$492,0),8),"")</f>
        <v>Hanauer Rudergesellschaft 1879</v>
      </c>
    </row>
    <row r="379" spans="2:10" x14ac:dyDescent="0.2">
      <c r="B379" s="100" t="str">
        <f>'Ergebnisse Rennen'!B627</f>
        <v>Rebmann</v>
      </c>
      <c r="C379" s="4" t="str">
        <f>'Ergebnisse Rennen'!C627</f>
        <v>Sebastian</v>
      </c>
      <c r="D379" s="66">
        <f t="array" ref="D379">IF(B379&lt;&gt;"",INDEX('Eingabe Meldungen'!$C$2:$H$492,MATCH(B379&amp;C379,'Eingabe Meldungen'!$C$2:$C$492&amp;'Eingabe Meldungen'!$D$2:$D$492,0),6),"")</f>
        <v>1976</v>
      </c>
      <c r="E379" s="66" t="str">
        <f t="array" ref="E379">IF(B379&lt;&gt;"",INDEX('Eingabe Meldungen'!$C$2:$H$492,MATCH(B379&amp;C379,'Eingabe Meldungen'!$C$2:$C$492&amp;'Eingabe Meldungen'!$D$2:$D$492,0),4),"")</f>
        <v>C</v>
      </c>
      <c r="F379" s="15">
        <v>9</v>
      </c>
      <c r="G379" s="135"/>
      <c r="H379" s="6"/>
      <c r="I379" s="293" t="str">
        <f t="array" ref="I379">IF(B379&lt;&gt;"",INDEX('Eingabe Meldungen'!$C$2:$J$492,MATCH(B379&amp;C379,'Eingabe Meldungen'!$C$2:$C$492&amp;'Eingabe Meldungen'!$D$2:$D$492,0),8),"")</f>
        <v>Marbacher Ruderverein</v>
      </c>
    </row>
    <row r="380" spans="2:10" ht="13.2" thickBot="1" x14ac:dyDescent="0.25">
      <c r="B380" s="138" t="str">
        <f>'Ergebnisse Rennen'!B628</f>
        <v>Aydin</v>
      </c>
      <c r="C380" s="139" t="str">
        <f>'Ergebnisse Rennen'!C628</f>
        <v>Semih</v>
      </c>
      <c r="D380" s="99">
        <f t="array" ref="D380">IF(B380&lt;&gt;"",INDEX('Eingabe Meldungen'!$C$2:$H$492,MATCH(B380&amp;C380,'Eingabe Meldungen'!$C$2:$C$492&amp;'Eingabe Meldungen'!$D$2:$D$492,0),6),"")</f>
        <v>1989</v>
      </c>
      <c r="E380" s="99" t="str">
        <f t="array" ref="E380">IF(B380&lt;&gt;"",INDEX('Eingabe Meldungen'!$C$2:$H$492,MATCH(B380&amp;C380,'Eingabe Meldungen'!$C$2:$C$492&amp;'Eingabe Meldungen'!$D$2:$D$492,0),4),"")</f>
        <v>A</v>
      </c>
      <c r="F380" s="84">
        <v>10</v>
      </c>
      <c r="G380" s="143"/>
      <c r="H380" s="296"/>
      <c r="I380" s="294" t="str">
        <f t="array" ref="I380">IF(B380&lt;&gt;"",INDEX('Eingabe Meldungen'!$C$2:$J$492,MATCH(B380&amp;C380,'Eingabe Meldungen'!$C$2:$C$492&amp;'Eingabe Meldungen'!$D$2:$D$492,0),8),"")</f>
        <v>RC Nürtingen</v>
      </c>
      <c r="J380" s="72" t="e">
        <f>SUM(#REF!)</f>
        <v>#REF!</v>
      </c>
    </row>
    <row r="381" spans="2:10" ht="13.2" thickBot="1" x14ac:dyDescent="0.25">
      <c r="B381" s="4"/>
      <c r="C381" s="4"/>
      <c r="D381" s="4"/>
      <c r="E381" s="4"/>
      <c r="F381" s="4"/>
      <c r="G381" s="4"/>
      <c r="H381" s="4"/>
      <c r="I381" s="4"/>
    </row>
    <row r="382" spans="2:10" ht="28.5" customHeight="1" x14ac:dyDescent="0.2">
      <c r="B382" s="26">
        <v>29</v>
      </c>
      <c r="C382" s="65" t="str">
        <f>VLOOKUP(B382,Ausschreibung!$B$5:$I$35,2,FALSE)</f>
        <v>Ergocup</v>
      </c>
      <c r="D382" s="27">
        <f>VLOOKUP(B382,Ausschreibung!$B$5:$I$35,3,FALSE)</f>
        <v>0.67986111111111081</v>
      </c>
      <c r="E382" s="65" t="s">
        <v>107</v>
      </c>
      <c r="F382" s="65" t="s">
        <v>26</v>
      </c>
      <c r="G382" s="65" t="str">
        <f>VLOOKUP(B382,Ausschreibung!$B$5:$I$35,6,FALSE)</f>
        <v>offen</v>
      </c>
      <c r="H382" s="65" t="str">
        <f>VLOOKUP(B382,Ausschreibung!$B$5:$I$35,8,FALSE)</f>
        <v>5000 m</v>
      </c>
      <c r="I382" s="28"/>
    </row>
    <row r="383" spans="2:10" ht="13.2" thickBot="1" x14ac:dyDescent="0.25">
      <c r="B383" s="88" t="s">
        <v>1</v>
      </c>
      <c r="C383" s="89" t="s">
        <v>2</v>
      </c>
      <c r="D383" s="90" t="s">
        <v>49</v>
      </c>
      <c r="E383" s="145" t="s">
        <v>16</v>
      </c>
      <c r="F383" s="90" t="s">
        <v>18</v>
      </c>
      <c r="G383" s="92" t="s">
        <v>50</v>
      </c>
      <c r="H383" s="90" t="s">
        <v>51</v>
      </c>
      <c r="I383" s="93" t="s">
        <v>17</v>
      </c>
    </row>
    <row r="384" spans="2:10" x14ac:dyDescent="0.2">
      <c r="B384" s="100" t="str">
        <f t="array" ref="B384">IF(ISERROR(INDEX('Eingabe Meldungen'!$C$2:$C$492,LARGE(('Eingabe Meldungen'!$A$2:$A$492=$B$382)*(ROW('Eingabe Meldungen'!$A$2:$A$492)-1),COUNTIF('Eingabe Meldungen'!$A$2:$A$492,$B$382)+1-ROW('Eingabe Meldungen'!A1)))),"",INDEX('Eingabe Meldungen'!$C$2:$C$492,LARGE(('Eingabe Meldungen'!$A$2:$A$492=$B$382)*(ROW('Eingabe Meldungen'!$A$2:$A$492)-1),COUNTIF('Eingabe Meldungen'!$A$2:$A$492,$B$382)+1-ROW('Eingabe Meldungen'!A1))))</f>
        <v>Killinger</v>
      </c>
      <c r="C384" s="4" t="str">
        <f t="array" ref="C384">IF(ISERROR(INDEX('Eingabe Meldungen'!$D$2:$D$492,LARGE(('Eingabe Meldungen'!$A$2:$A$492=$B$382)*(ROW('Eingabe Meldungen'!$A$2:$A$492)-1),COUNTIF('Eingabe Meldungen'!$A$2:$A$492,$B$382)+1-ROW('Eingabe Meldungen'!A1)))),"",INDEX('Eingabe Meldungen'!$D$2:$D$492,LARGE(('Eingabe Meldungen'!$A$2:$A$492=$B$382)*(ROW('Eingabe Meldungen'!$A$2:$A$492)-1),COUNTIF('Eingabe Meldungen'!$A$2:$A$492,$B$382)+1-ROW('Eingabe Meldungen'!A1))))</f>
        <v>Cornelius/</v>
      </c>
      <c r="D384" s="66">
        <f t="array" ref="D384">IF(B384&lt;&gt;"",INDEX('Eingabe Meldungen'!$C$2:$H$492,MATCH(B384&amp;C384,'Eingabe Meldungen'!$C$2:$C$492&amp;'Eingabe Meldungen'!$D$2:$D$492,0),6),"")</f>
        <v>1992</v>
      </c>
      <c r="E384" s="436" t="str">
        <f t="array" ref="E384">IF(B384&lt;&gt;"",INDEX('Eingabe Meldungen'!$C$2:$H$492,MATCH(B384&amp;C384,'Eingabe Meldungen'!$C$2:$C$492&amp;'Eingabe Meldungen'!$D$2:$D$492,0),4),"")</f>
        <v>-</v>
      </c>
      <c r="F384" s="435">
        <v>1</v>
      </c>
      <c r="G384" s="135"/>
      <c r="H384" s="4" t="e">
        <f>RANK(G384,$G$384:$G$403,1)</f>
        <v>#N/A</v>
      </c>
      <c r="I384" s="136" t="str">
        <f t="array" ref="I384">IF(B384&lt;&gt;"",INDEX('Eingabe Meldungen'!$C$2:$J$492,MATCH(B384&amp;C384,'Eingabe Meldungen'!$C$2:$C$492&amp;'Eingabe Meldungen'!$D$2:$D$492,0),8),"")</f>
        <v>Marbacher Ruderverein</v>
      </c>
    </row>
    <row r="385" spans="2:9" ht="13.2" thickBot="1" x14ac:dyDescent="0.25">
      <c r="B385" s="100" t="str">
        <f t="array" ref="B385">IF(ISERROR(INDEX('Eingabe Meldungen'!$C$2:$C$492,LARGE(('Eingabe Meldungen'!$A$2:$A$492=$B$382)*(ROW('Eingabe Meldungen'!$A$2:$A$492)-1),COUNTIF('Eingabe Meldungen'!$A$2:$A$492,$B$382)+1-ROW('Eingabe Meldungen'!A2)))),"",INDEX('Eingabe Meldungen'!$C$2:$C$492,LARGE(('Eingabe Meldungen'!$A$2:$A$492=$B$382)*(ROW('Eingabe Meldungen'!$A$2:$A$492)-1),COUNTIF('Eingabe Meldungen'!$A$2:$A$492,$B$382)+1-ROW('Eingabe Meldungen'!A2))))</f>
        <v>Breitenbücher</v>
      </c>
      <c r="C385" s="4" t="str">
        <f t="array" ref="C385">IF(ISERROR(INDEX('Eingabe Meldungen'!$D$2:$D$492,LARGE(('Eingabe Meldungen'!$A$2:$A$492=$B$382)*(ROW('Eingabe Meldungen'!$A$2:$A$492)-1),COUNTIF('Eingabe Meldungen'!$A$2:$A$492,$B$382)+1-ROW('Eingabe Meldungen'!A2)))),"",INDEX('Eingabe Meldungen'!$D$2:$D$492,LARGE(('Eingabe Meldungen'!$A$2:$A$492=$B$382)*(ROW('Eingabe Meldungen'!$A$2:$A$492)-1),COUNTIF('Eingabe Meldungen'!$A$2:$A$492,$B$382)+1-ROW('Eingabe Meldungen'!A2))))</f>
        <v>Michael</v>
      </c>
      <c r="D385" s="66">
        <f t="array" ref="D385">IF(B385&lt;&gt;"",INDEX('Eingabe Meldungen'!$C$2:$H$492,MATCH(B385&amp;C385,'Eingabe Meldungen'!$C$2:$C$492&amp;'Eingabe Meldungen'!$D$2:$D$492,0),6),"")</f>
        <v>1996</v>
      </c>
      <c r="E385" s="437"/>
      <c r="F385" s="435"/>
      <c r="G385" s="135"/>
      <c r="H385" s="4"/>
      <c r="I385" s="136" t="str">
        <f t="array" ref="I385">IF(B385&lt;&gt;"",INDEX('Eingabe Meldungen'!$C$2:$J$492,MATCH(B385&amp;C385,'Eingabe Meldungen'!$C$2:$C$492&amp;'Eingabe Meldungen'!$D$2:$D$492,0),8),"")</f>
        <v>Marbacher Ruderverein</v>
      </c>
    </row>
    <row r="386" spans="2:9" x14ac:dyDescent="0.2">
      <c r="B386" s="131" t="str">
        <f t="array" ref="B386">IF(ISERROR(INDEX('Eingabe Meldungen'!$C$2:$C$492,LARGE(('Eingabe Meldungen'!$A$2:$A$492=$B$382)*(ROW('Eingabe Meldungen'!$A$2:$A$492)-1),COUNTIF('Eingabe Meldungen'!$A$2:$A$492,$B$382)+1-ROW('Eingabe Meldungen'!A3)))),"",INDEX('Eingabe Meldungen'!$C$2:$C$492,LARGE(('Eingabe Meldungen'!$A$2:$A$492=$B$382)*(ROW('Eingabe Meldungen'!$A$2:$A$492)-1),COUNTIF('Eingabe Meldungen'!$A$2:$A$492,$B$382)+1-ROW('Eingabe Meldungen'!A3))))</f>
        <v>Grün</v>
      </c>
      <c r="C386" s="132" t="str">
        <f t="array" ref="C386">IF(ISERROR(INDEX('Eingabe Meldungen'!$D$2:$D$492,LARGE(('Eingabe Meldungen'!$A$2:$A$492=$B$382)*(ROW('Eingabe Meldungen'!$A$2:$A$492)-1),COUNTIF('Eingabe Meldungen'!$A$2:$A$492,$B$382)+1-ROW('Eingabe Meldungen'!A3)))),"",INDEX('Eingabe Meldungen'!$D$2:$D$492,LARGE(('Eingabe Meldungen'!$A$2:$A$492=$B$382)*(ROW('Eingabe Meldungen'!$A$2:$A$492)-1),COUNTIF('Eingabe Meldungen'!$A$2:$A$492,$B$382)+1-ROW('Eingabe Meldungen'!A3))))</f>
        <v>Michael</v>
      </c>
      <c r="D386" s="78">
        <f t="array" ref="D386">IF(B386&lt;&gt;"",INDEX('Eingabe Meldungen'!$C$2:$H$492,MATCH(B386&amp;C386,'Eingabe Meldungen'!$C$2:$C$492&amp;'Eingabe Meldungen'!$D$2:$D$492,0),6),"")</f>
        <v>1968</v>
      </c>
      <c r="E386" s="436" t="str">
        <f t="array" ref="E386">IF(B386&lt;&gt;"",INDEX('Eingabe Meldungen'!$C$2:$H$492,MATCH(B386&amp;C386,'Eingabe Meldungen'!$C$2:$C$492&amp;'Eingabe Meldungen'!$D$2:$D$492,0),4),"")</f>
        <v>D</v>
      </c>
      <c r="F386" s="433">
        <v>2</v>
      </c>
      <c r="G386" s="133"/>
      <c r="H386" s="132" t="e">
        <f>RANK(G386,$G$384:$G$403,1)</f>
        <v>#N/A</v>
      </c>
      <c r="I386" s="134" t="str">
        <f t="array" ref="I386">IF(B386&lt;&gt;"",INDEX('Eingabe Meldungen'!$C$2:$J$492,MATCH(B386&amp;C386,'Eingabe Meldungen'!$C$2:$C$492&amp;'Eingabe Meldungen'!$D$2:$D$492,0),8),"")</f>
        <v>HRG Schwaben</v>
      </c>
    </row>
    <row r="387" spans="2:9" ht="13.2" thickBot="1" x14ac:dyDescent="0.25">
      <c r="B387" s="138" t="str">
        <f t="array" ref="B387">IF(ISERROR(INDEX('Eingabe Meldungen'!$C$2:$C$492,LARGE(('Eingabe Meldungen'!$A$2:$A$492=$B$382)*(ROW('Eingabe Meldungen'!$A$2:$A$492)-1),COUNTIF('Eingabe Meldungen'!$A$2:$A$492,$B$382)+1-ROW('Eingabe Meldungen'!A4)))),"",INDEX('Eingabe Meldungen'!$C$2:$C$492,LARGE(('Eingabe Meldungen'!$A$2:$A$492=$B$382)*(ROW('Eingabe Meldungen'!$A$2:$A$492)-1),COUNTIF('Eingabe Meldungen'!$A$2:$A$492,$B$382)+1-ROW('Eingabe Meldungen'!A4))))</f>
        <v>Kern</v>
      </c>
      <c r="C387" s="139" t="str">
        <f t="array" ref="C387">IF(ISERROR(INDEX('Eingabe Meldungen'!$D$2:$D$492,LARGE(('Eingabe Meldungen'!$A$2:$A$492=$B$382)*(ROW('Eingabe Meldungen'!$A$2:$A$492)-1),COUNTIF('Eingabe Meldungen'!$A$2:$A$492,$B$382)+1-ROW('Eingabe Meldungen'!A4)))),"",INDEX('Eingabe Meldungen'!$D$2:$D$492,LARGE(('Eingabe Meldungen'!$A$2:$A$492=$B$382)*(ROW('Eingabe Meldungen'!$A$2:$A$492)-1),COUNTIF('Eingabe Meldungen'!$A$2:$A$492,$B$382)+1-ROW('Eingabe Meldungen'!A4))))</f>
        <v>Maximilian</v>
      </c>
      <c r="D387" s="99">
        <f t="array" ref="D387">IF(B387&lt;&gt;"",INDEX('Eingabe Meldungen'!$C$2:$H$492,MATCH(B387&amp;C387,'Eingabe Meldungen'!$C$2:$C$492&amp;'Eingabe Meldungen'!$D$2:$D$492,0),6),"")</f>
        <v>2001</v>
      </c>
      <c r="E387" s="437"/>
      <c r="F387" s="434"/>
      <c r="G387" s="143"/>
      <c r="H387" s="139"/>
      <c r="I387" s="141" t="str">
        <f t="array" ref="I387">IF(B387&lt;&gt;"",INDEX('Eingabe Meldungen'!$C$2:$J$492,MATCH(B387&amp;C387,'Eingabe Meldungen'!$C$2:$C$492&amp;'Eingabe Meldungen'!$D$2:$D$492,0),8),"")</f>
        <v>HRG Schwaben</v>
      </c>
    </row>
    <row r="388" spans="2:9" x14ac:dyDescent="0.2">
      <c r="B388" s="131" t="str">
        <f t="array" ref="B388">IF(ISERROR(INDEX('Eingabe Meldungen'!$C$2:$C$492,LARGE(('Eingabe Meldungen'!$A$2:$A$492=$B$382)*(ROW('Eingabe Meldungen'!$A$2:$A$492)-1),COUNTIF('Eingabe Meldungen'!$A$2:$A$492,$B$382)+1-ROW('Eingabe Meldungen'!A5)))),"",INDEX('Eingabe Meldungen'!$C$2:$C$492,LARGE(('Eingabe Meldungen'!$A$2:$A$492=$B$382)*(ROW('Eingabe Meldungen'!$A$2:$A$492)-1),COUNTIF('Eingabe Meldungen'!$A$2:$A$492,$B$382)+1-ROW('Eingabe Meldungen'!A5))))</f>
        <v/>
      </c>
      <c r="C388" s="132" t="str">
        <f t="array" ref="C388">IF(ISERROR(INDEX('Eingabe Meldungen'!$D$2:$D$492,LARGE(('Eingabe Meldungen'!$A$2:$A$492=$B$382)*(ROW('Eingabe Meldungen'!$A$2:$A$492)-1),COUNTIF('Eingabe Meldungen'!$A$2:$A$492,$B$382)+1-ROW('Eingabe Meldungen'!A5)))),"",INDEX('Eingabe Meldungen'!$D$2:$D$492,LARGE(('Eingabe Meldungen'!$A$2:$A$492=$B$382)*(ROW('Eingabe Meldungen'!$A$2:$A$492)-1),COUNTIF('Eingabe Meldungen'!$A$2:$A$492,$B$382)+1-ROW('Eingabe Meldungen'!A5))))</f>
        <v/>
      </c>
      <c r="D388" s="78" t="str">
        <f t="array" ref="D388">IF(B388&lt;&gt;"",INDEX('Eingabe Meldungen'!$C$2:$H$492,MATCH(B388&amp;C388,'Eingabe Meldungen'!$C$2:$C$492&amp;'Eingabe Meldungen'!$D$2:$D$492,0),6),"")</f>
        <v/>
      </c>
      <c r="E388" s="78" t="str">
        <f t="array" ref="E388">IF(B388&lt;&gt;"",INDEX('Eingabe Meldungen'!$C$2:$H$492,MATCH(B388&amp;C388,'Eingabe Meldungen'!$C$2:$C$492&amp;'Eingabe Meldungen'!$D$2:$D$492,0),4),"")</f>
        <v/>
      </c>
      <c r="F388" s="433">
        <v>3</v>
      </c>
      <c r="G388" s="144"/>
      <c r="H388" s="132" t="e">
        <f>RANK(G388,$G$384:$G$403,1)</f>
        <v>#N/A</v>
      </c>
      <c r="I388" s="134" t="str">
        <f t="array" ref="I388">IF(B388&lt;&gt;"",INDEX('Eingabe Meldungen'!$C$2:$J$492,MATCH(B388&amp;C388,'Eingabe Meldungen'!$C$2:$C$492&amp;'Eingabe Meldungen'!$D$2:$D$492,0),8),"")</f>
        <v/>
      </c>
    </row>
    <row r="389" spans="2:9" ht="13.2" thickBot="1" x14ac:dyDescent="0.25">
      <c r="B389" s="138" t="str">
        <f t="array" ref="B389">IF(ISERROR(INDEX('Eingabe Meldungen'!$C$2:$C$492,LARGE(('Eingabe Meldungen'!$A$2:$A$492=$B$382)*(ROW('Eingabe Meldungen'!$A$2:$A$492)-1),COUNTIF('Eingabe Meldungen'!$A$2:$A$492,$B$382)+1-ROW('Eingabe Meldungen'!A6)))),"",INDEX('Eingabe Meldungen'!$C$2:$C$492,LARGE(('Eingabe Meldungen'!$A$2:$A$492=$B$382)*(ROW('Eingabe Meldungen'!$A$2:$A$492)-1),COUNTIF('Eingabe Meldungen'!$A$2:$A$492,$B$382)+1-ROW('Eingabe Meldungen'!A6))))</f>
        <v/>
      </c>
      <c r="C389" s="139" t="str">
        <f t="array" ref="C389">IF(ISERROR(INDEX('Eingabe Meldungen'!$D$2:$D$492,LARGE(('Eingabe Meldungen'!$A$2:$A$492=$B$382)*(ROW('Eingabe Meldungen'!$A$2:$A$492)-1),COUNTIF('Eingabe Meldungen'!$A$2:$A$492,$B$382)+1-ROW('Eingabe Meldungen'!A6)))),"",INDEX('Eingabe Meldungen'!$D$2:$D$492,LARGE(('Eingabe Meldungen'!$A$2:$A$492=$B$382)*(ROW('Eingabe Meldungen'!$A$2:$A$492)-1),COUNTIF('Eingabe Meldungen'!$A$2:$A$492,$B$382)+1-ROW('Eingabe Meldungen'!A6))))</f>
        <v/>
      </c>
      <c r="D389" s="99" t="str">
        <f t="array" ref="D389">IF(B389&lt;&gt;"",INDEX('Eingabe Meldungen'!$C$2:$H$492,MATCH(B389&amp;C389,'Eingabe Meldungen'!$C$2:$C$492&amp;'Eingabe Meldungen'!$D$2:$D$492,0),6),"")</f>
        <v/>
      </c>
      <c r="E389" s="99"/>
      <c r="F389" s="434"/>
      <c r="G389" s="140"/>
      <c r="H389" s="139"/>
      <c r="I389" s="141" t="str">
        <f t="array" ref="I389">IF(B389&lt;&gt;"",INDEX('Eingabe Meldungen'!$C$2:$J$492,MATCH(B389&amp;C389,'Eingabe Meldungen'!$C$2:$C$492&amp;'Eingabe Meldungen'!$D$2:$D$492,0),8),"")</f>
        <v/>
      </c>
    </row>
    <row r="390" spans="2:9" x14ac:dyDescent="0.2">
      <c r="B390" s="131" t="str">
        <f t="array" ref="B390">IF(ISERROR(INDEX('Eingabe Meldungen'!$C$2:$C$492,LARGE(('Eingabe Meldungen'!$A$2:$A$492=$B$382)*(ROW('Eingabe Meldungen'!$A$2:$A$492)-1),COUNTIF('Eingabe Meldungen'!$A$2:$A$492,$B$382)+1-ROW('Eingabe Meldungen'!A7)))),"",INDEX('Eingabe Meldungen'!$C$2:$C$492,LARGE(('Eingabe Meldungen'!$A$2:$A$492=$B$382)*(ROW('Eingabe Meldungen'!$A$2:$A$492)-1),COUNTIF('Eingabe Meldungen'!$A$2:$A$492,$B$382)+1-ROW('Eingabe Meldungen'!A7))))</f>
        <v/>
      </c>
      <c r="C390" s="132" t="str">
        <f t="array" ref="C390">IF(ISERROR(INDEX('Eingabe Meldungen'!$D$2:$D$492,LARGE(('Eingabe Meldungen'!$A$2:$A$492=$B$382)*(ROW('Eingabe Meldungen'!$A$2:$A$492)-1),COUNTIF('Eingabe Meldungen'!$A$2:$A$492,$B$382)+1-ROW('Eingabe Meldungen'!A7)))),"",INDEX('Eingabe Meldungen'!$D$2:$D$492,LARGE(('Eingabe Meldungen'!$A$2:$A$492=$B$382)*(ROW('Eingabe Meldungen'!$A$2:$A$492)-1),COUNTIF('Eingabe Meldungen'!$A$2:$A$492,$B$382)+1-ROW('Eingabe Meldungen'!A7))))</f>
        <v/>
      </c>
      <c r="D390" s="78" t="str">
        <f t="array" ref="D390">IF(B390&lt;&gt;"",INDEX('Eingabe Meldungen'!$C$2:$H$492,MATCH(B390&amp;C390,'Eingabe Meldungen'!$C$2:$C$492&amp;'Eingabe Meldungen'!$D$2:$D$492,0),6),"")</f>
        <v/>
      </c>
      <c r="E390" s="78" t="str">
        <f t="array" ref="E390">IF(B390&lt;&gt;"",INDEX('Eingabe Meldungen'!$C$2:$H$492,MATCH(B390&amp;C390,'Eingabe Meldungen'!$C$2:$C$492&amp;'Eingabe Meldungen'!$D$2:$D$492,0),4),"")</f>
        <v/>
      </c>
      <c r="F390" s="433">
        <v>4</v>
      </c>
      <c r="G390" s="144"/>
      <c r="H390" s="132" t="e">
        <f>RANK(G390,$G$384:$G$403,1)</f>
        <v>#N/A</v>
      </c>
      <c r="I390" s="134" t="str">
        <f t="array" ref="I390">IF(B390&lt;&gt;"",INDEX('Eingabe Meldungen'!$C$2:$J$492,MATCH(B390&amp;C390,'Eingabe Meldungen'!$C$2:$C$492&amp;'Eingabe Meldungen'!$D$2:$D$492,0),8),"")</f>
        <v/>
      </c>
    </row>
    <row r="391" spans="2:9" ht="13.2" thickBot="1" x14ac:dyDescent="0.25">
      <c r="B391" s="138" t="str">
        <f t="array" ref="B391">IF(ISERROR(INDEX('Eingabe Meldungen'!$C$2:$C$492,LARGE(('Eingabe Meldungen'!$A$2:$A$492=$B$382)*(ROW('Eingabe Meldungen'!$A$2:$A$492)-1),COUNTIF('Eingabe Meldungen'!$A$2:$A$492,$B$382)+1-ROW('Eingabe Meldungen'!A8)))),"",INDEX('Eingabe Meldungen'!$C$2:$C$492,LARGE(('Eingabe Meldungen'!$A$2:$A$492=$B$382)*(ROW('Eingabe Meldungen'!$A$2:$A$492)-1),COUNTIF('Eingabe Meldungen'!$A$2:$A$492,$B$382)+1-ROW('Eingabe Meldungen'!A8))))</f>
        <v/>
      </c>
      <c r="C391" s="139" t="str">
        <f t="array" ref="C391">IF(ISERROR(INDEX('Eingabe Meldungen'!$D$2:$D$492,LARGE(('Eingabe Meldungen'!$A$2:$A$492=$B$382)*(ROW('Eingabe Meldungen'!$A$2:$A$492)-1),COUNTIF('Eingabe Meldungen'!$A$2:$A$492,$B$382)+1-ROW('Eingabe Meldungen'!A8)))),"",INDEX('Eingabe Meldungen'!$D$2:$D$492,LARGE(('Eingabe Meldungen'!$A$2:$A$492=$B$382)*(ROW('Eingabe Meldungen'!$A$2:$A$492)-1),COUNTIF('Eingabe Meldungen'!$A$2:$A$492,$B$382)+1-ROW('Eingabe Meldungen'!A8))))</f>
        <v/>
      </c>
      <c r="D391" s="99" t="str">
        <f t="array" ref="D391">IF(B391&lt;&gt;"",INDEX('Eingabe Meldungen'!$C$2:$H$492,MATCH(B391&amp;C391,'Eingabe Meldungen'!$C$2:$C$492&amp;'Eingabe Meldungen'!$D$2:$D$492,0),6),"")</f>
        <v/>
      </c>
      <c r="E391" s="99"/>
      <c r="F391" s="434"/>
      <c r="G391" s="140"/>
      <c r="H391" s="139"/>
      <c r="I391" s="141" t="str">
        <f t="array" ref="I391">IF(B391&lt;&gt;"",INDEX('Eingabe Meldungen'!$C$2:$J$492,MATCH(B391&amp;C391,'Eingabe Meldungen'!$C$2:$C$492&amp;'Eingabe Meldungen'!$D$2:$D$492,0),8),"")</f>
        <v/>
      </c>
    </row>
    <row r="392" spans="2:9" x14ac:dyDescent="0.2">
      <c r="B392" s="131" t="str">
        <f t="array" ref="B392">IF(ISERROR(INDEX('Eingabe Meldungen'!$C$2:$C$492,LARGE(('Eingabe Meldungen'!$A$2:$A$492=$B$382)*(ROW('Eingabe Meldungen'!$A$2:$A$492)-1),COUNTIF('Eingabe Meldungen'!$A$2:$A$492,$B$382)+1-ROW('Eingabe Meldungen'!A9)))),"",INDEX('Eingabe Meldungen'!$C$2:$C$492,LARGE(('Eingabe Meldungen'!$A$2:$A$492=$B$382)*(ROW('Eingabe Meldungen'!$A$2:$A$492)-1),COUNTIF('Eingabe Meldungen'!$A$2:$A$492,$B$382)+1-ROW('Eingabe Meldungen'!A9))))</f>
        <v/>
      </c>
      <c r="C392" s="132" t="str">
        <f t="array" ref="C392">IF(ISERROR(INDEX('Eingabe Meldungen'!$D$2:$D$492,LARGE(('Eingabe Meldungen'!$A$2:$A$492=$B$382)*(ROW('Eingabe Meldungen'!$A$2:$A$492)-1),COUNTIF('Eingabe Meldungen'!$A$2:$A$492,$B$382)+1-ROW('Eingabe Meldungen'!A9)))),"",INDEX('Eingabe Meldungen'!$D$2:$D$492,LARGE(('Eingabe Meldungen'!$A$2:$A$492=$B$382)*(ROW('Eingabe Meldungen'!$A$2:$A$492)-1),COUNTIF('Eingabe Meldungen'!$A$2:$A$492,$B$382)+1-ROW('Eingabe Meldungen'!A9))))</f>
        <v/>
      </c>
      <c r="D392" s="78" t="str">
        <f t="array" ref="D392">IF(B392&lt;&gt;"",INDEX('Eingabe Meldungen'!$C$2:$H$492,MATCH(B392&amp;C392,'Eingabe Meldungen'!$C$2:$C$492&amp;'Eingabe Meldungen'!$D$2:$D$492,0),6),"")</f>
        <v/>
      </c>
      <c r="E392" s="78" t="str">
        <f t="array" ref="E392">IF(B392&lt;&gt;"",INDEX('Eingabe Meldungen'!$C$2:$H$492,MATCH(B392&amp;C392,'Eingabe Meldungen'!$C$2:$C$492&amp;'Eingabe Meldungen'!$D$2:$D$492,0),4),"")</f>
        <v/>
      </c>
      <c r="F392" s="433">
        <v>5</v>
      </c>
      <c r="G392" s="144"/>
      <c r="H392" s="132" t="e">
        <f>RANK(G392,$G$384:$G$403,1)</f>
        <v>#N/A</v>
      </c>
      <c r="I392" s="134" t="str">
        <f t="array" ref="I392">IF(B392&lt;&gt;"",INDEX('Eingabe Meldungen'!$C$2:$J$492,MATCH(B392&amp;C392,'Eingabe Meldungen'!$C$2:$C$492&amp;'Eingabe Meldungen'!$D$2:$D$492,0),8),"")</f>
        <v/>
      </c>
    </row>
    <row r="393" spans="2:9" ht="13.2" thickBot="1" x14ac:dyDescent="0.25">
      <c r="B393" s="138" t="str">
        <f t="array" ref="B393">IF(ISERROR(INDEX('Eingabe Meldungen'!$C$2:$C$492,LARGE(('Eingabe Meldungen'!$A$2:$A$492=$B$382)*(ROW('Eingabe Meldungen'!$A$2:$A$492)-1),COUNTIF('Eingabe Meldungen'!$A$2:$A$492,$B$382)+1-ROW('Eingabe Meldungen'!A10)))),"",INDEX('Eingabe Meldungen'!$C$2:$C$492,LARGE(('Eingabe Meldungen'!$A$2:$A$492=$B$382)*(ROW('Eingabe Meldungen'!$A$2:$A$492)-1),COUNTIF('Eingabe Meldungen'!$A$2:$A$492,$B$382)+1-ROW('Eingabe Meldungen'!A10))))</f>
        <v/>
      </c>
      <c r="C393" s="139" t="str">
        <f t="array" ref="C393">IF(ISERROR(INDEX('Eingabe Meldungen'!$D$2:$D$492,LARGE(('Eingabe Meldungen'!$A$2:$A$492=$B$382)*(ROW('Eingabe Meldungen'!$A$2:$A$492)-1),COUNTIF('Eingabe Meldungen'!$A$2:$A$492,$B$382)+1-ROW('Eingabe Meldungen'!A10)))),"",INDEX('Eingabe Meldungen'!$D$2:$D$492,LARGE(('Eingabe Meldungen'!$A$2:$A$492=$B$382)*(ROW('Eingabe Meldungen'!$A$2:$A$492)-1),COUNTIF('Eingabe Meldungen'!$A$2:$A$492,$B$382)+1-ROW('Eingabe Meldungen'!A10))))</f>
        <v/>
      </c>
      <c r="D393" s="99" t="str">
        <f t="array" ref="D393">IF(B393&lt;&gt;"",INDEX('Eingabe Meldungen'!$C$2:$H$492,MATCH(B393&amp;C393,'Eingabe Meldungen'!$C$2:$C$492&amp;'Eingabe Meldungen'!$D$2:$D$492,0),6),"")</f>
        <v/>
      </c>
      <c r="E393" s="99"/>
      <c r="F393" s="434"/>
      <c r="G393" s="140"/>
      <c r="H393" s="139"/>
      <c r="I393" s="141" t="str">
        <f t="array" ref="I393">IF(B393&lt;&gt;"",INDEX('Eingabe Meldungen'!$C$2:$J$492,MATCH(B393&amp;C393,'Eingabe Meldungen'!$C$2:$C$492&amp;'Eingabe Meldungen'!$D$2:$D$492,0),8),"")</f>
        <v/>
      </c>
    </row>
    <row r="394" spans="2:9" x14ac:dyDescent="0.2">
      <c r="B394" s="131" t="str">
        <f t="array" ref="B394">IF(ISERROR(INDEX('Eingabe Meldungen'!$C$2:$C$492,LARGE(('Eingabe Meldungen'!$A$2:$A$492=$B$382)*(ROW('Eingabe Meldungen'!$A$2:$A$492)-1),COUNTIF('Eingabe Meldungen'!$A$2:$A$492,$B$382)+1-ROW('Eingabe Meldungen'!A11)))),"",INDEX('Eingabe Meldungen'!$C$2:$C$492,LARGE(('Eingabe Meldungen'!$A$2:$A$492=$B$382)*(ROW('Eingabe Meldungen'!$A$2:$A$492)-1),COUNTIF('Eingabe Meldungen'!$A$2:$A$492,$B$382)+1-ROW('Eingabe Meldungen'!A11))))</f>
        <v/>
      </c>
      <c r="C394" s="132" t="str">
        <f t="array" ref="C394">IF(ISERROR(INDEX('Eingabe Meldungen'!$D$2:$D$492,LARGE(('Eingabe Meldungen'!$A$2:$A$492=$B$382)*(ROW('Eingabe Meldungen'!$A$2:$A$492)-1),COUNTIF('Eingabe Meldungen'!$A$2:$A$492,$B$382)+1-ROW('Eingabe Meldungen'!A11)))),"",INDEX('Eingabe Meldungen'!$D$2:$D$492,LARGE(('Eingabe Meldungen'!$A$2:$A$492=$B$382)*(ROW('Eingabe Meldungen'!$A$2:$A$492)-1),COUNTIF('Eingabe Meldungen'!$A$2:$A$492,$B$382)+1-ROW('Eingabe Meldungen'!A11))))</f>
        <v/>
      </c>
      <c r="D394" s="78" t="str">
        <f t="array" ref="D394">IF(B394&lt;&gt;"",INDEX('Eingabe Meldungen'!$C$2:$H$492,MATCH(B394&amp;C394,'Eingabe Meldungen'!$C$2:$C$492&amp;'Eingabe Meldungen'!$D$2:$D$492,0),6),"")</f>
        <v/>
      </c>
      <c r="E394" s="78"/>
      <c r="F394" s="433">
        <v>6</v>
      </c>
      <c r="G394" s="144"/>
      <c r="H394" s="132"/>
      <c r="I394" s="134" t="str">
        <f t="array" ref="I394">IF(B394&lt;&gt;"",INDEX('Eingabe Meldungen'!$C$2:$J$492,MATCH(B394&amp;C394,'Eingabe Meldungen'!$C$2:$C$492&amp;'Eingabe Meldungen'!$D$2:$D$492,0),8),"")</f>
        <v/>
      </c>
    </row>
    <row r="395" spans="2:9" ht="13.2" thickBot="1" x14ac:dyDescent="0.25">
      <c r="B395" s="138" t="str">
        <f t="array" ref="B395">IF(ISERROR(INDEX('Eingabe Meldungen'!$C$2:$C$492,LARGE(('Eingabe Meldungen'!$A$2:$A$492=$B$382)*(ROW('Eingabe Meldungen'!$A$2:$A$492)-1),COUNTIF('Eingabe Meldungen'!$A$2:$A$492,$B$382)+1-ROW('Eingabe Meldungen'!A12)))),"",INDEX('Eingabe Meldungen'!$C$2:$C$492,LARGE(('Eingabe Meldungen'!$A$2:$A$492=$B$382)*(ROW('Eingabe Meldungen'!$A$2:$A$492)-1),COUNTIF('Eingabe Meldungen'!$A$2:$A$492,$B$382)+1-ROW('Eingabe Meldungen'!A12))))</f>
        <v/>
      </c>
      <c r="C395" s="139" t="str">
        <f t="array" ref="C395">IF(ISERROR(INDEX('Eingabe Meldungen'!$D$2:$D$492,LARGE(('Eingabe Meldungen'!$A$2:$A$492=$B$382)*(ROW('Eingabe Meldungen'!$A$2:$A$492)-1),COUNTIF('Eingabe Meldungen'!$A$2:$A$492,$B$382)+1-ROW('Eingabe Meldungen'!A12)))),"",INDEX('Eingabe Meldungen'!$D$2:$D$492,LARGE(('Eingabe Meldungen'!$A$2:$A$492=$B$382)*(ROW('Eingabe Meldungen'!$A$2:$A$492)-1),COUNTIF('Eingabe Meldungen'!$A$2:$A$492,$B$382)+1-ROW('Eingabe Meldungen'!A12))))</f>
        <v/>
      </c>
      <c r="D395" s="99" t="str">
        <f t="array" ref="D395">IF(B395&lt;&gt;"",INDEX('Eingabe Meldungen'!$C$2:$H$492,MATCH(B395&amp;C395,'Eingabe Meldungen'!$C$2:$C$492&amp;'Eingabe Meldungen'!$D$2:$D$492,0),6),"")</f>
        <v/>
      </c>
      <c r="E395" s="99"/>
      <c r="F395" s="434"/>
      <c r="G395" s="140"/>
      <c r="H395" s="139"/>
      <c r="I395" s="141" t="str">
        <f t="array" ref="I395">IF(B395&lt;&gt;"",INDEX('Eingabe Meldungen'!$C$2:$J$492,MATCH(B395&amp;C395,'Eingabe Meldungen'!$C$2:$C$492&amp;'Eingabe Meldungen'!$D$2:$D$492,0),8),"")</f>
        <v/>
      </c>
    </row>
    <row r="396" spans="2:9" x14ac:dyDescent="0.2">
      <c r="B396" s="131" t="str">
        <f t="array" ref="B396">IF(ISERROR(INDEX('Eingabe Meldungen'!$C$2:$C$492,LARGE(('Eingabe Meldungen'!$A$2:$A$492=$B$382)*(ROW('Eingabe Meldungen'!$A$2:$A$492)-1),COUNTIF('Eingabe Meldungen'!$A$2:$A$492,$B$382)+1-ROW('Eingabe Meldungen'!A13)))),"",INDEX('Eingabe Meldungen'!$C$2:$C$492,LARGE(('Eingabe Meldungen'!$A$2:$A$492=$B$382)*(ROW('Eingabe Meldungen'!$A$2:$A$492)-1),COUNTIF('Eingabe Meldungen'!$A$2:$A$492,$B$382)+1-ROW('Eingabe Meldungen'!A13))))</f>
        <v/>
      </c>
      <c r="C396" s="132" t="str">
        <f t="array" ref="C396">IF(ISERROR(INDEX('Eingabe Meldungen'!$D$2:$D$492,LARGE(('Eingabe Meldungen'!$A$2:$A$492=$B$382)*(ROW('Eingabe Meldungen'!$A$2:$A$492)-1),COUNTIF('Eingabe Meldungen'!$A$2:$A$492,$B$382)+1-ROW('Eingabe Meldungen'!A13)))),"",INDEX('Eingabe Meldungen'!$D$2:$D$492,LARGE(('Eingabe Meldungen'!$A$2:$A$492=$B$382)*(ROW('Eingabe Meldungen'!$A$2:$A$492)-1),COUNTIF('Eingabe Meldungen'!$A$2:$A$492,$B$382)+1-ROW('Eingabe Meldungen'!A13))))</f>
        <v/>
      </c>
      <c r="D396" s="78" t="str">
        <f t="array" ref="D396">IF(B396&lt;&gt;"",INDEX('Eingabe Meldungen'!$C$2:$H$492,MATCH(B396&amp;C396,'Eingabe Meldungen'!$C$2:$C$492&amp;'Eingabe Meldungen'!$D$2:$D$492,0),6),"")</f>
        <v/>
      </c>
      <c r="E396" s="78"/>
      <c r="F396" s="433">
        <v>7</v>
      </c>
      <c r="G396" s="144"/>
      <c r="H396" s="132"/>
      <c r="I396" s="134" t="str">
        <f t="array" ref="I396">IF(B396&lt;&gt;"",INDEX('Eingabe Meldungen'!$C$2:$J$492,MATCH(B396&amp;C396,'Eingabe Meldungen'!$C$2:$C$492&amp;'Eingabe Meldungen'!$D$2:$D$492,0),8),"")</f>
        <v/>
      </c>
    </row>
    <row r="397" spans="2:9" ht="13.2" thickBot="1" x14ac:dyDescent="0.25">
      <c r="B397" s="138" t="str">
        <f t="array" ref="B397">IF(ISERROR(INDEX('Eingabe Meldungen'!$C$2:$C$492,LARGE(('Eingabe Meldungen'!$A$2:$A$492=$B$382)*(ROW('Eingabe Meldungen'!$A$2:$A$492)-1),COUNTIF('Eingabe Meldungen'!$A$2:$A$492,$B$382)+1-ROW('Eingabe Meldungen'!A14)))),"",INDEX('Eingabe Meldungen'!$C$2:$C$492,LARGE(('Eingabe Meldungen'!$A$2:$A$492=$B$382)*(ROW('Eingabe Meldungen'!$A$2:$A$492)-1),COUNTIF('Eingabe Meldungen'!$A$2:$A$492,$B$382)+1-ROW('Eingabe Meldungen'!A14))))</f>
        <v/>
      </c>
      <c r="C397" s="139" t="str">
        <f t="array" ref="C397">IF(ISERROR(INDEX('Eingabe Meldungen'!$D$2:$D$492,LARGE(('Eingabe Meldungen'!$A$2:$A$492=$B$382)*(ROW('Eingabe Meldungen'!$A$2:$A$492)-1),COUNTIF('Eingabe Meldungen'!$A$2:$A$492,$B$382)+1-ROW('Eingabe Meldungen'!A14)))),"",INDEX('Eingabe Meldungen'!$D$2:$D$492,LARGE(('Eingabe Meldungen'!$A$2:$A$492=$B$382)*(ROW('Eingabe Meldungen'!$A$2:$A$492)-1),COUNTIF('Eingabe Meldungen'!$A$2:$A$492,$B$382)+1-ROW('Eingabe Meldungen'!A14))))</f>
        <v/>
      </c>
      <c r="D397" s="99" t="str">
        <f t="array" ref="D397">IF(B397&lt;&gt;"",INDEX('Eingabe Meldungen'!$C$2:$H$492,MATCH(B397&amp;C397,'Eingabe Meldungen'!$C$2:$C$492&amp;'Eingabe Meldungen'!$D$2:$D$492,0),6),"")</f>
        <v/>
      </c>
      <c r="E397" s="99"/>
      <c r="F397" s="434"/>
      <c r="G397" s="140"/>
      <c r="H397" s="139"/>
      <c r="I397" s="141" t="str">
        <f t="array" ref="I397">IF(B397&lt;&gt;"",INDEX('Eingabe Meldungen'!$C$2:$J$492,MATCH(B397&amp;C397,'Eingabe Meldungen'!$C$2:$C$492&amp;'Eingabe Meldungen'!$D$2:$D$492,0),8),"")</f>
        <v/>
      </c>
    </row>
    <row r="398" spans="2:9" x14ac:dyDescent="0.2">
      <c r="B398" s="131" t="str">
        <f t="array" ref="B398">IF(ISERROR(INDEX('Eingabe Meldungen'!$C$2:$C$492,LARGE(('Eingabe Meldungen'!$A$2:$A$492=$B$382)*(ROW('Eingabe Meldungen'!$A$2:$A$492)-1),COUNTIF('Eingabe Meldungen'!$A$2:$A$492,$B$382)+1-ROW('Eingabe Meldungen'!A15)))),"",INDEX('Eingabe Meldungen'!$C$2:$C$492,LARGE(('Eingabe Meldungen'!$A$2:$A$492=$B$382)*(ROW('Eingabe Meldungen'!$A$2:$A$492)-1),COUNTIF('Eingabe Meldungen'!$A$2:$A$492,$B$382)+1-ROW('Eingabe Meldungen'!A15))))</f>
        <v/>
      </c>
      <c r="C398" s="132" t="str">
        <f t="array" ref="C398">IF(ISERROR(INDEX('Eingabe Meldungen'!$D$2:$D$492,LARGE(('Eingabe Meldungen'!$A$2:$A$492=$B$382)*(ROW('Eingabe Meldungen'!$A$2:$A$492)-1),COUNTIF('Eingabe Meldungen'!$A$2:$A$492,$B$382)+1-ROW('Eingabe Meldungen'!A15)))),"",INDEX('Eingabe Meldungen'!$D$2:$D$492,LARGE(('Eingabe Meldungen'!$A$2:$A$492=$B$382)*(ROW('Eingabe Meldungen'!$A$2:$A$492)-1),COUNTIF('Eingabe Meldungen'!$A$2:$A$492,$B$382)+1-ROW('Eingabe Meldungen'!A15))))</f>
        <v/>
      </c>
      <c r="D398" s="78" t="str">
        <f t="array" ref="D398">IF(B398&lt;&gt;"",INDEX('Eingabe Meldungen'!$C$2:$H$492,MATCH(B398&amp;C398,'Eingabe Meldungen'!$C$2:$C$492&amp;'Eingabe Meldungen'!$D$2:$D$492,0),6),"")</f>
        <v/>
      </c>
      <c r="E398" s="78"/>
      <c r="F398" s="433">
        <v>8</v>
      </c>
      <c r="G398" s="144"/>
      <c r="H398" s="132"/>
      <c r="I398" s="134" t="str">
        <f t="array" ref="I398">IF(B398&lt;&gt;"",INDEX('Eingabe Meldungen'!$C$2:$J$492,MATCH(B398&amp;C398,'Eingabe Meldungen'!$C$2:$C$492&amp;'Eingabe Meldungen'!$D$2:$D$492,0),8),"")</f>
        <v/>
      </c>
    </row>
    <row r="399" spans="2:9" ht="13.2" thickBot="1" x14ac:dyDescent="0.25">
      <c r="B399" s="138" t="str">
        <f t="array" ref="B399">IF(ISERROR(INDEX('Eingabe Meldungen'!$C$2:$C$492,LARGE(('Eingabe Meldungen'!$A$2:$A$492=$B$382)*(ROW('Eingabe Meldungen'!$A$2:$A$492)-1),COUNTIF('Eingabe Meldungen'!$A$2:$A$492,$B$382)+1-ROW('Eingabe Meldungen'!A16)))),"",INDEX('Eingabe Meldungen'!$C$2:$C$492,LARGE(('Eingabe Meldungen'!$A$2:$A$492=$B$382)*(ROW('Eingabe Meldungen'!$A$2:$A$492)-1),COUNTIF('Eingabe Meldungen'!$A$2:$A$492,$B$382)+1-ROW('Eingabe Meldungen'!A16))))</f>
        <v/>
      </c>
      <c r="C399" s="139" t="str">
        <f t="array" ref="C399">IF(ISERROR(INDEX('Eingabe Meldungen'!$D$2:$D$492,LARGE(('Eingabe Meldungen'!$A$2:$A$492=$B$382)*(ROW('Eingabe Meldungen'!$A$2:$A$492)-1),COUNTIF('Eingabe Meldungen'!$A$2:$A$492,$B$382)+1-ROW('Eingabe Meldungen'!A16)))),"",INDEX('Eingabe Meldungen'!$D$2:$D$492,LARGE(('Eingabe Meldungen'!$A$2:$A$492=$B$382)*(ROW('Eingabe Meldungen'!$A$2:$A$492)-1),COUNTIF('Eingabe Meldungen'!$A$2:$A$492,$B$382)+1-ROW('Eingabe Meldungen'!A16))))</f>
        <v/>
      </c>
      <c r="D399" s="99" t="str">
        <f t="array" ref="D399">IF(B399&lt;&gt;"",INDEX('Eingabe Meldungen'!$C$2:$H$492,MATCH(B399&amp;C399,'Eingabe Meldungen'!$C$2:$C$492&amp;'Eingabe Meldungen'!$D$2:$D$492,0),6),"")</f>
        <v/>
      </c>
      <c r="E399" s="99"/>
      <c r="F399" s="434"/>
      <c r="G399" s="140"/>
      <c r="H399" s="139"/>
      <c r="I399" s="141" t="str">
        <f t="array" ref="I399">IF(B399&lt;&gt;"",INDEX('Eingabe Meldungen'!$C$2:$J$492,MATCH(B399&amp;C399,'Eingabe Meldungen'!$C$2:$C$492&amp;'Eingabe Meldungen'!$D$2:$D$492,0),8),"")</f>
        <v/>
      </c>
    </row>
    <row r="400" spans="2:9" x14ac:dyDescent="0.2">
      <c r="B400" s="131" t="str">
        <f t="array" ref="B400">IF(ISERROR(INDEX('Eingabe Meldungen'!$C$2:$C$492,LARGE(('Eingabe Meldungen'!$A$2:$A$492=$B$382)*(ROW('Eingabe Meldungen'!$A$2:$A$492)-1),COUNTIF('Eingabe Meldungen'!$A$2:$A$492,$B$382)+1-ROW('Eingabe Meldungen'!A17)))),"",INDEX('Eingabe Meldungen'!$C$2:$C$492,LARGE(('Eingabe Meldungen'!$A$2:$A$492=$B$382)*(ROW('Eingabe Meldungen'!$A$2:$A$492)-1),COUNTIF('Eingabe Meldungen'!$A$2:$A$492,$B$382)+1-ROW('Eingabe Meldungen'!A17))))</f>
        <v/>
      </c>
      <c r="C400" s="132" t="str">
        <f t="array" ref="C400">IF(ISERROR(INDEX('Eingabe Meldungen'!$D$2:$D$492,LARGE(('Eingabe Meldungen'!$A$2:$A$492=$B$382)*(ROW('Eingabe Meldungen'!$A$2:$A$492)-1),COUNTIF('Eingabe Meldungen'!$A$2:$A$492,$B$382)+1-ROW('Eingabe Meldungen'!A17)))),"",INDEX('Eingabe Meldungen'!$D$2:$D$492,LARGE(('Eingabe Meldungen'!$A$2:$A$492=$B$382)*(ROW('Eingabe Meldungen'!$A$2:$A$492)-1),COUNTIF('Eingabe Meldungen'!$A$2:$A$492,$B$382)+1-ROW('Eingabe Meldungen'!A17))))</f>
        <v/>
      </c>
      <c r="D400" s="78" t="str">
        <f t="array" ref="D400">IF(B400&lt;&gt;"",INDEX('Eingabe Meldungen'!$C$2:$H$492,MATCH(B400&amp;C400,'Eingabe Meldungen'!$C$2:$C$492&amp;'Eingabe Meldungen'!$D$2:$D$492,0),6),"")</f>
        <v/>
      </c>
      <c r="E400" s="78"/>
      <c r="F400" s="433">
        <v>9</v>
      </c>
      <c r="G400" s="144"/>
      <c r="H400" s="132"/>
      <c r="I400" s="134" t="str">
        <f t="array" ref="I400">IF(B400&lt;&gt;"",INDEX('Eingabe Meldungen'!$C$2:$J$492,MATCH(B400&amp;C400,'Eingabe Meldungen'!$C$2:$C$492&amp;'Eingabe Meldungen'!$D$2:$D$492,0),8),"")</f>
        <v/>
      </c>
    </row>
    <row r="401" spans="2:9" ht="13.2" thickBot="1" x14ac:dyDescent="0.25">
      <c r="B401" s="138" t="str">
        <f t="array" ref="B401">IF(ISERROR(INDEX('Eingabe Meldungen'!$C$2:$C$492,LARGE(('Eingabe Meldungen'!$A$2:$A$492=$B$382)*(ROW('Eingabe Meldungen'!$A$2:$A$492)-1),COUNTIF('Eingabe Meldungen'!$A$2:$A$492,$B$382)+1-ROW('Eingabe Meldungen'!A18)))),"",INDEX('Eingabe Meldungen'!$C$2:$C$492,LARGE(('Eingabe Meldungen'!$A$2:$A$492=$B$382)*(ROW('Eingabe Meldungen'!$A$2:$A$492)-1),COUNTIF('Eingabe Meldungen'!$A$2:$A$492,$B$382)+1-ROW('Eingabe Meldungen'!A18))))</f>
        <v/>
      </c>
      <c r="C401" s="139" t="str">
        <f t="array" ref="C401">IF(ISERROR(INDEX('Eingabe Meldungen'!$D$2:$D$492,LARGE(('Eingabe Meldungen'!$A$2:$A$492=$B$382)*(ROW('Eingabe Meldungen'!$A$2:$A$492)-1),COUNTIF('Eingabe Meldungen'!$A$2:$A$492,$B$382)+1-ROW('Eingabe Meldungen'!A18)))),"",INDEX('Eingabe Meldungen'!$D$2:$D$492,LARGE(('Eingabe Meldungen'!$A$2:$A$492=$B$382)*(ROW('Eingabe Meldungen'!$A$2:$A$492)-1),COUNTIF('Eingabe Meldungen'!$A$2:$A$492,$B$382)+1-ROW('Eingabe Meldungen'!A18))))</f>
        <v/>
      </c>
      <c r="D401" s="99" t="str">
        <f t="array" ref="D401">IF(B401&lt;&gt;"",INDEX('Eingabe Meldungen'!$C$2:$H$492,MATCH(B401&amp;C401,'Eingabe Meldungen'!$C$2:$C$492&amp;'Eingabe Meldungen'!$D$2:$D$492,0),6),"")</f>
        <v/>
      </c>
      <c r="E401" s="99"/>
      <c r="F401" s="434"/>
      <c r="G401" s="140"/>
      <c r="H401" s="139"/>
      <c r="I401" s="141" t="str">
        <f t="array" ref="I401">IF(B401&lt;&gt;"",INDEX('Eingabe Meldungen'!$C$2:$J$492,MATCH(B401&amp;C401,'Eingabe Meldungen'!$C$2:$C$492&amp;'Eingabe Meldungen'!$D$2:$D$492,0),8),"")</f>
        <v/>
      </c>
    </row>
    <row r="402" spans="2:9" x14ac:dyDescent="0.2">
      <c r="B402" s="131" t="str">
        <f t="array" ref="B402">IF(ISERROR(INDEX('Eingabe Meldungen'!$C$2:$C$492,LARGE(('Eingabe Meldungen'!$A$2:$A$492=$B$382)*(ROW('Eingabe Meldungen'!$A$2:$A$492)-1),COUNTIF('Eingabe Meldungen'!$A$2:$A$492,$B$382)+1-ROW('Eingabe Meldungen'!A19)))),"",INDEX('Eingabe Meldungen'!$C$2:$C$492,LARGE(('Eingabe Meldungen'!$A$2:$A$492=$B$382)*(ROW('Eingabe Meldungen'!$A$2:$A$492)-1),COUNTIF('Eingabe Meldungen'!$A$2:$A$492,$B$382)+1-ROW('Eingabe Meldungen'!A19))))</f>
        <v/>
      </c>
      <c r="C402" s="132" t="str">
        <f t="array" ref="C402">IF(ISERROR(INDEX('Eingabe Meldungen'!$D$2:$D$492,LARGE(('Eingabe Meldungen'!$A$2:$A$492=$B$382)*(ROW('Eingabe Meldungen'!$A$2:$A$492)-1),COUNTIF('Eingabe Meldungen'!$A$2:$A$492,$B$382)+1-ROW('Eingabe Meldungen'!A19)))),"",INDEX('Eingabe Meldungen'!$D$2:$D$492,LARGE(('Eingabe Meldungen'!$A$2:$A$492=$B$382)*(ROW('Eingabe Meldungen'!$A$2:$A$492)-1),COUNTIF('Eingabe Meldungen'!$A$2:$A$492,$B$382)+1-ROW('Eingabe Meldungen'!A19))))</f>
        <v/>
      </c>
      <c r="D402" s="78" t="str">
        <f t="array" ref="D402">IF(B402&lt;&gt;"",INDEX('Eingabe Meldungen'!$C$2:$H$492,MATCH(B402&amp;C402,'Eingabe Meldungen'!$C$2:$C$492&amp;'Eingabe Meldungen'!$D$2:$D$492,0),6),"")</f>
        <v/>
      </c>
      <c r="E402" s="78"/>
      <c r="F402" s="433">
        <v>10</v>
      </c>
      <c r="G402" s="144"/>
      <c r="H402" s="132"/>
      <c r="I402" s="134" t="str">
        <f t="array" ref="I402">IF(B402&lt;&gt;"",INDEX('Eingabe Meldungen'!$C$2:$J$492,MATCH(B402&amp;C402,'Eingabe Meldungen'!$C$2:$C$492&amp;'Eingabe Meldungen'!$D$2:$D$492,0),8),"")</f>
        <v/>
      </c>
    </row>
    <row r="403" spans="2:9" ht="13.2" thickBot="1" x14ac:dyDescent="0.25">
      <c r="B403" s="138" t="str">
        <f t="array" ref="B403">IF(ISERROR(INDEX('Eingabe Meldungen'!$C$2:$C$492,LARGE(('Eingabe Meldungen'!$A$2:$A$492=$B$382)*(ROW('Eingabe Meldungen'!$A$2:$A$492)-1),COUNTIF('Eingabe Meldungen'!$A$2:$A$492,$B$382)+1-ROW('Eingabe Meldungen'!A20)))),"",INDEX('Eingabe Meldungen'!$C$2:$C$492,LARGE(('Eingabe Meldungen'!$A$2:$A$492=$B$382)*(ROW('Eingabe Meldungen'!$A$2:$A$492)-1),COUNTIF('Eingabe Meldungen'!$A$2:$A$492,$B$382)+1-ROW('Eingabe Meldungen'!A20))))</f>
        <v/>
      </c>
      <c r="C403" s="139" t="str">
        <f t="array" ref="C403">IF(ISERROR(INDEX('Eingabe Meldungen'!$D$2:$D$492,LARGE(('Eingabe Meldungen'!$A$2:$A$492=$B$382)*(ROW('Eingabe Meldungen'!$A$2:$A$492)-1),COUNTIF('Eingabe Meldungen'!$A$2:$A$492,$B$382)+1-ROW('Eingabe Meldungen'!A20)))),"",INDEX('Eingabe Meldungen'!$D$2:$D$492,LARGE(('Eingabe Meldungen'!$A$2:$A$492=$B$382)*(ROW('Eingabe Meldungen'!$A$2:$A$492)-1),COUNTIF('Eingabe Meldungen'!$A$2:$A$492,$B$382)+1-ROW('Eingabe Meldungen'!A20))))</f>
        <v/>
      </c>
      <c r="D403" s="99" t="str">
        <f t="array" ref="D403">IF(B403&lt;&gt;"",INDEX('Eingabe Meldungen'!$C$2:$H$492,MATCH(B403&amp;C403,'Eingabe Meldungen'!$C$2:$C$492&amp;'Eingabe Meldungen'!$D$2:$D$492,0),6),"")</f>
        <v/>
      </c>
      <c r="E403" s="99"/>
      <c r="F403" s="434"/>
      <c r="G403" s="140"/>
      <c r="H403" s="139"/>
      <c r="I403" s="141" t="str">
        <f t="array" ref="I403">IF(B403&lt;&gt;"",INDEX('Eingabe Meldungen'!$C$2:$J$492,MATCH(B403&amp;C403,'Eingabe Meldungen'!$C$2:$C$492&amp;'Eingabe Meldungen'!$D$2:$D$492,0),8),"")</f>
        <v/>
      </c>
    </row>
    <row r="404" spans="2:9" x14ac:dyDescent="0.2">
      <c r="B404" s="4"/>
      <c r="C404" s="4"/>
      <c r="D404" s="4"/>
      <c r="E404" s="4"/>
      <c r="F404" s="4"/>
      <c r="G404" s="4"/>
      <c r="H404" s="4"/>
      <c r="I404" s="4"/>
    </row>
  </sheetData>
  <customSheetViews>
    <customSheetView guid="{391ED413-B519-42B5-B0F8-A9E49CD8514B}" hiddenColumns="1">
      <pane ySplit="1" topLeftCell="A5" activePane="bottomLeft" state="frozen"/>
      <selection pane="bottomLeft" activeCell="B17" sqref="B17"/>
      <pageMargins left="0.31496062992125984" right="0.11811023622047245" top="0.78740157480314965" bottom="0.59055118110236227" header="0" footer="0"/>
      <printOptions horizontalCentered="1" verticalCentered="1"/>
      <pageSetup paperSize="9" scale="85" orientation="landscape" r:id="rId1"/>
      <headerFooter differentFirst="1"/>
    </customSheetView>
  </customSheetViews>
  <mergeCells count="30">
    <mergeCell ref="B2:I2"/>
    <mergeCell ref="D128:E128"/>
    <mergeCell ref="F386:F387"/>
    <mergeCell ref="F384:F385"/>
    <mergeCell ref="F402:F403"/>
    <mergeCell ref="F388:F389"/>
    <mergeCell ref="F390:F391"/>
    <mergeCell ref="E384:E385"/>
    <mergeCell ref="E386:E387"/>
    <mergeCell ref="F392:F393"/>
    <mergeCell ref="F394:F395"/>
    <mergeCell ref="F396:F397"/>
    <mergeCell ref="F398:F399"/>
    <mergeCell ref="F400:F401"/>
    <mergeCell ref="K246:K248"/>
    <mergeCell ref="K203:K212"/>
    <mergeCell ref="K213:K222"/>
    <mergeCell ref="K22:K31"/>
    <mergeCell ref="K32:K41"/>
    <mergeCell ref="K42:K51"/>
    <mergeCell ref="K144:K153"/>
    <mergeCell ref="K154:K163"/>
    <mergeCell ref="K79:K88"/>
    <mergeCell ref="K167:K176"/>
    <mergeCell ref="K177:K186"/>
    <mergeCell ref="K226:K235"/>
    <mergeCell ref="K236:K245"/>
    <mergeCell ref="K55:K64"/>
    <mergeCell ref="K65:K69"/>
    <mergeCell ref="K74:K78"/>
  </mergeCells>
  <printOptions horizontalCentered="1"/>
  <pageMargins left="0.11811023622047245" right="0.11811023622047245" top="0.35433070866141736" bottom="7.874015748031496E-2" header="0" footer="0"/>
  <pageSetup paperSize="9" scale="90" orientation="landscape" r:id="rId2"/>
  <headerFooter differentFirst="1"/>
  <rowBreaks count="12" manualBreakCount="12">
    <brk id="18" min="1" max="10" man="1"/>
    <brk id="51" min="1" max="10" man="1"/>
    <brk id="88" min="1" max="10" man="1"/>
    <brk id="127" min="1" max="10" man="1"/>
    <brk id="163" min="1" max="10" man="1"/>
    <brk id="199" min="1" max="10" man="1"/>
    <brk id="222" min="1" max="10" man="1"/>
    <brk id="258" min="1" max="10" man="1"/>
    <brk id="290" min="1" max="10" man="1"/>
    <brk id="322" min="1" max="10" man="1"/>
    <brk id="351" min="1" max="10" man="1"/>
    <brk id="380" min="1" max="1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6" tint="0.39997558519241921"/>
    <pageSetUpPr fitToPage="1"/>
  </sheetPr>
  <dimension ref="B1:BM7716"/>
  <sheetViews>
    <sheetView zoomScale="70" zoomScaleNormal="70" zoomScaleSheetLayoutView="100" workbookViewId="0">
      <pane ySplit="79" topLeftCell="A80" activePane="bottomLeft" state="frozen"/>
      <selection pane="bottomLeft" activeCell="G81" sqref="G81"/>
    </sheetView>
  </sheetViews>
  <sheetFormatPr baseColWidth="10" defaultRowHeight="12.6" x14ac:dyDescent="0.2"/>
  <cols>
    <col min="1" max="1" width="2.36328125" customWidth="1"/>
    <col min="2" max="2" width="19.7265625" customWidth="1"/>
    <col min="3" max="3" width="22.453125" customWidth="1"/>
    <col min="4" max="4" width="24.36328125" customWidth="1"/>
    <col min="5" max="5" width="25.36328125" style="4" customWidth="1"/>
    <col min="6" max="6" width="16" customWidth="1"/>
    <col min="7" max="7" width="14.90625" customWidth="1"/>
    <col min="8" max="8" width="30.453125" customWidth="1"/>
    <col min="9" max="9" width="2.453125" customWidth="1"/>
    <col min="10" max="10" width="5.26953125" style="20" bestFit="1" customWidth="1"/>
    <col min="11" max="35" width="4.90625" customWidth="1"/>
    <col min="36" max="65" width="3" customWidth="1"/>
  </cols>
  <sheetData>
    <row r="1" spans="2:65" ht="13.2" thickBot="1" x14ac:dyDescent="0.25">
      <c r="J1"/>
    </row>
    <row r="2" spans="2:65" ht="21.75" customHeight="1" thickBot="1" x14ac:dyDescent="0.25">
      <c r="H2" s="320" t="s">
        <v>79</v>
      </c>
      <c r="J2" s="321">
        <f>RANK(J3,$J$3:$AI$3)</f>
        <v>13</v>
      </c>
      <c r="K2" s="321">
        <f t="shared" ref="K2:AI2" si="0">RANK(K3,$J$3:$AI$3)</f>
        <v>7</v>
      </c>
      <c r="L2" s="321">
        <f t="shared" si="0"/>
        <v>10</v>
      </c>
      <c r="M2" s="321">
        <f t="shared" si="0"/>
        <v>3</v>
      </c>
      <c r="N2" s="321">
        <f t="shared" si="0"/>
        <v>11</v>
      </c>
      <c r="O2" s="321">
        <f t="shared" si="0"/>
        <v>1</v>
      </c>
      <c r="P2" s="321">
        <f t="shared" si="0"/>
        <v>2</v>
      </c>
      <c r="Q2" s="321">
        <f t="shared" si="0"/>
        <v>4</v>
      </c>
      <c r="R2" s="321">
        <f t="shared" si="0"/>
        <v>5</v>
      </c>
      <c r="S2" s="321">
        <f t="shared" si="0"/>
        <v>9</v>
      </c>
      <c r="T2" s="321">
        <f>RANK(T3,$J$3:$AI$3)</f>
        <v>8</v>
      </c>
      <c r="U2" s="321">
        <f t="shared" si="0"/>
        <v>6</v>
      </c>
      <c r="V2" s="321">
        <f t="shared" si="0"/>
        <v>12</v>
      </c>
      <c r="W2" s="321">
        <f t="shared" si="0"/>
        <v>14</v>
      </c>
      <c r="X2" s="321">
        <f t="shared" si="0"/>
        <v>14</v>
      </c>
      <c r="Y2" s="321">
        <f t="shared" si="0"/>
        <v>14</v>
      </c>
      <c r="Z2" s="321">
        <f t="shared" si="0"/>
        <v>14</v>
      </c>
      <c r="AA2" s="321">
        <f t="shared" si="0"/>
        <v>14</v>
      </c>
      <c r="AB2" s="321">
        <f t="shared" si="0"/>
        <v>14</v>
      </c>
      <c r="AC2" s="321">
        <f t="shared" si="0"/>
        <v>14</v>
      </c>
      <c r="AD2" s="321">
        <f t="shared" si="0"/>
        <v>14</v>
      </c>
      <c r="AE2" s="321">
        <f t="shared" si="0"/>
        <v>14</v>
      </c>
      <c r="AF2" s="321">
        <f t="shared" si="0"/>
        <v>14</v>
      </c>
      <c r="AG2" s="321">
        <f t="shared" si="0"/>
        <v>14</v>
      </c>
      <c r="AH2" s="321">
        <f t="shared" si="0"/>
        <v>14</v>
      </c>
      <c r="AI2" s="321">
        <f t="shared" si="0"/>
        <v>14</v>
      </c>
      <c r="AJ2" s="247"/>
      <c r="AK2" s="247"/>
      <c r="AL2" s="247"/>
      <c r="AM2" s="247"/>
    </row>
    <row r="3" spans="2:65" ht="19.5" customHeight="1" thickBot="1" x14ac:dyDescent="0.25">
      <c r="H3" s="320" t="s">
        <v>32</v>
      </c>
      <c r="J3" s="322">
        <f t="shared" ref="J3:AI3" si="1">SUM(J81:J652)</f>
        <v>5</v>
      </c>
      <c r="K3" s="322">
        <f t="shared" si="1"/>
        <v>17</v>
      </c>
      <c r="L3" s="322">
        <f t="shared" si="1"/>
        <v>12</v>
      </c>
      <c r="M3" s="322">
        <f t="shared" si="1"/>
        <v>53</v>
      </c>
      <c r="N3" s="322">
        <f t="shared" si="1"/>
        <v>10</v>
      </c>
      <c r="O3" s="322">
        <f t="shared" si="1"/>
        <v>72</v>
      </c>
      <c r="P3" s="322">
        <f t="shared" si="1"/>
        <v>54</v>
      </c>
      <c r="Q3" s="322">
        <f t="shared" si="1"/>
        <v>52</v>
      </c>
      <c r="R3" s="322">
        <f t="shared" si="1"/>
        <v>46</v>
      </c>
      <c r="S3" s="322">
        <f t="shared" si="1"/>
        <v>13</v>
      </c>
      <c r="T3" s="322">
        <f t="shared" si="1"/>
        <v>14</v>
      </c>
      <c r="U3" s="322">
        <f t="shared" si="1"/>
        <v>29</v>
      </c>
      <c r="V3" s="322">
        <f t="shared" si="1"/>
        <v>9</v>
      </c>
      <c r="W3" s="322">
        <f t="shared" si="1"/>
        <v>0</v>
      </c>
      <c r="X3" s="322">
        <f t="shared" si="1"/>
        <v>0</v>
      </c>
      <c r="Y3" s="322">
        <f t="shared" si="1"/>
        <v>0</v>
      </c>
      <c r="Z3" s="322">
        <f t="shared" si="1"/>
        <v>0</v>
      </c>
      <c r="AA3" s="322">
        <f t="shared" si="1"/>
        <v>0</v>
      </c>
      <c r="AB3" s="322">
        <f t="shared" si="1"/>
        <v>0</v>
      </c>
      <c r="AC3" s="322">
        <f t="shared" si="1"/>
        <v>0</v>
      </c>
      <c r="AD3" s="322">
        <f t="shared" si="1"/>
        <v>0</v>
      </c>
      <c r="AE3" s="322">
        <f t="shared" si="1"/>
        <v>0</v>
      </c>
      <c r="AF3" s="322">
        <f t="shared" si="1"/>
        <v>0</v>
      </c>
      <c r="AG3" s="322">
        <f t="shared" si="1"/>
        <v>0</v>
      </c>
      <c r="AH3" s="322">
        <f t="shared" si="1"/>
        <v>0</v>
      </c>
      <c r="AI3" s="322">
        <f t="shared" si="1"/>
        <v>0</v>
      </c>
      <c r="AJ3" s="247"/>
      <c r="AK3" s="247"/>
      <c r="AL3" s="247"/>
      <c r="AM3" s="247"/>
    </row>
    <row r="4" spans="2:65" ht="161.25" customHeight="1" thickBot="1" x14ac:dyDescent="0.25">
      <c r="B4" s="438" t="s">
        <v>90</v>
      </c>
      <c r="C4" s="439"/>
      <c r="D4" s="439"/>
      <c r="E4" s="439"/>
      <c r="F4" s="439"/>
      <c r="G4" s="439"/>
      <c r="H4" s="440"/>
      <c r="J4" s="323" t="s">
        <v>506</v>
      </c>
      <c r="K4" s="323" t="s">
        <v>511</v>
      </c>
      <c r="L4" s="323" t="s">
        <v>510</v>
      </c>
      <c r="M4" s="323" t="s">
        <v>241</v>
      </c>
      <c r="N4" s="323" t="s">
        <v>507</v>
      </c>
      <c r="O4" s="323" t="s">
        <v>508</v>
      </c>
      <c r="P4" s="323" t="s">
        <v>509</v>
      </c>
      <c r="Q4" s="323" t="s">
        <v>449</v>
      </c>
      <c r="R4" s="323" t="s">
        <v>512</v>
      </c>
      <c r="S4" s="323" t="s">
        <v>387</v>
      </c>
      <c r="T4" s="323" t="s">
        <v>545</v>
      </c>
      <c r="U4" s="323" t="s">
        <v>77</v>
      </c>
      <c r="V4" s="323" t="s">
        <v>367</v>
      </c>
      <c r="W4" s="323"/>
      <c r="X4" s="323"/>
      <c r="Y4" s="323"/>
      <c r="Z4" s="323"/>
      <c r="AA4" s="323"/>
      <c r="AB4" s="323"/>
      <c r="AC4" s="323"/>
      <c r="AD4" s="323"/>
      <c r="AE4" s="323"/>
      <c r="AF4" s="323"/>
      <c r="AG4" s="323"/>
      <c r="AH4" s="323"/>
      <c r="AI4" s="323"/>
      <c r="AJ4" s="324"/>
      <c r="AK4" s="324"/>
      <c r="AL4" s="324"/>
      <c r="AM4" s="324"/>
      <c r="AN4" s="325"/>
      <c r="AO4" s="325"/>
      <c r="AP4" s="325"/>
      <c r="AQ4" s="325"/>
      <c r="AR4" s="325"/>
      <c r="AS4" s="325"/>
      <c r="AT4" s="325"/>
      <c r="AU4" s="325"/>
      <c r="AV4" s="325"/>
      <c r="AW4" s="325"/>
      <c r="AX4" s="325"/>
      <c r="AY4" s="325"/>
      <c r="AZ4" s="325"/>
      <c r="BA4" s="325"/>
      <c r="BB4" s="325"/>
      <c r="BC4" s="325"/>
      <c r="BD4" s="325"/>
      <c r="BE4" s="325"/>
      <c r="BF4" s="325"/>
      <c r="BG4" s="325"/>
      <c r="BH4" s="325"/>
      <c r="BI4" s="325"/>
      <c r="BJ4" s="325"/>
      <c r="BK4" s="325"/>
      <c r="BL4" s="325"/>
      <c r="BM4" s="325"/>
    </row>
    <row r="5" spans="2:65" ht="24" hidden="1" customHeight="1" x14ac:dyDescent="0.2">
      <c r="B5" s="196">
        <v>1</v>
      </c>
      <c r="C5" s="197" t="str">
        <f>VLOOKUP(B5,Ausschreibung!$B$5:$I$35,2,FALSE)</f>
        <v>Ergocup</v>
      </c>
      <c r="D5" s="198">
        <f>VLOOKUP(B5,Ausschreibung!$B$5:$I$35,3,FALSE)</f>
        <v>0.375</v>
      </c>
      <c r="E5" s="197" t="str">
        <f>VLOOKUP(B5,Ausschreibung!$B$5:$I$35,4,FALSE)</f>
        <v>Masters A-H, weiblich  </v>
      </c>
      <c r="F5" s="203" t="str">
        <f>VLOOKUP(B5,Ausschreibung!$B$5:$I$35,5,FALSE)</f>
        <v>-</v>
      </c>
      <c r="G5" s="197" t="str">
        <f>VLOOKUP(B5,Ausschreibung!$B$5:$I$35,6,FALSE)</f>
        <v>27 und älter  </v>
      </c>
      <c r="H5" s="199" t="str">
        <f>VLOOKUP(B5,Ausschreibung!$B$5:$I$35,8,FALSE)</f>
        <v>30 min.</v>
      </c>
      <c r="I5" s="17"/>
      <c r="J5" s="270"/>
      <c r="K5" s="271"/>
      <c r="L5" s="272"/>
      <c r="M5" s="273"/>
      <c r="N5" s="272"/>
      <c r="O5" s="272"/>
      <c r="P5" s="272"/>
      <c r="Q5" s="272"/>
      <c r="R5" s="272"/>
      <c r="S5" s="272"/>
      <c r="T5" s="274"/>
      <c r="U5" s="274"/>
      <c r="V5" s="275"/>
      <c r="W5" s="275"/>
      <c r="X5" s="275"/>
      <c r="Y5" s="275"/>
      <c r="Z5" s="275"/>
      <c r="AA5" s="275"/>
      <c r="AB5" s="275"/>
      <c r="AC5" s="275"/>
      <c r="AD5" s="275"/>
      <c r="AE5" s="275"/>
      <c r="AF5" s="275"/>
      <c r="AG5" s="275"/>
      <c r="AH5" s="275"/>
      <c r="AI5" s="275"/>
      <c r="AJ5" s="247"/>
      <c r="AK5" s="247"/>
      <c r="AL5" s="247"/>
      <c r="AM5" s="247"/>
    </row>
    <row r="6" spans="2:65" hidden="1" x14ac:dyDescent="0.2">
      <c r="B6" s="19" t="s">
        <v>1</v>
      </c>
      <c r="C6" s="18" t="s">
        <v>2</v>
      </c>
      <c r="D6" s="17" t="s">
        <v>49</v>
      </c>
      <c r="E6" s="130" t="s">
        <v>16</v>
      </c>
      <c r="F6" s="17" t="s">
        <v>50</v>
      </c>
      <c r="G6" s="17" t="s">
        <v>51</v>
      </c>
      <c r="H6" s="30" t="s">
        <v>17</v>
      </c>
      <c r="I6" s="16"/>
      <c r="J6" s="270"/>
      <c r="K6" s="271"/>
      <c r="L6" s="272"/>
      <c r="M6" s="273"/>
      <c r="N6" s="272"/>
      <c r="O6" s="272"/>
      <c r="P6" s="272"/>
      <c r="Q6" s="272"/>
      <c r="R6" s="272"/>
      <c r="S6" s="272"/>
      <c r="T6" s="274"/>
      <c r="U6" s="274"/>
      <c r="V6" s="275"/>
      <c r="W6" s="275"/>
      <c r="X6" s="275"/>
      <c r="Y6" s="275"/>
      <c r="Z6" s="275"/>
      <c r="AA6" s="275"/>
      <c r="AB6" s="275"/>
      <c r="AC6" s="275"/>
      <c r="AD6" s="275"/>
      <c r="AE6" s="275"/>
      <c r="AF6" s="275"/>
      <c r="AG6" s="275"/>
      <c r="AH6" s="275"/>
      <c r="AI6" s="275"/>
      <c r="AJ6" s="247"/>
      <c r="AK6" s="247"/>
      <c r="AL6" s="247"/>
      <c r="AM6" s="247"/>
    </row>
    <row r="7" spans="2:65" hidden="1" x14ac:dyDescent="0.2">
      <c r="B7" s="20" t="str">
        <f t="array" ref="B7">IF(ISERROR(INDEX('Eingabe Meldungen'!$C$2:$C$492,LARGE(('Eingabe Meldungen'!$A$2:$A$492=$B$5)*(ROW('Eingabe Meldungen'!$A$2:$A$492)-1),COUNTIF('Eingabe Meldungen'!$A$2:$A$492,$B$5)+1-ROW('Eingabe Meldungen'!A1)))),"",INDEX('Eingabe Meldungen'!$C$2:$C$492,LARGE(('Eingabe Meldungen'!$A$2:$A$492=$B$5)*(ROW('Eingabe Meldungen'!$A$2:$A$492)-1),COUNTIF('Eingabe Meldungen'!$A$2:$A$492,$B$5)+1-ROW('Eingabe Meldungen'!A1))))</f>
        <v>Reinert</v>
      </c>
      <c r="C7" t="str">
        <f t="array" ref="C7">IF(ISERROR(INDEX('Eingabe Meldungen'!$D$2:$D$492,LARGE(('Eingabe Meldungen'!$A$2:$A$492=$B$5)*(ROW('Eingabe Meldungen'!$A$2:$A$492)-1),COUNTIF('Eingabe Meldungen'!$A$2:$A$492,$B$5)+1-ROW('Eingabe Meldungen'!A1)))),"",INDEX('Eingabe Meldungen'!$D$2:$D$492,LARGE(('Eingabe Meldungen'!$A$2:$A$492=$B$5)*(ROW('Eingabe Meldungen'!$A$2:$A$492)-1),COUNTIF('Eingabe Meldungen'!$A$2:$A$492,$B$5)+1-ROW('Eingabe Meldungen'!A1))))</f>
        <v>Ingrid</v>
      </c>
      <c r="D7" s="11">
        <f t="array" ref="D7">IF(B7&lt;&gt;"",INDEX('Eingabe Meldungen'!$C$2:$H$492,MATCH(B7&amp;C7,'Eingabe Meldungen'!$C$2:$C$492&amp;'Eingabe Meldungen'!$D$2:$D$492,0),6),"")</f>
        <v>1960</v>
      </c>
      <c r="E7" s="66" t="str">
        <f t="array" ref="E7">IF(B7&lt;&gt;"",INDEX('Eingabe Meldungen'!$C$2:$H$492,MATCH(B7&amp;C7,'Eingabe Meldungen'!$C$2:$C$492&amp;'Eingabe Meldungen'!$D$2:$D$492,0),4),"")</f>
        <v>F</v>
      </c>
      <c r="F7" s="32" t="str">
        <f>IF(VLOOKUP(B7,Rennlisten!$B$6:$H$18,6,FALSE)=0,"",VLOOKUP(B7,Rennlisten!$B$6:$H$18,6,FALSE))</f>
        <v/>
      </c>
      <c r="G7" t="e">
        <f>RANK(F7,F7:F22,1)</f>
        <v>#VALUE!</v>
      </c>
      <c r="H7" s="21" t="str">
        <f t="array" ref="H7">IF(B7&lt;&gt;"",INDEX('Eingabe Meldungen'!$C$2:$J$492,MATCH(B7&amp;C7,'Eingabe Meldungen'!$C$2:$C$492&amp;'Eingabe Meldungen'!$D$2:$D$492,0),8),"")</f>
        <v>HRG Schwaben</v>
      </c>
      <c r="J7" s="276"/>
      <c r="K7" s="276"/>
      <c r="L7" s="276"/>
      <c r="M7" s="276"/>
      <c r="N7" s="276"/>
      <c r="O7" s="276" t="str">
        <f t="shared" ref="O7:AI16" si="2">IF(EXACT($H7,O$4),$I7,"")</f>
        <v/>
      </c>
      <c r="P7" s="276" t="str">
        <f t="shared" si="2"/>
        <v/>
      </c>
      <c r="Q7" s="276">
        <f t="shared" si="2"/>
        <v>0</v>
      </c>
      <c r="R7" s="276" t="str">
        <f t="shared" si="2"/>
        <v/>
      </c>
      <c r="S7" s="276" t="str">
        <f t="shared" si="2"/>
        <v/>
      </c>
      <c r="T7" s="276" t="str">
        <f t="shared" si="2"/>
        <v/>
      </c>
      <c r="U7" s="276" t="str">
        <f t="shared" si="2"/>
        <v/>
      </c>
      <c r="V7" s="276" t="str">
        <f t="shared" si="2"/>
        <v/>
      </c>
      <c r="W7" s="276" t="str">
        <f t="shared" si="2"/>
        <v/>
      </c>
      <c r="X7" s="276" t="str">
        <f t="shared" si="2"/>
        <v/>
      </c>
      <c r="Y7" s="276" t="str">
        <f t="shared" si="2"/>
        <v/>
      </c>
      <c r="Z7" s="276" t="str">
        <f t="shared" si="2"/>
        <v/>
      </c>
      <c r="AA7" s="276" t="str">
        <f t="shared" si="2"/>
        <v/>
      </c>
      <c r="AB7" s="276" t="str">
        <f t="shared" si="2"/>
        <v/>
      </c>
      <c r="AC7" s="276" t="str">
        <f t="shared" si="2"/>
        <v/>
      </c>
      <c r="AD7" s="276" t="str">
        <f t="shared" si="2"/>
        <v/>
      </c>
      <c r="AE7" s="276"/>
      <c r="AF7" s="276"/>
      <c r="AG7" s="276" t="str">
        <f t="shared" si="2"/>
        <v/>
      </c>
      <c r="AH7" s="276" t="str">
        <f t="shared" si="2"/>
        <v/>
      </c>
      <c r="AI7" s="276" t="str">
        <f t="shared" si="2"/>
        <v/>
      </c>
      <c r="AJ7" s="247"/>
      <c r="AK7" s="247"/>
      <c r="AL7" s="247"/>
      <c r="AM7" s="247"/>
    </row>
    <row r="8" spans="2:65" ht="12.75" hidden="1" customHeight="1" x14ac:dyDescent="0.2">
      <c r="B8" s="20" t="str">
        <f t="array" ref="B8">IF(ISERROR(INDEX('Eingabe Meldungen'!$C$2:$C$492,LARGE(('Eingabe Meldungen'!$A$2:$A$492=$B$5)*(ROW('Eingabe Meldungen'!$A$2:$A$492)-1),COUNTIF('Eingabe Meldungen'!$A$2:$A$492,$B$5)+1-ROW('Eingabe Meldungen'!A2)))),"",INDEX('Eingabe Meldungen'!$C$2:$C$492,LARGE(('Eingabe Meldungen'!$A$2:$A$492=$B$5)*(ROW('Eingabe Meldungen'!$A$2:$A$492)-1),COUNTIF('Eingabe Meldungen'!$A$2:$A$492,$B$5)+1-ROW('Eingabe Meldungen'!A2))))</f>
        <v>Schmidt</v>
      </c>
      <c r="C8" t="str">
        <f t="array" ref="C8">IF(ISERROR(INDEX('Eingabe Meldungen'!$D$2:$D$492,LARGE(('Eingabe Meldungen'!$A$2:$A$492=$B$5)*(ROW('Eingabe Meldungen'!$A$2:$A$492)-1),COUNTIF('Eingabe Meldungen'!$A$2:$A$492,$B$5)+1-ROW('Eingabe Meldungen'!A2)))),"",INDEX('Eingabe Meldungen'!$D$2:$D$492,LARGE(('Eingabe Meldungen'!$A$2:$A$492=$B$5)*(ROW('Eingabe Meldungen'!$A$2:$A$492)-1),COUNTIF('Eingabe Meldungen'!$A$2:$A$492,$B$5)+1-ROW('Eingabe Meldungen'!A2))))</f>
        <v>Henriette</v>
      </c>
      <c r="D8" s="11">
        <f t="array" ref="D8">IF(B8&lt;&gt;"",INDEX('Eingabe Meldungen'!$C$2:$H$492,MATCH(B8&amp;C8,'Eingabe Meldungen'!$C$2:$C$492&amp;'Eingabe Meldungen'!$D$2:$D$492,0),6),"")</f>
        <v>1965</v>
      </c>
      <c r="E8" s="66" t="str">
        <f t="array" ref="E8">IF(B8&lt;&gt;"",INDEX('Eingabe Meldungen'!$C$2:$H$492,MATCH(B8&amp;C8,'Eingabe Meldungen'!$C$2:$C$492&amp;'Eingabe Meldungen'!$D$2:$D$492,0),4),"")</f>
        <v>D</v>
      </c>
      <c r="F8" s="32" t="str">
        <f>IF(VLOOKUP(B8,Rennlisten!$B$6:$H$18,6,FALSE)=0,"",VLOOKUP(B8,Rennlisten!$B$6:$H$18,6,FALSE))</f>
        <v/>
      </c>
      <c r="G8" t="e">
        <f t="shared" ref="G8:G22" si="3">RANK(F8,$F$7:$F$22,1)</f>
        <v>#VALUE!</v>
      </c>
      <c r="H8" s="21" t="str">
        <f t="array" ref="H8">IF(B8&lt;&gt;"",INDEX('Eingabe Meldungen'!$C$2:$J$492,MATCH(B8&amp;C8,'Eingabe Meldungen'!$C$2:$C$492&amp;'Eingabe Meldungen'!$D$2:$D$492,0),8),"")</f>
        <v>Marbacher Ruderverein</v>
      </c>
      <c r="J8" s="276"/>
      <c r="K8" s="276"/>
      <c r="L8" s="276"/>
      <c r="M8" s="276"/>
      <c r="N8" s="276"/>
      <c r="O8" s="276" t="str">
        <f t="shared" si="2"/>
        <v/>
      </c>
      <c r="P8" s="276" t="str">
        <f t="shared" si="2"/>
        <v/>
      </c>
      <c r="Q8" s="276" t="str">
        <f t="shared" si="2"/>
        <v/>
      </c>
      <c r="R8" s="276" t="str">
        <f t="shared" si="2"/>
        <v/>
      </c>
      <c r="S8" s="276" t="str">
        <f t="shared" si="2"/>
        <v/>
      </c>
      <c r="T8" s="276" t="str">
        <f t="shared" si="2"/>
        <v/>
      </c>
      <c r="U8" s="276" t="str">
        <f t="shared" si="2"/>
        <v/>
      </c>
      <c r="V8" s="276" t="str">
        <f t="shared" si="2"/>
        <v/>
      </c>
      <c r="W8" s="276" t="str">
        <f t="shared" si="2"/>
        <v/>
      </c>
      <c r="X8" s="276" t="str">
        <f t="shared" si="2"/>
        <v/>
      </c>
      <c r="Y8" s="276" t="str">
        <f t="shared" si="2"/>
        <v/>
      </c>
      <c r="Z8" s="276" t="str">
        <f t="shared" si="2"/>
        <v/>
      </c>
      <c r="AA8" s="276" t="str">
        <f t="shared" si="2"/>
        <v/>
      </c>
      <c r="AB8" s="276" t="str">
        <f t="shared" si="2"/>
        <v/>
      </c>
      <c r="AC8" s="276" t="str">
        <f t="shared" si="2"/>
        <v/>
      </c>
      <c r="AD8" s="276" t="str">
        <f t="shared" si="2"/>
        <v/>
      </c>
      <c r="AE8" s="276"/>
      <c r="AF8" s="276"/>
      <c r="AG8" s="276" t="str">
        <f t="shared" si="2"/>
        <v/>
      </c>
      <c r="AH8" s="276" t="str">
        <f t="shared" si="2"/>
        <v/>
      </c>
      <c r="AI8" s="276" t="str">
        <f t="shared" si="2"/>
        <v/>
      </c>
      <c r="AJ8" s="247"/>
      <c r="AK8" s="247"/>
      <c r="AL8" s="247"/>
      <c r="AM8" s="247"/>
    </row>
    <row r="9" spans="2:65" hidden="1" x14ac:dyDescent="0.2">
      <c r="B9" s="20" t="str">
        <f t="array" ref="B9">IF(ISERROR(INDEX('Eingabe Meldungen'!$C$2:$C$492,LARGE(('Eingabe Meldungen'!$A$2:$A$492=$B$5)*(ROW('Eingabe Meldungen'!$A$2:$A$492)-1),COUNTIF('Eingabe Meldungen'!$A$2:$A$492,$B$5)+1-ROW('Eingabe Meldungen'!A3)))),"",INDEX('Eingabe Meldungen'!$C$2:$C$492,LARGE(('Eingabe Meldungen'!$A$2:$A$492=$B$5)*(ROW('Eingabe Meldungen'!$A$2:$A$492)-1),COUNTIF('Eingabe Meldungen'!$A$2:$A$492,$B$5)+1-ROW('Eingabe Meldungen'!A3))))</f>
        <v>Young</v>
      </c>
      <c r="C9" t="str">
        <f t="array" ref="C9">IF(ISERROR(INDEX('Eingabe Meldungen'!$D$2:$D$492,LARGE(('Eingabe Meldungen'!$A$2:$A$492=$B$5)*(ROW('Eingabe Meldungen'!$A$2:$A$492)-1),COUNTIF('Eingabe Meldungen'!$A$2:$A$492,$B$5)+1-ROW('Eingabe Meldungen'!A3)))),"",INDEX('Eingabe Meldungen'!$D$2:$D$492,LARGE(('Eingabe Meldungen'!$A$2:$A$492=$B$5)*(ROW('Eingabe Meldungen'!$A$2:$A$492)-1),COUNTIF('Eingabe Meldungen'!$A$2:$A$492,$B$5)+1-ROW('Eingabe Meldungen'!A3))))</f>
        <v>Susan</v>
      </c>
      <c r="D9" s="11">
        <f t="array" ref="D9">IF(B9&lt;&gt;"",INDEX('Eingabe Meldungen'!$C$2:$H$492,MATCH(B9&amp;C9,'Eingabe Meldungen'!$C$2:$C$492&amp;'Eingabe Meldungen'!$D$2:$D$492,0),6),"")</f>
        <v>1965</v>
      </c>
      <c r="E9" s="66" t="str">
        <f t="array" ref="E9">IF(B9&lt;&gt;"",INDEX('Eingabe Meldungen'!$C$2:$H$492,MATCH(B9&amp;C9,'Eingabe Meldungen'!$C$2:$C$492&amp;'Eingabe Meldungen'!$D$2:$D$492,0),4),"")</f>
        <v>D</v>
      </c>
      <c r="F9" s="32" t="str">
        <f>IF(VLOOKUP(B9,Rennlisten!$B$6:$H$18,6,FALSE)=0,"",VLOOKUP(B9,Rennlisten!$B$6:$H$18,6,FALSE))</f>
        <v/>
      </c>
      <c r="G9" t="e">
        <f t="shared" si="3"/>
        <v>#VALUE!</v>
      </c>
      <c r="H9" s="21" t="str">
        <f t="array" ref="H9">IF(B9&lt;&gt;"",INDEX('Eingabe Meldungen'!$C$2:$J$492,MATCH(B9&amp;C9,'Eingabe Meldungen'!$C$2:$C$492&amp;'Eingabe Meldungen'!$D$2:$D$492,0),8),"")</f>
        <v>Sub7 IRC</v>
      </c>
      <c r="J9" s="276"/>
      <c r="K9" s="276"/>
      <c r="L9" s="276"/>
      <c r="M9" s="276"/>
      <c r="N9" s="276"/>
      <c r="O9" s="276" t="str">
        <f t="shared" si="2"/>
        <v/>
      </c>
      <c r="P9" s="276" t="str">
        <f t="shared" si="2"/>
        <v/>
      </c>
      <c r="Q9" s="276" t="str">
        <f t="shared" si="2"/>
        <v/>
      </c>
      <c r="R9" s="276" t="str">
        <f t="shared" si="2"/>
        <v/>
      </c>
      <c r="S9" s="276" t="str">
        <f t="shared" si="2"/>
        <v/>
      </c>
      <c r="T9" s="276" t="str">
        <f t="shared" si="2"/>
        <v/>
      </c>
      <c r="U9" s="276" t="str">
        <f t="shared" si="2"/>
        <v/>
      </c>
      <c r="V9" s="276" t="str">
        <f t="shared" si="2"/>
        <v/>
      </c>
      <c r="W9" s="276" t="str">
        <f t="shared" si="2"/>
        <v/>
      </c>
      <c r="X9" s="276" t="str">
        <f t="shared" si="2"/>
        <v/>
      </c>
      <c r="Y9" s="276" t="str">
        <f t="shared" si="2"/>
        <v/>
      </c>
      <c r="Z9" s="276" t="str">
        <f t="shared" si="2"/>
        <v/>
      </c>
      <c r="AA9" s="276" t="str">
        <f t="shared" si="2"/>
        <v/>
      </c>
      <c r="AB9" s="276" t="str">
        <f t="shared" si="2"/>
        <v/>
      </c>
      <c r="AC9" s="276" t="str">
        <f t="shared" si="2"/>
        <v/>
      </c>
      <c r="AD9" s="276" t="str">
        <f t="shared" si="2"/>
        <v/>
      </c>
      <c r="AE9" s="276"/>
      <c r="AF9" s="276"/>
      <c r="AG9" s="276" t="str">
        <f t="shared" si="2"/>
        <v/>
      </c>
      <c r="AH9" s="276" t="str">
        <f t="shared" si="2"/>
        <v/>
      </c>
      <c r="AI9" s="276" t="str">
        <f t="shared" si="2"/>
        <v/>
      </c>
      <c r="AJ9" s="247"/>
      <c r="AK9" s="247"/>
      <c r="AL9" s="247"/>
      <c r="AM9" s="247"/>
    </row>
    <row r="10" spans="2:65" hidden="1" x14ac:dyDescent="0.2">
      <c r="B10" s="20" t="str">
        <f t="array" ref="B10">IF(ISERROR(INDEX('Eingabe Meldungen'!$C$2:$C$492,LARGE(('Eingabe Meldungen'!$A$2:$A$492=$B$5)*(ROW('Eingabe Meldungen'!$A$2:$A$492)-1),COUNTIF('Eingabe Meldungen'!$A$2:$A$492,$B$5)+1-ROW('Eingabe Meldungen'!A4)))),"",INDEX('Eingabe Meldungen'!$C$2:$C$492,LARGE(('Eingabe Meldungen'!$A$2:$A$492=$B$5)*(ROW('Eingabe Meldungen'!$A$2:$A$492)-1),COUNTIF('Eingabe Meldungen'!$A$2:$A$492,$B$5)+1-ROW('Eingabe Meldungen'!A4))))</f>
        <v>Breitenbücher</v>
      </c>
      <c r="C10" t="str">
        <f t="array" ref="C10">IF(ISERROR(INDEX('Eingabe Meldungen'!$D$2:$D$492,LARGE(('Eingabe Meldungen'!$A$2:$A$492=$B$5)*(ROW('Eingabe Meldungen'!$A$2:$A$492)-1),COUNTIF('Eingabe Meldungen'!$A$2:$A$492,$B$5)+1-ROW('Eingabe Meldungen'!A4)))),"",INDEX('Eingabe Meldungen'!$D$2:$D$492,LARGE(('Eingabe Meldungen'!$A$2:$A$492=$B$5)*(ROW('Eingabe Meldungen'!$A$2:$A$492)-1),COUNTIF('Eingabe Meldungen'!$A$2:$A$492,$B$5)+1-ROW('Eingabe Meldungen'!A4))))</f>
        <v>Heike</v>
      </c>
      <c r="D10" s="11">
        <f t="array" ref="D10">IF(B10&lt;&gt;"",INDEX('Eingabe Meldungen'!$C$2:$H$492,MATCH(B10&amp;C10,'Eingabe Meldungen'!$C$2:$C$492&amp;'Eingabe Meldungen'!$D$2:$D$492,0),6),"")</f>
        <v>1967</v>
      </c>
      <c r="E10" s="66" t="str">
        <f t="array" ref="E10">IF(B10&lt;&gt;"",INDEX('Eingabe Meldungen'!$C$2:$H$492,MATCH(B10&amp;C10,'Eingabe Meldungen'!$C$2:$C$492&amp;'Eingabe Meldungen'!$D$2:$D$492,0),4),"")</f>
        <v>D</v>
      </c>
      <c r="F10" s="32" t="str">
        <f>IF(VLOOKUP(B10,Rennlisten!$B$6:$H$18,6,FALSE)=0,"",VLOOKUP(B10,Rennlisten!$B$6:$H$18,6,FALSE))</f>
        <v/>
      </c>
      <c r="G10" t="e">
        <f t="shared" si="3"/>
        <v>#VALUE!</v>
      </c>
      <c r="H10" s="21" t="str">
        <f t="array" ref="H10">IF(B10&lt;&gt;"",INDEX('Eingabe Meldungen'!$C$2:$J$492,MATCH(B10&amp;C10,'Eingabe Meldungen'!$C$2:$C$492&amp;'Eingabe Meldungen'!$D$2:$D$492,0),8),"")</f>
        <v>Marbacher Ruderverein</v>
      </c>
      <c r="J10" s="276"/>
      <c r="K10" s="276"/>
      <c r="L10" s="276"/>
      <c r="M10" s="276"/>
      <c r="N10" s="276"/>
      <c r="O10" s="276" t="str">
        <f t="shared" si="2"/>
        <v/>
      </c>
      <c r="P10" s="276" t="str">
        <f t="shared" si="2"/>
        <v/>
      </c>
      <c r="Q10" s="276" t="str">
        <f t="shared" si="2"/>
        <v/>
      </c>
      <c r="R10" s="276" t="str">
        <f t="shared" si="2"/>
        <v/>
      </c>
      <c r="S10" s="276" t="str">
        <f t="shared" si="2"/>
        <v/>
      </c>
      <c r="T10" s="276" t="str">
        <f t="shared" si="2"/>
        <v/>
      </c>
      <c r="U10" s="276" t="str">
        <f t="shared" si="2"/>
        <v/>
      </c>
      <c r="V10" s="276" t="str">
        <f t="shared" si="2"/>
        <v/>
      </c>
      <c r="W10" s="276" t="str">
        <f t="shared" si="2"/>
        <v/>
      </c>
      <c r="X10" s="276" t="str">
        <f t="shared" si="2"/>
        <v/>
      </c>
      <c r="Y10" s="276" t="str">
        <f t="shared" si="2"/>
        <v/>
      </c>
      <c r="Z10" s="276" t="str">
        <f t="shared" si="2"/>
        <v/>
      </c>
      <c r="AA10" s="276" t="str">
        <f t="shared" si="2"/>
        <v/>
      </c>
      <c r="AB10" s="276" t="str">
        <f t="shared" si="2"/>
        <v/>
      </c>
      <c r="AC10" s="276" t="str">
        <f t="shared" si="2"/>
        <v/>
      </c>
      <c r="AD10" s="276" t="str">
        <f t="shared" si="2"/>
        <v/>
      </c>
      <c r="AE10" s="276"/>
      <c r="AF10" s="276"/>
      <c r="AG10" s="276" t="str">
        <f t="shared" si="2"/>
        <v/>
      </c>
      <c r="AH10" s="276" t="str">
        <f t="shared" si="2"/>
        <v/>
      </c>
      <c r="AI10" s="276" t="str">
        <f t="shared" si="2"/>
        <v/>
      </c>
      <c r="AJ10" s="247"/>
      <c r="AK10" s="247"/>
      <c r="AL10" s="247"/>
      <c r="AM10" s="247"/>
    </row>
    <row r="11" spans="2:65" hidden="1" x14ac:dyDescent="0.2">
      <c r="B11" s="20" t="str">
        <f t="array" ref="B11">IF(ISERROR(INDEX('Eingabe Meldungen'!$C$2:$C$492,LARGE(('Eingabe Meldungen'!$A$2:$A$492=$B$5)*(ROW('Eingabe Meldungen'!$A$2:$A$492)-1),COUNTIF('Eingabe Meldungen'!$A$2:$A$492,$B$5)+1-ROW('Eingabe Meldungen'!A5)))),"",INDEX('Eingabe Meldungen'!$C$2:$C$492,LARGE(('Eingabe Meldungen'!$A$2:$A$492=$B$5)*(ROW('Eingabe Meldungen'!$A$2:$A$492)-1),COUNTIF('Eingabe Meldungen'!$A$2:$A$492,$B$5)+1-ROW('Eingabe Meldungen'!A5))))</f>
        <v>Schmidt</v>
      </c>
      <c r="C11" t="str">
        <f t="array" ref="C11">IF(ISERROR(INDEX('Eingabe Meldungen'!$D$2:$D$492,LARGE(('Eingabe Meldungen'!$A$2:$A$492=$B$5)*(ROW('Eingabe Meldungen'!$A$2:$A$492)-1),COUNTIF('Eingabe Meldungen'!$A$2:$A$492,$B$5)+1-ROW('Eingabe Meldungen'!A5)))),"",INDEX('Eingabe Meldungen'!$D$2:$D$492,LARGE(('Eingabe Meldungen'!$A$2:$A$492=$B$5)*(ROW('Eingabe Meldungen'!$A$2:$A$492)-1),COUNTIF('Eingabe Meldungen'!$A$2:$A$492,$B$5)+1-ROW('Eingabe Meldungen'!A5))))</f>
        <v>Uta</v>
      </c>
      <c r="D11" s="11">
        <f t="array" ref="D11">IF(B11&lt;&gt;"",INDEX('Eingabe Meldungen'!$C$2:$H$492,MATCH(B11&amp;C11,'Eingabe Meldungen'!$C$2:$C$492&amp;'Eingabe Meldungen'!$D$2:$D$492,0),6),"")</f>
        <v>1972</v>
      </c>
      <c r="E11" s="66" t="str">
        <f t="array" ref="E11">IF(B11&lt;&gt;"",INDEX('Eingabe Meldungen'!$C$2:$H$492,MATCH(B11&amp;C11,'Eingabe Meldungen'!$C$2:$C$492&amp;'Eingabe Meldungen'!$D$2:$D$492,0),4),"")</f>
        <v>C</v>
      </c>
      <c r="F11" s="32" t="str">
        <f>IF(VLOOKUP(B11,Rennlisten!$B$6:$H$18,6,FALSE)=0,"",VLOOKUP(B11,Rennlisten!$B$6:$H$18,6,FALSE))</f>
        <v/>
      </c>
      <c r="G11" t="e">
        <f t="shared" si="3"/>
        <v>#VALUE!</v>
      </c>
      <c r="H11" s="21" t="str">
        <f t="array" ref="H11">IF(B11&lt;&gt;"",INDEX('Eingabe Meldungen'!$C$2:$J$492,MATCH(B11&amp;C11,'Eingabe Meldungen'!$C$2:$C$492&amp;'Eingabe Meldungen'!$D$2:$D$492,0),8),"")</f>
        <v>Marbacher Ruderverein</v>
      </c>
      <c r="J11" s="276"/>
      <c r="K11" s="276"/>
      <c r="L11" s="276"/>
      <c r="M11" s="276"/>
      <c r="N11" s="276"/>
      <c r="O11" s="276" t="str">
        <f t="shared" si="2"/>
        <v/>
      </c>
      <c r="P11" s="276" t="str">
        <f t="shared" si="2"/>
        <v/>
      </c>
      <c r="Q11" s="276" t="str">
        <f t="shared" si="2"/>
        <v/>
      </c>
      <c r="R11" s="276" t="str">
        <f t="shared" si="2"/>
        <v/>
      </c>
      <c r="S11" s="276" t="str">
        <f t="shared" si="2"/>
        <v/>
      </c>
      <c r="T11" s="276" t="str">
        <f t="shared" si="2"/>
        <v/>
      </c>
      <c r="U11" s="276" t="str">
        <f t="shared" si="2"/>
        <v/>
      </c>
      <c r="V11" s="276" t="str">
        <f t="shared" si="2"/>
        <v/>
      </c>
      <c r="W11" s="276" t="str">
        <f t="shared" si="2"/>
        <v/>
      </c>
      <c r="X11" s="276" t="str">
        <f t="shared" si="2"/>
        <v/>
      </c>
      <c r="Y11" s="276" t="str">
        <f t="shared" si="2"/>
        <v/>
      </c>
      <c r="Z11" s="276" t="str">
        <f t="shared" si="2"/>
        <v/>
      </c>
      <c r="AA11" s="276" t="str">
        <f t="shared" si="2"/>
        <v/>
      </c>
      <c r="AB11" s="276" t="str">
        <f t="shared" si="2"/>
        <v/>
      </c>
      <c r="AC11" s="276" t="str">
        <f t="shared" si="2"/>
        <v/>
      </c>
      <c r="AD11" s="276" t="str">
        <f t="shared" si="2"/>
        <v/>
      </c>
      <c r="AE11" s="276"/>
      <c r="AF11" s="276"/>
      <c r="AG11" s="276" t="str">
        <f t="shared" si="2"/>
        <v/>
      </c>
      <c r="AH11" s="276" t="str">
        <f t="shared" si="2"/>
        <v/>
      </c>
      <c r="AI11" s="276" t="str">
        <f t="shared" si="2"/>
        <v/>
      </c>
      <c r="AJ11" s="247"/>
      <c r="AK11" s="247"/>
      <c r="AL11" s="247"/>
      <c r="AM11" s="247"/>
    </row>
    <row r="12" spans="2:65" hidden="1" x14ac:dyDescent="0.2">
      <c r="B12" s="20" t="str">
        <f t="array" ref="B12">IF(ISERROR(INDEX('Eingabe Meldungen'!$C$2:$C$492,LARGE(('Eingabe Meldungen'!$A$2:$A$492=$B$5)*(ROW('Eingabe Meldungen'!$A$2:$A$492)-1),COUNTIF('Eingabe Meldungen'!$A$2:$A$492,$B$5)+1-ROW('Eingabe Meldungen'!A6)))),"",INDEX('Eingabe Meldungen'!$C$2:$C$492,LARGE(('Eingabe Meldungen'!$A$2:$A$492=$B$5)*(ROW('Eingabe Meldungen'!$A$2:$A$492)-1),COUNTIF('Eingabe Meldungen'!$A$2:$A$492,$B$5)+1-ROW('Eingabe Meldungen'!A6))))</f>
        <v>Vogt</v>
      </c>
      <c r="C12" t="str">
        <f t="array" ref="C12">IF(ISERROR(INDEX('Eingabe Meldungen'!$D$2:$D$492,LARGE(('Eingabe Meldungen'!$A$2:$A$492=$B$5)*(ROW('Eingabe Meldungen'!$A$2:$A$492)-1),COUNTIF('Eingabe Meldungen'!$A$2:$A$492,$B$5)+1-ROW('Eingabe Meldungen'!A6)))),"",INDEX('Eingabe Meldungen'!$D$2:$D$492,LARGE(('Eingabe Meldungen'!$A$2:$A$492=$B$5)*(ROW('Eingabe Meldungen'!$A$2:$A$492)-1),COUNTIF('Eingabe Meldungen'!$A$2:$A$492,$B$5)+1-ROW('Eingabe Meldungen'!A6))))</f>
        <v>Antje</v>
      </c>
      <c r="D12" s="11">
        <f t="array" ref="D12">IF(B12&lt;&gt;"",INDEX('Eingabe Meldungen'!$C$2:$H$492,MATCH(B12&amp;C12,'Eingabe Meldungen'!$C$2:$C$492&amp;'Eingabe Meldungen'!$D$2:$D$492,0),6),"")</f>
        <v>1975</v>
      </c>
      <c r="E12" s="66" t="str">
        <f t="array" ref="E12">IF(B12&lt;&gt;"",INDEX('Eingabe Meldungen'!$C$2:$H$492,MATCH(B12&amp;C12,'Eingabe Meldungen'!$C$2:$C$492&amp;'Eingabe Meldungen'!$D$2:$D$492,0),4),"")</f>
        <v>C</v>
      </c>
      <c r="F12" s="32" t="str">
        <f>IF(VLOOKUP(B12,Rennlisten!$B$6:$H$18,6,FALSE)=0,"",VLOOKUP(B12,Rennlisten!$B$6:$H$18,6,FALSE))</f>
        <v/>
      </c>
      <c r="G12" t="e">
        <f t="shared" si="3"/>
        <v>#VALUE!</v>
      </c>
      <c r="H12" s="21" t="str">
        <f t="array" ref="H12">IF(B12&lt;&gt;"",INDEX('Eingabe Meldungen'!$C$2:$J$492,MATCH(B12&amp;C12,'Eingabe Meldungen'!$C$2:$C$492&amp;'Eingabe Meldungen'!$D$2:$D$492,0),8),"")</f>
        <v>HRG Schwaben</v>
      </c>
      <c r="J12" s="276"/>
      <c r="K12" s="276"/>
      <c r="L12" s="276"/>
      <c r="M12" s="276"/>
      <c r="N12" s="276"/>
      <c r="O12" s="276" t="str">
        <f t="shared" si="2"/>
        <v/>
      </c>
      <c r="P12" s="276" t="str">
        <f t="shared" si="2"/>
        <v/>
      </c>
      <c r="Q12" s="276">
        <f t="shared" si="2"/>
        <v>0</v>
      </c>
      <c r="R12" s="276" t="str">
        <f t="shared" si="2"/>
        <v/>
      </c>
      <c r="S12" s="276" t="str">
        <f t="shared" si="2"/>
        <v/>
      </c>
      <c r="T12" s="276" t="str">
        <f t="shared" si="2"/>
        <v/>
      </c>
      <c r="U12" s="276" t="str">
        <f t="shared" si="2"/>
        <v/>
      </c>
      <c r="V12" s="276" t="str">
        <f t="shared" si="2"/>
        <v/>
      </c>
      <c r="W12" s="276" t="str">
        <f t="shared" si="2"/>
        <v/>
      </c>
      <c r="X12" s="276" t="str">
        <f t="shared" si="2"/>
        <v/>
      </c>
      <c r="Y12" s="276" t="str">
        <f t="shared" si="2"/>
        <v/>
      </c>
      <c r="Z12" s="276" t="str">
        <f t="shared" si="2"/>
        <v/>
      </c>
      <c r="AA12" s="276" t="str">
        <f t="shared" si="2"/>
        <v/>
      </c>
      <c r="AB12" s="276" t="str">
        <f t="shared" si="2"/>
        <v/>
      </c>
      <c r="AC12" s="276" t="str">
        <f t="shared" si="2"/>
        <v/>
      </c>
      <c r="AD12" s="276" t="str">
        <f t="shared" si="2"/>
        <v/>
      </c>
      <c r="AE12" s="276"/>
      <c r="AF12" s="276"/>
      <c r="AG12" s="276" t="str">
        <f t="shared" si="2"/>
        <v/>
      </c>
      <c r="AH12" s="276" t="str">
        <f t="shared" si="2"/>
        <v/>
      </c>
      <c r="AI12" s="276" t="str">
        <f t="shared" si="2"/>
        <v/>
      </c>
      <c r="AJ12" s="247"/>
      <c r="AK12" s="247"/>
      <c r="AL12" s="247"/>
      <c r="AM12" s="247"/>
    </row>
    <row r="13" spans="2:65" hidden="1" x14ac:dyDescent="0.2">
      <c r="B13" s="20" t="str">
        <f t="array" ref="B13">IF(ISERROR(INDEX('Eingabe Meldungen'!$C$2:$C$492,LARGE(('Eingabe Meldungen'!$A$2:$A$492=$B$5)*(ROW('Eingabe Meldungen'!$A$2:$A$492)-1),COUNTIF('Eingabe Meldungen'!$A$2:$A$492,$B$5)+1-ROW('Eingabe Meldungen'!A8)))),"",INDEX('Eingabe Meldungen'!$C$2:$C$492,LARGE(('Eingabe Meldungen'!$A$2:$A$492=$B$5)*(ROW('Eingabe Meldungen'!$A$2:$A$492)-1),COUNTIF('Eingabe Meldungen'!$A$2:$A$492,$B$5)+1-ROW('Eingabe Meldungen'!A8))))</f>
        <v>Wöppel</v>
      </c>
      <c r="C13" t="str">
        <f t="array" ref="C13">IF(ISERROR(INDEX('Eingabe Meldungen'!$D$2:$D$492,LARGE(('Eingabe Meldungen'!$A$2:$A$492=$B$5)*(ROW('Eingabe Meldungen'!$A$2:$A$492)-1),COUNTIF('Eingabe Meldungen'!$A$2:$A$492,$B$5)+1-ROW('Eingabe Meldungen'!A8)))),"",INDEX('Eingabe Meldungen'!$D$2:$D$492,LARGE(('Eingabe Meldungen'!$A$2:$A$492=$B$5)*(ROW('Eingabe Meldungen'!$A$2:$A$492)-1),COUNTIF('Eingabe Meldungen'!$A$2:$A$492,$B$5)+1-ROW('Eingabe Meldungen'!A8))))</f>
        <v>Stefanie</v>
      </c>
      <c r="D13" s="11">
        <f t="array" ref="D13">IF(B13&lt;&gt;"",INDEX('Eingabe Meldungen'!$C$2:$H$492,MATCH(B13&amp;C13,'Eingabe Meldungen'!$C$2:$C$492&amp;'Eingabe Meldungen'!$D$2:$D$492,0),6),"")</f>
        <v>1971</v>
      </c>
      <c r="E13" s="66" t="str">
        <f t="array" ref="E13">IF(B13&lt;&gt;"",INDEX('Eingabe Meldungen'!$C$2:$H$492,MATCH(B13&amp;C13,'Eingabe Meldungen'!$C$2:$C$492&amp;'Eingabe Meldungen'!$D$2:$D$492,0),4),"")</f>
        <v>C</v>
      </c>
      <c r="F13" s="32" t="str">
        <f>IF(VLOOKUP(B13,Rennlisten!$B$6:$H$18,6,FALSE)=0,"",VLOOKUP(B13,Rennlisten!$B$6:$H$18,6,FALSE))</f>
        <v/>
      </c>
      <c r="G13" t="e">
        <f t="shared" si="3"/>
        <v>#VALUE!</v>
      </c>
      <c r="H13" s="21" t="str">
        <f t="array" ref="H13">IF(B13&lt;&gt;"",INDEX('Eingabe Meldungen'!$C$2:$J$492,MATCH(B13&amp;C13,'Eingabe Meldungen'!$C$2:$C$492&amp;'Eingabe Meldungen'!$D$2:$D$492,0),8),"")</f>
        <v xml:space="preserve">WSV Schifferclub Neckarrems </v>
      </c>
      <c r="J13" s="276"/>
      <c r="K13" s="276"/>
      <c r="L13" s="276"/>
      <c r="M13" s="276"/>
      <c r="N13" s="276"/>
      <c r="O13" s="276" t="str">
        <f t="shared" si="2"/>
        <v/>
      </c>
      <c r="P13" s="276" t="str">
        <f t="shared" si="2"/>
        <v/>
      </c>
      <c r="Q13" s="276" t="str">
        <f t="shared" si="2"/>
        <v/>
      </c>
      <c r="R13" s="276" t="str">
        <f t="shared" si="2"/>
        <v/>
      </c>
      <c r="S13" s="276" t="str">
        <f t="shared" si="2"/>
        <v/>
      </c>
      <c r="T13" s="276" t="str">
        <f t="shared" si="2"/>
        <v/>
      </c>
      <c r="U13" s="276" t="str">
        <f t="shared" si="2"/>
        <v/>
      </c>
      <c r="V13" s="276" t="str">
        <f t="shared" si="2"/>
        <v/>
      </c>
      <c r="W13" s="276" t="str">
        <f t="shared" si="2"/>
        <v/>
      </c>
      <c r="X13" s="276" t="str">
        <f t="shared" si="2"/>
        <v/>
      </c>
      <c r="Y13" s="276" t="str">
        <f t="shared" si="2"/>
        <v/>
      </c>
      <c r="Z13" s="276" t="str">
        <f t="shared" si="2"/>
        <v/>
      </c>
      <c r="AA13" s="276" t="str">
        <f t="shared" si="2"/>
        <v/>
      </c>
      <c r="AB13" s="276" t="str">
        <f t="shared" si="2"/>
        <v/>
      </c>
      <c r="AC13" s="276" t="str">
        <f t="shared" si="2"/>
        <v/>
      </c>
      <c r="AD13" s="276" t="str">
        <f t="shared" si="2"/>
        <v/>
      </c>
      <c r="AE13" s="276"/>
      <c r="AF13" s="276"/>
      <c r="AG13" s="276" t="str">
        <f t="shared" si="2"/>
        <v/>
      </c>
      <c r="AH13" s="276" t="str">
        <f t="shared" si="2"/>
        <v/>
      </c>
      <c r="AI13" s="276" t="str">
        <f t="shared" si="2"/>
        <v/>
      </c>
      <c r="AJ13" s="247"/>
      <c r="AK13" s="247"/>
      <c r="AL13" s="247"/>
      <c r="AM13" s="247"/>
    </row>
    <row r="14" spans="2:65" hidden="1" x14ac:dyDescent="0.2">
      <c r="B14" s="20" t="str">
        <f t="array" ref="B14">IF(ISERROR(INDEX('Eingabe Meldungen'!$C$2:$C$492,LARGE(('Eingabe Meldungen'!$A$2:$A$492=$B$5)*(ROW('Eingabe Meldungen'!$A$2:$A$492)-1),COUNTIF('Eingabe Meldungen'!$A$2:$A$492,$B$5)+1-ROW('Eingabe Meldungen'!A9)))),"",INDEX('Eingabe Meldungen'!$C$2:$C$492,LARGE(('Eingabe Meldungen'!$A$2:$A$492=$B$5)*(ROW('Eingabe Meldungen'!$A$2:$A$492)-1),COUNTIF('Eingabe Meldungen'!$A$2:$A$492,$B$5)+1-ROW('Eingabe Meldungen'!A9))))</f>
        <v/>
      </c>
      <c r="C14" t="str">
        <f t="array" ref="C14">IF(ISERROR(INDEX('Eingabe Meldungen'!$D$2:$D$492,LARGE(('Eingabe Meldungen'!$A$2:$A$492=$B$5)*(ROW('Eingabe Meldungen'!$A$2:$A$492)-1),COUNTIF('Eingabe Meldungen'!$A$2:$A$492,$B$5)+1-ROW('Eingabe Meldungen'!A9)))),"",INDEX('Eingabe Meldungen'!$D$2:$D$492,LARGE(('Eingabe Meldungen'!$A$2:$A$492=$B$5)*(ROW('Eingabe Meldungen'!$A$2:$A$492)-1),COUNTIF('Eingabe Meldungen'!$A$2:$A$492,$B$5)+1-ROW('Eingabe Meldungen'!A9))))</f>
        <v/>
      </c>
      <c r="D14" s="11" t="str">
        <f t="array" ref="D14">IF(B14&lt;&gt;"",INDEX('Eingabe Meldungen'!$C$2:$H$492,MATCH(B14&amp;C14,'Eingabe Meldungen'!$C$2:$C$492&amp;'Eingabe Meldungen'!$D$2:$D$492,0),6),"")</f>
        <v/>
      </c>
      <c r="E14" s="66" t="str">
        <f t="array" ref="E14">IF(B14&lt;&gt;"",INDEX('Eingabe Meldungen'!$C$2:$H$492,MATCH(B14&amp;C14,'Eingabe Meldungen'!$C$2:$C$492&amp;'Eingabe Meldungen'!$D$2:$D$492,0),4),"")</f>
        <v/>
      </c>
      <c r="F14" s="32" t="str">
        <f>IF(VLOOKUP(B14,Rennlisten!$B$6:$H$18,6,FALSE)=0,"",VLOOKUP(B14,Rennlisten!$B$6:$H$18,6,FALSE))</f>
        <v/>
      </c>
      <c r="G14" t="e">
        <f t="shared" si="3"/>
        <v>#VALUE!</v>
      </c>
      <c r="H14" s="21" t="str">
        <f t="array" ref="H14">IF(B14&lt;&gt;"",INDEX('Eingabe Meldungen'!$C$2:$J$492,MATCH(B14&amp;C14,'Eingabe Meldungen'!$C$2:$C$492&amp;'Eingabe Meldungen'!$D$2:$D$492,0),8),"")</f>
        <v/>
      </c>
      <c r="J14" s="276"/>
      <c r="K14" s="276"/>
      <c r="L14" s="276"/>
      <c r="M14" s="276"/>
      <c r="N14" s="276"/>
      <c r="O14" s="276" t="str">
        <f t="shared" si="2"/>
        <v/>
      </c>
      <c r="P14" s="276" t="str">
        <f t="shared" si="2"/>
        <v/>
      </c>
      <c r="Q14" s="276" t="str">
        <f t="shared" si="2"/>
        <v/>
      </c>
      <c r="R14" s="276" t="str">
        <f t="shared" si="2"/>
        <v/>
      </c>
      <c r="S14" s="276" t="str">
        <f t="shared" si="2"/>
        <v/>
      </c>
      <c r="T14" s="276" t="str">
        <f t="shared" si="2"/>
        <v/>
      </c>
      <c r="U14" s="276" t="str">
        <f t="shared" si="2"/>
        <v/>
      </c>
      <c r="V14" s="276" t="str">
        <f t="shared" si="2"/>
        <v/>
      </c>
      <c r="W14" s="276">
        <f t="shared" si="2"/>
        <v>0</v>
      </c>
      <c r="X14" s="276">
        <f t="shared" si="2"/>
        <v>0</v>
      </c>
      <c r="Y14" s="276">
        <f t="shared" si="2"/>
        <v>0</v>
      </c>
      <c r="Z14" s="276">
        <f t="shared" si="2"/>
        <v>0</v>
      </c>
      <c r="AA14" s="276">
        <f t="shared" si="2"/>
        <v>0</v>
      </c>
      <c r="AB14" s="276">
        <f t="shared" si="2"/>
        <v>0</v>
      </c>
      <c r="AC14" s="276">
        <f t="shared" si="2"/>
        <v>0</v>
      </c>
      <c r="AD14" s="276">
        <f t="shared" si="2"/>
        <v>0</v>
      </c>
      <c r="AE14" s="276"/>
      <c r="AF14" s="276"/>
      <c r="AG14" s="276">
        <f t="shared" si="2"/>
        <v>0</v>
      </c>
      <c r="AH14" s="276">
        <f t="shared" si="2"/>
        <v>0</v>
      </c>
      <c r="AI14" s="276">
        <f t="shared" si="2"/>
        <v>0</v>
      </c>
      <c r="AJ14" s="247"/>
      <c r="AK14" s="247"/>
      <c r="AL14" s="247"/>
      <c r="AM14" s="247"/>
    </row>
    <row r="15" spans="2:65" hidden="1" x14ac:dyDescent="0.2">
      <c r="B15" s="20" t="str">
        <f t="array" ref="B15">IF(ISERROR(INDEX('Eingabe Meldungen'!$C$2:$C$492,LARGE(('Eingabe Meldungen'!$A$2:$A$492=$B$5)*(ROW('Eingabe Meldungen'!$A$2:$A$492)-1),COUNTIF('Eingabe Meldungen'!$A$2:$A$492,$B$5)+1-ROW('Eingabe Meldungen'!A10)))),"",INDEX('Eingabe Meldungen'!$C$2:$C$492,LARGE(('Eingabe Meldungen'!$A$2:$A$492=$B$5)*(ROW('Eingabe Meldungen'!$A$2:$A$492)-1),COUNTIF('Eingabe Meldungen'!$A$2:$A$492,$B$5)+1-ROW('Eingabe Meldungen'!A10))))</f>
        <v/>
      </c>
      <c r="C15" t="str">
        <f t="array" ref="C15">IF(ISERROR(INDEX('Eingabe Meldungen'!$D$2:$D$492,LARGE(('Eingabe Meldungen'!$A$2:$A$492=$B$5)*(ROW('Eingabe Meldungen'!$A$2:$A$492)-1),COUNTIF('Eingabe Meldungen'!$A$2:$A$492,$B$5)+1-ROW('Eingabe Meldungen'!A10)))),"",INDEX('Eingabe Meldungen'!$D$2:$D$492,LARGE(('Eingabe Meldungen'!$A$2:$A$492=$B$5)*(ROW('Eingabe Meldungen'!$A$2:$A$492)-1),COUNTIF('Eingabe Meldungen'!$A$2:$A$492,$B$5)+1-ROW('Eingabe Meldungen'!A10))))</f>
        <v/>
      </c>
      <c r="D15" s="11" t="str">
        <f t="array" ref="D15">IF(B15&lt;&gt;"",INDEX('Eingabe Meldungen'!$C$2:$H$492,MATCH(B15&amp;C15,'Eingabe Meldungen'!$C$2:$C$492&amp;'Eingabe Meldungen'!$D$2:$D$492,0),6),"")</f>
        <v/>
      </c>
      <c r="E15" s="66" t="str">
        <f t="array" ref="E15">IF(B15&lt;&gt;"",INDEX('Eingabe Meldungen'!$C$2:$H$492,MATCH(B15&amp;C15,'Eingabe Meldungen'!$C$2:$C$492&amp;'Eingabe Meldungen'!$D$2:$D$492,0),4),"")</f>
        <v/>
      </c>
      <c r="F15" s="32" t="str">
        <f>IF(VLOOKUP(B15,Rennlisten!$B$6:$H$18,6,FALSE)=0,"",VLOOKUP(B15,Rennlisten!$B$6:$H$18,6,FALSE))</f>
        <v/>
      </c>
      <c r="G15" t="e">
        <f t="shared" si="3"/>
        <v>#VALUE!</v>
      </c>
      <c r="H15" s="21" t="str">
        <f t="array" ref="H15">IF(B15&lt;&gt;"",INDEX('Eingabe Meldungen'!$C$2:$J$492,MATCH(B15&amp;C15,'Eingabe Meldungen'!$C$2:$C$492&amp;'Eingabe Meldungen'!$D$2:$D$492,0),8),"")</f>
        <v/>
      </c>
      <c r="J15" s="276" t="str">
        <f t="shared" ref="J15:K34" si="4">IF(EXACT($H15,J$4),$I15,"")</f>
        <v/>
      </c>
      <c r="K15" s="276" t="str">
        <f t="shared" si="4"/>
        <v/>
      </c>
      <c r="L15" s="276" t="e">
        <f>IF(EXACT($H15,#REF!),$I15,"")</f>
        <v>#REF!</v>
      </c>
      <c r="M15" s="276" t="str">
        <f t="shared" ref="M15:M46" si="5">IF(EXACT($H15,L$4),$I15,"")</f>
        <v/>
      </c>
      <c r="N15" s="276" t="str">
        <f t="shared" ref="N15:N46" si="6">IF(EXACT($H15,N$4),$I15,"")</f>
        <v/>
      </c>
      <c r="O15" s="276" t="str">
        <f t="shared" si="2"/>
        <v/>
      </c>
      <c r="P15" s="276" t="str">
        <f t="shared" si="2"/>
        <v/>
      </c>
      <c r="Q15" s="276" t="str">
        <f t="shared" si="2"/>
        <v/>
      </c>
      <c r="R15" s="276" t="str">
        <f t="shared" si="2"/>
        <v/>
      </c>
      <c r="S15" s="276" t="str">
        <f t="shared" si="2"/>
        <v/>
      </c>
      <c r="T15" s="276" t="str">
        <f t="shared" si="2"/>
        <v/>
      </c>
      <c r="U15" s="276" t="str">
        <f t="shared" si="2"/>
        <v/>
      </c>
      <c r="V15" s="276" t="str">
        <f t="shared" si="2"/>
        <v/>
      </c>
      <c r="W15" s="276">
        <f t="shared" si="2"/>
        <v>0</v>
      </c>
      <c r="X15" s="276">
        <f t="shared" si="2"/>
        <v>0</v>
      </c>
      <c r="Y15" s="276">
        <f t="shared" si="2"/>
        <v>0</v>
      </c>
      <c r="Z15" s="276">
        <f t="shared" si="2"/>
        <v>0</v>
      </c>
      <c r="AA15" s="276">
        <f t="shared" si="2"/>
        <v>0</v>
      </c>
      <c r="AB15" s="276">
        <f t="shared" si="2"/>
        <v>0</v>
      </c>
      <c r="AC15" s="276">
        <f t="shared" si="2"/>
        <v>0</v>
      </c>
      <c r="AD15" s="276">
        <f t="shared" si="2"/>
        <v>0</v>
      </c>
      <c r="AE15" s="276"/>
      <c r="AF15" s="276"/>
      <c r="AG15" s="276">
        <f t="shared" si="2"/>
        <v>0</v>
      </c>
      <c r="AH15" s="276">
        <f t="shared" si="2"/>
        <v>0</v>
      </c>
      <c r="AI15" s="276">
        <f t="shared" si="2"/>
        <v>0</v>
      </c>
      <c r="AJ15" s="247"/>
      <c r="AK15" s="247"/>
      <c r="AL15" s="247"/>
      <c r="AM15" s="247"/>
    </row>
    <row r="16" spans="2:65" hidden="1" x14ac:dyDescent="0.2">
      <c r="B16" s="20" t="str">
        <f t="array" ref="B16">IF(ISERROR(INDEX('Eingabe Meldungen'!$C$2:$C$492,LARGE(('Eingabe Meldungen'!$A$2:$A$492=$B$5)*(ROW('Eingabe Meldungen'!$A$2:$A$492)-1),COUNTIF('Eingabe Meldungen'!$A$2:$A$492,$B$5)+1-ROW('Eingabe Meldungen'!A11)))),"",INDEX('Eingabe Meldungen'!$C$2:$C$492,LARGE(('Eingabe Meldungen'!$A$2:$A$492=$B$5)*(ROW('Eingabe Meldungen'!$A$2:$A$492)-1),COUNTIF('Eingabe Meldungen'!$A$2:$A$492,$B$5)+1-ROW('Eingabe Meldungen'!A11))))</f>
        <v/>
      </c>
      <c r="C16" t="str">
        <f t="array" ref="C16">IF(ISERROR(INDEX('Eingabe Meldungen'!$D$2:$D$492,LARGE(('Eingabe Meldungen'!$A$2:$A$492=$B$5)*(ROW('Eingabe Meldungen'!$A$2:$A$492)-1),COUNTIF('Eingabe Meldungen'!$A$2:$A$492,$B$5)+1-ROW('Eingabe Meldungen'!A11)))),"",INDEX('Eingabe Meldungen'!$D$2:$D$492,LARGE(('Eingabe Meldungen'!$A$2:$A$492=$B$5)*(ROW('Eingabe Meldungen'!$A$2:$A$492)-1),COUNTIF('Eingabe Meldungen'!$A$2:$A$492,$B$5)+1-ROW('Eingabe Meldungen'!A11))))</f>
        <v/>
      </c>
      <c r="D16" s="11" t="str">
        <f t="array" ref="D16">IF(B16&lt;&gt;"",INDEX('Eingabe Meldungen'!$C$2:$H$492,MATCH(B16&amp;C16,'Eingabe Meldungen'!$C$2:$C$492&amp;'Eingabe Meldungen'!$D$2:$D$492,0),6),"")</f>
        <v/>
      </c>
      <c r="E16" s="66" t="str">
        <f t="array" ref="E16">IF(B16&lt;&gt;"",INDEX('Eingabe Meldungen'!$C$2:$H$492,MATCH(B16&amp;C16,'Eingabe Meldungen'!$C$2:$C$492&amp;'Eingabe Meldungen'!$D$2:$D$492,0),4),"")</f>
        <v/>
      </c>
      <c r="F16" s="32" t="str">
        <f>IF(VLOOKUP(B16,Rennlisten!$B$6:$H$18,6,FALSE)=0,"",VLOOKUP(B16,Rennlisten!$B$6:$H$18,6,FALSE))</f>
        <v/>
      </c>
      <c r="G16" t="e">
        <f t="shared" si="3"/>
        <v>#VALUE!</v>
      </c>
      <c r="H16" s="21" t="str">
        <f t="array" ref="H16">IF(B16&lt;&gt;"",INDEX('Eingabe Meldungen'!$C$2:$J$492,MATCH(B16&amp;C16,'Eingabe Meldungen'!$C$2:$C$492&amp;'Eingabe Meldungen'!$D$2:$D$492,0),8),"")</f>
        <v/>
      </c>
      <c r="J16" s="276" t="str">
        <f t="shared" si="4"/>
        <v/>
      </c>
      <c r="K16" s="276" t="str">
        <f t="shared" si="4"/>
        <v/>
      </c>
      <c r="L16" s="276" t="e">
        <f>IF(EXACT($H16,#REF!),$I16,"")</f>
        <v>#REF!</v>
      </c>
      <c r="M16" s="276" t="str">
        <f t="shared" si="5"/>
        <v/>
      </c>
      <c r="N16" s="276" t="str">
        <f t="shared" si="6"/>
        <v/>
      </c>
      <c r="O16" s="276" t="str">
        <f t="shared" si="2"/>
        <v/>
      </c>
      <c r="P16" s="276" t="str">
        <f t="shared" si="2"/>
        <v/>
      </c>
      <c r="Q16" s="276" t="str">
        <f t="shared" si="2"/>
        <v/>
      </c>
      <c r="R16" s="276" t="str">
        <f t="shared" si="2"/>
        <v/>
      </c>
      <c r="S16" s="276" t="str">
        <f t="shared" si="2"/>
        <v/>
      </c>
      <c r="T16" s="276" t="str">
        <f t="shared" si="2"/>
        <v/>
      </c>
      <c r="U16" s="276" t="str">
        <f t="shared" si="2"/>
        <v/>
      </c>
      <c r="V16" s="276" t="str">
        <f t="shared" si="2"/>
        <v/>
      </c>
      <c r="W16" s="276">
        <f t="shared" si="2"/>
        <v>0</v>
      </c>
      <c r="X16" s="276">
        <f t="shared" si="2"/>
        <v>0</v>
      </c>
      <c r="Y16" s="276">
        <f t="shared" si="2"/>
        <v>0</v>
      </c>
      <c r="Z16" s="276">
        <f t="shared" si="2"/>
        <v>0</v>
      </c>
      <c r="AA16" s="276">
        <f t="shared" si="2"/>
        <v>0</v>
      </c>
      <c r="AB16" s="276">
        <f t="shared" si="2"/>
        <v>0</v>
      </c>
      <c r="AC16" s="276">
        <f t="shared" si="2"/>
        <v>0</v>
      </c>
      <c r="AD16" s="276">
        <f t="shared" si="2"/>
        <v>0</v>
      </c>
      <c r="AE16" s="276"/>
      <c r="AF16" s="276"/>
      <c r="AG16" s="276">
        <f t="shared" si="2"/>
        <v>0</v>
      </c>
      <c r="AH16" s="276">
        <f t="shared" si="2"/>
        <v>0</v>
      </c>
      <c r="AI16" s="276">
        <f t="shared" si="2"/>
        <v>0</v>
      </c>
      <c r="AJ16" s="247"/>
      <c r="AK16" s="247"/>
      <c r="AL16" s="247"/>
      <c r="AM16" s="247"/>
    </row>
    <row r="17" spans="2:39" hidden="1" x14ac:dyDescent="0.2">
      <c r="B17" s="20" t="str">
        <f t="array" ref="B17">IF(ISERROR(INDEX('Eingabe Meldungen'!$C$2:$C$492,LARGE(('Eingabe Meldungen'!$A$2:$A$492=$B$5)*(ROW('Eingabe Meldungen'!$A$2:$A$492)-1),COUNTIF('Eingabe Meldungen'!$A$2:$A$492,$B$5)+1-ROW('Eingabe Meldungen'!A12)))),"",INDEX('Eingabe Meldungen'!$C$2:$C$492,LARGE(('Eingabe Meldungen'!$A$2:$A$492=$B$5)*(ROW('Eingabe Meldungen'!$A$2:$A$492)-1),COUNTIF('Eingabe Meldungen'!$A$2:$A$492,$B$5)+1-ROW('Eingabe Meldungen'!A12))))</f>
        <v/>
      </c>
      <c r="C17" t="str">
        <f t="array" ref="C17">IF(ISERROR(INDEX('Eingabe Meldungen'!$D$2:$D$492,LARGE(('Eingabe Meldungen'!$A$2:$A$492=$B$5)*(ROW('Eingabe Meldungen'!$A$2:$A$492)-1),COUNTIF('Eingabe Meldungen'!$A$2:$A$492,$B$5)+1-ROW('Eingabe Meldungen'!A12)))),"",INDEX('Eingabe Meldungen'!$D$2:$D$492,LARGE(('Eingabe Meldungen'!$A$2:$A$492=$B$5)*(ROW('Eingabe Meldungen'!$A$2:$A$492)-1),COUNTIF('Eingabe Meldungen'!$A$2:$A$492,$B$5)+1-ROW('Eingabe Meldungen'!A12))))</f>
        <v/>
      </c>
      <c r="D17" s="11" t="str">
        <f t="array" ref="D17">IF(B17&lt;&gt;"",INDEX('Eingabe Meldungen'!$C$2:$H$492,MATCH(B17&amp;C17,'Eingabe Meldungen'!$C$2:$C$492&amp;'Eingabe Meldungen'!$D$2:$D$492,0),6),"")</f>
        <v/>
      </c>
      <c r="E17" s="66" t="str">
        <f t="array" ref="E17">IF(B17&lt;&gt;"",INDEX('Eingabe Meldungen'!$C$2:$H$492,MATCH(B17&amp;C17,'Eingabe Meldungen'!$C$2:$C$492&amp;'Eingabe Meldungen'!$D$2:$D$492,0),4),"")</f>
        <v/>
      </c>
      <c r="F17" s="32" t="str">
        <f>IF(VLOOKUP(B17,Rennlisten!$B$6:$H$18,6,FALSE)=0,"",VLOOKUP(B17,Rennlisten!$B$6:$H$18,6,FALSE))</f>
        <v/>
      </c>
      <c r="G17" t="e">
        <f t="shared" si="3"/>
        <v>#VALUE!</v>
      </c>
      <c r="H17" s="21" t="str">
        <f t="array" ref="H17">IF(B17&lt;&gt;"",INDEX('Eingabe Meldungen'!$C$2:$J$492,MATCH(B17&amp;C17,'Eingabe Meldungen'!$C$2:$C$492&amp;'Eingabe Meldungen'!$D$2:$D$492,0),8),"")</f>
        <v/>
      </c>
      <c r="J17" s="276" t="str">
        <f t="shared" si="4"/>
        <v/>
      </c>
      <c r="K17" s="276" t="str">
        <f t="shared" si="4"/>
        <v/>
      </c>
      <c r="L17" s="276" t="e">
        <f>IF(EXACT($H17,#REF!),$I17,"")</f>
        <v>#REF!</v>
      </c>
      <c r="M17" s="276" t="str">
        <f t="shared" si="5"/>
        <v/>
      </c>
      <c r="N17" s="276" t="str">
        <f t="shared" si="6"/>
        <v/>
      </c>
      <c r="O17" s="276" t="str">
        <f t="shared" ref="O17:AI26" si="7">IF(EXACT($H17,O$4),$I17,"")</f>
        <v/>
      </c>
      <c r="P17" s="276" t="str">
        <f t="shared" si="7"/>
        <v/>
      </c>
      <c r="Q17" s="276" t="str">
        <f t="shared" si="7"/>
        <v/>
      </c>
      <c r="R17" s="276" t="str">
        <f t="shared" si="7"/>
        <v/>
      </c>
      <c r="S17" s="276" t="str">
        <f t="shared" si="7"/>
        <v/>
      </c>
      <c r="T17" s="276" t="str">
        <f t="shared" si="7"/>
        <v/>
      </c>
      <c r="U17" s="276" t="str">
        <f t="shared" si="7"/>
        <v/>
      </c>
      <c r="V17" s="276" t="str">
        <f t="shared" si="7"/>
        <v/>
      </c>
      <c r="W17" s="276">
        <f t="shared" si="7"/>
        <v>0</v>
      </c>
      <c r="X17" s="276">
        <f t="shared" si="7"/>
        <v>0</v>
      </c>
      <c r="Y17" s="276">
        <f t="shared" si="7"/>
        <v>0</v>
      </c>
      <c r="Z17" s="276">
        <f t="shared" si="7"/>
        <v>0</v>
      </c>
      <c r="AA17" s="276">
        <f t="shared" si="7"/>
        <v>0</v>
      </c>
      <c r="AB17" s="276">
        <f t="shared" si="7"/>
        <v>0</v>
      </c>
      <c r="AC17" s="276">
        <f t="shared" si="7"/>
        <v>0</v>
      </c>
      <c r="AD17" s="276">
        <f t="shared" si="7"/>
        <v>0</v>
      </c>
      <c r="AE17" s="276"/>
      <c r="AF17" s="276"/>
      <c r="AG17" s="276">
        <f t="shared" si="7"/>
        <v>0</v>
      </c>
      <c r="AH17" s="276">
        <f t="shared" si="7"/>
        <v>0</v>
      </c>
      <c r="AI17" s="276">
        <f t="shared" si="7"/>
        <v>0</v>
      </c>
      <c r="AJ17" s="247"/>
      <c r="AK17" s="247"/>
      <c r="AL17" s="247"/>
      <c r="AM17" s="247"/>
    </row>
    <row r="18" spans="2:39" hidden="1" x14ac:dyDescent="0.2">
      <c r="B18" s="20" t="str">
        <f t="array" ref="B18">IF(ISERROR(INDEX('Eingabe Meldungen'!$C$2:$C$492,LARGE(('Eingabe Meldungen'!$A$2:$A$492=$B$5)*(ROW('Eingabe Meldungen'!$A$2:$A$492)-1),COUNTIF('Eingabe Meldungen'!$A$2:$A$492,$B$5)+1-ROW('Eingabe Meldungen'!A13)))),"",INDEX('Eingabe Meldungen'!$C$2:$C$492,LARGE(('Eingabe Meldungen'!$A$2:$A$492=$B$5)*(ROW('Eingabe Meldungen'!$A$2:$A$492)-1),COUNTIF('Eingabe Meldungen'!$A$2:$A$492,$B$5)+1-ROW('Eingabe Meldungen'!A13))))</f>
        <v/>
      </c>
      <c r="C18" t="str">
        <f t="array" ref="C18">IF(ISERROR(INDEX('Eingabe Meldungen'!$D$2:$D$492,LARGE(('Eingabe Meldungen'!$A$2:$A$492=$B$5)*(ROW('Eingabe Meldungen'!$A$2:$A$492)-1),COUNTIF('Eingabe Meldungen'!$A$2:$A$492,$B$5)+1-ROW('Eingabe Meldungen'!A13)))),"",INDEX('Eingabe Meldungen'!$D$2:$D$492,LARGE(('Eingabe Meldungen'!$A$2:$A$492=$B$5)*(ROW('Eingabe Meldungen'!$A$2:$A$492)-1),COUNTIF('Eingabe Meldungen'!$A$2:$A$492,$B$5)+1-ROW('Eingabe Meldungen'!A13))))</f>
        <v/>
      </c>
      <c r="D18" s="11" t="str">
        <f t="array" ref="D18">IF(B18&lt;&gt;"",INDEX('Eingabe Meldungen'!$C$2:$H$492,MATCH(B18&amp;C18,'Eingabe Meldungen'!$C$2:$C$492&amp;'Eingabe Meldungen'!$D$2:$D$492,0),6),"")</f>
        <v/>
      </c>
      <c r="E18" s="66" t="str">
        <f t="array" ref="E18">IF(B18&lt;&gt;"",INDEX('Eingabe Meldungen'!$C$2:$H$492,MATCH(B18&amp;C18,'Eingabe Meldungen'!$C$2:$C$492&amp;'Eingabe Meldungen'!$D$2:$D$492,0),4),"")</f>
        <v/>
      </c>
      <c r="F18" s="32" t="str">
        <f>IF(VLOOKUP(B18,Rennlisten!$B$6:$H$18,6,FALSE)=0,"",VLOOKUP(B18,Rennlisten!$B$6:$H$18,6,FALSE))</f>
        <v/>
      </c>
      <c r="G18" t="e">
        <f t="shared" si="3"/>
        <v>#VALUE!</v>
      </c>
      <c r="H18" s="21" t="str">
        <f t="array" ref="H18">IF(B18&lt;&gt;"",INDEX('Eingabe Meldungen'!$C$2:$J$492,MATCH(B18&amp;C18,'Eingabe Meldungen'!$C$2:$C$492&amp;'Eingabe Meldungen'!$D$2:$D$492,0),8),"")</f>
        <v/>
      </c>
      <c r="J18" s="276" t="str">
        <f t="shared" si="4"/>
        <v/>
      </c>
      <c r="K18" s="276" t="str">
        <f t="shared" si="4"/>
        <v/>
      </c>
      <c r="L18" s="276" t="e">
        <f>IF(EXACT($H18,#REF!),$I18,"")</f>
        <v>#REF!</v>
      </c>
      <c r="M18" s="276" t="str">
        <f t="shared" si="5"/>
        <v/>
      </c>
      <c r="N18" s="276" t="str">
        <f t="shared" si="6"/>
        <v/>
      </c>
      <c r="O18" s="276" t="str">
        <f t="shared" si="7"/>
        <v/>
      </c>
      <c r="P18" s="276" t="str">
        <f t="shared" si="7"/>
        <v/>
      </c>
      <c r="Q18" s="276" t="str">
        <f t="shared" si="7"/>
        <v/>
      </c>
      <c r="R18" s="276" t="str">
        <f t="shared" si="7"/>
        <v/>
      </c>
      <c r="S18" s="276" t="str">
        <f t="shared" si="7"/>
        <v/>
      </c>
      <c r="T18" s="276" t="str">
        <f t="shared" si="7"/>
        <v/>
      </c>
      <c r="U18" s="276" t="str">
        <f t="shared" si="7"/>
        <v/>
      </c>
      <c r="V18" s="276" t="str">
        <f t="shared" si="7"/>
        <v/>
      </c>
      <c r="W18" s="276">
        <f t="shared" si="7"/>
        <v>0</v>
      </c>
      <c r="X18" s="276">
        <f t="shared" si="7"/>
        <v>0</v>
      </c>
      <c r="Y18" s="276">
        <f t="shared" si="7"/>
        <v>0</v>
      </c>
      <c r="Z18" s="276">
        <f t="shared" si="7"/>
        <v>0</v>
      </c>
      <c r="AA18" s="276">
        <f t="shared" si="7"/>
        <v>0</v>
      </c>
      <c r="AB18" s="276">
        <f t="shared" si="7"/>
        <v>0</v>
      </c>
      <c r="AC18" s="276">
        <f t="shared" si="7"/>
        <v>0</v>
      </c>
      <c r="AD18" s="276">
        <f t="shared" si="7"/>
        <v>0</v>
      </c>
      <c r="AE18" s="276"/>
      <c r="AF18" s="276"/>
      <c r="AG18" s="276">
        <f t="shared" si="7"/>
        <v>0</v>
      </c>
      <c r="AH18" s="276">
        <f t="shared" si="7"/>
        <v>0</v>
      </c>
      <c r="AI18" s="276">
        <f t="shared" si="7"/>
        <v>0</v>
      </c>
      <c r="AJ18" s="247"/>
      <c r="AK18" s="247"/>
      <c r="AL18" s="247"/>
      <c r="AM18" s="247"/>
    </row>
    <row r="19" spans="2:39" hidden="1" x14ac:dyDescent="0.2">
      <c r="B19" s="20" t="str">
        <f t="array" ref="B19">IF(ISERROR(INDEX('Eingabe Meldungen'!$C$2:$C$492,LARGE(('Eingabe Meldungen'!$A$2:$A$492=$B$5)*(ROW('Eingabe Meldungen'!$A$2:$A$492)-1),COUNTIF('Eingabe Meldungen'!$A$2:$A$492,$B$5)+1-ROW('Eingabe Meldungen'!A14)))),"",INDEX('Eingabe Meldungen'!$C$2:$C$492,LARGE(('Eingabe Meldungen'!$A$2:$A$492=$B$5)*(ROW('Eingabe Meldungen'!$A$2:$A$492)-1),COUNTIF('Eingabe Meldungen'!$A$2:$A$492,$B$5)+1-ROW('Eingabe Meldungen'!A14))))</f>
        <v/>
      </c>
      <c r="C19" t="str">
        <f t="array" ref="C19">IF(ISERROR(INDEX('Eingabe Meldungen'!$D$2:$D$492,LARGE(('Eingabe Meldungen'!$A$2:$A$492=$B$5)*(ROW('Eingabe Meldungen'!$A$2:$A$492)-1),COUNTIF('Eingabe Meldungen'!$A$2:$A$492,$B$5)+1-ROW('Eingabe Meldungen'!A14)))),"",INDEX('Eingabe Meldungen'!$D$2:$D$492,LARGE(('Eingabe Meldungen'!$A$2:$A$492=$B$5)*(ROW('Eingabe Meldungen'!$A$2:$A$492)-1),COUNTIF('Eingabe Meldungen'!$A$2:$A$492,$B$5)+1-ROW('Eingabe Meldungen'!A14))))</f>
        <v/>
      </c>
      <c r="D19" s="11" t="str">
        <f t="array" ref="D19">IF(B19&lt;&gt;"",INDEX('Eingabe Meldungen'!$C$2:$H$492,MATCH(B19&amp;C19,'Eingabe Meldungen'!$C$2:$C$492&amp;'Eingabe Meldungen'!$D$2:$D$492,0),6),"")</f>
        <v/>
      </c>
      <c r="E19" s="66" t="str">
        <f t="array" ref="E19">IF(B19&lt;&gt;"",INDEX('Eingabe Meldungen'!$C$2:$H$492,MATCH(B19&amp;C19,'Eingabe Meldungen'!$C$2:$C$492&amp;'Eingabe Meldungen'!$D$2:$D$492,0),4),"")</f>
        <v/>
      </c>
      <c r="F19" s="32" t="str">
        <f>IF(VLOOKUP(B19,Rennlisten!$B$6:$H$18,6,FALSE)=0,"",VLOOKUP(B19,Rennlisten!$B$6:$H$18,6,FALSE))</f>
        <v/>
      </c>
      <c r="G19" t="e">
        <f t="shared" si="3"/>
        <v>#VALUE!</v>
      </c>
      <c r="H19" s="21" t="str">
        <f t="array" ref="H19">IF(B19&lt;&gt;"",INDEX('Eingabe Meldungen'!$C$2:$J$492,MATCH(B19&amp;C19,'Eingabe Meldungen'!$C$2:$C$492&amp;'Eingabe Meldungen'!$D$2:$D$492,0),8),"")</f>
        <v/>
      </c>
      <c r="J19" s="276" t="str">
        <f t="shared" si="4"/>
        <v/>
      </c>
      <c r="K19" s="276" t="str">
        <f t="shared" si="4"/>
        <v/>
      </c>
      <c r="L19" s="276" t="e">
        <f>IF(EXACT($H19,#REF!),$I19,"")</f>
        <v>#REF!</v>
      </c>
      <c r="M19" s="276" t="str">
        <f t="shared" si="5"/>
        <v/>
      </c>
      <c r="N19" s="276" t="str">
        <f t="shared" si="6"/>
        <v/>
      </c>
      <c r="O19" s="276" t="str">
        <f t="shared" si="7"/>
        <v/>
      </c>
      <c r="P19" s="276" t="str">
        <f t="shared" si="7"/>
        <v/>
      </c>
      <c r="Q19" s="276" t="str">
        <f t="shared" si="7"/>
        <v/>
      </c>
      <c r="R19" s="276" t="str">
        <f t="shared" si="7"/>
        <v/>
      </c>
      <c r="S19" s="276" t="str">
        <f t="shared" si="7"/>
        <v/>
      </c>
      <c r="T19" s="276" t="str">
        <f t="shared" si="7"/>
        <v/>
      </c>
      <c r="U19" s="276" t="str">
        <f t="shared" si="7"/>
        <v/>
      </c>
      <c r="V19" s="276" t="str">
        <f t="shared" si="7"/>
        <v/>
      </c>
      <c r="W19" s="276">
        <f t="shared" si="7"/>
        <v>0</v>
      </c>
      <c r="X19" s="276">
        <f t="shared" si="7"/>
        <v>0</v>
      </c>
      <c r="Y19" s="276">
        <f t="shared" si="7"/>
        <v>0</v>
      </c>
      <c r="Z19" s="276">
        <f t="shared" si="7"/>
        <v>0</v>
      </c>
      <c r="AA19" s="276">
        <f t="shared" si="7"/>
        <v>0</v>
      </c>
      <c r="AB19" s="276">
        <f t="shared" si="7"/>
        <v>0</v>
      </c>
      <c r="AC19" s="276">
        <f t="shared" si="7"/>
        <v>0</v>
      </c>
      <c r="AD19" s="276">
        <f t="shared" si="7"/>
        <v>0</v>
      </c>
      <c r="AE19" s="276"/>
      <c r="AF19" s="276"/>
      <c r="AG19" s="276">
        <f t="shared" si="7"/>
        <v>0</v>
      </c>
      <c r="AH19" s="276">
        <f t="shared" si="7"/>
        <v>0</v>
      </c>
      <c r="AI19" s="276">
        <f t="shared" si="7"/>
        <v>0</v>
      </c>
      <c r="AJ19" s="247"/>
      <c r="AK19" s="247"/>
      <c r="AL19" s="247"/>
      <c r="AM19" s="247"/>
    </row>
    <row r="20" spans="2:39" hidden="1" x14ac:dyDescent="0.2">
      <c r="B20" s="20" t="str">
        <f t="array" ref="B20">IF(ISERROR(INDEX('Eingabe Meldungen'!$C$2:$C$492,LARGE(('Eingabe Meldungen'!$A$2:$A$492=$B$5)*(ROW('Eingabe Meldungen'!$A$2:$A$492)-1),COUNTIF('Eingabe Meldungen'!$A$2:$A$492,$B$5)+1-ROW('Eingabe Meldungen'!A15)))),"",INDEX('Eingabe Meldungen'!$C$2:$C$492,LARGE(('Eingabe Meldungen'!$A$2:$A$492=$B$5)*(ROW('Eingabe Meldungen'!$A$2:$A$492)-1),COUNTIF('Eingabe Meldungen'!$A$2:$A$492,$B$5)+1-ROW('Eingabe Meldungen'!A15))))</f>
        <v/>
      </c>
      <c r="C20" t="str">
        <f t="array" ref="C20">IF(ISERROR(INDEX('Eingabe Meldungen'!$D$2:$D$492,LARGE(('Eingabe Meldungen'!$A$2:$A$492=$B$5)*(ROW('Eingabe Meldungen'!$A$2:$A$492)-1),COUNTIF('Eingabe Meldungen'!$A$2:$A$492,$B$5)+1-ROW('Eingabe Meldungen'!A15)))),"",INDEX('Eingabe Meldungen'!$D$2:$D$492,LARGE(('Eingabe Meldungen'!$A$2:$A$492=$B$5)*(ROW('Eingabe Meldungen'!$A$2:$A$492)-1),COUNTIF('Eingabe Meldungen'!$A$2:$A$492,$B$5)+1-ROW('Eingabe Meldungen'!A15))))</f>
        <v/>
      </c>
      <c r="D20" s="11" t="str">
        <f t="array" ref="D20">IF(B20&lt;&gt;"",INDEX('Eingabe Meldungen'!$C$2:$H$492,MATCH(B20&amp;C20,'Eingabe Meldungen'!$C$2:$C$492&amp;'Eingabe Meldungen'!$D$2:$D$492,0),6),"")</f>
        <v/>
      </c>
      <c r="E20" s="66" t="str">
        <f t="array" ref="E20">IF(B20&lt;&gt;"",INDEX('Eingabe Meldungen'!$C$2:$H$492,MATCH(B20&amp;C20,'Eingabe Meldungen'!$C$2:$C$492&amp;'Eingabe Meldungen'!$D$2:$D$492,0),4),"")</f>
        <v/>
      </c>
      <c r="F20" s="32" t="str">
        <f>IF(VLOOKUP(B20,Rennlisten!$B$6:$H$18,6,FALSE)=0,"",VLOOKUP(B20,Rennlisten!$B$6:$H$18,6,FALSE))</f>
        <v/>
      </c>
      <c r="G20" t="e">
        <f t="shared" si="3"/>
        <v>#VALUE!</v>
      </c>
      <c r="H20" s="21" t="str">
        <f t="array" ref="H20">IF(B20&lt;&gt;"",INDEX('Eingabe Meldungen'!$C$2:$J$492,MATCH(B20&amp;C20,'Eingabe Meldungen'!$C$2:$C$492&amp;'Eingabe Meldungen'!$D$2:$D$492,0),8),"")</f>
        <v/>
      </c>
      <c r="J20" s="276" t="str">
        <f t="shared" si="4"/>
        <v/>
      </c>
      <c r="K20" s="276" t="str">
        <f t="shared" si="4"/>
        <v/>
      </c>
      <c r="L20" s="276" t="e">
        <f>IF(EXACT($H20,#REF!),$I20,"")</f>
        <v>#REF!</v>
      </c>
      <c r="M20" s="276" t="str">
        <f t="shared" si="5"/>
        <v/>
      </c>
      <c r="N20" s="276" t="str">
        <f t="shared" si="6"/>
        <v/>
      </c>
      <c r="O20" s="276" t="str">
        <f t="shared" si="7"/>
        <v/>
      </c>
      <c r="P20" s="276" t="str">
        <f t="shared" si="7"/>
        <v/>
      </c>
      <c r="Q20" s="276" t="str">
        <f t="shared" si="7"/>
        <v/>
      </c>
      <c r="R20" s="276" t="str">
        <f t="shared" si="7"/>
        <v/>
      </c>
      <c r="S20" s="276" t="str">
        <f t="shared" si="7"/>
        <v/>
      </c>
      <c r="T20" s="276" t="str">
        <f t="shared" si="7"/>
        <v/>
      </c>
      <c r="U20" s="276" t="str">
        <f t="shared" si="7"/>
        <v/>
      </c>
      <c r="V20" s="276" t="str">
        <f t="shared" si="7"/>
        <v/>
      </c>
      <c r="W20" s="276">
        <f t="shared" si="7"/>
        <v>0</v>
      </c>
      <c r="X20" s="276">
        <f t="shared" si="7"/>
        <v>0</v>
      </c>
      <c r="Y20" s="276">
        <f t="shared" si="7"/>
        <v>0</v>
      </c>
      <c r="Z20" s="276">
        <f t="shared" si="7"/>
        <v>0</v>
      </c>
      <c r="AA20" s="276">
        <f t="shared" si="7"/>
        <v>0</v>
      </c>
      <c r="AB20" s="276">
        <f t="shared" si="7"/>
        <v>0</v>
      </c>
      <c r="AC20" s="276">
        <f t="shared" si="7"/>
        <v>0</v>
      </c>
      <c r="AD20" s="276">
        <f t="shared" si="7"/>
        <v>0</v>
      </c>
      <c r="AE20" s="276"/>
      <c r="AF20" s="276"/>
      <c r="AG20" s="276">
        <f t="shared" si="7"/>
        <v>0</v>
      </c>
      <c r="AH20" s="276">
        <f t="shared" si="7"/>
        <v>0</v>
      </c>
      <c r="AI20" s="276">
        <f t="shared" si="7"/>
        <v>0</v>
      </c>
      <c r="AJ20" s="247"/>
      <c r="AK20" s="247"/>
      <c r="AL20" s="247"/>
      <c r="AM20" s="247"/>
    </row>
    <row r="21" spans="2:39" hidden="1" x14ac:dyDescent="0.2">
      <c r="B21" s="20" t="str">
        <f t="array" ref="B21">IF(ISERROR(INDEX('Eingabe Meldungen'!$C$2:$C$492,LARGE(('Eingabe Meldungen'!$A$2:$A$492=$B$5)*(ROW('Eingabe Meldungen'!$A$2:$A$492)-1),COUNTIF('Eingabe Meldungen'!$A$2:$A$492,$B$5)+1-ROW('Eingabe Meldungen'!A16)))),"",INDEX('Eingabe Meldungen'!$C$2:$C$492,LARGE(('Eingabe Meldungen'!$A$2:$A$492=$B$5)*(ROW('Eingabe Meldungen'!$A$2:$A$492)-1),COUNTIF('Eingabe Meldungen'!$A$2:$A$492,$B$5)+1-ROW('Eingabe Meldungen'!A16))))</f>
        <v/>
      </c>
      <c r="C21" t="str">
        <f t="array" ref="C21">IF(ISERROR(INDEX('Eingabe Meldungen'!$D$2:$D$492,LARGE(('Eingabe Meldungen'!$A$2:$A$492=$B$5)*(ROW('Eingabe Meldungen'!$A$2:$A$492)-1),COUNTIF('Eingabe Meldungen'!$A$2:$A$492,$B$5)+1-ROW('Eingabe Meldungen'!A16)))),"",INDEX('Eingabe Meldungen'!$D$2:$D$492,LARGE(('Eingabe Meldungen'!$A$2:$A$492=$B$5)*(ROW('Eingabe Meldungen'!$A$2:$A$492)-1),COUNTIF('Eingabe Meldungen'!$A$2:$A$492,$B$5)+1-ROW('Eingabe Meldungen'!A16))))</f>
        <v/>
      </c>
      <c r="D21" s="11" t="str">
        <f t="array" ref="D21">IF(B21&lt;&gt;"",INDEX('Eingabe Meldungen'!$C$2:$H$492,MATCH(B21&amp;C21,'Eingabe Meldungen'!$C$2:$C$492&amp;'Eingabe Meldungen'!$D$2:$D$492,0),6),"")</f>
        <v/>
      </c>
      <c r="E21" s="66" t="str">
        <f t="array" ref="E21">IF(B21&lt;&gt;"",INDEX('Eingabe Meldungen'!$C$2:$H$492,MATCH(B21&amp;C21,'Eingabe Meldungen'!$C$2:$C$492&amp;'Eingabe Meldungen'!$D$2:$D$492,0),4),"")</f>
        <v/>
      </c>
      <c r="F21" s="32" t="str">
        <f>IF(VLOOKUP(B21,Rennlisten!$B$6:$H$18,6,FALSE)=0,"",VLOOKUP(B21,Rennlisten!$B$6:$H$18,6,FALSE))</f>
        <v/>
      </c>
      <c r="G21" t="e">
        <f t="shared" si="3"/>
        <v>#VALUE!</v>
      </c>
      <c r="H21" s="21" t="str">
        <f t="array" ref="H21">IF(B21&lt;&gt;"",INDEX('Eingabe Meldungen'!$C$2:$J$492,MATCH(B21&amp;C21,'Eingabe Meldungen'!$C$2:$C$492&amp;'Eingabe Meldungen'!$D$2:$D$492,0),8),"")</f>
        <v/>
      </c>
      <c r="J21" s="276" t="str">
        <f t="shared" si="4"/>
        <v/>
      </c>
      <c r="K21" s="276" t="str">
        <f t="shared" si="4"/>
        <v/>
      </c>
      <c r="L21" s="276" t="e">
        <f>IF(EXACT($H21,#REF!),$I21,"")</f>
        <v>#REF!</v>
      </c>
      <c r="M21" s="276" t="str">
        <f t="shared" si="5"/>
        <v/>
      </c>
      <c r="N21" s="276" t="str">
        <f t="shared" si="6"/>
        <v/>
      </c>
      <c r="O21" s="276" t="str">
        <f t="shared" si="7"/>
        <v/>
      </c>
      <c r="P21" s="276" t="str">
        <f t="shared" si="7"/>
        <v/>
      </c>
      <c r="Q21" s="276" t="str">
        <f t="shared" si="7"/>
        <v/>
      </c>
      <c r="R21" s="276" t="str">
        <f t="shared" si="7"/>
        <v/>
      </c>
      <c r="S21" s="276" t="str">
        <f t="shared" si="7"/>
        <v/>
      </c>
      <c r="T21" s="276" t="str">
        <f t="shared" si="7"/>
        <v/>
      </c>
      <c r="U21" s="276" t="str">
        <f t="shared" si="7"/>
        <v/>
      </c>
      <c r="V21" s="276" t="str">
        <f t="shared" si="7"/>
        <v/>
      </c>
      <c r="W21" s="276">
        <f t="shared" si="7"/>
        <v>0</v>
      </c>
      <c r="X21" s="276">
        <f t="shared" si="7"/>
        <v>0</v>
      </c>
      <c r="Y21" s="276">
        <f t="shared" si="7"/>
        <v>0</v>
      </c>
      <c r="Z21" s="276">
        <f t="shared" si="7"/>
        <v>0</v>
      </c>
      <c r="AA21" s="276">
        <f t="shared" si="7"/>
        <v>0</v>
      </c>
      <c r="AB21" s="276">
        <f t="shared" si="7"/>
        <v>0</v>
      </c>
      <c r="AC21" s="276">
        <f t="shared" si="7"/>
        <v>0</v>
      </c>
      <c r="AD21" s="276">
        <f t="shared" si="7"/>
        <v>0</v>
      </c>
      <c r="AE21" s="276"/>
      <c r="AF21" s="276"/>
      <c r="AG21" s="276">
        <f t="shared" si="7"/>
        <v>0</v>
      </c>
      <c r="AH21" s="276">
        <f t="shared" si="7"/>
        <v>0</v>
      </c>
      <c r="AI21" s="276">
        <f t="shared" si="7"/>
        <v>0</v>
      </c>
      <c r="AJ21" s="247"/>
      <c r="AK21" s="247"/>
      <c r="AL21" s="247"/>
      <c r="AM21" s="247"/>
    </row>
    <row r="22" spans="2:39" ht="13.2" hidden="1" thickBot="1" x14ac:dyDescent="0.25">
      <c r="B22" s="22" t="str">
        <f t="array" ref="B22">IF(ISERROR(INDEX('Eingabe Meldungen'!$C$2:$C$492,LARGE(('Eingabe Meldungen'!$A$2:$A$492=$B$5)*(ROW('Eingabe Meldungen'!$A$2:$A$492)-1),COUNTIF('Eingabe Meldungen'!$A$2:$A$492,$B$5)+1-ROW('Eingabe Meldungen'!A17)))),"",INDEX('Eingabe Meldungen'!$C$2:$C$492,LARGE(('Eingabe Meldungen'!$A$2:$A$492=$B$5)*(ROW('Eingabe Meldungen'!$A$2:$A$492)-1),COUNTIF('Eingabe Meldungen'!$A$2:$A$492,$B$5)+1-ROW('Eingabe Meldungen'!A17))))</f>
        <v/>
      </c>
      <c r="C22" s="14" t="str">
        <f t="array" ref="C22">IF(ISERROR(INDEX('Eingabe Meldungen'!$D$2:$D$492,LARGE(('Eingabe Meldungen'!$A$2:$A$492=$B$5)*(ROW('Eingabe Meldungen'!$A$2:$A$492)-1),COUNTIF('Eingabe Meldungen'!$A$2:$A$492,$B$5)+1-ROW('Eingabe Meldungen'!A17)))),"",INDEX('Eingabe Meldungen'!$D$2:$D$492,LARGE(('Eingabe Meldungen'!$A$2:$A$492=$B$5)*(ROW('Eingabe Meldungen'!$A$2:$A$492)-1),COUNTIF('Eingabe Meldungen'!$A$2:$A$492,$B$5)+1-ROW('Eingabe Meldungen'!A17))))</f>
        <v/>
      </c>
      <c r="D22" s="12" t="str">
        <f t="array" ref="D22">IF(B22&lt;&gt;"",INDEX('Eingabe Meldungen'!$C$2:$H$492,MATCH(B22&amp;C22,'Eingabe Meldungen'!$C$2:$C$492&amp;'Eingabe Meldungen'!$D$2:$D$492,0),6),"")</f>
        <v/>
      </c>
      <c r="E22" s="99" t="str">
        <f t="array" ref="E22">IF(B22&lt;&gt;"",INDEX('Eingabe Meldungen'!$C$2:$H$492,MATCH(B22&amp;C22,'Eingabe Meldungen'!$C$2:$C$492&amp;'Eingabe Meldungen'!$D$2:$D$492,0),4),"")</f>
        <v/>
      </c>
      <c r="F22" s="33" t="str">
        <f>IF(VLOOKUP(B22,Rennlisten!$B$6:$H$18,6,FALSE)=0,"",VLOOKUP(B22,Rennlisten!$B$6:$H$18,6,FALSE))</f>
        <v/>
      </c>
      <c r="G22" s="14" t="e">
        <f t="shared" si="3"/>
        <v>#VALUE!</v>
      </c>
      <c r="H22" s="23" t="str">
        <f t="array" ref="H22">IF(B22&lt;&gt;"",INDEX('Eingabe Meldungen'!$C$2:$J$492,MATCH(B22&amp;C22,'Eingabe Meldungen'!$C$2:$C$492&amp;'Eingabe Meldungen'!$D$2:$D$492,0),8),"")</f>
        <v/>
      </c>
      <c r="J22" s="276" t="str">
        <f t="shared" si="4"/>
        <v/>
      </c>
      <c r="K22" s="276" t="str">
        <f t="shared" si="4"/>
        <v/>
      </c>
      <c r="L22" s="276" t="e">
        <f>IF(EXACT($H22,#REF!),$I22,"")</f>
        <v>#REF!</v>
      </c>
      <c r="M22" s="276" t="str">
        <f t="shared" si="5"/>
        <v/>
      </c>
      <c r="N22" s="276" t="str">
        <f t="shared" si="6"/>
        <v/>
      </c>
      <c r="O22" s="276" t="str">
        <f t="shared" si="7"/>
        <v/>
      </c>
      <c r="P22" s="276" t="str">
        <f t="shared" si="7"/>
        <v/>
      </c>
      <c r="Q22" s="276" t="str">
        <f t="shared" si="7"/>
        <v/>
      </c>
      <c r="R22" s="276" t="str">
        <f t="shared" si="7"/>
        <v/>
      </c>
      <c r="S22" s="276" t="str">
        <f t="shared" si="7"/>
        <v/>
      </c>
      <c r="T22" s="276" t="str">
        <f t="shared" si="7"/>
        <v/>
      </c>
      <c r="U22" s="276" t="str">
        <f t="shared" si="7"/>
        <v/>
      </c>
      <c r="V22" s="276" t="str">
        <f t="shared" si="7"/>
        <v/>
      </c>
      <c r="W22" s="276">
        <f t="shared" si="7"/>
        <v>0</v>
      </c>
      <c r="X22" s="276">
        <f t="shared" si="7"/>
        <v>0</v>
      </c>
      <c r="Y22" s="276">
        <f t="shared" si="7"/>
        <v>0</v>
      </c>
      <c r="Z22" s="276">
        <f t="shared" si="7"/>
        <v>0</v>
      </c>
      <c r="AA22" s="276">
        <f t="shared" si="7"/>
        <v>0</v>
      </c>
      <c r="AB22" s="276">
        <f t="shared" si="7"/>
        <v>0</v>
      </c>
      <c r="AC22" s="276">
        <f t="shared" si="7"/>
        <v>0</v>
      </c>
      <c r="AD22" s="276">
        <f t="shared" si="7"/>
        <v>0</v>
      </c>
      <c r="AE22" s="276"/>
      <c r="AF22" s="276"/>
      <c r="AG22" s="276">
        <f t="shared" si="7"/>
        <v>0</v>
      </c>
      <c r="AH22" s="276">
        <f t="shared" si="7"/>
        <v>0</v>
      </c>
      <c r="AI22" s="276">
        <f t="shared" si="7"/>
        <v>0</v>
      </c>
      <c r="AJ22" s="247"/>
      <c r="AK22" s="247"/>
      <c r="AL22" s="247"/>
      <c r="AM22" s="247"/>
    </row>
    <row r="23" spans="2:39" hidden="1" x14ac:dyDescent="0.2">
      <c r="D23" s="11"/>
      <c r="F23" s="11"/>
      <c r="J23" s="276" t="str">
        <f t="shared" si="4"/>
        <v/>
      </c>
      <c r="K23" s="276" t="str">
        <f t="shared" si="4"/>
        <v/>
      </c>
      <c r="L23" s="276" t="e">
        <f>IF(EXACT($H23,#REF!),$I23,"")</f>
        <v>#REF!</v>
      </c>
      <c r="M23" s="276" t="str">
        <f t="shared" si="5"/>
        <v/>
      </c>
      <c r="N23" s="276" t="str">
        <f t="shared" si="6"/>
        <v/>
      </c>
      <c r="O23" s="276" t="str">
        <f t="shared" si="7"/>
        <v/>
      </c>
      <c r="P23" s="276" t="str">
        <f t="shared" si="7"/>
        <v/>
      </c>
      <c r="Q23" s="276" t="str">
        <f t="shared" si="7"/>
        <v/>
      </c>
      <c r="R23" s="276" t="str">
        <f t="shared" si="7"/>
        <v/>
      </c>
      <c r="S23" s="276" t="str">
        <f t="shared" si="7"/>
        <v/>
      </c>
      <c r="T23" s="276" t="str">
        <f t="shared" si="7"/>
        <v/>
      </c>
      <c r="U23" s="276" t="str">
        <f t="shared" si="7"/>
        <v/>
      </c>
      <c r="V23" s="276" t="str">
        <f t="shared" si="7"/>
        <v/>
      </c>
      <c r="W23" s="276">
        <f t="shared" si="7"/>
        <v>0</v>
      </c>
      <c r="X23" s="276">
        <f t="shared" si="7"/>
        <v>0</v>
      </c>
      <c r="Y23" s="276">
        <f t="shared" si="7"/>
        <v>0</v>
      </c>
      <c r="Z23" s="276">
        <f t="shared" si="7"/>
        <v>0</v>
      </c>
      <c r="AA23" s="276">
        <f t="shared" si="7"/>
        <v>0</v>
      </c>
      <c r="AB23" s="276">
        <f t="shared" si="7"/>
        <v>0</v>
      </c>
      <c r="AC23" s="276">
        <f t="shared" si="7"/>
        <v>0</v>
      </c>
      <c r="AD23" s="276">
        <f t="shared" si="7"/>
        <v>0</v>
      </c>
      <c r="AE23" s="276"/>
      <c r="AF23" s="276"/>
      <c r="AG23" s="276">
        <f t="shared" si="7"/>
        <v>0</v>
      </c>
      <c r="AH23" s="276">
        <f t="shared" si="7"/>
        <v>0</v>
      </c>
      <c r="AI23" s="276">
        <f t="shared" si="7"/>
        <v>0</v>
      </c>
      <c r="AJ23" s="247"/>
      <c r="AK23" s="247"/>
      <c r="AL23" s="247"/>
      <c r="AM23" s="247"/>
    </row>
    <row r="24" spans="2:39" ht="25.5" hidden="1" customHeight="1" x14ac:dyDescent="0.2">
      <c r="B24" s="26">
        <v>2</v>
      </c>
      <c r="C24" s="65" t="str">
        <f>VLOOKUP(B24,Ausschreibung!$B$5:$I$35,2,FALSE)</f>
        <v>Ergocup</v>
      </c>
      <c r="D24" s="27">
        <f>VLOOKUP(B24,Ausschreibung!$B$5:$I$35,3,FALSE)</f>
        <v>0.40277777777777779</v>
      </c>
      <c r="E24" s="65" t="str">
        <f>VLOOKUP(B24,Ausschreibung!$B$5:$I$35,4,FALSE)</f>
        <v>Masters A-H, männlich</v>
      </c>
      <c r="F24" s="68" t="str">
        <f>VLOOKUP(B24,Ausschreibung!$B$5:$I$35,5,FALSE)</f>
        <v>-</v>
      </c>
      <c r="G24" s="65" t="str">
        <f>VLOOKUP(B24,Ausschreibung!$B$5:$I$35,6,FALSE)</f>
        <v>27 und älter</v>
      </c>
      <c r="H24" s="28" t="str">
        <f>VLOOKUP(B24,Ausschreibung!$B$5:$I$35,8,FALSE)</f>
        <v>30 min.</v>
      </c>
      <c r="J24" s="276" t="str">
        <f t="shared" si="4"/>
        <v/>
      </c>
      <c r="K24" s="276" t="str">
        <f t="shared" si="4"/>
        <v/>
      </c>
      <c r="L24" s="276" t="e">
        <f>IF(EXACT($H24,#REF!),$I24,"")</f>
        <v>#REF!</v>
      </c>
      <c r="M24" s="276" t="str">
        <f t="shared" si="5"/>
        <v/>
      </c>
      <c r="N24" s="276" t="str">
        <f t="shared" si="6"/>
        <v/>
      </c>
      <c r="O24" s="276" t="str">
        <f t="shared" si="7"/>
        <v/>
      </c>
      <c r="P24" s="276" t="str">
        <f t="shared" si="7"/>
        <v/>
      </c>
      <c r="Q24" s="276" t="str">
        <f t="shared" si="7"/>
        <v/>
      </c>
      <c r="R24" s="276" t="str">
        <f t="shared" si="7"/>
        <v/>
      </c>
      <c r="S24" s="276" t="str">
        <f t="shared" si="7"/>
        <v/>
      </c>
      <c r="T24" s="276" t="str">
        <f t="shared" si="7"/>
        <v/>
      </c>
      <c r="U24" s="276" t="str">
        <f t="shared" si="7"/>
        <v/>
      </c>
      <c r="V24" s="276" t="str">
        <f t="shared" si="7"/>
        <v/>
      </c>
      <c r="W24" s="276" t="str">
        <f t="shared" si="7"/>
        <v/>
      </c>
      <c r="X24" s="276" t="str">
        <f t="shared" si="7"/>
        <v/>
      </c>
      <c r="Y24" s="276" t="str">
        <f t="shared" si="7"/>
        <v/>
      </c>
      <c r="Z24" s="276" t="str">
        <f t="shared" si="7"/>
        <v/>
      </c>
      <c r="AA24" s="276" t="str">
        <f t="shared" si="7"/>
        <v/>
      </c>
      <c r="AB24" s="276" t="str">
        <f t="shared" si="7"/>
        <v/>
      </c>
      <c r="AC24" s="276" t="str">
        <f t="shared" si="7"/>
        <v/>
      </c>
      <c r="AD24" s="276" t="str">
        <f t="shared" si="7"/>
        <v/>
      </c>
      <c r="AE24" s="276"/>
      <c r="AF24" s="276"/>
      <c r="AG24" s="276" t="str">
        <f t="shared" si="7"/>
        <v/>
      </c>
      <c r="AH24" s="276" t="str">
        <f t="shared" si="7"/>
        <v/>
      </c>
      <c r="AI24" s="276" t="str">
        <f t="shared" si="7"/>
        <v/>
      </c>
      <c r="AJ24" s="247"/>
      <c r="AK24" s="247"/>
      <c r="AL24" s="247"/>
      <c r="AM24" s="247"/>
    </row>
    <row r="25" spans="2:39" hidden="1" x14ac:dyDescent="0.2">
      <c r="B25" s="19" t="s">
        <v>1</v>
      </c>
      <c r="C25" s="18" t="s">
        <v>2</v>
      </c>
      <c r="D25" s="17" t="s">
        <v>49</v>
      </c>
      <c r="E25" s="130" t="s">
        <v>16</v>
      </c>
      <c r="F25" s="17" t="s">
        <v>50</v>
      </c>
      <c r="G25" s="17" t="s">
        <v>51</v>
      </c>
      <c r="H25" s="30" t="s">
        <v>17</v>
      </c>
      <c r="J25" s="276" t="str">
        <f t="shared" si="4"/>
        <v/>
      </c>
      <c r="K25" s="276" t="str">
        <f t="shared" si="4"/>
        <v/>
      </c>
      <c r="L25" s="276" t="e">
        <f>IF(EXACT($H25,#REF!),$I25,"")</f>
        <v>#REF!</v>
      </c>
      <c r="M25" s="276" t="str">
        <f t="shared" si="5"/>
        <v/>
      </c>
      <c r="N25" s="276" t="str">
        <f t="shared" si="6"/>
        <v/>
      </c>
      <c r="O25" s="276" t="str">
        <f t="shared" si="7"/>
        <v/>
      </c>
      <c r="P25" s="276" t="str">
        <f t="shared" si="7"/>
        <v/>
      </c>
      <c r="Q25" s="276" t="str">
        <f t="shared" si="7"/>
        <v/>
      </c>
      <c r="R25" s="276" t="str">
        <f t="shared" si="7"/>
        <v/>
      </c>
      <c r="S25" s="276" t="str">
        <f t="shared" si="7"/>
        <v/>
      </c>
      <c r="T25" s="276" t="str">
        <f t="shared" si="7"/>
        <v/>
      </c>
      <c r="U25" s="276" t="str">
        <f t="shared" si="7"/>
        <v/>
      </c>
      <c r="V25" s="276" t="str">
        <f t="shared" si="7"/>
        <v/>
      </c>
      <c r="W25" s="276" t="str">
        <f t="shared" si="7"/>
        <v/>
      </c>
      <c r="X25" s="276" t="str">
        <f t="shared" si="7"/>
        <v/>
      </c>
      <c r="Y25" s="276" t="str">
        <f t="shared" si="7"/>
        <v/>
      </c>
      <c r="Z25" s="276" t="str">
        <f t="shared" si="7"/>
        <v/>
      </c>
      <c r="AA25" s="276" t="str">
        <f t="shared" si="7"/>
        <v/>
      </c>
      <c r="AB25" s="276" t="str">
        <f t="shared" si="7"/>
        <v/>
      </c>
      <c r="AC25" s="276" t="str">
        <f t="shared" si="7"/>
        <v/>
      </c>
      <c r="AD25" s="276" t="str">
        <f t="shared" si="7"/>
        <v/>
      </c>
      <c r="AE25" s="276"/>
      <c r="AF25" s="276"/>
      <c r="AG25" s="276" t="str">
        <f t="shared" si="7"/>
        <v/>
      </c>
      <c r="AH25" s="276" t="str">
        <f t="shared" si="7"/>
        <v/>
      </c>
      <c r="AI25" s="276" t="str">
        <f t="shared" si="7"/>
        <v/>
      </c>
      <c r="AJ25" s="247"/>
      <c r="AK25" s="247"/>
      <c r="AL25" s="247"/>
      <c r="AM25" s="247"/>
    </row>
    <row r="26" spans="2:39" hidden="1" x14ac:dyDescent="0.2">
      <c r="B26" s="20" t="str">
        <f t="array" ref="B26">IF(ISERROR(INDEX('Eingabe Meldungen'!$C$2:$C$492,LARGE(('Eingabe Meldungen'!$A$2:$A$492=$B$24)*(ROW('Eingabe Meldungen'!$A$2:$A$492)-1),COUNTIF('Eingabe Meldungen'!$A$2:$A$492,$B$24)+1-ROW('Eingabe Meldungen'!A1)))),"",INDEX('Eingabe Meldungen'!$C$2:$C$492,LARGE(('Eingabe Meldungen'!$A$2:$A$492=$B$24)*(ROW('Eingabe Meldungen'!$A$2:$A$492)-1),COUNTIF('Eingabe Meldungen'!$A$2:$A$492,$B$24)+1-ROW('Eingabe Meldungen'!A1))))</f>
        <v>Gocke</v>
      </c>
      <c r="C26" t="str">
        <f t="array" ref="C26">IF(ISERROR(INDEX('Eingabe Meldungen'!$D$2:$D$492,LARGE(('Eingabe Meldungen'!$A$2:$A$492=$B$24)*(ROW('Eingabe Meldungen'!$A$2:$A$492)-1),COUNTIF('Eingabe Meldungen'!$A$2:$A$492,$B$24)+1-ROW('Eingabe Meldungen'!A1)))),"",INDEX('Eingabe Meldungen'!$D$2:$D$492,LARGE(('Eingabe Meldungen'!$A$2:$A$492=$B$24)*(ROW('Eingabe Meldungen'!$A$2:$A$492)-1),COUNTIF('Eingabe Meldungen'!$A$2:$A$492,$B$24)+1-ROW('Eingabe Meldungen'!A1))))</f>
        <v>Eberhard</v>
      </c>
      <c r="D26" s="11">
        <f t="array" ref="D26">IF(B26&lt;&gt;"",INDEX('Eingabe Meldungen'!$C$2:$H$492,MATCH(B26&amp;C26,'Eingabe Meldungen'!$C$2:$C$492&amp;'Eingabe Meldungen'!$D$2:$D$492,0),6),"")</f>
        <v>1940</v>
      </c>
      <c r="E26" s="66" t="str">
        <f t="array" ref="E26">IF(B26&lt;&gt;"",INDEX('Eingabe Meldungen'!$C$2:$H$492,MATCH(B26&amp;C26,'Eingabe Meldungen'!$C$2:$C$492&amp;'Eingabe Meldungen'!$D$2:$D$492,0),4),"")</f>
        <v>J</v>
      </c>
      <c r="F26" s="32" t="str">
        <f>IF(VLOOKUP(B26,Rennlisten!$B$22:$H$51,6,FALSE)=0,"",VLOOKUP(B26,Rennlisten!$B$22:$H$51,6,FALSE))</f>
        <v/>
      </c>
      <c r="G26" t="e">
        <f>RANK(F26,$F$26:$F$41,1)</f>
        <v>#VALUE!</v>
      </c>
      <c r="H26" s="54" t="str">
        <f t="array" ref="H26">IF(B26&lt;&gt;"",INDEX('Eingabe Meldungen'!$C$2:$J$244,MATCH(B26&amp;C26,'Eingabe Meldungen'!$C$2:$C$244&amp;'Eingabe Meldungen'!$D$2:$D$244,0),8),"")</f>
        <v>RC Neptun Neckarelz</v>
      </c>
      <c r="J26" s="276" t="str">
        <f t="shared" si="4"/>
        <v/>
      </c>
      <c r="K26" s="276" t="str">
        <f t="shared" si="4"/>
        <v/>
      </c>
      <c r="L26" s="276" t="e">
        <f>IF(EXACT($H26,#REF!),$I26,"")</f>
        <v>#REF!</v>
      </c>
      <c r="M26" s="276" t="str">
        <f t="shared" si="5"/>
        <v/>
      </c>
      <c r="N26" s="276" t="str">
        <f t="shared" si="6"/>
        <v/>
      </c>
      <c r="O26" s="276" t="str">
        <f t="shared" si="7"/>
        <v/>
      </c>
      <c r="P26" s="276" t="str">
        <f t="shared" si="7"/>
        <v/>
      </c>
      <c r="Q26" s="276" t="str">
        <f t="shared" si="7"/>
        <v/>
      </c>
      <c r="R26" s="276" t="str">
        <f t="shared" si="7"/>
        <v/>
      </c>
      <c r="S26" s="276" t="str">
        <f t="shared" si="7"/>
        <v/>
      </c>
      <c r="T26" s="276" t="str">
        <f t="shared" si="7"/>
        <v/>
      </c>
      <c r="U26" s="276" t="str">
        <f t="shared" si="7"/>
        <v/>
      </c>
      <c r="V26" s="276" t="str">
        <f t="shared" si="7"/>
        <v/>
      </c>
      <c r="W26" s="276" t="str">
        <f t="shared" si="7"/>
        <v/>
      </c>
      <c r="X26" s="276" t="str">
        <f t="shared" si="7"/>
        <v/>
      </c>
      <c r="Y26" s="276" t="str">
        <f t="shared" si="7"/>
        <v/>
      </c>
      <c r="Z26" s="276" t="str">
        <f t="shared" si="7"/>
        <v/>
      </c>
      <c r="AA26" s="276" t="str">
        <f t="shared" si="7"/>
        <v/>
      </c>
      <c r="AB26" s="276" t="str">
        <f t="shared" si="7"/>
        <v/>
      </c>
      <c r="AC26" s="276" t="str">
        <f t="shared" si="7"/>
        <v/>
      </c>
      <c r="AD26" s="276" t="str">
        <f t="shared" si="7"/>
        <v/>
      </c>
      <c r="AE26" s="276"/>
      <c r="AF26" s="276"/>
      <c r="AG26" s="276" t="str">
        <f t="shared" si="7"/>
        <v/>
      </c>
      <c r="AH26" s="276" t="str">
        <f t="shared" si="7"/>
        <v/>
      </c>
      <c r="AI26" s="276" t="str">
        <f t="shared" si="7"/>
        <v/>
      </c>
      <c r="AJ26" s="247"/>
      <c r="AK26" s="247"/>
      <c r="AL26" s="247"/>
      <c r="AM26" s="247"/>
    </row>
    <row r="27" spans="2:39" hidden="1" x14ac:dyDescent="0.2">
      <c r="B27" s="20" t="str">
        <f t="array" ref="B27">IF(ISERROR(INDEX('Eingabe Meldungen'!$C$2:$C$492,LARGE(('Eingabe Meldungen'!$A$2:$A$492=$B$24)*(ROW('Eingabe Meldungen'!$A$2:$A$492)-1),COUNTIF('Eingabe Meldungen'!$A$2:$A$492,$B$24)+1-ROW('Eingabe Meldungen'!A2)))),"",INDEX('Eingabe Meldungen'!$C$2:$C$492,LARGE(('Eingabe Meldungen'!$A$2:$A$492=$B$24)*(ROW('Eingabe Meldungen'!$A$2:$A$492)-1),COUNTIF('Eingabe Meldungen'!$A$2:$A$492,$B$24)+1-ROW('Eingabe Meldungen'!A2))))</f>
        <v>Schultheiß</v>
      </c>
      <c r="C27" t="str">
        <f t="array" ref="C27">IF(ISERROR(INDEX('Eingabe Meldungen'!$D$2:$D$492,LARGE(('Eingabe Meldungen'!$A$2:$A$492=$B$24)*(ROW('Eingabe Meldungen'!$A$2:$A$492)-1),COUNTIF('Eingabe Meldungen'!$A$2:$A$492,$B$24)+1-ROW('Eingabe Meldungen'!A2)))),"",INDEX('Eingabe Meldungen'!$D$2:$D$492,LARGE(('Eingabe Meldungen'!$A$2:$A$492=$B$24)*(ROW('Eingabe Meldungen'!$A$2:$A$492)-1),COUNTIF('Eingabe Meldungen'!$A$2:$A$492,$B$24)+1-ROW('Eingabe Meldungen'!A2))))</f>
        <v>Günther</v>
      </c>
      <c r="D27" s="11">
        <f t="array" ref="D27">IF(B27&lt;&gt;"",INDEX('Eingabe Meldungen'!$C$2:$H$492,MATCH(B27&amp;C27,'Eingabe Meldungen'!$C$2:$C$492&amp;'Eingabe Meldungen'!$D$2:$D$492,0),6),"")</f>
        <v>1942</v>
      </c>
      <c r="E27" s="66" t="str">
        <f t="array" ref="E27">IF(B27&lt;&gt;"",INDEX('Eingabe Meldungen'!$C$2:$H$492,MATCH(B27&amp;C27,'Eingabe Meldungen'!$C$2:$C$492&amp;'Eingabe Meldungen'!$D$2:$D$492,0),4),"")</f>
        <v>J</v>
      </c>
      <c r="F27" s="32" t="str">
        <f>IF(VLOOKUP(B27,Rennlisten!$B$22:$H$51,6,FALSE)=0,"",VLOOKUP(B27,Rennlisten!$B$22:$H$51,6,FALSE))</f>
        <v/>
      </c>
      <c r="G27" t="e">
        <f t="shared" ref="G27:G41" si="8">RANK(F27,$F$26:$F$41,1)</f>
        <v>#VALUE!</v>
      </c>
      <c r="H27" s="54" t="str">
        <f t="array" ref="H27">IF(B27&lt;&gt;"",INDEX('Eingabe Meldungen'!$C$2:$J$244,MATCH(B27&amp;C27,'Eingabe Meldungen'!$C$2:$C$244&amp;'Eingabe Meldungen'!$D$2:$D$244,0),8),"")</f>
        <v>RC Neptun Neckarelz</v>
      </c>
      <c r="J27" s="276" t="str">
        <f t="shared" si="4"/>
        <v/>
      </c>
      <c r="K27" s="276" t="str">
        <f t="shared" si="4"/>
        <v/>
      </c>
      <c r="L27" s="276" t="e">
        <f>IF(EXACT($H27,#REF!),$I27,"")</f>
        <v>#REF!</v>
      </c>
      <c r="M27" s="276" t="str">
        <f t="shared" si="5"/>
        <v/>
      </c>
      <c r="N27" s="276" t="str">
        <f t="shared" si="6"/>
        <v/>
      </c>
      <c r="O27" s="276" t="str">
        <f t="shared" ref="O27:AI36" si="9">IF(EXACT($H27,O$4),$I27,"")</f>
        <v/>
      </c>
      <c r="P27" s="276" t="str">
        <f t="shared" si="9"/>
        <v/>
      </c>
      <c r="Q27" s="276" t="str">
        <f t="shared" si="9"/>
        <v/>
      </c>
      <c r="R27" s="276" t="str">
        <f t="shared" si="9"/>
        <v/>
      </c>
      <c r="S27" s="276" t="str">
        <f t="shared" si="9"/>
        <v/>
      </c>
      <c r="T27" s="276" t="str">
        <f t="shared" si="9"/>
        <v/>
      </c>
      <c r="U27" s="276" t="str">
        <f t="shared" si="9"/>
        <v/>
      </c>
      <c r="V27" s="276" t="str">
        <f t="shared" si="9"/>
        <v/>
      </c>
      <c r="W27" s="276" t="str">
        <f t="shared" si="9"/>
        <v/>
      </c>
      <c r="X27" s="276" t="str">
        <f t="shared" si="9"/>
        <v/>
      </c>
      <c r="Y27" s="276" t="str">
        <f t="shared" si="9"/>
        <v/>
      </c>
      <c r="Z27" s="276" t="str">
        <f t="shared" si="9"/>
        <v/>
      </c>
      <c r="AA27" s="276" t="str">
        <f t="shared" si="9"/>
        <v/>
      </c>
      <c r="AB27" s="276" t="str">
        <f t="shared" si="9"/>
        <v/>
      </c>
      <c r="AC27" s="276" t="str">
        <f t="shared" si="9"/>
        <v/>
      </c>
      <c r="AD27" s="276" t="str">
        <f t="shared" si="9"/>
        <v/>
      </c>
      <c r="AE27" s="276"/>
      <c r="AF27" s="276"/>
      <c r="AG27" s="276" t="str">
        <f t="shared" si="9"/>
        <v/>
      </c>
      <c r="AH27" s="276" t="str">
        <f t="shared" si="9"/>
        <v/>
      </c>
      <c r="AI27" s="276" t="str">
        <f t="shared" si="9"/>
        <v/>
      </c>
      <c r="AJ27" s="247"/>
      <c r="AK27" s="247"/>
      <c r="AL27" s="247"/>
      <c r="AM27" s="247"/>
    </row>
    <row r="28" spans="2:39" hidden="1" x14ac:dyDescent="0.2">
      <c r="B28" s="20" t="str">
        <f t="array" ref="B28">IF(ISERROR(INDEX('Eingabe Meldungen'!$C$2:$C$492,LARGE(('Eingabe Meldungen'!$A$2:$A$492=$B$24)*(ROW('Eingabe Meldungen'!$A$2:$A$492)-1),COUNTIF('Eingabe Meldungen'!$A$2:$A$492,$B$24)+1-ROW('Eingabe Meldungen'!A3)))),"",INDEX('Eingabe Meldungen'!$C$2:$C$492,LARGE(('Eingabe Meldungen'!$A$2:$A$492=$B$24)*(ROW('Eingabe Meldungen'!$A$2:$A$492)-1),COUNTIF('Eingabe Meldungen'!$A$2:$A$492,$B$24)+1-ROW('Eingabe Meldungen'!A3))))</f>
        <v>Diem</v>
      </c>
      <c r="C28" t="str">
        <f t="array" ref="C28">IF(ISERROR(INDEX('Eingabe Meldungen'!$D$2:$D$492,LARGE(('Eingabe Meldungen'!$A$2:$A$492=$B$24)*(ROW('Eingabe Meldungen'!$A$2:$A$492)-1),COUNTIF('Eingabe Meldungen'!$A$2:$A$492,$B$24)+1-ROW('Eingabe Meldungen'!A3)))),"",INDEX('Eingabe Meldungen'!$D$2:$D$492,LARGE(('Eingabe Meldungen'!$A$2:$A$492=$B$24)*(ROW('Eingabe Meldungen'!$A$2:$A$492)-1),COUNTIF('Eingabe Meldungen'!$A$2:$A$492,$B$24)+1-ROW('Eingabe Meldungen'!A3))))</f>
        <v>Werner</v>
      </c>
      <c r="D28" s="11">
        <f t="array" ref="D28">IF(B28&lt;&gt;"",INDEX('Eingabe Meldungen'!$C$2:$H$492,MATCH(B28&amp;C28,'Eingabe Meldungen'!$C$2:$C$492&amp;'Eingabe Meldungen'!$D$2:$D$492,0),6),"")</f>
        <v>1943</v>
      </c>
      <c r="E28" s="66" t="str">
        <f t="array" ref="E28">IF(B28&lt;&gt;"",INDEX('Eingabe Meldungen'!$C$2:$H$492,MATCH(B28&amp;C28,'Eingabe Meldungen'!$C$2:$C$492&amp;'Eingabe Meldungen'!$D$2:$D$492,0),4),"")</f>
        <v>H</v>
      </c>
      <c r="F28" s="32" t="str">
        <f>IF(VLOOKUP(B28,Rennlisten!$B$22:$H$51,6,FALSE)=0,"",VLOOKUP(B28,Rennlisten!$B$22:$H$51,6,FALSE))</f>
        <v/>
      </c>
      <c r="G28" t="e">
        <f t="shared" si="8"/>
        <v>#VALUE!</v>
      </c>
      <c r="H28" s="54" t="str">
        <f t="array" ref="H28">IF(B28&lt;&gt;"",INDEX('Eingabe Meldungen'!$C$2:$J$244,MATCH(B28&amp;C28,'Eingabe Meldungen'!$C$2:$C$244&amp;'Eingabe Meldungen'!$D$2:$D$244,0),8),"")</f>
        <v>RC Neptun Neckarelz</v>
      </c>
      <c r="J28" s="276" t="str">
        <f t="shared" si="4"/>
        <v/>
      </c>
      <c r="K28" s="276" t="str">
        <f t="shared" si="4"/>
        <v/>
      </c>
      <c r="L28" s="276" t="e">
        <f>IF(EXACT($H28,#REF!),$I28,"")</f>
        <v>#REF!</v>
      </c>
      <c r="M28" s="276" t="str">
        <f t="shared" si="5"/>
        <v/>
      </c>
      <c r="N28" s="276" t="str">
        <f t="shared" si="6"/>
        <v/>
      </c>
      <c r="O28" s="276" t="str">
        <f t="shared" si="9"/>
        <v/>
      </c>
      <c r="P28" s="276" t="str">
        <f t="shared" si="9"/>
        <v/>
      </c>
      <c r="Q28" s="276" t="str">
        <f t="shared" si="9"/>
        <v/>
      </c>
      <c r="R28" s="276" t="str">
        <f t="shared" si="9"/>
        <v/>
      </c>
      <c r="S28" s="276" t="str">
        <f t="shared" si="9"/>
        <v/>
      </c>
      <c r="T28" s="276" t="str">
        <f t="shared" si="9"/>
        <v/>
      </c>
      <c r="U28" s="276" t="str">
        <f t="shared" si="9"/>
        <v/>
      </c>
      <c r="V28" s="276" t="str">
        <f t="shared" si="9"/>
        <v/>
      </c>
      <c r="W28" s="276" t="str">
        <f t="shared" si="9"/>
        <v/>
      </c>
      <c r="X28" s="276" t="str">
        <f t="shared" si="9"/>
        <v/>
      </c>
      <c r="Y28" s="276" t="str">
        <f t="shared" si="9"/>
        <v/>
      </c>
      <c r="Z28" s="276" t="str">
        <f t="shared" si="9"/>
        <v/>
      </c>
      <c r="AA28" s="276" t="str">
        <f t="shared" si="9"/>
        <v/>
      </c>
      <c r="AB28" s="276" t="str">
        <f t="shared" si="9"/>
        <v/>
      </c>
      <c r="AC28" s="276" t="str">
        <f t="shared" si="9"/>
        <v/>
      </c>
      <c r="AD28" s="276" t="str">
        <f t="shared" si="9"/>
        <v/>
      </c>
      <c r="AE28" s="276"/>
      <c r="AF28" s="276"/>
      <c r="AG28" s="276" t="str">
        <f t="shared" si="9"/>
        <v/>
      </c>
      <c r="AH28" s="276" t="str">
        <f t="shared" si="9"/>
        <v/>
      </c>
      <c r="AI28" s="276" t="str">
        <f t="shared" si="9"/>
        <v/>
      </c>
      <c r="AJ28" s="247"/>
      <c r="AK28" s="247"/>
      <c r="AL28" s="247"/>
      <c r="AM28" s="247"/>
    </row>
    <row r="29" spans="2:39" hidden="1" x14ac:dyDescent="0.2">
      <c r="B29" s="20" t="str">
        <f t="array" ref="B29">IF(ISERROR(INDEX('Eingabe Meldungen'!$C$2:$C$492,LARGE(('Eingabe Meldungen'!$A$2:$A$492=$B$24)*(ROW('Eingabe Meldungen'!$A$2:$A$492)-1),COUNTIF('Eingabe Meldungen'!$A$2:$A$492,$B$24)+1-ROW('Eingabe Meldungen'!A4)))),"",INDEX('Eingabe Meldungen'!$C$2:$C$492,LARGE(('Eingabe Meldungen'!$A$2:$A$492=$B$24)*(ROW('Eingabe Meldungen'!$A$2:$A$492)-1),COUNTIF('Eingabe Meldungen'!$A$2:$A$492,$B$24)+1-ROW('Eingabe Meldungen'!A4))))</f>
        <v>Schmiedeknecht</v>
      </c>
      <c r="C29" t="str">
        <f t="array" ref="C29">IF(ISERROR(INDEX('Eingabe Meldungen'!$D$2:$D$492,LARGE(('Eingabe Meldungen'!$A$2:$A$492=$B$24)*(ROW('Eingabe Meldungen'!$A$2:$A$492)-1),COUNTIF('Eingabe Meldungen'!$A$2:$A$492,$B$24)+1-ROW('Eingabe Meldungen'!A4)))),"",INDEX('Eingabe Meldungen'!$D$2:$D$492,LARGE(('Eingabe Meldungen'!$A$2:$A$492=$B$24)*(ROW('Eingabe Meldungen'!$A$2:$A$492)-1),COUNTIF('Eingabe Meldungen'!$A$2:$A$492,$B$24)+1-ROW('Eingabe Meldungen'!A4))))</f>
        <v>Helmut</v>
      </c>
      <c r="D29" s="11">
        <f t="array" ref="D29">IF(B29&lt;&gt;"",INDEX('Eingabe Meldungen'!$C$2:$H$492,MATCH(B29&amp;C29,'Eingabe Meldungen'!$C$2:$C$492&amp;'Eingabe Meldungen'!$D$2:$D$492,0),6),"")</f>
        <v>1947</v>
      </c>
      <c r="E29" s="66" t="str">
        <f t="array" ref="E29">IF(B29&lt;&gt;"",INDEX('Eingabe Meldungen'!$C$2:$H$492,MATCH(B29&amp;C29,'Eingabe Meldungen'!$C$2:$C$492&amp;'Eingabe Meldungen'!$D$2:$D$492,0),4),"")</f>
        <v>H</v>
      </c>
      <c r="F29" s="32" t="str">
        <f>IF(VLOOKUP(B29,Rennlisten!$B$22:$H$51,6,FALSE)=0,"",VLOOKUP(B29,Rennlisten!$B$22:$H$51,6,FALSE))</f>
        <v/>
      </c>
      <c r="G29" t="e">
        <f t="shared" si="8"/>
        <v>#VALUE!</v>
      </c>
      <c r="H29" s="54" t="str">
        <f t="array" ref="H29">IF(B29&lt;&gt;"",INDEX('Eingabe Meldungen'!$C$2:$J$244,MATCH(B29&amp;C29,'Eingabe Meldungen'!$C$2:$C$244&amp;'Eingabe Meldungen'!$D$2:$D$244,0),8),"")</f>
        <v>Ruderverein Bad Wimpfen</v>
      </c>
      <c r="J29" s="276" t="str">
        <f t="shared" si="4"/>
        <v/>
      </c>
      <c r="K29" s="276" t="str">
        <f t="shared" si="4"/>
        <v/>
      </c>
      <c r="L29" s="276" t="e">
        <f>IF(EXACT($H29,#REF!),$I29,"")</f>
        <v>#REF!</v>
      </c>
      <c r="M29" s="276" t="str">
        <f t="shared" si="5"/>
        <v/>
      </c>
      <c r="N29" s="276" t="str">
        <f t="shared" si="6"/>
        <v/>
      </c>
      <c r="O29" s="276" t="str">
        <f t="shared" si="9"/>
        <v/>
      </c>
      <c r="P29" s="276" t="str">
        <f t="shared" si="9"/>
        <v/>
      </c>
      <c r="Q29" s="276" t="str">
        <f t="shared" si="9"/>
        <v/>
      </c>
      <c r="R29" s="276" t="str">
        <f t="shared" si="9"/>
        <v/>
      </c>
      <c r="S29" s="276" t="str">
        <f t="shared" si="9"/>
        <v/>
      </c>
      <c r="T29" s="276" t="str">
        <f t="shared" si="9"/>
        <v/>
      </c>
      <c r="U29" s="276" t="str">
        <f t="shared" si="9"/>
        <v/>
      </c>
      <c r="V29" s="276" t="str">
        <f t="shared" si="9"/>
        <v/>
      </c>
      <c r="W29" s="276" t="str">
        <f t="shared" si="9"/>
        <v/>
      </c>
      <c r="X29" s="276" t="str">
        <f t="shared" si="9"/>
        <v/>
      </c>
      <c r="Y29" s="276" t="str">
        <f t="shared" si="9"/>
        <v/>
      </c>
      <c r="Z29" s="276" t="str">
        <f t="shared" si="9"/>
        <v/>
      </c>
      <c r="AA29" s="276" t="str">
        <f t="shared" si="9"/>
        <v/>
      </c>
      <c r="AB29" s="276" t="str">
        <f t="shared" si="9"/>
        <v/>
      </c>
      <c r="AC29" s="276" t="str">
        <f t="shared" si="9"/>
        <v/>
      </c>
      <c r="AD29" s="276" t="str">
        <f t="shared" si="9"/>
        <v/>
      </c>
      <c r="AE29" s="276"/>
      <c r="AF29" s="276"/>
      <c r="AG29" s="276" t="str">
        <f t="shared" si="9"/>
        <v/>
      </c>
      <c r="AH29" s="276" t="str">
        <f t="shared" si="9"/>
        <v/>
      </c>
      <c r="AI29" s="276" t="str">
        <f t="shared" si="9"/>
        <v/>
      </c>
      <c r="AJ29" s="247"/>
      <c r="AK29" s="247"/>
      <c r="AL29" s="247"/>
      <c r="AM29" s="247"/>
    </row>
    <row r="30" spans="2:39" hidden="1" x14ac:dyDescent="0.2">
      <c r="B30" s="20" t="str">
        <f t="array" ref="B30">IF(ISERROR(INDEX('Eingabe Meldungen'!$C$2:$C$492,LARGE(('Eingabe Meldungen'!$A$2:$A$492=$B$24)*(ROW('Eingabe Meldungen'!$A$2:$A$492)-1),COUNTIF('Eingabe Meldungen'!$A$2:$A$492,$B$24)+1-ROW('Eingabe Meldungen'!A5)))),"",INDEX('Eingabe Meldungen'!$C$2:$C$492,LARGE(('Eingabe Meldungen'!$A$2:$A$492=$B$24)*(ROW('Eingabe Meldungen'!$A$2:$A$492)-1),COUNTIF('Eingabe Meldungen'!$A$2:$A$492,$B$24)+1-ROW('Eingabe Meldungen'!A5))))</f>
        <v>Vollmer</v>
      </c>
      <c r="C30" t="str">
        <f t="array" ref="C30">IF(ISERROR(INDEX('Eingabe Meldungen'!$D$2:$D$492,LARGE(('Eingabe Meldungen'!$A$2:$A$492=$B$24)*(ROW('Eingabe Meldungen'!$A$2:$A$492)-1),COUNTIF('Eingabe Meldungen'!$A$2:$A$492,$B$24)+1-ROW('Eingabe Meldungen'!A5)))),"",INDEX('Eingabe Meldungen'!$D$2:$D$492,LARGE(('Eingabe Meldungen'!$A$2:$A$492=$B$24)*(ROW('Eingabe Meldungen'!$A$2:$A$492)-1),COUNTIF('Eingabe Meldungen'!$A$2:$A$492,$B$24)+1-ROW('Eingabe Meldungen'!A5))))</f>
        <v>Gerhard</v>
      </c>
      <c r="D30" s="11">
        <f t="array" ref="D30">IF(B30&lt;&gt;"",INDEX('Eingabe Meldungen'!$C$2:$H$492,MATCH(B30&amp;C30,'Eingabe Meldungen'!$C$2:$C$492&amp;'Eingabe Meldungen'!$D$2:$D$492,0),6),"")</f>
        <v>1948</v>
      </c>
      <c r="E30" s="66" t="str">
        <f t="array" ref="E30">IF(B30&lt;&gt;"",INDEX('Eingabe Meldungen'!$C$2:$H$492,MATCH(B30&amp;C30,'Eingabe Meldungen'!$C$2:$C$492&amp;'Eingabe Meldungen'!$D$2:$D$492,0),4),"")</f>
        <v>H</v>
      </c>
      <c r="F30" s="32" t="str">
        <f>IF(VLOOKUP(B30,Rennlisten!$B$22:$H$51,6,FALSE)=0,"",VLOOKUP(B30,Rennlisten!$B$22:$H$51,6,FALSE))</f>
        <v/>
      </c>
      <c r="G30" t="e">
        <f t="shared" si="8"/>
        <v>#VALUE!</v>
      </c>
      <c r="H30" s="54" t="str">
        <f t="array" ref="H30">IF(B30&lt;&gt;"",INDEX('Eingabe Meldungen'!$C$2:$J$244,MATCH(B30&amp;C30,'Eingabe Meldungen'!$C$2:$C$244&amp;'Eingabe Meldungen'!$D$2:$D$244,0),8),"")</f>
        <v>HRG Schwaben</v>
      </c>
      <c r="J30" s="276" t="str">
        <f t="shared" si="4"/>
        <v/>
      </c>
      <c r="K30" s="276" t="str">
        <f t="shared" si="4"/>
        <v/>
      </c>
      <c r="L30" s="276" t="e">
        <f>IF(EXACT($H30,#REF!),$I30,"")</f>
        <v>#REF!</v>
      </c>
      <c r="M30" s="276" t="str">
        <f t="shared" si="5"/>
        <v/>
      </c>
      <c r="N30" s="276" t="str">
        <f t="shared" si="6"/>
        <v/>
      </c>
      <c r="O30" s="276" t="str">
        <f t="shared" si="9"/>
        <v/>
      </c>
      <c r="P30" s="276" t="str">
        <f t="shared" si="9"/>
        <v/>
      </c>
      <c r="Q30" s="276">
        <f t="shared" si="9"/>
        <v>0</v>
      </c>
      <c r="R30" s="276" t="str">
        <f t="shared" si="9"/>
        <v/>
      </c>
      <c r="S30" s="276" t="str">
        <f t="shared" si="9"/>
        <v/>
      </c>
      <c r="T30" s="276" t="str">
        <f t="shared" si="9"/>
        <v/>
      </c>
      <c r="U30" s="276" t="str">
        <f t="shared" si="9"/>
        <v/>
      </c>
      <c r="V30" s="276" t="str">
        <f t="shared" si="9"/>
        <v/>
      </c>
      <c r="W30" s="276" t="str">
        <f t="shared" si="9"/>
        <v/>
      </c>
      <c r="X30" s="276" t="str">
        <f t="shared" si="9"/>
        <v/>
      </c>
      <c r="Y30" s="276" t="str">
        <f t="shared" si="9"/>
        <v/>
      </c>
      <c r="Z30" s="276" t="str">
        <f t="shared" si="9"/>
        <v/>
      </c>
      <c r="AA30" s="276" t="str">
        <f t="shared" si="9"/>
        <v/>
      </c>
      <c r="AB30" s="276" t="str">
        <f t="shared" si="9"/>
        <v/>
      </c>
      <c r="AC30" s="276" t="str">
        <f t="shared" si="9"/>
        <v/>
      </c>
      <c r="AD30" s="276" t="str">
        <f t="shared" si="9"/>
        <v/>
      </c>
      <c r="AE30" s="276"/>
      <c r="AF30" s="276"/>
      <c r="AG30" s="276" t="str">
        <f t="shared" si="9"/>
        <v/>
      </c>
      <c r="AH30" s="276" t="str">
        <f t="shared" si="9"/>
        <v/>
      </c>
      <c r="AI30" s="276" t="str">
        <f t="shared" si="9"/>
        <v/>
      </c>
      <c r="AJ30" s="247"/>
      <c r="AK30" s="247"/>
      <c r="AL30" s="247"/>
      <c r="AM30" s="247"/>
    </row>
    <row r="31" spans="2:39" hidden="1" x14ac:dyDescent="0.2">
      <c r="B31" s="20" t="str">
        <f t="array" ref="B31">IF(ISERROR(INDEX('Eingabe Meldungen'!$C$2:$C$492,LARGE(('Eingabe Meldungen'!$A$2:$A$492=$B$24)*(ROW('Eingabe Meldungen'!$A$2:$A$492)-1),COUNTIF('Eingabe Meldungen'!$A$2:$A$492,$B$24)+1-ROW('Eingabe Meldungen'!A6)))),"",INDEX('Eingabe Meldungen'!$C$2:$C$492,LARGE(('Eingabe Meldungen'!$A$2:$A$492=$B$24)*(ROW('Eingabe Meldungen'!$A$2:$A$492)-1),COUNTIF('Eingabe Meldungen'!$A$2:$A$492,$B$24)+1-ROW('Eingabe Meldungen'!A6))))</f>
        <v>Schmidt</v>
      </c>
      <c r="C31" t="str">
        <f t="array" ref="C31">IF(ISERROR(INDEX('Eingabe Meldungen'!$D$2:$D$492,LARGE(('Eingabe Meldungen'!$A$2:$A$492=$B$24)*(ROW('Eingabe Meldungen'!$A$2:$A$492)-1),COUNTIF('Eingabe Meldungen'!$A$2:$A$492,$B$24)+1-ROW('Eingabe Meldungen'!A6)))),"",INDEX('Eingabe Meldungen'!$D$2:$D$492,LARGE(('Eingabe Meldungen'!$A$2:$A$492=$B$24)*(ROW('Eingabe Meldungen'!$A$2:$A$492)-1),COUNTIF('Eingabe Meldungen'!$A$2:$A$492,$B$24)+1-ROW('Eingabe Meldungen'!A6))))</f>
        <v>Rolf</v>
      </c>
      <c r="D31" s="11">
        <f t="array" ref="D31">IF(B31&lt;&gt;"",INDEX('Eingabe Meldungen'!$C$2:$H$492,MATCH(B31&amp;C31,'Eingabe Meldungen'!$C$2:$C$492&amp;'Eingabe Meldungen'!$D$2:$D$492,0),6),"")</f>
        <v>1950</v>
      </c>
      <c r="E31" s="66" t="str">
        <f t="array" ref="E31">IF(B31&lt;&gt;"",INDEX('Eingabe Meldungen'!$C$2:$H$492,MATCH(B31&amp;C31,'Eingabe Meldungen'!$C$2:$C$492&amp;'Eingabe Meldungen'!$D$2:$D$492,0),4),"")</f>
        <v>H</v>
      </c>
      <c r="F31" s="32" t="str">
        <f>IF(VLOOKUP(B31,Rennlisten!$B$22:$H$51,6,FALSE)=0,"",VLOOKUP(B31,Rennlisten!$B$22:$H$51,6,FALSE))</f>
        <v/>
      </c>
      <c r="G31" t="e">
        <f t="shared" si="8"/>
        <v>#VALUE!</v>
      </c>
      <c r="H31" s="54" t="str">
        <f t="array" ref="H31">IF(B31&lt;&gt;"",INDEX('Eingabe Meldungen'!$C$2:$J$244,MATCH(B31&amp;C31,'Eingabe Meldungen'!$C$2:$C$244&amp;'Eingabe Meldungen'!$D$2:$D$244,0),8),"")</f>
        <v>Marbacher Ruderverein</v>
      </c>
      <c r="J31" s="276" t="str">
        <f t="shared" si="4"/>
        <v/>
      </c>
      <c r="K31" s="276" t="str">
        <f t="shared" si="4"/>
        <v/>
      </c>
      <c r="L31" s="276" t="e">
        <f>IF(EXACT($H31,#REF!),$I31,"")</f>
        <v>#REF!</v>
      </c>
      <c r="M31" s="276" t="str">
        <f t="shared" si="5"/>
        <v/>
      </c>
      <c r="N31" s="276" t="str">
        <f t="shared" si="6"/>
        <v/>
      </c>
      <c r="O31" s="276" t="str">
        <f t="shared" si="9"/>
        <v/>
      </c>
      <c r="P31" s="276" t="str">
        <f t="shared" si="9"/>
        <v/>
      </c>
      <c r="Q31" s="276" t="str">
        <f t="shared" si="9"/>
        <v/>
      </c>
      <c r="R31" s="276" t="str">
        <f t="shared" si="9"/>
        <v/>
      </c>
      <c r="S31" s="276" t="str">
        <f t="shared" si="9"/>
        <v/>
      </c>
      <c r="T31" s="276" t="str">
        <f t="shared" si="9"/>
        <v/>
      </c>
      <c r="U31" s="276" t="str">
        <f t="shared" si="9"/>
        <v/>
      </c>
      <c r="V31" s="276" t="str">
        <f t="shared" si="9"/>
        <v/>
      </c>
      <c r="W31" s="276" t="str">
        <f t="shared" si="9"/>
        <v/>
      </c>
      <c r="X31" s="276" t="str">
        <f t="shared" si="9"/>
        <v/>
      </c>
      <c r="Y31" s="276" t="str">
        <f t="shared" si="9"/>
        <v/>
      </c>
      <c r="Z31" s="276" t="str">
        <f t="shared" si="9"/>
        <v/>
      </c>
      <c r="AA31" s="276" t="str">
        <f t="shared" si="9"/>
        <v/>
      </c>
      <c r="AB31" s="276" t="str">
        <f t="shared" si="9"/>
        <v/>
      </c>
      <c r="AC31" s="276" t="str">
        <f t="shared" si="9"/>
        <v/>
      </c>
      <c r="AD31" s="276" t="str">
        <f t="shared" si="9"/>
        <v/>
      </c>
      <c r="AE31" s="276"/>
      <c r="AF31" s="276"/>
      <c r="AG31" s="276" t="str">
        <f t="shared" si="9"/>
        <v/>
      </c>
      <c r="AH31" s="276" t="str">
        <f t="shared" si="9"/>
        <v/>
      </c>
      <c r="AI31" s="276" t="str">
        <f t="shared" si="9"/>
        <v/>
      </c>
      <c r="AJ31" s="247"/>
      <c r="AK31" s="247"/>
      <c r="AL31" s="247"/>
      <c r="AM31" s="247"/>
    </row>
    <row r="32" spans="2:39" hidden="1" x14ac:dyDescent="0.2">
      <c r="B32" s="20" t="str">
        <f t="array" ref="B32">IF(ISERROR(INDEX('Eingabe Meldungen'!$C$2:$C$492,LARGE(('Eingabe Meldungen'!$A$2:$A$492=$B$24)*(ROW('Eingabe Meldungen'!$A$2:$A$492)-1),COUNTIF('Eingabe Meldungen'!$A$2:$A$492,$B$24)+1-ROW('Eingabe Meldungen'!A8)))),"",INDEX('Eingabe Meldungen'!$C$2:$C$492,LARGE(('Eingabe Meldungen'!$A$2:$A$492=$B$24)*(ROW('Eingabe Meldungen'!$A$2:$A$492)-1),COUNTIF('Eingabe Meldungen'!$A$2:$A$492,$B$24)+1-ROW('Eingabe Meldungen'!A8))))</f>
        <v>Klinge</v>
      </c>
      <c r="C32" t="str">
        <f t="array" ref="C32">IF(ISERROR(INDEX('Eingabe Meldungen'!$D$2:$D$492,LARGE(('Eingabe Meldungen'!$A$2:$A$492=$B$24)*(ROW('Eingabe Meldungen'!$A$2:$A$492)-1),COUNTIF('Eingabe Meldungen'!$A$2:$A$492,$B$24)+1-ROW('Eingabe Meldungen'!A8)))),"",INDEX('Eingabe Meldungen'!$D$2:$D$492,LARGE(('Eingabe Meldungen'!$A$2:$A$492=$B$24)*(ROW('Eingabe Meldungen'!$A$2:$A$492)-1),COUNTIF('Eingabe Meldungen'!$A$2:$A$492,$B$24)+1-ROW('Eingabe Meldungen'!A8))))</f>
        <v>Achim</v>
      </c>
      <c r="D32" s="11">
        <f t="array" ref="D32">IF(B32&lt;&gt;"",INDEX('Eingabe Meldungen'!$C$2:$H$492,MATCH(B32&amp;C32,'Eingabe Meldungen'!$C$2:$C$492&amp;'Eingabe Meldungen'!$D$2:$D$492,0),6),"")</f>
        <v>1957</v>
      </c>
      <c r="E32" s="66" t="str">
        <f t="array" ref="E32">IF(B32&lt;&gt;"",INDEX('Eingabe Meldungen'!$C$2:$H$492,MATCH(B32&amp;C32,'Eingabe Meldungen'!$C$2:$C$492&amp;'Eingabe Meldungen'!$D$2:$D$492,0),4),"")</f>
        <v>F</v>
      </c>
      <c r="F32" s="32" t="str">
        <f>IF(VLOOKUP(B32,Rennlisten!$B$22:$H$51,6,FALSE)=0,"",VLOOKUP(B32,Rennlisten!$B$22:$H$51,6,FALSE))</f>
        <v/>
      </c>
      <c r="G32" t="e">
        <f t="shared" si="8"/>
        <v>#VALUE!</v>
      </c>
      <c r="H32" s="54" t="str">
        <f t="array" ref="H32">IF(B32&lt;&gt;"",INDEX('Eingabe Meldungen'!$C$2:$J$244,MATCH(B32&amp;C32,'Eingabe Meldungen'!$C$2:$C$244&amp;'Eingabe Meldungen'!$D$2:$D$244,0),8),"")</f>
        <v>SSG Bensheim</v>
      </c>
      <c r="J32" s="276" t="str">
        <f t="shared" si="4"/>
        <v/>
      </c>
      <c r="K32" s="276" t="str">
        <f t="shared" si="4"/>
        <v/>
      </c>
      <c r="L32" s="276" t="e">
        <f>IF(EXACT($H32,#REF!),$I32,"")</f>
        <v>#REF!</v>
      </c>
      <c r="M32" s="276" t="str">
        <f t="shared" si="5"/>
        <v/>
      </c>
      <c r="N32" s="276" t="str">
        <f t="shared" si="6"/>
        <v/>
      </c>
      <c r="O32" s="276" t="str">
        <f t="shared" si="9"/>
        <v/>
      </c>
      <c r="P32" s="276" t="str">
        <f t="shared" si="9"/>
        <v/>
      </c>
      <c r="Q32" s="276" t="str">
        <f t="shared" si="9"/>
        <v/>
      </c>
      <c r="R32" s="276" t="str">
        <f t="shared" si="9"/>
        <v/>
      </c>
      <c r="S32" s="276" t="str">
        <f t="shared" si="9"/>
        <v/>
      </c>
      <c r="T32" s="276" t="str">
        <f t="shared" si="9"/>
        <v/>
      </c>
      <c r="U32" s="276" t="str">
        <f t="shared" si="9"/>
        <v/>
      </c>
      <c r="V32" s="276" t="str">
        <f t="shared" si="9"/>
        <v/>
      </c>
      <c r="W32" s="276" t="str">
        <f t="shared" si="9"/>
        <v/>
      </c>
      <c r="X32" s="276" t="str">
        <f t="shared" si="9"/>
        <v/>
      </c>
      <c r="Y32" s="276" t="str">
        <f t="shared" si="9"/>
        <v/>
      </c>
      <c r="Z32" s="276" t="str">
        <f t="shared" si="9"/>
        <v/>
      </c>
      <c r="AA32" s="276" t="str">
        <f t="shared" si="9"/>
        <v/>
      </c>
      <c r="AB32" s="276" t="str">
        <f t="shared" si="9"/>
        <v/>
      </c>
      <c r="AC32" s="276" t="str">
        <f t="shared" si="9"/>
        <v/>
      </c>
      <c r="AD32" s="276" t="str">
        <f t="shared" si="9"/>
        <v/>
      </c>
      <c r="AE32" s="276"/>
      <c r="AF32" s="276"/>
      <c r="AG32" s="276" t="str">
        <f t="shared" si="9"/>
        <v/>
      </c>
      <c r="AH32" s="276" t="str">
        <f t="shared" si="9"/>
        <v/>
      </c>
      <c r="AI32" s="276" t="str">
        <f t="shared" si="9"/>
        <v/>
      </c>
      <c r="AJ32" s="247"/>
      <c r="AK32" s="247"/>
      <c r="AL32" s="247"/>
      <c r="AM32" s="247"/>
    </row>
    <row r="33" spans="2:39" hidden="1" x14ac:dyDescent="0.2">
      <c r="B33" s="20" t="str">
        <f t="array" ref="B33">IF(ISERROR(INDEX('Eingabe Meldungen'!$C$2:$C$492,LARGE(('Eingabe Meldungen'!$A$2:$A$492=$B$24)*(ROW('Eingabe Meldungen'!$A$2:$A$492)-1),COUNTIF('Eingabe Meldungen'!$A$2:$A$492,$B$24)+1-ROW('Eingabe Meldungen'!A9)))),"",INDEX('Eingabe Meldungen'!$C$2:$C$492,LARGE(('Eingabe Meldungen'!$A$2:$A$492=$B$24)*(ROW('Eingabe Meldungen'!$A$2:$A$492)-1),COUNTIF('Eingabe Meldungen'!$A$2:$A$492,$B$24)+1-ROW('Eingabe Meldungen'!A9))))</f>
        <v>Köhler</v>
      </c>
      <c r="C33" t="str">
        <f t="array" ref="C33">IF(ISERROR(INDEX('Eingabe Meldungen'!$D$2:$D$492,LARGE(('Eingabe Meldungen'!$A$2:$A$492=$B$24)*(ROW('Eingabe Meldungen'!$A$2:$A$492)-1),COUNTIF('Eingabe Meldungen'!$A$2:$A$492,$B$24)+1-ROW('Eingabe Meldungen'!A9)))),"",INDEX('Eingabe Meldungen'!$D$2:$D$492,LARGE(('Eingabe Meldungen'!$A$2:$A$492=$B$24)*(ROW('Eingabe Meldungen'!$A$2:$A$492)-1),COUNTIF('Eingabe Meldungen'!$A$2:$A$492,$B$24)+1-ROW('Eingabe Meldungen'!A9))))</f>
        <v>Bernhard</v>
      </c>
      <c r="D33" s="11">
        <f t="array" ref="D33">IF(B33&lt;&gt;"",INDEX('Eingabe Meldungen'!$C$2:$H$492,MATCH(B33&amp;C33,'Eingabe Meldungen'!$C$2:$C$492&amp;'Eingabe Meldungen'!$D$2:$D$492,0),6),"")</f>
        <v>1958</v>
      </c>
      <c r="E33" s="66" t="str">
        <f t="array" ref="E33">IF(B33&lt;&gt;"",INDEX('Eingabe Meldungen'!$C$2:$H$492,MATCH(B33&amp;C33,'Eingabe Meldungen'!$C$2:$C$492&amp;'Eingabe Meldungen'!$D$2:$D$492,0),4),"")</f>
        <v>F</v>
      </c>
      <c r="F33" s="32" t="str">
        <f>IF(VLOOKUP(B33,Rennlisten!$B$22:$H$51,6,FALSE)=0,"",VLOOKUP(B33,Rennlisten!$B$22:$H$51,6,FALSE))</f>
        <v/>
      </c>
      <c r="G33" t="e">
        <f t="shared" si="8"/>
        <v>#VALUE!</v>
      </c>
      <c r="H33" s="54" t="str">
        <f t="array" ref="H33">IF(B33&lt;&gt;"",INDEX('Eingabe Meldungen'!$C$2:$J$244,MATCH(B33&amp;C33,'Eingabe Meldungen'!$C$2:$C$244&amp;'Eingabe Meldungen'!$D$2:$D$244,0),8),"")</f>
        <v>Fitness Oase in Regen</v>
      </c>
      <c r="J33" s="276" t="str">
        <f t="shared" si="4"/>
        <v/>
      </c>
      <c r="K33" s="276" t="str">
        <f t="shared" si="4"/>
        <v/>
      </c>
      <c r="L33" s="276" t="e">
        <f>IF(EXACT($H33,#REF!),$I33,"")</f>
        <v>#REF!</v>
      </c>
      <c r="M33" s="276" t="str">
        <f t="shared" si="5"/>
        <v/>
      </c>
      <c r="N33" s="276" t="str">
        <f t="shared" si="6"/>
        <v/>
      </c>
      <c r="O33" s="276" t="str">
        <f t="shared" si="9"/>
        <v/>
      </c>
      <c r="P33" s="276" t="str">
        <f t="shared" si="9"/>
        <v/>
      </c>
      <c r="Q33" s="276" t="str">
        <f t="shared" si="9"/>
        <v/>
      </c>
      <c r="R33" s="276" t="str">
        <f t="shared" si="9"/>
        <v/>
      </c>
      <c r="S33" s="276" t="str">
        <f t="shared" si="9"/>
        <v/>
      </c>
      <c r="T33" s="276" t="str">
        <f t="shared" si="9"/>
        <v/>
      </c>
      <c r="U33" s="276" t="str">
        <f t="shared" si="9"/>
        <v/>
      </c>
      <c r="V33" s="276" t="str">
        <f t="shared" si="9"/>
        <v/>
      </c>
      <c r="W33" s="276" t="str">
        <f t="shared" si="9"/>
        <v/>
      </c>
      <c r="X33" s="276" t="str">
        <f t="shared" si="9"/>
        <v/>
      </c>
      <c r="Y33" s="276" t="str">
        <f t="shared" si="9"/>
        <v/>
      </c>
      <c r="Z33" s="276" t="str">
        <f t="shared" si="9"/>
        <v/>
      </c>
      <c r="AA33" s="276" t="str">
        <f t="shared" si="9"/>
        <v/>
      </c>
      <c r="AB33" s="276" t="str">
        <f t="shared" si="9"/>
        <v/>
      </c>
      <c r="AC33" s="276" t="str">
        <f t="shared" si="9"/>
        <v/>
      </c>
      <c r="AD33" s="276" t="str">
        <f t="shared" si="9"/>
        <v/>
      </c>
      <c r="AE33" s="276"/>
      <c r="AF33" s="276"/>
      <c r="AG33" s="276" t="str">
        <f t="shared" si="9"/>
        <v/>
      </c>
      <c r="AH33" s="276" t="str">
        <f t="shared" si="9"/>
        <v/>
      </c>
      <c r="AI33" s="276" t="str">
        <f t="shared" si="9"/>
        <v/>
      </c>
      <c r="AJ33" s="247"/>
      <c r="AK33" s="247"/>
      <c r="AL33" s="247"/>
      <c r="AM33" s="247"/>
    </row>
    <row r="34" spans="2:39" hidden="1" x14ac:dyDescent="0.2">
      <c r="B34" s="20" t="str">
        <f t="array" ref="B34">IF(ISERROR(INDEX('Eingabe Meldungen'!$C$2:$C$492,LARGE(('Eingabe Meldungen'!$A$2:$A$492=$B$24)*(ROW('Eingabe Meldungen'!$A$2:$A$492)-1),COUNTIF('Eingabe Meldungen'!$A$2:$A$492,$B$24)+1-ROW('Eingabe Meldungen'!A10)))),"",INDEX('Eingabe Meldungen'!$C$2:$C$492,LARGE(('Eingabe Meldungen'!$A$2:$A$492=$B$24)*(ROW('Eingabe Meldungen'!$A$2:$A$492)-1),COUNTIF('Eingabe Meldungen'!$A$2:$A$492,$B$24)+1-ROW('Eingabe Meldungen'!A10))))</f>
        <v>Schuhn</v>
      </c>
      <c r="C34" t="str">
        <f t="array" ref="C34">IF(ISERROR(INDEX('Eingabe Meldungen'!$D$2:$D$492,LARGE(('Eingabe Meldungen'!$A$2:$A$492=$B$24)*(ROW('Eingabe Meldungen'!$A$2:$A$492)-1),COUNTIF('Eingabe Meldungen'!$A$2:$A$492,$B$24)+1-ROW('Eingabe Meldungen'!A10)))),"",INDEX('Eingabe Meldungen'!$D$2:$D$492,LARGE(('Eingabe Meldungen'!$A$2:$A$492=$B$24)*(ROW('Eingabe Meldungen'!$A$2:$A$492)-1),COUNTIF('Eingabe Meldungen'!$A$2:$A$492,$B$24)+1-ROW('Eingabe Meldungen'!A10))))</f>
        <v>Peter</v>
      </c>
      <c r="D34" s="11">
        <f t="array" ref="D34">IF(B34&lt;&gt;"",INDEX('Eingabe Meldungen'!$C$2:$H$492,MATCH(B34&amp;C34,'Eingabe Meldungen'!$C$2:$C$492&amp;'Eingabe Meldungen'!$D$2:$D$492,0),6),"")</f>
        <v>1959</v>
      </c>
      <c r="E34" s="66" t="str">
        <f t="array" ref="E34">IF(B34&lt;&gt;"",INDEX('Eingabe Meldungen'!$C$2:$H$492,MATCH(B34&amp;C34,'Eingabe Meldungen'!$C$2:$C$492&amp;'Eingabe Meldungen'!$D$2:$D$492,0),4),"")</f>
        <v>F</v>
      </c>
      <c r="F34" s="32" t="str">
        <f>IF(VLOOKUP(B34,Rennlisten!$B$22:$H$51,6,FALSE)=0,"",VLOOKUP(B34,Rennlisten!$B$22:$H$51,6,FALSE))</f>
        <v/>
      </c>
      <c r="G34" t="e">
        <f t="shared" si="8"/>
        <v>#VALUE!</v>
      </c>
      <c r="H34" s="54" t="str">
        <f t="array" ref="H34">IF(B34&lt;&gt;"",INDEX('Eingabe Meldungen'!$C$2:$J$244,MATCH(B34&amp;C34,'Eingabe Meldungen'!$C$2:$C$244&amp;'Eingabe Meldungen'!$D$2:$D$244,0),8),"")</f>
        <v>ErgoRudern Saarlouis</v>
      </c>
      <c r="J34" s="276" t="str">
        <f t="shared" si="4"/>
        <v/>
      </c>
      <c r="K34" s="276" t="str">
        <f t="shared" si="4"/>
        <v/>
      </c>
      <c r="L34" s="276" t="e">
        <f>IF(EXACT($H34,#REF!),$I34,"")</f>
        <v>#REF!</v>
      </c>
      <c r="M34" s="276" t="str">
        <f t="shared" si="5"/>
        <v/>
      </c>
      <c r="N34" s="276" t="str">
        <f t="shared" si="6"/>
        <v/>
      </c>
      <c r="O34" s="276" t="str">
        <f t="shared" si="9"/>
        <v/>
      </c>
      <c r="P34" s="276" t="str">
        <f t="shared" si="9"/>
        <v/>
      </c>
      <c r="Q34" s="276" t="str">
        <f t="shared" si="9"/>
        <v/>
      </c>
      <c r="R34" s="276" t="str">
        <f t="shared" si="9"/>
        <v/>
      </c>
      <c r="S34" s="276" t="str">
        <f t="shared" si="9"/>
        <v/>
      </c>
      <c r="T34" s="276" t="str">
        <f t="shared" si="9"/>
        <v/>
      </c>
      <c r="U34" s="276" t="str">
        <f t="shared" si="9"/>
        <v/>
      </c>
      <c r="V34" s="276" t="str">
        <f t="shared" si="9"/>
        <v/>
      </c>
      <c r="W34" s="276" t="str">
        <f t="shared" si="9"/>
        <v/>
      </c>
      <c r="X34" s="276" t="str">
        <f t="shared" si="9"/>
        <v/>
      </c>
      <c r="Y34" s="276" t="str">
        <f t="shared" si="9"/>
        <v/>
      </c>
      <c r="Z34" s="276" t="str">
        <f t="shared" si="9"/>
        <v/>
      </c>
      <c r="AA34" s="276" t="str">
        <f t="shared" si="9"/>
        <v/>
      </c>
      <c r="AB34" s="276" t="str">
        <f t="shared" si="9"/>
        <v/>
      </c>
      <c r="AC34" s="276" t="str">
        <f t="shared" si="9"/>
        <v/>
      </c>
      <c r="AD34" s="276" t="str">
        <f t="shared" si="9"/>
        <v/>
      </c>
      <c r="AE34" s="276"/>
      <c r="AF34" s="276"/>
      <c r="AG34" s="276" t="str">
        <f t="shared" si="9"/>
        <v/>
      </c>
      <c r="AH34" s="276" t="str">
        <f t="shared" si="9"/>
        <v/>
      </c>
      <c r="AI34" s="276" t="str">
        <f t="shared" si="9"/>
        <v/>
      </c>
      <c r="AJ34" s="247"/>
      <c r="AK34" s="247"/>
      <c r="AL34" s="247"/>
      <c r="AM34" s="247"/>
    </row>
    <row r="35" spans="2:39" hidden="1" x14ac:dyDescent="0.2">
      <c r="B35" s="20" t="str">
        <f t="array" ref="B35">IF(ISERROR(INDEX('Eingabe Meldungen'!$C$2:$C$492,LARGE(('Eingabe Meldungen'!$A$2:$A$492=$B$24)*(ROW('Eingabe Meldungen'!$A$2:$A$492)-1),COUNTIF('Eingabe Meldungen'!$A$2:$A$492,$B$24)+1-ROW('Eingabe Meldungen'!A11)))),"",INDEX('Eingabe Meldungen'!$C$2:$C$492,LARGE(('Eingabe Meldungen'!$A$2:$A$492=$B$24)*(ROW('Eingabe Meldungen'!$A$2:$A$492)-1),COUNTIF('Eingabe Meldungen'!$A$2:$A$492,$B$24)+1-ROW('Eingabe Meldungen'!A11))))</f>
        <v>Marx</v>
      </c>
      <c r="C35" t="str">
        <f t="array" ref="C35">IF(ISERROR(INDEX('Eingabe Meldungen'!$D$2:$D$492,LARGE(('Eingabe Meldungen'!$A$2:$A$492=$B$24)*(ROW('Eingabe Meldungen'!$A$2:$A$492)-1),COUNTIF('Eingabe Meldungen'!$A$2:$A$492,$B$24)+1-ROW('Eingabe Meldungen'!A11)))),"",INDEX('Eingabe Meldungen'!$D$2:$D$492,LARGE(('Eingabe Meldungen'!$A$2:$A$492=$B$24)*(ROW('Eingabe Meldungen'!$A$2:$A$492)-1),COUNTIF('Eingabe Meldungen'!$A$2:$A$492,$B$24)+1-ROW('Eingabe Meldungen'!A11))))</f>
        <v>Johannes</v>
      </c>
      <c r="D35" s="11">
        <f t="array" ref="D35">IF(B35&lt;&gt;"",INDEX('Eingabe Meldungen'!$C$2:$H$492,MATCH(B35&amp;C35,'Eingabe Meldungen'!$C$2:$C$492&amp;'Eingabe Meldungen'!$D$2:$D$492,0),6),"")</f>
        <v>1962</v>
      </c>
      <c r="E35" s="66" t="str">
        <f t="array" ref="E35">IF(B35&lt;&gt;"",INDEX('Eingabe Meldungen'!$C$2:$H$492,MATCH(B35&amp;C35,'Eingabe Meldungen'!$C$2:$C$492&amp;'Eingabe Meldungen'!$D$2:$D$492,0),4),"")</f>
        <v>E</v>
      </c>
      <c r="F35" s="32" t="str">
        <f>IF(VLOOKUP(B35,Rennlisten!$B$22:$H$51,6,FALSE)=0,"",VLOOKUP(B35,Rennlisten!$B$22:$H$51,6,FALSE))</f>
        <v/>
      </c>
      <c r="G35" t="e">
        <f t="shared" si="8"/>
        <v>#VALUE!</v>
      </c>
      <c r="H35" s="54" t="str">
        <f t="array" ref="H35">IF(B35&lt;&gt;"",INDEX('Eingabe Meldungen'!$C$2:$J$244,MATCH(B35&amp;C35,'Eingabe Meldungen'!$C$2:$C$244&amp;'Eingabe Meldungen'!$D$2:$D$244,0),8),"")</f>
        <v>RC Neptun Neckarelz</v>
      </c>
      <c r="J35" s="276" t="str">
        <f t="shared" ref="J35:K54" si="10">IF(EXACT($H35,J$4),$I35,"")</f>
        <v/>
      </c>
      <c r="K35" s="276" t="str">
        <f t="shared" si="10"/>
        <v/>
      </c>
      <c r="L35" s="276" t="e">
        <f>IF(EXACT($H35,#REF!),$I35,"")</f>
        <v>#REF!</v>
      </c>
      <c r="M35" s="276" t="str">
        <f t="shared" si="5"/>
        <v/>
      </c>
      <c r="N35" s="276" t="str">
        <f t="shared" si="6"/>
        <v/>
      </c>
      <c r="O35" s="276" t="str">
        <f t="shared" si="9"/>
        <v/>
      </c>
      <c r="P35" s="276" t="str">
        <f t="shared" si="9"/>
        <v/>
      </c>
      <c r="Q35" s="276" t="str">
        <f t="shared" si="9"/>
        <v/>
      </c>
      <c r="R35" s="276" t="str">
        <f t="shared" si="9"/>
        <v/>
      </c>
      <c r="S35" s="276" t="str">
        <f t="shared" si="9"/>
        <v/>
      </c>
      <c r="T35" s="276" t="str">
        <f t="shared" si="9"/>
        <v/>
      </c>
      <c r="U35" s="276" t="str">
        <f t="shared" si="9"/>
        <v/>
      </c>
      <c r="V35" s="276" t="str">
        <f t="shared" si="9"/>
        <v/>
      </c>
      <c r="W35" s="276" t="str">
        <f t="shared" si="9"/>
        <v/>
      </c>
      <c r="X35" s="276" t="str">
        <f t="shared" si="9"/>
        <v/>
      </c>
      <c r="Y35" s="276" t="str">
        <f t="shared" si="9"/>
        <v/>
      </c>
      <c r="Z35" s="276" t="str">
        <f t="shared" si="9"/>
        <v/>
      </c>
      <c r="AA35" s="276" t="str">
        <f t="shared" si="9"/>
        <v/>
      </c>
      <c r="AB35" s="276" t="str">
        <f t="shared" si="9"/>
        <v/>
      </c>
      <c r="AC35" s="276" t="str">
        <f t="shared" si="9"/>
        <v/>
      </c>
      <c r="AD35" s="276" t="str">
        <f t="shared" si="9"/>
        <v/>
      </c>
      <c r="AE35" s="276"/>
      <c r="AF35" s="276"/>
      <c r="AG35" s="276" t="str">
        <f t="shared" si="9"/>
        <v/>
      </c>
      <c r="AH35" s="276" t="str">
        <f t="shared" si="9"/>
        <v/>
      </c>
      <c r="AI35" s="276" t="str">
        <f t="shared" si="9"/>
        <v/>
      </c>
      <c r="AJ35" s="247"/>
      <c r="AK35" s="247"/>
      <c r="AL35" s="247"/>
      <c r="AM35" s="247"/>
    </row>
    <row r="36" spans="2:39" hidden="1" x14ac:dyDescent="0.2">
      <c r="B36" s="20" t="str">
        <f t="array" ref="B36">IF(ISERROR(INDEX('Eingabe Meldungen'!$C$2:$C$492,LARGE(('Eingabe Meldungen'!$A$2:$A$492=$B$24)*(ROW('Eingabe Meldungen'!$A$2:$A$492)-1),COUNTIF('Eingabe Meldungen'!$A$2:$A$492,$B$24)+1-ROW('Eingabe Meldungen'!A12)))),"",INDEX('Eingabe Meldungen'!$C$2:$C$492,LARGE(('Eingabe Meldungen'!$A$2:$A$492=$B$24)*(ROW('Eingabe Meldungen'!$A$2:$A$492)-1),COUNTIF('Eingabe Meldungen'!$A$2:$A$492,$B$24)+1-ROW('Eingabe Meldungen'!A12))))</f>
        <v>Reinert</v>
      </c>
      <c r="C36" t="str">
        <f t="array" ref="C36">IF(ISERROR(INDEX('Eingabe Meldungen'!$D$2:$D$492,LARGE(('Eingabe Meldungen'!$A$2:$A$492=$B$24)*(ROW('Eingabe Meldungen'!$A$2:$A$492)-1),COUNTIF('Eingabe Meldungen'!$A$2:$A$492,$B$24)+1-ROW('Eingabe Meldungen'!A12)))),"",INDEX('Eingabe Meldungen'!$D$2:$D$492,LARGE(('Eingabe Meldungen'!$A$2:$A$492=$B$24)*(ROW('Eingabe Meldungen'!$A$2:$A$492)-1),COUNTIF('Eingabe Meldungen'!$A$2:$A$492,$B$24)+1-ROW('Eingabe Meldungen'!A12))))</f>
        <v>Gerhard</v>
      </c>
      <c r="D36" s="11">
        <f t="array" ref="D36">IF(B36&lt;&gt;"",INDEX('Eingabe Meldungen'!$C$2:$H$492,MATCH(B36&amp;C36,'Eingabe Meldungen'!$C$2:$C$492&amp;'Eingabe Meldungen'!$D$2:$D$492,0),6),"")</f>
        <v>1964</v>
      </c>
      <c r="E36" s="66" t="str">
        <f t="array" ref="E36">IF(B36&lt;&gt;"",INDEX('Eingabe Meldungen'!$C$2:$H$492,MATCH(B36&amp;C36,'Eingabe Meldungen'!$C$2:$C$492&amp;'Eingabe Meldungen'!$D$2:$D$492,0),4),"")</f>
        <v>E</v>
      </c>
      <c r="F36" s="32" t="str">
        <f>IF(VLOOKUP(B36,Rennlisten!$B$22:$H$51,6,FALSE)=0,"",VLOOKUP(B36,Rennlisten!$B$22:$H$51,6,FALSE))</f>
        <v/>
      </c>
      <c r="G36" t="e">
        <f t="shared" si="8"/>
        <v>#VALUE!</v>
      </c>
      <c r="H36" s="54" t="str">
        <f t="array" ref="H36">IF(B36&lt;&gt;"",INDEX('Eingabe Meldungen'!$C$2:$J$244,MATCH(B36&amp;C36,'Eingabe Meldungen'!$C$2:$C$244&amp;'Eingabe Meldungen'!$D$2:$D$244,0),8),"")</f>
        <v>HRG Schwaben</v>
      </c>
      <c r="J36" s="276" t="str">
        <f t="shared" si="10"/>
        <v/>
      </c>
      <c r="K36" s="276" t="str">
        <f t="shared" si="10"/>
        <v/>
      </c>
      <c r="L36" s="276" t="e">
        <f>IF(EXACT($H36,#REF!),$I36,"")</f>
        <v>#REF!</v>
      </c>
      <c r="M36" s="276" t="str">
        <f t="shared" si="5"/>
        <v/>
      </c>
      <c r="N36" s="276" t="str">
        <f t="shared" si="6"/>
        <v/>
      </c>
      <c r="O36" s="276" t="str">
        <f t="shared" si="9"/>
        <v/>
      </c>
      <c r="P36" s="276" t="str">
        <f t="shared" si="9"/>
        <v/>
      </c>
      <c r="Q36" s="276">
        <f t="shared" si="9"/>
        <v>0</v>
      </c>
      <c r="R36" s="276" t="str">
        <f t="shared" si="9"/>
        <v/>
      </c>
      <c r="S36" s="276" t="str">
        <f t="shared" si="9"/>
        <v/>
      </c>
      <c r="T36" s="276" t="str">
        <f t="shared" si="9"/>
        <v/>
      </c>
      <c r="U36" s="276" t="str">
        <f t="shared" si="9"/>
        <v/>
      </c>
      <c r="V36" s="276" t="str">
        <f t="shared" si="9"/>
        <v/>
      </c>
      <c r="W36" s="276" t="str">
        <f t="shared" si="9"/>
        <v/>
      </c>
      <c r="X36" s="276" t="str">
        <f t="shared" si="9"/>
        <v/>
      </c>
      <c r="Y36" s="276" t="str">
        <f t="shared" si="9"/>
        <v/>
      </c>
      <c r="Z36" s="276" t="str">
        <f t="shared" si="9"/>
        <v/>
      </c>
      <c r="AA36" s="276" t="str">
        <f t="shared" si="9"/>
        <v/>
      </c>
      <c r="AB36" s="276" t="str">
        <f t="shared" si="9"/>
        <v/>
      </c>
      <c r="AC36" s="276" t="str">
        <f t="shared" si="9"/>
        <v/>
      </c>
      <c r="AD36" s="276" t="str">
        <f t="shared" si="9"/>
        <v/>
      </c>
      <c r="AE36" s="276"/>
      <c r="AF36" s="276"/>
      <c r="AG36" s="276" t="str">
        <f t="shared" si="9"/>
        <v/>
      </c>
      <c r="AH36" s="276" t="str">
        <f t="shared" si="9"/>
        <v/>
      </c>
      <c r="AI36" s="276" t="str">
        <f t="shared" si="9"/>
        <v/>
      </c>
      <c r="AJ36" s="247"/>
      <c r="AK36" s="247"/>
      <c r="AL36" s="247"/>
      <c r="AM36" s="247"/>
    </row>
    <row r="37" spans="2:39" hidden="1" x14ac:dyDescent="0.2">
      <c r="B37" s="20" t="str">
        <f t="array" ref="B37">IF(ISERROR(INDEX('Eingabe Meldungen'!$C$2:$C$492,LARGE(('Eingabe Meldungen'!$A$2:$A$492=$B$24)*(ROW('Eingabe Meldungen'!$A$2:$A$492)-1),COUNTIF('Eingabe Meldungen'!$A$2:$A$492,$B$24)+1-ROW('Eingabe Meldungen'!A13)))),"",INDEX('Eingabe Meldungen'!$C$2:$C$492,LARGE(('Eingabe Meldungen'!$A$2:$A$492=$B$24)*(ROW('Eingabe Meldungen'!$A$2:$A$492)-1),COUNTIF('Eingabe Meldungen'!$A$2:$A$492,$B$24)+1-ROW('Eingabe Meldungen'!A13))))</f>
        <v>Marion</v>
      </c>
      <c r="C37" t="str">
        <f t="array" ref="C37">IF(ISERROR(INDEX('Eingabe Meldungen'!$D$2:$D$492,LARGE(('Eingabe Meldungen'!$A$2:$A$492=$B$24)*(ROW('Eingabe Meldungen'!$A$2:$A$492)-1),COUNTIF('Eingabe Meldungen'!$A$2:$A$492,$B$24)+1-ROW('Eingabe Meldungen'!A13)))),"",INDEX('Eingabe Meldungen'!$D$2:$D$492,LARGE(('Eingabe Meldungen'!$A$2:$A$492=$B$24)*(ROW('Eingabe Meldungen'!$A$2:$A$492)-1),COUNTIF('Eingabe Meldungen'!$A$2:$A$492,$B$24)+1-ROW('Eingabe Meldungen'!A13))))</f>
        <v>Markus</v>
      </c>
      <c r="D37" s="11">
        <f t="array" ref="D37">IF(B37&lt;&gt;"",INDEX('Eingabe Meldungen'!$C$2:$H$492,MATCH(B37&amp;C37,'Eingabe Meldungen'!$C$2:$C$492&amp;'Eingabe Meldungen'!$D$2:$D$492,0),6),"")</f>
        <v>1966</v>
      </c>
      <c r="E37" s="66" t="str">
        <f t="array" ref="E37">IF(B37&lt;&gt;"",INDEX('Eingabe Meldungen'!$C$2:$H$492,MATCH(B37&amp;C37,'Eingabe Meldungen'!$C$2:$C$492&amp;'Eingabe Meldungen'!$D$2:$D$492,0),4),"")</f>
        <v>D</v>
      </c>
      <c r="F37" s="32" t="str">
        <f>IF(VLOOKUP(B37,Rennlisten!$B$22:$H$51,6,FALSE)=0,"",VLOOKUP(B37,Rennlisten!$B$22:$H$51,6,FALSE))</f>
        <v/>
      </c>
      <c r="G37" t="e">
        <f t="shared" si="8"/>
        <v>#VALUE!</v>
      </c>
      <c r="H37" s="54" t="str">
        <f t="array" ref="H37">IF(B37&lt;&gt;"",INDEX('Eingabe Meldungen'!$C$2:$J$244,MATCH(B37&amp;C37,'Eingabe Meldungen'!$C$2:$C$244&amp;'Eingabe Meldungen'!$D$2:$D$244,0),8),"")</f>
        <v>ErgoRudern Saarlouis</v>
      </c>
      <c r="J37" s="276" t="str">
        <f t="shared" si="10"/>
        <v/>
      </c>
      <c r="K37" s="276" t="str">
        <f t="shared" si="10"/>
        <v/>
      </c>
      <c r="L37" s="276" t="e">
        <f>IF(EXACT($H37,#REF!),$I37,"")</f>
        <v>#REF!</v>
      </c>
      <c r="M37" s="276" t="str">
        <f t="shared" si="5"/>
        <v/>
      </c>
      <c r="N37" s="276" t="str">
        <f t="shared" si="6"/>
        <v/>
      </c>
      <c r="O37" s="276" t="str">
        <f t="shared" ref="O37:AI46" si="11">IF(EXACT($H37,O$4),$I37,"")</f>
        <v/>
      </c>
      <c r="P37" s="276" t="str">
        <f t="shared" si="11"/>
        <v/>
      </c>
      <c r="Q37" s="276" t="str">
        <f t="shared" si="11"/>
        <v/>
      </c>
      <c r="R37" s="276" t="str">
        <f t="shared" si="11"/>
        <v/>
      </c>
      <c r="S37" s="276" t="str">
        <f t="shared" si="11"/>
        <v/>
      </c>
      <c r="T37" s="276" t="str">
        <f t="shared" si="11"/>
        <v/>
      </c>
      <c r="U37" s="276" t="str">
        <f t="shared" si="11"/>
        <v/>
      </c>
      <c r="V37" s="276" t="str">
        <f t="shared" si="11"/>
        <v/>
      </c>
      <c r="W37" s="276" t="str">
        <f t="shared" si="11"/>
        <v/>
      </c>
      <c r="X37" s="276" t="str">
        <f t="shared" si="11"/>
        <v/>
      </c>
      <c r="Y37" s="276" t="str">
        <f t="shared" si="11"/>
        <v/>
      </c>
      <c r="Z37" s="276" t="str">
        <f t="shared" si="11"/>
        <v/>
      </c>
      <c r="AA37" s="276" t="str">
        <f t="shared" si="11"/>
        <v/>
      </c>
      <c r="AB37" s="276" t="str">
        <f t="shared" si="11"/>
        <v/>
      </c>
      <c r="AC37" s="276" t="str">
        <f t="shared" si="11"/>
        <v/>
      </c>
      <c r="AD37" s="276" t="str">
        <f t="shared" si="11"/>
        <v/>
      </c>
      <c r="AE37" s="276"/>
      <c r="AF37" s="276"/>
      <c r="AG37" s="276" t="str">
        <f t="shared" si="11"/>
        <v/>
      </c>
      <c r="AH37" s="276" t="str">
        <f t="shared" si="11"/>
        <v/>
      </c>
      <c r="AI37" s="276" t="str">
        <f t="shared" si="11"/>
        <v/>
      </c>
      <c r="AJ37" s="247"/>
      <c r="AK37" s="247"/>
      <c r="AL37" s="247"/>
      <c r="AM37" s="247"/>
    </row>
    <row r="38" spans="2:39" hidden="1" x14ac:dyDescent="0.2">
      <c r="B38" s="20" t="str">
        <f t="array" ref="B38">IF(ISERROR(INDEX('Eingabe Meldungen'!$C$2:$C$492,LARGE(('Eingabe Meldungen'!$A$2:$A$492=$B$24)*(ROW('Eingabe Meldungen'!$A$2:$A$492)-1),COUNTIF('Eingabe Meldungen'!$A$2:$A$492,$B$24)+1-ROW('Eingabe Meldungen'!A14)))),"",INDEX('Eingabe Meldungen'!$C$2:$C$492,LARGE(('Eingabe Meldungen'!$A$2:$A$492=$B$24)*(ROW('Eingabe Meldungen'!$A$2:$A$492)-1),COUNTIF('Eingabe Meldungen'!$A$2:$A$492,$B$24)+1-ROW('Eingabe Meldungen'!A14))))</f>
        <v>Grünewald</v>
      </c>
      <c r="C38" t="str">
        <f t="array" ref="C38">IF(ISERROR(INDEX('Eingabe Meldungen'!$D$2:$D$492,LARGE(('Eingabe Meldungen'!$A$2:$A$492=$B$24)*(ROW('Eingabe Meldungen'!$A$2:$A$492)-1),COUNTIF('Eingabe Meldungen'!$A$2:$A$492,$B$24)+1-ROW('Eingabe Meldungen'!A14)))),"",INDEX('Eingabe Meldungen'!$D$2:$D$492,LARGE(('Eingabe Meldungen'!$A$2:$A$492=$B$24)*(ROW('Eingabe Meldungen'!$A$2:$A$492)-1),COUNTIF('Eingabe Meldungen'!$A$2:$A$492,$B$24)+1-ROW('Eingabe Meldungen'!A14))))</f>
        <v>Christoph</v>
      </c>
      <c r="D38" s="11">
        <f t="array" ref="D38">IF(B38&lt;&gt;"",INDEX('Eingabe Meldungen'!$C$2:$H$492,MATCH(B38&amp;C38,'Eingabe Meldungen'!$C$2:$C$492&amp;'Eingabe Meldungen'!$D$2:$D$492,0),6),"")</f>
        <v>1968</v>
      </c>
      <c r="E38" s="66" t="str">
        <f t="array" ref="E38">IF(B38&lt;&gt;"",INDEX('Eingabe Meldungen'!$C$2:$H$492,MATCH(B38&amp;C38,'Eingabe Meldungen'!$C$2:$C$492&amp;'Eingabe Meldungen'!$D$2:$D$492,0),4),"")</f>
        <v>D</v>
      </c>
      <c r="F38" s="32" t="str">
        <f>IF(VLOOKUP(B38,Rennlisten!$B$22:$H$51,6,FALSE)=0,"",VLOOKUP(B38,Rennlisten!$B$22:$H$51,6,FALSE))</f>
        <v/>
      </c>
      <c r="G38" t="e">
        <f t="shared" si="8"/>
        <v>#VALUE!</v>
      </c>
      <c r="H38" s="54" t="str">
        <f t="array" ref="H38">IF(B38&lt;&gt;"",INDEX('Eingabe Meldungen'!$C$2:$J$244,MATCH(B38&amp;C38,'Eingabe Meldungen'!$C$2:$C$244&amp;'Eingabe Meldungen'!$D$2:$D$244,0),8),"")</f>
        <v>Marbacher Ruderverein</v>
      </c>
      <c r="J38" s="276" t="str">
        <f t="shared" si="10"/>
        <v/>
      </c>
      <c r="K38" s="276" t="str">
        <f t="shared" si="10"/>
        <v/>
      </c>
      <c r="L38" s="276" t="e">
        <f>IF(EXACT($H38,#REF!),$I38,"")</f>
        <v>#REF!</v>
      </c>
      <c r="M38" s="276" t="str">
        <f t="shared" si="5"/>
        <v/>
      </c>
      <c r="N38" s="276" t="str">
        <f t="shared" si="6"/>
        <v/>
      </c>
      <c r="O38" s="276" t="str">
        <f t="shared" si="11"/>
        <v/>
      </c>
      <c r="P38" s="276" t="str">
        <f t="shared" si="11"/>
        <v/>
      </c>
      <c r="Q38" s="276" t="str">
        <f t="shared" si="11"/>
        <v/>
      </c>
      <c r="R38" s="276" t="str">
        <f t="shared" si="11"/>
        <v/>
      </c>
      <c r="S38" s="276" t="str">
        <f t="shared" si="11"/>
        <v/>
      </c>
      <c r="T38" s="276" t="str">
        <f t="shared" si="11"/>
        <v/>
      </c>
      <c r="U38" s="276" t="str">
        <f t="shared" si="11"/>
        <v/>
      </c>
      <c r="V38" s="276" t="str">
        <f t="shared" si="11"/>
        <v/>
      </c>
      <c r="W38" s="276" t="str">
        <f t="shared" si="11"/>
        <v/>
      </c>
      <c r="X38" s="276" t="str">
        <f t="shared" si="11"/>
        <v/>
      </c>
      <c r="Y38" s="276" t="str">
        <f t="shared" si="11"/>
        <v/>
      </c>
      <c r="Z38" s="276" t="str">
        <f t="shared" si="11"/>
        <v/>
      </c>
      <c r="AA38" s="276" t="str">
        <f t="shared" si="11"/>
        <v/>
      </c>
      <c r="AB38" s="276" t="str">
        <f t="shared" si="11"/>
        <v/>
      </c>
      <c r="AC38" s="276" t="str">
        <f t="shared" si="11"/>
        <v/>
      </c>
      <c r="AD38" s="276" t="str">
        <f t="shared" si="11"/>
        <v/>
      </c>
      <c r="AE38" s="276"/>
      <c r="AF38" s="276"/>
      <c r="AG38" s="276" t="str">
        <f t="shared" si="11"/>
        <v/>
      </c>
      <c r="AH38" s="276" t="str">
        <f t="shared" si="11"/>
        <v/>
      </c>
      <c r="AI38" s="276" t="str">
        <f t="shared" si="11"/>
        <v/>
      </c>
      <c r="AJ38" s="247"/>
      <c r="AK38" s="247"/>
      <c r="AL38" s="247"/>
      <c r="AM38" s="247"/>
    </row>
    <row r="39" spans="2:39" ht="12.75" hidden="1" customHeight="1" x14ac:dyDescent="0.2">
      <c r="B39" s="20" t="str">
        <f t="array" ref="B39">IF(ISERROR(INDEX('Eingabe Meldungen'!$C$2:$C$492,LARGE(('Eingabe Meldungen'!$A$2:$A$492=$B$24)*(ROW('Eingabe Meldungen'!$A$2:$A$492)-1),COUNTIF('Eingabe Meldungen'!$A$2:$A$492,$B$24)+1-ROW('Eingabe Meldungen'!A15)))),"",INDEX('Eingabe Meldungen'!$C$2:$C$492,LARGE(('Eingabe Meldungen'!$A$2:$A$492=$B$24)*(ROW('Eingabe Meldungen'!$A$2:$A$492)-1),COUNTIF('Eingabe Meldungen'!$A$2:$A$492,$B$24)+1-ROW('Eingabe Meldungen'!A15))))</f>
        <v>Rottler</v>
      </c>
      <c r="C39" t="str">
        <f t="array" ref="C39">IF(ISERROR(INDEX('Eingabe Meldungen'!$D$2:$D$492,LARGE(('Eingabe Meldungen'!$A$2:$A$492=$B$24)*(ROW('Eingabe Meldungen'!$A$2:$A$492)-1),COUNTIF('Eingabe Meldungen'!$A$2:$A$492,$B$24)+1-ROW('Eingabe Meldungen'!A15)))),"",INDEX('Eingabe Meldungen'!$D$2:$D$492,LARGE(('Eingabe Meldungen'!$A$2:$A$492=$B$24)*(ROW('Eingabe Meldungen'!$A$2:$A$492)-1),COUNTIF('Eingabe Meldungen'!$A$2:$A$492,$B$24)+1-ROW('Eingabe Meldungen'!A15))))</f>
        <v>Christoph</v>
      </c>
      <c r="D39" s="11">
        <f t="array" ref="D39">IF(B39&lt;&gt;"",INDEX('Eingabe Meldungen'!$C$2:$H$492,MATCH(B39&amp;C39,'Eingabe Meldungen'!$C$2:$C$492&amp;'Eingabe Meldungen'!$D$2:$D$492,0),6),"")</f>
        <v>1968</v>
      </c>
      <c r="E39" s="66" t="str">
        <f t="array" ref="E39">IF(B39&lt;&gt;"",INDEX('Eingabe Meldungen'!$C$2:$H$492,MATCH(B39&amp;C39,'Eingabe Meldungen'!$C$2:$C$492&amp;'Eingabe Meldungen'!$D$2:$D$492,0),4),"")</f>
        <v>D</v>
      </c>
      <c r="F39" s="32" t="str">
        <f>IF(VLOOKUP(B39,Rennlisten!$B$22:$H$51,6,FALSE)=0,"",VLOOKUP(B39,Rennlisten!$B$22:$H$51,6,FALSE))</f>
        <v/>
      </c>
      <c r="G39" t="e">
        <f t="shared" si="8"/>
        <v>#VALUE!</v>
      </c>
      <c r="H39" s="54" t="str">
        <f t="array" ref="H39">IF(B39&lt;&gt;"",INDEX('Eingabe Meldungen'!$C$2:$J$244,MATCH(B39&amp;C39,'Eingabe Meldungen'!$C$2:$C$244&amp;'Eingabe Meldungen'!$D$2:$D$244,0),8),"")</f>
        <v>HRG Schwaben</v>
      </c>
      <c r="J39" s="276" t="str">
        <f t="shared" si="10"/>
        <v/>
      </c>
      <c r="K39" s="276" t="str">
        <f t="shared" si="10"/>
        <v/>
      </c>
      <c r="L39" s="276" t="e">
        <f>IF(EXACT($H39,#REF!),$I39,"")</f>
        <v>#REF!</v>
      </c>
      <c r="M39" s="276" t="str">
        <f t="shared" si="5"/>
        <v/>
      </c>
      <c r="N39" s="276" t="str">
        <f t="shared" si="6"/>
        <v/>
      </c>
      <c r="O39" s="276" t="str">
        <f t="shared" si="11"/>
        <v/>
      </c>
      <c r="P39" s="276" t="str">
        <f t="shared" si="11"/>
        <v/>
      </c>
      <c r="Q39" s="276">
        <f t="shared" si="11"/>
        <v>0</v>
      </c>
      <c r="R39" s="276" t="str">
        <f t="shared" si="11"/>
        <v/>
      </c>
      <c r="S39" s="276" t="str">
        <f t="shared" si="11"/>
        <v/>
      </c>
      <c r="T39" s="276" t="str">
        <f t="shared" si="11"/>
        <v/>
      </c>
      <c r="U39" s="276" t="str">
        <f t="shared" si="11"/>
        <v/>
      </c>
      <c r="V39" s="276" t="str">
        <f t="shared" si="11"/>
        <v/>
      </c>
      <c r="W39" s="276" t="str">
        <f t="shared" si="11"/>
        <v/>
      </c>
      <c r="X39" s="276" t="str">
        <f t="shared" si="11"/>
        <v/>
      </c>
      <c r="Y39" s="276" t="str">
        <f t="shared" si="11"/>
        <v/>
      </c>
      <c r="Z39" s="276" t="str">
        <f t="shared" si="11"/>
        <v/>
      </c>
      <c r="AA39" s="276" t="str">
        <f t="shared" si="11"/>
        <v/>
      </c>
      <c r="AB39" s="276" t="str">
        <f t="shared" si="11"/>
        <v/>
      </c>
      <c r="AC39" s="276" t="str">
        <f t="shared" si="11"/>
        <v/>
      </c>
      <c r="AD39" s="276" t="str">
        <f t="shared" si="11"/>
        <v/>
      </c>
      <c r="AE39" s="276"/>
      <c r="AF39" s="276"/>
      <c r="AG39" s="276" t="str">
        <f t="shared" si="11"/>
        <v/>
      </c>
      <c r="AH39" s="276" t="str">
        <f t="shared" si="11"/>
        <v/>
      </c>
      <c r="AI39" s="276" t="str">
        <f t="shared" si="11"/>
        <v/>
      </c>
      <c r="AJ39" s="247"/>
      <c r="AK39" s="247"/>
      <c r="AL39" s="247"/>
      <c r="AM39" s="247"/>
    </row>
    <row r="40" spans="2:39" ht="12.75" hidden="1" customHeight="1" x14ac:dyDescent="0.2">
      <c r="B40" s="20" t="str">
        <f t="array" ref="B40">IF(ISERROR(INDEX('Eingabe Meldungen'!$C$2:$C$492,LARGE(('Eingabe Meldungen'!$A$2:$A$492=$B$24)*(ROW('Eingabe Meldungen'!$A$2:$A$492)-1),COUNTIF('Eingabe Meldungen'!$A$2:$A$492,$B$24)+1-ROW('Eingabe Meldungen'!A16)))),"",INDEX('Eingabe Meldungen'!$C$2:$C$492,LARGE(('Eingabe Meldungen'!$A$2:$A$492=$B$24)*(ROW('Eingabe Meldungen'!$A$2:$A$492)-1),COUNTIF('Eingabe Meldungen'!$A$2:$A$492,$B$24)+1-ROW('Eingabe Meldungen'!A16))))</f>
        <v>Grün</v>
      </c>
      <c r="C40" t="str">
        <f t="array" ref="C40">IF(ISERROR(INDEX('Eingabe Meldungen'!$D$2:$D$492,LARGE(('Eingabe Meldungen'!$A$2:$A$492=$B$24)*(ROW('Eingabe Meldungen'!$A$2:$A$492)-1),COUNTIF('Eingabe Meldungen'!$A$2:$A$492,$B$24)+1-ROW('Eingabe Meldungen'!A16)))),"",INDEX('Eingabe Meldungen'!$D$2:$D$492,LARGE(('Eingabe Meldungen'!$A$2:$A$492=$B$24)*(ROW('Eingabe Meldungen'!$A$2:$A$492)-1),COUNTIF('Eingabe Meldungen'!$A$2:$A$492,$B$24)+1-ROW('Eingabe Meldungen'!A16))))</f>
        <v>Michael</v>
      </c>
      <c r="D40" s="11">
        <f t="array" ref="D40">IF(B40&lt;&gt;"",INDEX('Eingabe Meldungen'!$C$2:$H$492,MATCH(B40&amp;C40,'Eingabe Meldungen'!$C$2:$C$492&amp;'Eingabe Meldungen'!$D$2:$D$492,0),6),"")</f>
        <v>1968</v>
      </c>
      <c r="E40" s="66" t="str">
        <f t="array" ref="E40">IF(B40&lt;&gt;"",INDEX('Eingabe Meldungen'!$C$2:$H$492,MATCH(B40&amp;C40,'Eingabe Meldungen'!$C$2:$C$492&amp;'Eingabe Meldungen'!$D$2:$D$492,0),4),"")</f>
        <v>D</v>
      </c>
      <c r="F40" s="32" t="str">
        <f>IF(VLOOKUP(B40,Rennlisten!$B$22:$H$51,6,FALSE)=0,"",VLOOKUP(B40,Rennlisten!$B$22:$H$51,6,FALSE))</f>
        <v/>
      </c>
      <c r="G40" t="e">
        <f t="shared" si="8"/>
        <v>#VALUE!</v>
      </c>
      <c r="H40" s="54" t="str">
        <f t="array" ref="H40">IF(B40&lt;&gt;"",INDEX('Eingabe Meldungen'!$C$2:$J$244,MATCH(B40&amp;C40,'Eingabe Meldungen'!$C$2:$C$244&amp;'Eingabe Meldungen'!$D$2:$D$244,0),8),"")</f>
        <v>HRG Schwaben</v>
      </c>
      <c r="J40" s="276" t="str">
        <f t="shared" si="10"/>
        <v/>
      </c>
      <c r="K40" s="276" t="str">
        <f t="shared" si="10"/>
        <v/>
      </c>
      <c r="L40" s="276" t="e">
        <f>IF(EXACT($H40,#REF!),$I40,"")</f>
        <v>#REF!</v>
      </c>
      <c r="M40" s="276" t="str">
        <f t="shared" si="5"/>
        <v/>
      </c>
      <c r="N40" s="276" t="str">
        <f t="shared" si="6"/>
        <v/>
      </c>
      <c r="O40" s="276" t="str">
        <f t="shared" si="11"/>
        <v/>
      </c>
      <c r="P40" s="276" t="str">
        <f t="shared" si="11"/>
        <v/>
      </c>
      <c r="Q40" s="276">
        <f t="shared" si="11"/>
        <v>0</v>
      </c>
      <c r="R40" s="276" t="str">
        <f t="shared" si="11"/>
        <v/>
      </c>
      <c r="S40" s="276" t="str">
        <f t="shared" si="11"/>
        <v/>
      </c>
      <c r="T40" s="276" t="str">
        <f t="shared" si="11"/>
        <v/>
      </c>
      <c r="U40" s="276" t="str">
        <f t="shared" si="11"/>
        <v/>
      </c>
      <c r="V40" s="276" t="str">
        <f t="shared" si="11"/>
        <v/>
      </c>
      <c r="W40" s="276" t="str">
        <f t="shared" si="11"/>
        <v/>
      </c>
      <c r="X40" s="276" t="str">
        <f t="shared" si="11"/>
        <v/>
      </c>
      <c r="Y40" s="276" t="str">
        <f t="shared" si="11"/>
        <v/>
      </c>
      <c r="Z40" s="276" t="str">
        <f t="shared" si="11"/>
        <v/>
      </c>
      <c r="AA40" s="276" t="str">
        <f t="shared" si="11"/>
        <v/>
      </c>
      <c r="AB40" s="276" t="str">
        <f t="shared" si="11"/>
        <v/>
      </c>
      <c r="AC40" s="276" t="str">
        <f t="shared" si="11"/>
        <v/>
      </c>
      <c r="AD40" s="276" t="str">
        <f t="shared" si="11"/>
        <v/>
      </c>
      <c r="AE40" s="276"/>
      <c r="AF40" s="276"/>
      <c r="AG40" s="276" t="str">
        <f t="shared" si="11"/>
        <v/>
      </c>
      <c r="AH40" s="276" t="str">
        <f t="shared" si="11"/>
        <v/>
      </c>
      <c r="AI40" s="276" t="str">
        <f t="shared" si="11"/>
        <v/>
      </c>
      <c r="AJ40" s="247"/>
      <c r="AK40" s="247"/>
      <c r="AL40" s="247"/>
      <c r="AM40" s="247"/>
    </row>
    <row r="41" spans="2:39" ht="13.2" hidden="1" thickBot="1" x14ac:dyDescent="0.25">
      <c r="B41" s="22" t="str">
        <f t="array" ref="B41">IF(ISERROR(INDEX('Eingabe Meldungen'!$C$2:$C$492,LARGE(('Eingabe Meldungen'!$A$2:$A$492=$B$24)*(ROW('Eingabe Meldungen'!$A$2:$A$492)-1),COUNTIF('Eingabe Meldungen'!$A$2:$A$492,$B$24)+1-ROW('Eingabe Meldungen'!A17)))),"",INDEX('Eingabe Meldungen'!$C$2:$C$492,LARGE(('Eingabe Meldungen'!$A$2:$A$492=$B$24)*(ROW('Eingabe Meldungen'!$A$2:$A$492)-1),COUNTIF('Eingabe Meldungen'!$A$2:$A$492,$B$24)+1-ROW('Eingabe Meldungen'!A17))))</f>
        <v>Demmer</v>
      </c>
      <c r="C41" s="14" t="str">
        <f t="array" ref="C41">IF(ISERROR(INDEX('Eingabe Meldungen'!$D$2:$D$492,LARGE(('Eingabe Meldungen'!$A$2:$A$492=$B$24)*(ROW('Eingabe Meldungen'!$A$2:$A$492)-1),COUNTIF('Eingabe Meldungen'!$A$2:$A$492,$B$24)+1-ROW('Eingabe Meldungen'!A17)))),"",INDEX('Eingabe Meldungen'!$D$2:$D$492,LARGE(('Eingabe Meldungen'!$A$2:$A$492=$B$24)*(ROW('Eingabe Meldungen'!$A$2:$A$492)-1),COUNTIF('Eingabe Meldungen'!$A$2:$A$492,$B$24)+1-ROW('Eingabe Meldungen'!A17))))</f>
        <v>Patrick</v>
      </c>
      <c r="D41" s="12">
        <f t="array" ref="D41">IF(B41&lt;&gt;"",INDEX('Eingabe Meldungen'!$C$2:$H$492,MATCH(B41&amp;C41,'Eingabe Meldungen'!$C$2:$C$492&amp;'Eingabe Meldungen'!$D$2:$D$492,0),6),"")</f>
        <v>1969</v>
      </c>
      <c r="E41" s="99" t="str">
        <f t="array" ref="E41">IF(B41&lt;&gt;"",INDEX('Eingabe Meldungen'!$C$2:$H$492,MATCH(B41&amp;C41,'Eingabe Meldungen'!$C$2:$C$492&amp;'Eingabe Meldungen'!$D$2:$D$492,0),4),"")</f>
        <v>D</v>
      </c>
      <c r="F41" s="33" t="str">
        <f>IF(VLOOKUP(B41,Rennlisten!$B$22:$H$51,6,FALSE)=0,"",VLOOKUP(B41,Rennlisten!$B$22:$H$51,6,FALSE))</f>
        <v/>
      </c>
      <c r="G41" s="14" t="e">
        <f t="shared" si="8"/>
        <v>#VALUE!</v>
      </c>
      <c r="H41" s="55" t="str">
        <f t="array" ref="H41">IF(B41&lt;&gt;"",INDEX('Eingabe Meldungen'!$C$2:$J$244,MATCH(B41&amp;C41,'Eingabe Meldungen'!$C$2:$C$244&amp;'Eingabe Meldungen'!$D$2:$D$244,0),8),"")</f>
        <v>HRG Schwaben</v>
      </c>
      <c r="J41" s="276" t="str">
        <f t="shared" si="10"/>
        <v/>
      </c>
      <c r="K41" s="276" t="str">
        <f t="shared" si="10"/>
        <v/>
      </c>
      <c r="L41" s="276" t="e">
        <f>IF(EXACT($H41,#REF!),$I41,"")</f>
        <v>#REF!</v>
      </c>
      <c r="M41" s="276" t="str">
        <f t="shared" si="5"/>
        <v/>
      </c>
      <c r="N41" s="276" t="str">
        <f t="shared" si="6"/>
        <v/>
      </c>
      <c r="O41" s="276" t="str">
        <f t="shared" si="11"/>
        <v/>
      </c>
      <c r="P41" s="276" t="str">
        <f t="shared" si="11"/>
        <v/>
      </c>
      <c r="Q41" s="276">
        <f t="shared" si="11"/>
        <v>0</v>
      </c>
      <c r="R41" s="276" t="str">
        <f t="shared" si="11"/>
        <v/>
      </c>
      <c r="S41" s="276" t="str">
        <f t="shared" si="11"/>
        <v/>
      </c>
      <c r="T41" s="276" t="str">
        <f t="shared" si="11"/>
        <v/>
      </c>
      <c r="U41" s="276" t="str">
        <f t="shared" si="11"/>
        <v/>
      </c>
      <c r="V41" s="276" t="str">
        <f t="shared" si="11"/>
        <v/>
      </c>
      <c r="W41" s="276" t="str">
        <f t="shared" si="11"/>
        <v/>
      </c>
      <c r="X41" s="276" t="str">
        <f t="shared" si="11"/>
        <v/>
      </c>
      <c r="Y41" s="276" t="str">
        <f t="shared" si="11"/>
        <v/>
      </c>
      <c r="Z41" s="276" t="str">
        <f t="shared" si="11"/>
        <v/>
      </c>
      <c r="AA41" s="276" t="str">
        <f t="shared" si="11"/>
        <v/>
      </c>
      <c r="AB41" s="276" t="str">
        <f t="shared" si="11"/>
        <v/>
      </c>
      <c r="AC41" s="276" t="str">
        <f t="shared" si="11"/>
        <v/>
      </c>
      <c r="AD41" s="276" t="str">
        <f t="shared" si="11"/>
        <v/>
      </c>
      <c r="AE41" s="276"/>
      <c r="AF41" s="276"/>
      <c r="AG41" s="276" t="str">
        <f t="shared" si="11"/>
        <v/>
      </c>
      <c r="AH41" s="276" t="str">
        <f t="shared" si="11"/>
        <v/>
      </c>
      <c r="AI41" s="276" t="str">
        <f t="shared" si="11"/>
        <v/>
      </c>
      <c r="AJ41" s="247"/>
      <c r="AK41" s="247"/>
      <c r="AL41" s="247"/>
      <c r="AM41" s="247"/>
    </row>
    <row r="42" spans="2:39" ht="13.5" hidden="1" customHeight="1" thickBot="1" x14ac:dyDescent="0.25">
      <c r="B42" s="34"/>
      <c r="C42" s="31"/>
      <c r="D42" s="11"/>
      <c r="E42" s="66"/>
      <c r="F42" s="11"/>
      <c r="H42" s="21"/>
      <c r="J42" s="276" t="str">
        <f t="shared" si="10"/>
        <v/>
      </c>
      <c r="K42" s="276" t="str">
        <f t="shared" si="10"/>
        <v/>
      </c>
      <c r="L42" s="276" t="e">
        <f>IF(EXACT($H42,#REF!),$I42,"")</f>
        <v>#REF!</v>
      </c>
      <c r="M42" s="276" t="str">
        <f t="shared" si="5"/>
        <v/>
      </c>
      <c r="N42" s="276" t="str">
        <f t="shared" si="6"/>
        <v/>
      </c>
      <c r="O42" s="276" t="str">
        <f t="shared" si="11"/>
        <v/>
      </c>
      <c r="P42" s="276" t="str">
        <f t="shared" si="11"/>
        <v/>
      </c>
      <c r="Q42" s="276" t="str">
        <f t="shared" si="11"/>
        <v/>
      </c>
      <c r="R42" s="276" t="str">
        <f t="shared" si="11"/>
        <v/>
      </c>
      <c r="S42" s="276" t="str">
        <f t="shared" si="11"/>
        <v/>
      </c>
      <c r="T42" s="276" t="str">
        <f t="shared" si="11"/>
        <v/>
      </c>
      <c r="U42" s="276" t="str">
        <f t="shared" si="11"/>
        <v/>
      </c>
      <c r="V42" s="276" t="str">
        <f t="shared" si="11"/>
        <v/>
      </c>
      <c r="W42" s="276">
        <f t="shared" si="11"/>
        <v>0</v>
      </c>
      <c r="X42" s="276">
        <f t="shared" si="11"/>
        <v>0</v>
      </c>
      <c r="Y42" s="276">
        <f t="shared" si="11"/>
        <v>0</v>
      </c>
      <c r="Z42" s="276">
        <f t="shared" si="11"/>
        <v>0</v>
      </c>
      <c r="AA42" s="276">
        <f t="shared" si="11"/>
        <v>0</v>
      </c>
      <c r="AB42" s="276">
        <f t="shared" si="11"/>
        <v>0</v>
      </c>
      <c r="AC42" s="276">
        <f t="shared" si="11"/>
        <v>0</v>
      </c>
      <c r="AD42" s="276">
        <f t="shared" si="11"/>
        <v>0</v>
      </c>
      <c r="AE42" s="276"/>
      <c r="AF42" s="276"/>
      <c r="AG42" s="276">
        <f t="shared" si="11"/>
        <v>0</v>
      </c>
      <c r="AH42" s="276">
        <f t="shared" si="11"/>
        <v>0</v>
      </c>
      <c r="AI42" s="276">
        <f t="shared" si="11"/>
        <v>0</v>
      </c>
      <c r="AJ42" s="247"/>
      <c r="AK42" s="247"/>
      <c r="AL42" s="247"/>
      <c r="AM42" s="247"/>
    </row>
    <row r="43" spans="2:39" ht="25.5" hidden="1" customHeight="1" x14ac:dyDescent="0.2">
      <c r="B43" s="26">
        <v>3</v>
      </c>
      <c r="C43" s="65" t="str">
        <f>VLOOKUP(B43,Ausschreibung!$B$5:$I$35,2,FALSE)</f>
        <v>Ergocup</v>
      </c>
      <c r="D43" s="27">
        <f>VLOOKUP(B43,Ausschreibung!$B$5:$I$35,3,FALSE)</f>
        <v>0.4861111111111111</v>
      </c>
      <c r="E43" s="65" t="str">
        <f>VLOOKUP(B43,Ausschreibung!$B$5:$I$35,4,FALSE)</f>
        <v>Jungen U14</v>
      </c>
      <c r="F43" s="68" t="str">
        <f>VLOOKUP(B43,Ausschreibung!$B$5:$I$35,5,FALSE)</f>
        <v>Lgw. bis 50 kg</v>
      </c>
      <c r="G43" s="65" t="str">
        <f>VLOOKUP(B43,Ausschreibung!$B$5:$I$35,6,FALSE)</f>
        <v>13 und jünger</v>
      </c>
      <c r="H43" s="28" t="str">
        <f>VLOOKUP(B43,Ausschreibung!$B$5:$I$35,8,FALSE)</f>
        <v>1000 m</v>
      </c>
      <c r="J43" s="276" t="str">
        <f t="shared" si="10"/>
        <v/>
      </c>
      <c r="K43" s="276" t="str">
        <f t="shared" si="10"/>
        <v/>
      </c>
      <c r="L43" s="276" t="e">
        <f>IF(EXACT($H43,#REF!),$I43,"")</f>
        <v>#REF!</v>
      </c>
      <c r="M43" s="276" t="str">
        <f t="shared" si="5"/>
        <v/>
      </c>
      <c r="N43" s="276" t="str">
        <f t="shared" si="6"/>
        <v/>
      </c>
      <c r="O43" s="276" t="str">
        <f t="shared" si="11"/>
        <v/>
      </c>
      <c r="P43" s="276" t="str">
        <f t="shared" si="11"/>
        <v/>
      </c>
      <c r="Q43" s="276" t="str">
        <f t="shared" si="11"/>
        <v/>
      </c>
      <c r="R43" s="276" t="str">
        <f t="shared" si="11"/>
        <v/>
      </c>
      <c r="S43" s="276" t="str">
        <f t="shared" si="11"/>
        <v/>
      </c>
      <c r="T43" s="276" t="str">
        <f t="shared" si="11"/>
        <v/>
      </c>
      <c r="U43" s="276" t="str">
        <f t="shared" si="11"/>
        <v/>
      </c>
      <c r="V43" s="276" t="str">
        <f t="shared" si="11"/>
        <v/>
      </c>
      <c r="W43" s="276" t="str">
        <f t="shared" si="11"/>
        <v/>
      </c>
      <c r="X43" s="276" t="str">
        <f t="shared" si="11"/>
        <v/>
      </c>
      <c r="Y43" s="276" t="str">
        <f t="shared" si="11"/>
        <v/>
      </c>
      <c r="Z43" s="276" t="str">
        <f t="shared" si="11"/>
        <v/>
      </c>
      <c r="AA43" s="276" t="str">
        <f t="shared" si="11"/>
        <v/>
      </c>
      <c r="AB43" s="276" t="str">
        <f t="shared" si="11"/>
        <v/>
      </c>
      <c r="AC43" s="276" t="str">
        <f t="shared" si="11"/>
        <v/>
      </c>
      <c r="AD43" s="276" t="str">
        <f t="shared" si="11"/>
        <v/>
      </c>
      <c r="AE43" s="276"/>
      <c r="AF43" s="276"/>
      <c r="AG43" s="276" t="str">
        <f t="shared" si="11"/>
        <v/>
      </c>
      <c r="AH43" s="276" t="str">
        <f t="shared" si="11"/>
        <v/>
      </c>
      <c r="AI43" s="276" t="str">
        <f t="shared" si="11"/>
        <v/>
      </c>
      <c r="AJ43" s="247"/>
      <c r="AK43" s="247"/>
      <c r="AL43" s="247"/>
      <c r="AM43" s="247"/>
    </row>
    <row r="44" spans="2:39" hidden="1" x14ac:dyDescent="0.2">
      <c r="B44" s="19" t="s">
        <v>1</v>
      </c>
      <c r="C44" s="18" t="s">
        <v>2</v>
      </c>
      <c r="D44" s="17" t="s">
        <v>49</v>
      </c>
      <c r="E44" s="130" t="s">
        <v>16</v>
      </c>
      <c r="F44" s="17" t="s">
        <v>50</v>
      </c>
      <c r="G44" s="17" t="s">
        <v>51</v>
      </c>
      <c r="H44" s="30" t="s">
        <v>17</v>
      </c>
      <c r="J44" s="276" t="str">
        <f t="shared" si="10"/>
        <v/>
      </c>
      <c r="K44" s="276" t="str">
        <f t="shared" si="10"/>
        <v/>
      </c>
      <c r="L44" s="276" t="e">
        <f>IF(EXACT($H44,#REF!),$I44,"")</f>
        <v>#REF!</v>
      </c>
      <c r="M44" s="276" t="str">
        <f t="shared" si="5"/>
        <v/>
      </c>
      <c r="N44" s="276" t="str">
        <f t="shared" si="6"/>
        <v/>
      </c>
      <c r="O44" s="276" t="str">
        <f t="shared" si="11"/>
        <v/>
      </c>
      <c r="P44" s="276" t="str">
        <f t="shared" si="11"/>
        <v/>
      </c>
      <c r="Q44" s="276" t="str">
        <f t="shared" si="11"/>
        <v/>
      </c>
      <c r="R44" s="276" t="str">
        <f t="shared" si="11"/>
        <v/>
      </c>
      <c r="S44" s="276" t="str">
        <f t="shared" si="11"/>
        <v/>
      </c>
      <c r="T44" s="276" t="str">
        <f t="shared" si="11"/>
        <v/>
      </c>
      <c r="U44" s="276" t="str">
        <f t="shared" si="11"/>
        <v/>
      </c>
      <c r="V44" s="276" t="str">
        <f t="shared" si="11"/>
        <v/>
      </c>
      <c r="W44" s="276" t="str">
        <f t="shared" si="11"/>
        <v/>
      </c>
      <c r="X44" s="276" t="str">
        <f t="shared" si="11"/>
        <v/>
      </c>
      <c r="Y44" s="276" t="str">
        <f t="shared" si="11"/>
        <v/>
      </c>
      <c r="Z44" s="276" t="str">
        <f t="shared" si="11"/>
        <v/>
      </c>
      <c r="AA44" s="276" t="str">
        <f t="shared" si="11"/>
        <v/>
      </c>
      <c r="AB44" s="276" t="str">
        <f t="shared" si="11"/>
        <v/>
      </c>
      <c r="AC44" s="276" t="str">
        <f t="shared" si="11"/>
        <v/>
      </c>
      <c r="AD44" s="276" t="str">
        <f t="shared" si="11"/>
        <v/>
      </c>
      <c r="AE44" s="276"/>
      <c r="AF44" s="276"/>
      <c r="AG44" s="276" t="str">
        <f t="shared" si="11"/>
        <v/>
      </c>
      <c r="AH44" s="276" t="str">
        <f t="shared" si="11"/>
        <v/>
      </c>
      <c r="AI44" s="276" t="str">
        <f t="shared" si="11"/>
        <v/>
      </c>
      <c r="AJ44" s="247"/>
      <c r="AK44" s="247"/>
      <c r="AL44" s="247"/>
      <c r="AM44" s="247"/>
    </row>
    <row r="45" spans="2:39" hidden="1" x14ac:dyDescent="0.2">
      <c r="B45" s="20" t="str">
        <f t="array" ref="B45">IF(ISERROR(INDEX('Eingabe Meldungen'!$C$2:$C$492,LARGE(('Eingabe Meldungen'!$A$2:$A$492=$B$43)*(ROW('Eingabe Meldungen'!$A$2:$A$492)-1),COUNTIF('Eingabe Meldungen'!$A$2:$A$492,$B$43)+1-ROW('Eingabe Meldungen'!A1)))),"",INDEX('Eingabe Meldungen'!$C$2:$C$492,LARGE(('Eingabe Meldungen'!$A$2:$A$492=$B$43)*(ROW('Eingabe Meldungen'!$A$2:$A$492)-1),COUNTIF('Eingabe Meldungen'!$A$2:$A$492,$B$43)+1-ROW('Eingabe Meldungen'!A1))))</f>
        <v>Hartig</v>
      </c>
      <c r="C45" t="str">
        <f t="array" ref="C45">IF(ISERROR(INDEX('Eingabe Meldungen'!$D$2:$D$492,LARGE(('Eingabe Meldungen'!$A$2:$A$492=$B$43)*(ROW('Eingabe Meldungen'!$A$2:$A$492)-1),COUNTIF('Eingabe Meldungen'!$A$2:$A$492,$B$43)+1-ROW('Eingabe Meldungen'!A1)))),"",INDEX('Eingabe Meldungen'!$D$2:$D$492,LARGE(('Eingabe Meldungen'!$A$2:$A$492=$B$43)*(ROW('Eingabe Meldungen'!$A$2:$A$492)-1),COUNTIF('Eingabe Meldungen'!$A$2:$A$492,$B$43)+1-ROW('Eingabe Meldungen'!A1))))</f>
        <v>Ben</v>
      </c>
      <c r="D45" s="11">
        <f t="array" ref="D45">IF(B45&lt;&gt;"",INDEX('Eingabe Meldungen'!$C$2:$H$492,MATCH(B45&amp;C45,'Eingabe Meldungen'!$C$2:$C$492&amp;'Eingabe Meldungen'!$D$2:$D$492,0),6),"")</f>
        <v>2007</v>
      </c>
      <c r="E45" s="66" t="str">
        <f t="array" ref="E45">IF(B45&lt;&gt;"",INDEX('Eingabe Meldungen'!$C$2:$H$492,MATCH(B45&amp;C45,'Eingabe Meldungen'!$C$2:$C$492&amp;'Eingabe Meldungen'!$D$2:$D$492,0),4),"")</f>
        <v>Lgw. bis 50 kg</v>
      </c>
      <c r="F45" s="32" t="e">
        <f>IF(VLOOKUP(B45,Rennlisten!#REF!,6,FALSE)=0,"",VLOOKUP(B45,Rennlisten!#REF!,6,FALSE))</f>
        <v>#REF!</v>
      </c>
      <c r="G45" t="e">
        <f>RANK(F45,$F$45:$F$60,1)</f>
        <v>#REF!</v>
      </c>
      <c r="H45" s="21" t="str">
        <f t="array" ref="H45">IF(B45&lt;&gt;"",INDEX('Eingabe Meldungen'!$C$2:$J$492,MATCH(B45&amp;C45,'Eingabe Meldungen'!$C$2:$C$492&amp;'Eingabe Meldungen'!$D$2:$D$492,0),8),"")</f>
        <v>Heidelberger Ruderklub</v>
      </c>
      <c r="J45" s="276" t="str">
        <f t="shared" si="10"/>
        <v/>
      </c>
      <c r="K45" s="276" t="str">
        <f t="shared" si="10"/>
        <v/>
      </c>
      <c r="L45" s="276" t="e">
        <f>IF(EXACT($H45,#REF!),$I45,"")</f>
        <v>#REF!</v>
      </c>
      <c r="M45" s="276" t="str">
        <f t="shared" si="5"/>
        <v/>
      </c>
      <c r="N45" s="276" t="str">
        <f t="shared" si="6"/>
        <v/>
      </c>
      <c r="O45" s="276" t="str">
        <f t="shared" si="11"/>
        <v/>
      </c>
      <c r="P45" s="276" t="str">
        <f t="shared" si="11"/>
        <v/>
      </c>
      <c r="Q45" s="276" t="str">
        <f t="shared" si="11"/>
        <v/>
      </c>
      <c r="R45" s="276" t="str">
        <f t="shared" si="11"/>
        <v/>
      </c>
      <c r="S45" s="276" t="str">
        <f t="shared" si="11"/>
        <v/>
      </c>
      <c r="T45" s="276" t="str">
        <f t="shared" si="11"/>
        <v/>
      </c>
      <c r="U45" s="276" t="str">
        <f t="shared" si="11"/>
        <v/>
      </c>
      <c r="V45" s="276" t="str">
        <f t="shared" si="11"/>
        <v/>
      </c>
      <c r="W45" s="276" t="str">
        <f t="shared" si="11"/>
        <v/>
      </c>
      <c r="X45" s="276" t="str">
        <f t="shared" si="11"/>
        <v/>
      </c>
      <c r="Y45" s="276" t="str">
        <f t="shared" si="11"/>
        <v/>
      </c>
      <c r="Z45" s="276" t="str">
        <f t="shared" si="11"/>
        <v/>
      </c>
      <c r="AA45" s="276" t="str">
        <f t="shared" si="11"/>
        <v/>
      </c>
      <c r="AB45" s="276" t="str">
        <f t="shared" si="11"/>
        <v/>
      </c>
      <c r="AC45" s="276" t="str">
        <f t="shared" si="11"/>
        <v/>
      </c>
      <c r="AD45" s="276" t="str">
        <f t="shared" si="11"/>
        <v/>
      </c>
      <c r="AE45" s="276"/>
      <c r="AF45" s="276"/>
      <c r="AG45" s="276" t="str">
        <f t="shared" si="11"/>
        <v/>
      </c>
      <c r="AH45" s="276" t="str">
        <f t="shared" si="11"/>
        <v/>
      </c>
      <c r="AI45" s="276" t="str">
        <f t="shared" si="11"/>
        <v/>
      </c>
      <c r="AJ45" s="247"/>
      <c r="AK45" s="247"/>
      <c r="AL45" s="247"/>
      <c r="AM45" s="247"/>
    </row>
    <row r="46" spans="2:39" hidden="1" x14ac:dyDescent="0.2">
      <c r="B46" s="20" t="str">
        <f t="array" ref="B46">IF(ISERROR(INDEX('Eingabe Meldungen'!$C$2:$C$492,LARGE(('Eingabe Meldungen'!$A$2:$A$492=$B$43)*(ROW('Eingabe Meldungen'!$A$2:$A$492)-1),COUNTIF('Eingabe Meldungen'!$A$2:$A$492,$B$43)+1-ROW('Eingabe Meldungen'!A2)))),"",INDEX('Eingabe Meldungen'!$C$2:$C$492,LARGE(('Eingabe Meldungen'!$A$2:$A$492=$B$43)*(ROW('Eingabe Meldungen'!$A$2:$A$492)-1),COUNTIF('Eingabe Meldungen'!$A$2:$A$492,$B$43)+1-ROW('Eingabe Meldungen'!A2))))</f>
        <v>Wieland</v>
      </c>
      <c r="C46" t="str">
        <f t="array" ref="C46">IF(ISERROR(INDEX('Eingabe Meldungen'!$D$2:$D$492,LARGE(('Eingabe Meldungen'!$A$2:$A$492=$B$43)*(ROW('Eingabe Meldungen'!$A$2:$A$492)-1),COUNTIF('Eingabe Meldungen'!$A$2:$A$492,$B$43)+1-ROW('Eingabe Meldungen'!A2)))),"",INDEX('Eingabe Meldungen'!$D$2:$D$492,LARGE(('Eingabe Meldungen'!$A$2:$A$492=$B$43)*(ROW('Eingabe Meldungen'!$A$2:$A$492)-1),COUNTIF('Eingabe Meldungen'!$A$2:$A$492,$B$43)+1-ROW('Eingabe Meldungen'!A2))))</f>
        <v>Lennart</v>
      </c>
      <c r="D46" s="11">
        <f t="array" ref="D46">IF(B46&lt;&gt;"",INDEX('Eingabe Meldungen'!$C$2:$H$492,MATCH(B46&amp;C46,'Eingabe Meldungen'!$C$2:$C$492&amp;'Eingabe Meldungen'!$D$2:$D$492,0),6),"")</f>
        <v>2007</v>
      </c>
      <c r="E46" s="66" t="str">
        <f t="array" ref="E46">IF(B46&lt;&gt;"",INDEX('Eingabe Meldungen'!$C$2:$H$492,MATCH(B46&amp;C46,'Eingabe Meldungen'!$C$2:$C$492&amp;'Eingabe Meldungen'!$D$2:$D$492,0),4),"")</f>
        <v>Lgw. bis 50 kg</v>
      </c>
      <c r="F46" s="32" t="e">
        <f>IF(VLOOKUP(B46,Rennlisten!#REF!,6,FALSE)=0,"",VLOOKUP(B46,Rennlisten!#REF!,6,FALSE))</f>
        <v>#REF!</v>
      </c>
      <c r="G46" t="e">
        <f t="shared" ref="G46:G60" si="12">RANK(F46,$F$45:$F$60,1)</f>
        <v>#REF!</v>
      </c>
      <c r="H46" s="21" t="str">
        <f t="array" ref="H46">IF(B46&lt;&gt;"",INDEX('Eingabe Meldungen'!$C$2:$J$492,MATCH(B46&amp;C46,'Eingabe Meldungen'!$C$2:$C$492&amp;'Eingabe Meldungen'!$D$2:$D$492,0),8),"")</f>
        <v>RV Waldsee</v>
      </c>
      <c r="J46" s="276" t="str">
        <f t="shared" si="10"/>
        <v/>
      </c>
      <c r="K46" s="276" t="str">
        <f t="shared" si="10"/>
        <v/>
      </c>
      <c r="L46" s="276" t="e">
        <f>IF(EXACT($H46,#REF!),$I46,"")</f>
        <v>#REF!</v>
      </c>
      <c r="M46" s="276" t="str">
        <f t="shared" si="5"/>
        <v/>
      </c>
      <c r="N46" s="276" t="str">
        <f t="shared" si="6"/>
        <v/>
      </c>
      <c r="O46" s="276" t="str">
        <f t="shared" si="11"/>
        <v/>
      </c>
      <c r="P46" s="276" t="str">
        <f t="shared" si="11"/>
        <v/>
      </c>
      <c r="Q46" s="276" t="str">
        <f t="shared" si="11"/>
        <v/>
      </c>
      <c r="R46" s="276" t="str">
        <f t="shared" si="11"/>
        <v/>
      </c>
      <c r="S46" s="276">
        <f t="shared" si="11"/>
        <v>0</v>
      </c>
      <c r="T46" s="276" t="str">
        <f t="shared" si="11"/>
        <v/>
      </c>
      <c r="U46" s="276" t="str">
        <f t="shared" si="11"/>
        <v/>
      </c>
      <c r="V46" s="276" t="str">
        <f t="shared" si="11"/>
        <v/>
      </c>
      <c r="W46" s="276" t="str">
        <f t="shared" si="11"/>
        <v/>
      </c>
      <c r="X46" s="276" t="str">
        <f t="shared" si="11"/>
        <v/>
      </c>
      <c r="Y46" s="276" t="str">
        <f t="shared" si="11"/>
        <v/>
      </c>
      <c r="Z46" s="276" t="str">
        <f t="shared" si="11"/>
        <v/>
      </c>
      <c r="AA46" s="276" t="str">
        <f t="shared" si="11"/>
        <v/>
      </c>
      <c r="AB46" s="276" t="str">
        <f t="shared" si="11"/>
        <v/>
      </c>
      <c r="AC46" s="276" t="str">
        <f t="shared" si="11"/>
        <v/>
      </c>
      <c r="AD46" s="276" t="str">
        <f t="shared" si="11"/>
        <v/>
      </c>
      <c r="AE46" s="276"/>
      <c r="AF46" s="276"/>
      <c r="AG46" s="276" t="str">
        <f t="shared" si="11"/>
        <v/>
      </c>
      <c r="AH46" s="276" t="str">
        <f t="shared" si="11"/>
        <v/>
      </c>
      <c r="AI46" s="276" t="str">
        <f t="shared" si="11"/>
        <v/>
      </c>
      <c r="AJ46" s="247"/>
      <c r="AK46" s="247"/>
      <c r="AL46" s="247"/>
      <c r="AM46" s="247"/>
    </row>
    <row r="47" spans="2:39" ht="12.75" hidden="1" customHeight="1" x14ac:dyDescent="0.2">
      <c r="B47" s="20" t="str">
        <f t="array" ref="B47">IF(ISERROR(INDEX('Eingabe Meldungen'!$C$2:$C$492,LARGE(('Eingabe Meldungen'!$A$2:$A$492=$B$43)*(ROW('Eingabe Meldungen'!$A$2:$A$492)-1),COUNTIF('Eingabe Meldungen'!$A$2:$A$492,$B$43)+1-ROW('Eingabe Meldungen'!A3)))),"",INDEX('Eingabe Meldungen'!$C$2:$C$492,LARGE(('Eingabe Meldungen'!$A$2:$A$492=$B$43)*(ROW('Eingabe Meldungen'!$A$2:$A$492)-1),COUNTIF('Eingabe Meldungen'!$A$2:$A$492,$B$43)+1-ROW('Eingabe Meldungen'!A3))))</f>
        <v>Sprauer</v>
      </c>
      <c r="C47" t="str">
        <f t="array" ref="C47">IF(ISERROR(INDEX('Eingabe Meldungen'!$D$2:$D$492,LARGE(('Eingabe Meldungen'!$A$2:$A$492=$B$43)*(ROW('Eingabe Meldungen'!$A$2:$A$492)-1),COUNTIF('Eingabe Meldungen'!$A$2:$A$492,$B$43)+1-ROW('Eingabe Meldungen'!A3)))),"",INDEX('Eingabe Meldungen'!$D$2:$D$492,LARGE(('Eingabe Meldungen'!$A$2:$A$492=$B$43)*(ROW('Eingabe Meldungen'!$A$2:$A$492)-1),COUNTIF('Eingabe Meldungen'!$A$2:$A$492,$B$43)+1-ROW('Eingabe Meldungen'!A3))))</f>
        <v>Levin</v>
      </c>
      <c r="D47" s="11">
        <f t="array" ref="D47">IF(B47&lt;&gt;"",INDEX('Eingabe Meldungen'!$C$2:$H$492,MATCH(B47&amp;C47,'Eingabe Meldungen'!$C$2:$C$492&amp;'Eingabe Meldungen'!$D$2:$D$492,0),6),"")</f>
        <v>2007</v>
      </c>
      <c r="E47" s="66" t="str">
        <f t="array" ref="E47">IF(B47&lt;&gt;"",INDEX('Eingabe Meldungen'!$C$2:$H$492,MATCH(B47&amp;C47,'Eingabe Meldungen'!$C$2:$C$492&amp;'Eingabe Meldungen'!$D$2:$D$492,0),4),"")</f>
        <v>Lgw. bis 50 kg</v>
      </c>
      <c r="F47" s="32" t="e">
        <f>IF(VLOOKUP(B47,Rennlisten!#REF!,6,FALSE)=0,"",VLOOKUP(B47,Rennlisten!#REF!,6,FALSE))</f>
        <v>#REF!</v>
      </c>
      <c r="G47" t="e">
        <f t="shared" si="12"/>
        <v>#REF!</v>
      </c>
      <c r="H47" s="21" t="str">
        <f t="array" ref="H47">IF(B47&lt;&gt;"",INDEX('Eingabe Meldungen'!$C$2:$J$492,MATCH(B47&amp;C47,'Eingabe Meldungen'!$C$2:$C$492&amp;'Eingabe Meldungen'!$D$2:$D$492,0),8),"")</f>
        <v>Mannheimer RV "Amicitia"</v>
      </c>
      <c r="J47" s="276" t="str">
        <f t="shared" si="10"/>
        <v/>
      </c>
      <c r="K47" s="276" t="str">
        <f t="shared" si="10"/>
        <v/>
      </c>
      <c r="L47" s="276" t="e">
        <f>IF(EXACT($H47,#REF!),$I47,"")</f>
        <v>#REF!</v>
      </c>
      <c r="M47" s="276" t="str">
        <f t="shared" ref="M47:M78" si="13">IF(EXACT($H47,L$4),$I47,"")</f>
        <v/>
      </c>
      <c r="N47" s="276" t="str">
        <f t="shared" ref="N47:N79" si="14">IF(EXACT($H47,N$4),$I47,"")</f>
        <v/>
      </c>
      <c r="O47" s="276" t="str">
        <f t="shared" ref="O47:AI56" si="15">IF(EXACT($H47,O$4),$I47,"")</f>
        <v/>
      </c>
      <c r="P47" s="276" t="str">
        <f t="shared" si="15"/>
        <v/>
      </c>
      <c r="Q47" s="276" t="str">
        <f t="shared" si="15"/>
        <v/>
      </c>
      <c r="R47" s="276" t="str">
        <f t="shared" si="15"/>
        <v/>
      </c>
      <c r="S47" s="276" t="str">
        <f t="shared" si="15"/>
        <v/>
      </c>
      <c r="T47" s="276" t="str">
        <f t="shared" si="15"/>
        <v/>
      </c>
      <c r="U47" s="276" t="str">
        <f t="shared" si="15"/>
        <v/>
      </c>
      <c r="V47" s="276" t="str">
        <f t="shared" si="15"/>
        <v/>
      </c>
      <c r="W47" s="276" t="str">
        <f t="shared" si="15"/>
        <v/>
      </c>
      <c r="X47" s="276" t="str">
        <f t="shared" si="15"/>
        <v/>
      </c>
      <c r="Y47" s="276" t="str">
        <f t="shared" si="15"/>
        <v/>
      </c>
      <c r="Z47" s="276" t="str">
        <f t="shared" si="15"/>
        <v/>
      </c>
      <c r="AA47" s="276" t="str">
        <f t="shared" si="15"/>
        <v/>
      </c>
      <c r="AB47" s="276" t="str">
        <f t="shared" si="15"/>
        <v/>
      </c>
      <c r="AC47" s="276" t="str">
        <f t="shared" si="15"/>
        <v/>
      </c>
      <c r="AD47" s="276" t="str">
        <f t="shared" si="15"/>
        <v/>
      </c>
      <c r="AE47" s="276"/>
      <c r="AF47" s="276"/>
      <c r="AG47" s="276" t="str">
        <f t="shared" si="15"/>
        <v/>
      </c>
      <c r="AH47" s="276" t="str">
        <f t="shared" si="15"/>
        <v/>
      </c>
      <c r="AI47" s="276" t="str">
        <f t="shared" si="15"/>
        <v/>
      </c>
      <c r="AJ47" s="247"/>
      <c r="AK47" s="247"/>
      <c r="AL47" s="247"/>
      <c r="AM47" s="247"/>
    </row>
    <row r="48" spans="2:39" hidden="1" x14ac:dyDescent="0.2">
      <c r="B48" s="20" t="str">
        <f t="array" ref="B48">IF(ISERROR(INDEX('Eingabe Meldungen'!$C$2:$C$492,LARGE(('Eingabe Meldungen'!$A$2:$A$492=$B$43)*(ROW('Eingabe Meldungen'!$A$2:$A$492)-1),COUNTIF('Eingabe Meldungen'!$A$2:$A$492,$B$43)+1-ROW('Eingabe Meldungen'!A4)))),"",INDEX('Eingabe Meldungen'!$C$2:$C$492,LARGE(('Eingabe Meldungen'!$A$2:$A$492=$B$43)*(ROW('Eingabe Meldungen'!$A$2:$A$492)-1),COUNTIF('Eingabe Meldungen'!$A$2:$A$492,$B$43)+1-ROW('Eingabe Meldungen'!A4))))</f>
        <v>Deuter</v>
      </c>
      <c r="C48" t="str">
        <f t="array" ref="C48">IF(ISERROR(INDEX('Eingabe Meldungen'!$D$2:$D$492,LARGE(('Eingabe Meldungen'!$A$2:$A$492=$B$43)*(ROW('Eingabe Meldungen'!$A$2:$A$492)-1),COUNTIF('Eingabe Meldungen'!$A$2:$A$492,$B$43)+1-ROW('Eingabe Meldungen'!A4)))),"",INDEX('Eingabe Meldungen'!$D$2:$D$492,LARGE(('Eingabe Meldungen'!$A$2:$A$492=$B$43)*(ROW('Eingabe Meldungen'!$A$2:$A$492)-1),COUNTIF('Eingabe Meldungen'!$A$2:$A$492,$B$43)+1-ROW('Eingabe Meldungen'!A4))))</f>
        <v>Lucius</v>
      </c>
      <c r="D48" s="11">
        <f t="array" ref="D48">IF(B48&lt;&gt;"",INDEX('Eingabe Meldungen'!$C$2:$H$492,MATCH(B48&amp;C48,'Eingabe Meldungen'!$C$2:$C$492&amp;'Eingabe Meldungen'!$D$2:$D$492,0),6),"")</f>
        <v>2007</v>
      </c>
      <c r="E48" s="66" t="str">
        <f t="array" ref="E48">IF(B48&lt;&gt;"",INDEX('Eingabe Meldungen'!$C$2:$H$492,MATCH(B48&amp;C48,'Eingabe Meldungen'!$C$2:$C$492&amp;'Eingabe Meldungen'!$D$2:$D$492,0),4),"")</f>
        <v>Lgw. bis 50 kg</v>
      </c>
      <c r="F48" s="32" t="e">
        <f>IF(VLOOKUP(B48,Rennlisten!#REF!,6,FALSE)=0,"",VLOOKUP(B48,Rennlisten!#REF!,6,FALSE))</f>
        <v>#REF!</v>
      </c>
      <c r="G48" t="e">
        <f t="shared" si="12"/>
        <v>#REF!</v>
      </c>
      <c r="H48" s="21" t="str">
        <f t="array" ref="H48">IF(B48&lt;&gt;"",INDEX('Eingabe Meldungen'!$C$2:$J$492,MATCH(B48&amp;C48,'Eingabe Meldungen'!$C$2:$C$492&amp;'Eingabe Meldungen'!$D$2:$D$492,0),8),"")</f>
        <v>Mannheimer RV "Amicitia"</v>
      </c>
      <c r="J48" s="276" t="str">
        <f t="shared" si="10"/>
        <v/>
      </c>
      <c r="K48" s="276" t="str">
        <f t="shared" si="10"/>
        <v/>
      </c>
      <c r="L48" s="276" t="e">
        <f>IF(EXACT($H48,#REF!),$I48,"")</f>
        <v>#REF!</v>
      </c>
      <c r="M48" s="276" t="str">
        <f t="shared" si="13"/>
        <v/>
      </c>
      <c r="N48" s="276" t="str">
        <f t="shared" si="14"/>
        <v/>
      </c>
      <c r="O48" s="276" t="str">
        <f t="shared" si="15"/>
        <v/>
      </c>
      <c r="P48" s="276" t="str">
        <f t="shared" si="15"/>
        <v/>
      </c>
      <c r="Q48" s="276" t="str">
        <f t="shared" si="15"/>
        <v/>
      </c>
      <c r="R48" s="276" t="str">
        <f t="shared" si="15"/>
        <v/>
      </c>
      <c r="S48" s="276" t="str">
        <f t="shared" si="15"/>
        <v/>
      </c>
      <c r="T48" s="276" t="str">
        <f t="shared" si="15"/>
        <v/>
      </c>
      <c r="U48" s="276" t="str">
        <f t="shared" si="15"/>
        <v/>
      </c>
      <c r="V48" s="276" t="str">
        <f t="shared" si="15"/>
        <v/>
      </c>
      <c r="W48" s="276" t="str">
        <f t="shared" si="15"/>
        <v/>
      </c>
      <c r="X48" s="276" t="str">
        <f t="shared" si="15"/>
        <v/>
      </c>
      <c r="Y48" s="276" t="str">
        <f t="shared" si="15"/>
        <v/>
      </c>
      <c r="Z48" s="276" t="str">
        <f t="shared" si="15"/>
        <v/>
      </c>
      <c r="AA48" s="276" t="str">
        <f t="shared" si="15"/>
        <v/>
      </c>
      <c r="AB48" s="276" t="str">
        <f t="shared" si="15"/>
        <v/>
      </c>
      <c r="AC48" s="276" t="str">
        <f t="shared" si="15"/>
        <v/>
      </c>
      <c r="AD48" s="276" t="str">
        <f t="shared" si="15"/>
        <v/>
      </c>
      <c r="AE48" s="276"/>
      <c r="AF48" s="276"/>
      <c r="AG48" s="276" t="str">
        <f t="shared" si="15"/>
        <v/>
      </c>
      <c r="AH48" s="276" t="str">
        <f t="shared" si="15"/>
        <v/>
      </c>
      <c r="AI48" s="276" t="str">
        <f t="shared" si="15"/>
        <v/>
      </c>
      <c r="AJ48" s="247"/>
      <c r="AK48" s="247"/>
      <c r="AL48" s="247"/>
      <c r="AM48" s="247"/>
    </row>
    <row r="49" spans="2:39" hidden="1" x14ac:dyDescent="0.2">
      <c r="B49" s="20" t="str">
        <f t="array" ref="B49">IF(ISERROR(INDEX('Eingabe Meldungen'!$C$2:$C$492,LARGE(('Eingabe Meldungen'!$A$2:$A$492=$B$43)*(ROW('Eingabe Meldungen'!$A$2:$A$492)-1),COUNTIF('Eingabe Meldungen'!$A$2:$A$492,$B$43)+1-ROW('Eingabe Meldungen'!A5)))),"",INDEX('Eingabe Meldungen'!$C$2:$C$492,LARGE(('Eingabe Meldungen'!$A$2:$A$492=$B$43)*(ROW('Eingabe Meldungen'!$A$2:$A$492)-1),COUNTIF('Eingabe Meldungen'!$A$2:$A$492,$B$43)+1-ROW('Eingabe Meldungen'!A5))))</f>
        <v>Roob</v>
      </c>
      <c r="C49" t="str">
        <f t="array" ref="C49">IF(ISERROR(INDEX('Eingabe Meldungen'!$D$2:$D$492,LARGE(('Eingabe Meldungen'!$A$2:$A$492=$B$43)*(ROW('Eingabe Meldungen'!$A$2:$A$492)-1),COUNTIF('Eingabe Meldungen'!$A$2:$A$492,$B$43)+1-ROW('Eingabe Meldungen'!A5)))),"",INDEX('Eingabe Meldungen'!$D$2:$D$492,LARGE(('Eingabe Meldungen'!$A$2:$A$492=$B$43)*(ROW('Eingabe Meldungen'!$A$2:$A$492)-1),COUNTIF('Eingabe Meldungen'!$A$2:$A$492,$B$43)+1-ROW('Eingabe Meldungen'!A5))))</f>
        <v>Milo</v>
      </c>
      <c r="D49" s="11">
        <f t="array" ref="D49">IF(B49&lt;&gt;"",INDEX('Eingabe Meldungen'!$C$2:$H$492,MATCH(B49&amp;C49,'Eingabe Meldungen'!$C$2:$C$492&amp;'Eingabe Meldungen'!$D$2:$D$492,0),6),"")</f>
        <v>2007</v>
      </c>
      <c r="E49" s="66" t="str">
        <f t="array" ref="E49">IF(B49&lt;&gt;"",INDEX('Eingabe Meldungen'!$C$2:$H$492,MATCH(B49&amp;C49,'Eingabe Meldungen'!$C$2:$C$492&amp;'Eingabe Meldungen'!$D$2:$D$492,0),4),"")</f>
        <v>Lgw. bis 50 kg</v>
      </c>
      <c r="F49" s="32" t="e">
        <f>IF(VLOOKUP(B49,Rennlisten!#REF!,6,FALSE)=0,"",VLOOKUP(B49,Rennlisten!#REF!,6,FALSE))</f>
        <v>#REF!</v>
      </c>
      <c r="G49" t="e">
        <f t="shared" si="12"/>
        <v>#REF!</v>
      </c>
      <c r="H49" s="21" t="str">
        <f t="array" ref="H49">IF(B49&lt;&gt;"",INDEX('Eingabe Meldungen'!$C$2:$J$492,MATCH(B49&amp;C49,'Eingabe Meldungen'!$C$2:$C$492&amp;'Eingabe Meldungen'!$D$2:$D$492,0),8),"")</f>
        <v>Mannheimer RV "Amicitia"</v>
      </c>
      <c r="J49" s="276" t="str">
        <f t="shared" si="10"/>
        <v/>
      </c>
      <c r="K49" s="276" t="str">
        <f t="shared" si="10"/>
        <v/>
      </c>
      <c r="L49" s="276" t="e">
        <f>IF(EXACT($H49,#REF!),$I49,"")</f>
        <v>#REF!</v>
      </c>
      <c r="M49" s="276" t="str">
        <f t="shared" si="13"/>
        <v/>
      </c>
      <c r="N49" s="276" t="str">
        <f t="shared" si="14"/>
        <v/>
      </c>
      <c r="O49" s="276" t="str">
        <f t="shared" si="15"/>
        <v/>
      </c>
      <c r="P49" s="276" t="str">
        <f t="shared" si="15"/>
        <v/>
      </c>
      <c r="Q49" s="276" t="str">
        <f t="shared" si="15"/>
        <v/>
      </c>
      <c r="R49" s="276" t="str">
        <f t="shared" si="15"/>
        <v/>
      </c>
      <c r="S49" s="276" t="str">
        <f t="shared" si="15"/>
        <v/>
      </c>
      <c r="T49" s="276" t="str">
        <f t="shared" si="15"/>
        <v/>
      </c>
      <c r="U49" s="276" t="str">
        <f t="shared" si="15"/>
        <v/>
      </c>
      <c r="V49" s="276" t="str">
        <f t="shared" si="15"/>
        <v/>
      </c>
      <c r="W49" s="276" t="str">
        <f t="shared" si="15"/>
        <v/>
      </c>
      <c r="X49" s="276" t="str">
        <f t="shared" si="15"/>
        <v/>
      </c>
      <c r="Y49" s="276" t="str">
        <f t="shared" si="15"/>
        <v/>
      </c>
      <c r="Z49" s="276" t="str">
        <f t="shared" si="15"/>
        <v/>
      </c>
      <c r="AA49" s="276" t="str">
        <f t="shared" si="15"/>
        <v/>
      </c>
      <c r="AB49" s="276" t="str">
        <f t="shared" si="15"/>
        <v/>
      </c>
      <c r="AC49" s="276" t="str">
        <f t="shared" si="15"/>
        <v/>
      </c>
      <c r="AD49" s="276" t="str">
        <f t="shared" si="15"/>
        <v/>
      </c>
      <c r="AE49" s="276"/>
      <c r="AF49" s="276"/>
      <c r="AG49" s="276" t="str">
        <f t="shared" si="15"/>
        <v/>
      </c>
      <c r="AH49" s="276" t="str">
        <f t="shared" si="15"/>
        <v/>
      </c>
      <c r="AI49" s="276" t="str">
        <f t="shared" si="15"/>
        <v/>
      </c>
      <c r="AJ49" s="247"/>
      <c r="AK49" s="247"/>
      <c r="AL49" s="247"/>
      <c r="AM49" s="247"/>
    </row>
    <row r="50" spans="2:39" hidden="1" x14ac:dyDescent="0.2">
      <c r="B50" s="20" t="str">
        <f t="array" ref="B50">IF(ISERROR(INDEX('Eingabe Meldungen'!$C$2:$C$492,LARGE(('Eingabe Meldungen'!$A$2:$A$492=$B$43)*(ROW('Eingabe Meldungen'!$A$2:$A$492)-1),COUNTIF('Eingabe Meldungen'!$A$2:$A$492,$B$43)+1-ROW('Eingabe Meldungen'!A6)))),"",INDEX('Eingabe Meldungen'!$C$2:$C$492,LARGE(('Eingabe Meldungen'!$A$2:$A$492=$B$43)*(ROW('Eingabe Meldungen'!$A$2:$A$492)-1),COUNTIF('Eingabe Meldungen'!$A$2:$A$492,$B$43)+1-ROW('Eingabe Meldungen'!A6))))</f>
        <v>Klisch</v>
      </c>
      <c r="C50" t="str">
        <f t="array" ref="C50">IF(ISERROR(INDEX('Eingabe Meldungen'!$D$2:$D$492,LARGE(('Eingabe Meldungen'!$A$2:$A$492=$B$43)*(ROW('Eingabe Meldungen'!$A$2:$A$492)-1),COUNTIF('Eingabe Meldungen'!$A$2:$A$492,$B$43)+1-ROW('Eingabe Meldungen'!A6)))),"",INDEX('Eingabe Meldungen'!$D$2:$D$492,LARGE(('Eingabe Meldungen'!$A$2:$A$492=$B$43)*(ROW('Eingabe Meldungen'!$A$2:$A$492)-1),COUNTIF('Eingabe Meldungen'!$A$2:$A$492,$B$43)+1-ROW('Eingabe Meldungen'!A6))))</f>
        <v>Lars</v>
      </c>
      <c r="D50" s="11">
        <f t="array" ref="D50">IF(B50&lt;&gt;"",INDEX('Eingabe Meldungen'!$C$2:$H$492,MATCH(B50&amp;C50,'Eingabe Meldungen'!$C$2:$C$492&amp;'Eingabe Meldungen'!$D$2:$D$492,0),6),"")</f>
        <v>2008</v>
      </c>
      <c r="E50" s="66" t="str">
        <f t="array" ref="E50">IF(B50&lt;&gt;"",INDEX('Eingabe Meldungen'!$C$2:$H$492,MATCH(B50&amp;C50,'Eingabe Meldungen'!$C$2:$C$492&amp;'Eingabe Meldungen'!$D$2:$D$492,0),4),"")</f>
        <v>Lgw. bis 50 kg</v>
      </c>
      <c r="F50" s="32" t="e">
        <f>IF(VLOOKUP(B50,Rennlisten!#REF!,6,FALSE)=0,"",VLOOKUP(B50,Rennlisten!#REF!,6,FALSE))</f>
        <v>#REF!</v>
      </c>
      <c r="G50" t="e">
        <f t="shared" si="12"/>
        <v>#REF!</v>
      </c>
      <c r="H50" s="21" t="str">
        <f t="array" ref="H50">IF(B50&lt;&gt;"",INDEX('Eingabe Meldungen'!$C$2:$J$492,MATCH(B50&amp;C50,'Eingabe Meldungen'!$C$2:$C$492&amp;'Eingabe Meldungen'!$D$2:$D$492,0),8),"")</f>
        <v>Mannheimer RV "Amicitia"</v>
      </c>
      <c r="J50" s="276" t="str">
        <f t="shared" si="10"/>
        <v/>
      </c>
      <c r="K50" s="276" t="str">
        <f t="shared" si="10"/>
        <v/>
      </c>
      <c r="L50" s="276" t="e">
        <f>IF(EXACT($H50,#REF!),$I50,"")</f>
        <v>#REF!</v>
      </c>
      <c r="M50" s="276" t="str">
        <f t="shared" si="13"/>
        <v/>
      </c>
      <c r="N50" s="276" t="str">
        <f t="shared" si="14"/>
        <v/>
      </c>
      <c r="O50" s="276" t="str">
        <f t="shared" si="15"/>
        <v/>
      </c>
      <c r="P50" s="276" t="str">
        <f t="shared" si="15"/>
        <v/>
      </c>
      <c r="Q50" s="276" t="str">
        <f t="shared" si="15"/>
        <v/>
      </c>
      <c r="R50" s="276" t="str">
        <f t="shared" si="15"/>
        <v/>
      </c>
      <c r="S50" s="276" t="str">
        <f t="shared" si="15"/>
        <v/>
      </c>
      <c r="T50" s="276" t="str">
        <f t="shared" si="15"/>
        <v/>
      </c>
      <c r="U50" s="276" t="str">
        <f t="shared" si="15"/>
        <v/>
      </c>
      <c r="V50" s="276" t="str">
        <f t="shared" si="15"/>
        <v/>
      </c>
      <c r="W50" s="276" t="str">
        <f t="shared" si="15"/>
        <v/>
      </c>
      <c r="X50" s="276" t="str">
        <f t="shared" si="15"/>
        <v/>
      </c>
      <c r="Y50" s="276" t="str">
        <f t="shared" si="15"/>
        <v/>
      </c>
      <c r="Z50" s="276" t="str">
        <f t="shared" si="15"/>
        <v/>
      </c>
      <c r="AA50" s="276" t="str">
        <f t="shared" si="15"/>
        <v/>
      </c>
      <c r="AB50" s="276" t="str">
        <f t="shared" si="15"/>
        <v/>
      </c>
      <c r="AC50" s="276" t="str">
        <f t="shared" si="15"/>
        <v/>
      </c>
      <c r="AD50" s="276" t="str">
        <f t="shared" si="15"/>
        <v/>
      </c>
      <c r="AE50" s="276"/>
      <c r="AF50" s="276"/>
      <c r="AG50" s="276" t="str">
        <f t="shared" si="15"/>
        <v/>
      </c>
      <c r="AH50" s="276" t="str">
        <f t="shared" si="15"/>
        <v/>
      </c>
      <c r="AI50" s="276" t="str">
        <f t="shared" si="15"/>
        <v/>
      </c>
      <c r="AJ50" s="247"/>
      <c r="AK50" s="247"/>
      <c r="AL50" s="247"/>
      <c r="AM50" s="247"/>
    </row>
    <row r="51" spans="2:39" hidden="1" x14ac:dyDescent="0.2">
      <c r="B51" s="20" t="str">
        <f t="array" ref="B51">IF(ISERROR(INDEX('Eingabe Meldungen'!$C$2:$C$492,LARGE(('Eingabe Meldungen'!$A$2:$A$492=$B$43)*(ROW('Eingabe Meldungen'!$A$2:$A$492)-1),COUNTIF('Eingabe Meldungen'!$A$2:$A$492,$B$43)+1-ROW('Eingabe Meldungen'!A8)))),"",INDEX('Eingabe Meldungen'!$C$2:$C$492,LARGE(('Eingabe Meldungen'!$A$2:$A$492=$B$43)*(ROW('Eingabe Meldungen'!$A$2:$A$492)-1),COUNTIF('Eingabe Meldungen'!$A$2:$A$492,$B$43)+1-ROW('Eingabe Meldungen'!A8))))</f>
        <v>Dorfschmid</v>
      </c>
      <c r="C51" t="str">
        <f t="array" ref="C51">IF(ISERROR(INDEX('Eingabe Meldungen'!$D$2:$D$492,LARGE(('Eingabe Meldungen'!$A$2:$A$492=$B$43)*(ROW('Eingabe Meldungen'!$A$2:$A$492)-1),COUNTIF('Eingabe Meldungen'!$A$2:$A$492,$B$43)+1-ROW('Eingabe Meldungen'!A8)))),"",INDEX('Eingabe Meldungen'!$D$2:$D$492,LARGE(('Eingabe Meldungen'!$A$2:$A$492=$B$43)*(ROW('Eingabe Meldungen'!$A$2:$A$492)-1),COUNTIF('Eingabe Meldungen'!$A$2:$A$492,$B$43)+1-ROW('Eingabe Meldungen'!A8))))</f>
        <v>Lukas</v>
      </c>
      <c r="D51" s="11">
        <f t="array" ref="D51">IF(B51&lt;&gt;"",INDEX('Eingabe Meldungen'!$C$2:$H$492,MATCH(B51&amp;C51,'Eingabe Meldungen'!$C$2:$C$492&amp;'Eingabe Meldungen'!$D$2:$D$492,0),6),"")</f>
        <v>2008</v>
      </c>
      <c r="E51" s="66" t="str">
        <f t="array" ref="E51">IF(B51&lt;&gt;"",INDEX('Eingabe Meldungen'!$C$2:$H$492,MATCH(B51&amp;C51,'Eingabe Meldungen'!$C$2:$C$492&amp;'Eingabe Meldungen'!$D$2:$D$492,0),4),"")</f>
        <v>Lgw. bis 50 kg</v>
      </c>
      <c r="F51" s="32" t="e">
        <f>IF(VLOOKUP(B51,Rennlisten!#REF!,6,FALSE)=0,"",VLOOKUP(B51,Rennlisten!#REF!,6,FALSE))</f>
        <v>#REF!</v>
      </c>
      <c r="G51" t="e">
        <f t="shared" si="12"/>
        <v>#REF!</v>
      </c>
      <c r="H51" s="21" t="str">
        <f t="array" ref="H51">IF(B51&lt;&gt;"",INDEX('Eingabe Meldungen'!$C$2:$J$492,MATCH(B51&amp;C51,'Eingabe Meldungen'!$C$2:$C$492&amp;'Eingabe Meldungen'!$D$2:$D$492,0),8),"")</f>
        <v>RC Nürtingen</v>
      </c>
      <c r="J51" s="276" t="str">
        <f t="shared" si="10"/>
        <v/>
      </c>
      <c r="K51" s="276" t="str">
        <f t="shared" si="10"/>
        <v/>
      </c>
      <c r="L51" s="276" t="e">
        <f>IF(EXACT($H51,#REF!),$I51,"")</f>
        <v>#REF!</v>
      </c>
      <c r="M51" s="276" t="str">
        <f t="shared" si="13"/>
        <v/>
      </c>
      <c r="N51" s="276" t="str">
        <f t="shared" si="14"/>
        <v/>
      </c>
      <c r="O51" s="276" t="str">
        <f t="shared" si="15"/>
        <v/>
      </c>
      <c r="P51" s="276" t="str">
        <f t="shared" si="15"/>
        <v/>
      </c>
      <c r="Q51" s="276" t="str">
        <f t="shared" si="15"/>
        <v/>
      </c>
      <c r="R51" s="276" t="str">
        <f t="shared" si="15"/>
        <v/>
      </c>
      <c r="S51" s="276" t="str">
        <f t="shared" si="15"/>
        <v/>
      </c>
      <c r="T51" s="276" t="str">
        <f t="shared" si="15"/>
        <v/>
      </c>
      <c r="U51" s="276" t="str">
        <f t="shared" si="15"/>
        <v/>
      </c>
      <c r="V51" s="276" t="str">
        <f t="shared" si="15"/>
        <v/>
      </c>
      <c r="W51" s="276" t="str">
        <f t="shared" si="15"/>
        <v/>
      </c>
      <c r="X51" s="276" t="str">
        <f t="shared" si="15"/>
        <v/>
      </c>
      <c r="Y51" s="276" t="str">
        <f t="shared" si="15"/>
        <v/>
      </c>
      <c r="Z51" s="276" t="str">
        <f t="shared" si="15"/>
        <v/>
      </c>
      <c r="AA51" s="276" t="str">
        <f t="shared" si="15"/>
        <v/>
      </c>
      <c r="AB51" s="276" t="str">
        <f t="shared" si="15"/>
        <v/>
      </c>
      <c r="AC51" s="276" t="str">
        <f t="shared" si="15"/>
        <v/>
      </c>
      <c r="AD51" s="276" t="str">
        <f t="shared" si="15"/>
        <v/>
      </c>
      <c r="AE51" s="276"/>
      <c r="AF51" s="276"/>
      <c r="AG51" s="276" t="str">
        <f t="shared" si="15"/>
        <v/>
      </c>
      <c r="AH51" s="276" t="str">
        <f t="shared" si="15"/>
        <v/>
      </c>
      <c r="AI51" s="276" t="str">
        <f t="shared" si="15"/>
        <v/>
      </c>
      <c r="AJ51" s="247"/>
      <c r="AK51" s="247"/>
      <c r="AL51" s="247"/>
      <c r="AM51" s="247"/>
    </row>
    <row r="52" spans="2:39" hidden="1" x14ac:dyDescent="0.2">
      <c r="B52" s="20" t="str">
        <f t="array" ref="B52">IF(ISERROR(INDEX('Eingabe Meldungen'!$C$2:$C$492,LARGE(('Eingabe Meldungen'!$A$2:$A$492=$B$43)*(ROW('Eingabe Meldungen'!$A$2:$A$492)-1),COUNTIF('Eingabe Meldungen'!$A$2:$A$492,$B$43)+1-ROW('Eingabe Meldungen'!A9)))),"",INDEX('Eingabe Meldungen'!$C$2:$C$492,LARGE(('Eingabe Meldungen'!$A$2:$A$492=$B$43)*(ROW('Eingabe Meldungen'!$A$2:$A$492)-1),COUNTIF('Eingabe Meldungen'!$A$2:$A$492,$B$43)+1-ROW('Eingabe Meldungen'!A9))))</f>
        <v>Hammer</v>
      </c>
      <c r="C52" t="str">
        <f t="array" ref="C52">IF(ISERROR(INDEX('Eingabe Meldungen'!$D$2:$D$492,LARGE(('Eingabe Meldungen'!$A$2:$A$492=$B$43)*(ROW('Eingabe Meldungen'!$A$2:$A$492)-1),COUNTIF('Eingabe Meldungen'!$A$2:$A$492,$B$43)+1-ROW('Eingabe Meldungen'!A9)))),"",INDEX('Eingabe Meldungen'!$D$2:$D$492,LARGE(('Eingabe Meldungen'!$A$2:$A$492=$B$43)*(ROW('Eingabe Meldungen'!$A$2:$A$492)-1),COUNTIF('Eingabe Meldungen'!$A$2:$A$492,$B$43)+1-ROW('Eingabe Meldungen'!A9))))</f>
        <v>Maximilian</v>
      </c>
      <c r="D52" s="11">
        <f t="array" ref="D52">IF(B52&lt;&gt;"",INDEX('Eingabe Meldungen'!$C$2:$H$492,MATCH(B52&amp;C52,'Eingabe Meldungen'!$C$2:$C$492&amp;'Eingabe Meldungen'!$D$2:$D$492,0),6),"")</f>
        <v>2008</v>
      </c>
      <c r="E52" s="66" t="str">
        <f t="array" ref="E52">IF(B52&lt;&gt;"",INDEX('Eingabe Meldungen'!$C$2:$H$492,MATCH(B52&amp;C52,'Eingabe Meldungen'!$C$2:$C$492&amp;'Eingabe Meldungen'!$D$2:$D$492,0),4),"")</f>
        <v>Lgw. bis 50 kg</v>
      </c>
      <c r="F52" s="32" t="e">
        <f>IF(VLOOKUP(B52,Rennlisten!#REF!,6,FALSE)=0,"",VLOOKUP(B52,Rennlisten!#REF!,6,FALSE))</f>
        <v>#REF!</v>
      </c>
      <c r="G52" t="e">
        <f t="shared" si="12"/>
        <v>#REF!</v>
      </c>
      <c r="H52" s="21" t="str">
        <f t="array" ref="H52">IF(B52&lt;&gt;"",INDEX('Eingabe Meldungen'!$C$2:$J$492,MATCH(B52&amp;C52,'Eingabe Meldungen'!$C$2:$C$492&amp;'Eingabe Meldungen'!$D$2:$D$492,0),8),"")</f>
        <v>RC Nürtingen</v>
      </c>
      <c r="J52" s="276" t="str">
        <f t="shared" si="10"/>
        <v/>
      </c>
      <c r="K52" s="276" t="str">
        <f t="shared" si="10"/>
        <v/>
      </c>
      <c r="L52" s="276" t="e">
        <f>IF(EXACT($H52,#REF!),$I52,"")</f>
        <v>#REF!</v>
      </c>
      <c r="M52" s="276" t="str">
        <f t="shared" si="13"/>
        <v/>
      </c>
      <c r="N52" s="276" t="str">
        <f t="shared" si="14"/>
        <v/>
      </c>
      <c r="O52" s="276" t="str">
        <f t="shared" si="15"/>
        <v/>
      </c>
      <c r="P52" s="276" t="str">
        <f t="shared" si="15"/>
        <v/>
      </c>
      <c r="Q52" s="276" t="str">
        <f t="shared" si="15"/>
        <v/>
      </c>
      <c r="R52" s="276" t="str">
        <f t="shared" si="15"/>
        <v/>
      </c>
      <c r="S52" s="276" t="str">
        <f t="shared" si="15"/>
        <v/>
      </c>
      <c r="T52" s="276" t="str">
        <f t="shared" si="15"/>
        <v/>
      </c>
      <c r="U52" s="276" t="str">
        <f t="shared" si="15"/>
        <v/>
      </c>
      <c r="V52" s="276" t="str">
        <f t="shared" si="15"/>
        <v/>
      </c>
      <c r="W52" s="276" t="str">
        <f t="shared" si="15"/>
        <v/>
      </c>
      <c r="X52" s="276" t="str">
        <f t="shared" si="15"/>
        <v/>
      </c>
      <c r="Y52" s="276" t="str">
        <f t="shared" si="15"/>
        <v/>
      </c>
      <c r="Z52" s="276" t="str">
        <f t="shared" si="15"/>
        <v/>
      </c>
      <c r="AA52" s="276" t="str">
        <f t="shared" si="15"/>
        <v/>
      </c>
      <c r="AB52" s="276" t="str">
        <f t="shared" si="15"/>
        <v/>
      </c>
      <c r="AC52" s="276" t="str">
        <f t="shared" si="15"/>
        <v/>
      </c>
      <c r="AD52" s="276" t="str">
        <f t="shared" si="15"/>
        <v/>
      </c>
      <c r="AE52" s="276"/>
      <c r="AF52" s="276"/>
      <c r="AG52" s="276" t="str">
        <f t="shared" si="15"/>
        <v/>
      </c>
      <c r="AH52" s="276" t="str">
        <f t="shared" si="15"/>
        <v/>
      </c>
      <c r="AI52" s="276" t="str">
        <f t="shared" si="15"/>
        <v/>
      </c>
      <c r="AJ52" s="247"/>
      <c r="AK52" s="247"/>
      <c r="AL52" s="247"/>
      <c r="AM52" s="247"/>
    </row>
    <row r="53" spans="2:39" hidden="1" x14ac:dyDescent="0.2">
      <c r="B53" s="20" t="str">
        <f t="array" ref="B53">IF(ISERROR(INDEX('Eingabe Meldungen'!$C$2:$C$492,LARGE(('Eingabe Meldungen'!$A$2:$A$492=$B$43)*(ROW('Eingabe Meldungen'!$A$2:$A$492)-1),COUNTIF('Eingabe Meldungen'!$A$2:$A$492,$B$43)+1-ROW('Eingabe Meldungen'!A10)))),"",INDEX('Eingabe Meldungen'!$C$2:$C$492,LARGE(('Eingabe Meldungen'!$A$2:$A$492=$B$43)*(ROW('Eingabe Meldungen'!$A$2:$A$492)-1),COUNTIF('Eingabe Meldungen'!$A$2:$A$492,$B$43)+1-ROW('Eingabe Meldungen'!A10))))</f>
        <v>Rebmann</v>
      </c>
      <c r="C53" t="str">
        <f t="array" ref="C53">IF(ISERROR(INDEX('Eingabe Meldungen'!$D$2:$D$492,LARGE(('Eingabe Meldungen'!$A$2:$A$492=$B$43)*(ROW('Eingabe Meldungen'!$A$2:$A$492)-1),COUNTIF('Eingabe Meldungen'!$A$2:$A$492,$B$43)+1-ROW('Eingabe Meldungen'!A10)))),"",INDEX('Eingabe Meldungen'!$D$2:$D$492,LARGE(('Eingabe Meldungen'!$A$2:$A$492=$B$43)*(ROW('Eingabe Meldungen'!$A$2:$A$492)-1),COUNTIF('Eingabe Meldungen'!$A$2:$A$492,$B$43)+1-ROW('Eingabe Meldungen'!A10))))</f>
        <v>Morino</v>
      </c>
      <c r="D53" s="11">
        <f t="array" ref="D53">IF(B53&lt;&gt;"",INDEX('Eingabe Meldungen'!$C$2:$H$492,MATCH(B53&amp;C53,'Eingabe Meldungen'!$C$2:$C$492&amp;'Eingabe Meldungen'!$D$2:$D$492,0),6),"")</f>
        <v>2008</v>
      </c>
      <c r="E53" s="66" t="str">
        <f t="array" ref="E53">IF(B53&lt;&gt;"",INDEX('Eingabe Meldungen'!$C$2:$H$492,MATCH(B53&amp;C53,'Eingabe Meldungen'!$C$2:$C$492&amp;'Eingabe Meldungen'!$D$2:$D$492,0),4),"")</f>
        <v>Lgw. bis 50 kg</v>
      </c>
      <c r="F53" s="32" t="e">
        <f>IF(VLOOKUP(B53,Rennlisten!#REF!,6,FALSE)=0,"",VLOOKUP(B53,Rennlisten!#REF!,6,FALSE))</f>
        <v>#REF!</v>
      </c>
      <c r="G53" t="e">
        <f t="shared" si="12"/>
        <v>#REF!</v>
      </c>
      <c r="H53" s="21" t="str">
        <f t="array" ref="H53">IF(B53&lt;&gt;"",INDEX('Eingabe Meldungen'!$C$2:$J$492,MATCH(B53&amp;C53,'Eingabe Meldungen'!$C$2:$C$492&amp;'Eingabe Meldungen'!$D$2:$D$492,0),8),"")</f>
        <v>Marbacher Ruderverein</v>
      </c>
      <c r="J53" s="276" t="str">
        <f t="shared" si="10"/>
        <v/>
      </c>
      <c r="K53" s="276" t="str">
        <f t="shared" si="10"/>
        <v/>
      </c>
      <c r="L53" s="276" t="e">
        <f>IF(EXACT($H53,#REF!),$I53,"")</f>
        <v>#REF!</v>
      </c>
      <c r="M53" s="276" t="str">
        <f t="shared" si="13"/>
        <v/>
      </c>
      <c r="N53" s="276" t="str">
        <f t="shared" si="14"/>
        <v/>
      </c>
      <c r="O53" s="276" t="str">
        <f t="shared" si="15"/>
        <v/>
      </c>
      <c r="P53" s="276" t="str">
        <f t="shared" si="15"/>
        <v/>
      </c>
      <c r="Q53" s="276" t="str">
        <f t="shared" si="15"/>
        <v/>
      </c>
      <c r="R53" s="276" t="str">
        <f t="shared" si="15"/>
        <v/>
      </c>
      <c r="S53" s="276" t="str">
        <f t="shared" si="15"/>
        <v/>
      </c>
      <c r="T53" s="276" t="str">
        <f t="shared" si="15"/>
        <v/>
      </c>
      <c r="U53" s="276" t="str">
        <f t="shared" si="15"/>
        <v/>
      </c>
      <c r="V53" s="276" t="str">
        <f t="shared" si="15"/>
        <v/>
      </c>
      <c r="W53" s="276" t="str">
        <f t="shared" si="15"/>
        <v/>
      </c>
      <c r="X53" s="276" t="str">
        <f t="shared" si="15"/>
        <v/>
      </c>
      <c r="Y53" s="276" t="str">
        <f t="shared" si="15"/>
        <v/>
      </c>
      <c r="Z53" s="276" t="str">
        <f t="shared" si="15"/>
        <v/>
      </c>
      <c r="AA53" s="276" t="str">
        <f t="shared" si="15"/>
        <v/>
      </c>
      <c r="AB53" s="276" t="str">
        <f t="shared" si="15"/>
        <v/>
      </c>
      <c r="AC53" s="276" t="str">
        <f t="shared" si="15"/>
        <v/>
      </c>
      <c r="AD53" s="276" t="str">
        <f t="shared" si="15"/>
        <v/>
      </c>
      <c r="AE53" s="276"/>
      <c r="AF53" s="276"/>
      <c r="AG53" s="276" t="str">
        <f t="shared" si="15"/>
        <v/>
      </c>
      <c r="AH53" s="276" t="str">
        <f t="shared" si="15"/>
        <v/>
      </c>
      <c r="AI53" s="276" t="str">
        <f t="shared" si="15"/>
        <v/>
      </c>
      <c r="AJ53" s="247"/>
      <c r="AK53" s="247"/>
      <c r="AL53" s="247"/>
      <c r="AM53" s="247"/>
    </row>
    <row r="54" spans="2:39" hidden="1" x14ac:dyDescent="0.2">
      <c r="B54" s="20" t="str">
        <f t="array" ref="B54">IF(ISERROR(INDEX('Eingabe Meldungen'!$C$2:$C$492,LARGE(('Eingabe Meldungen'!$A$2:$A$492=$B$43)*(ROW('Eingabe Meldungen'!$A$2:$A$492)-1),COUNTIF('Eingabe Meldungen'!$A$2:$A$492,$B$43)+1-ROW('Eingabe Meldungen'!A11)))),"",INDEX('Eingabe Meldungen'!$C$2:$C$492,LARGE(('Eingabe Meldungen'!$A$2:$A$492=$B$43)*(ROW('Eingabe Meldungen'!$A$2:$A$492)-1),COUNTIF('Eingabe Meldungen'!$A$2:$A$492,$B$43)+1-ROW('Eingabe Meldungen'!A11))))</f>
        <v>Rebmann</v>
      </c>
      <c r="C54" t="str">
        <f t="array" ref="C54">IF(ISERROR(INDEX('Eingabe Meldungen'!$D$2:$D$492,LARGE(('Eingabe Meldungen'!$A$2:$A$492=$B$43)*(ROW('Eingabe Meldungen'!$A$2:$A$492)-1),COUNTIF('Eingabe Meldungen'!$A$2:$A$492,$B$43)+1-ROW('Eingabe Meldungen'!A11)))),"",INDEX('Eingabe Meldungen'!$D$2:$D$492,LARGE(('Eingabe Meldungen'!$A$2:$A$492=$B$43)*(ROW('Eingabe Meldungen'!$A$2:$A$492)-1),COUNTIF('Eingabe Meldungen'!$A$2:$A$492,$B$43)+1-ROW('Eingabe Meldungen'!A11))))</f>
        <v>Florentin</v>
      </c>
      <c r="D54" s="11">
        <f t="array" ref="D54">IF(B54&lt;&gt;"",INDEX('Eingabe Meldungen'!$C$2:$H$492,MATCH(B54&amp;C54,'Eingabe Meldungen'!$C$2:$C$492&amp;'Eingabe Meldungen'!$D$2:$D$492,0),6),"")</f>
        <v>2010</v>
      </c>
      <c r="E54" s="66" t="str">
        <f t="array" ref="E54">IF(B54&lt;&gt;"",INDEX('Eingabe Meldungen'!$C$2:$H$492,MATCH(B54&amp;C54,'Eingabe Meldungen'!$C$2:$C$492&amp;'Eingabe Meldungen'!$D$2:$D$492,0),4),"")</f>
        <v>Lgw. bis 50 kg</v>
      </c>
      <c r="F54" s="32" t="e">
        <f>IF(VLOOKUP(B54,Rennlisten!#REF!,6,FALSE)=0,"",VLOOKUP(B54,Rennlisten!#REF!,6,FALSE))</f>
        <v>#REF!</v>
      </c>
      <c r="G54" t="e">
        <f t="shared" si="12"/>
        <v>#REF!</v>
      </c>
      <c r="H54" s="21" t="str">
        <f t="array" ref="H54">IF(B54&lt;&gt;"",INDEX('Eingabe Meldungen'!$C$2:$J$492,MATCH(B54&amp;C54,'Eingabe Meldungen'!$C$2:$C$492&amp;'Eingabe Meldungen'!$D$2:$D$492,0),8),"")</f>
        <v>Marbacher Ruderverein</v>
      </c>
      <c r="J54" s="276" t="str">
        <f t="shared" si="10"/>
        <v/>
      </c>
      <c r="K54" s="276" t="str">
        <f t="shared" si="10"/>
        <v/>
      </c>
      <c r="L54" s="276" t="e">
        <f>IF(EXACT($H54,#REF!),$I54,"")</f>
        <v>#REF!</v>
      </c>
      <c r="M54" s="276" t="str">
        <f t="shared" si="13"/>
        <v/>
      </c>
      <c r="N54" s="276" t="str">
        <f t="shared" si="14"/>
        <v/>
      </c>
      <c r="O54" s="276" t="str">
        <f t="shared" si="15"/>
        <v/>
      </c>
      <c r="P54" s="276" t="str">
        <f t="shared" si="15"/>
        <v/>
      </c>
      <c r="Q54" s="276" t="str">
        <f t="shared" si="15"/>
        <v/>
      </c>
      <c r="R54" s="276" t="str">
        <f t="shared" si="15"/>
        <v/>
      </c>
      <c r="S54" s="276" t="str">
        <f t="shared" si="15"/>
        <v/>
      </c>
      <c r="T54" s="276" t="str">
        <f t="shared" si="15"/>
        <v/>
      </c>
      <c r="U54" s="276" t="str">
        <f t="shared" si="15"/>
        <v/>
      </c>
      <c r="V54" s="276" t="str">
        <f t="shared" si="15"/>
        <v/>
      </c>
      <c r="W54" s="276" t="str">
        <f t="shared" si="15"/>
        <v/>
      </c>
      <c r="X54" s="276" t="str">
        <f t="shared" si="15"/>
        <v/>
      </c>
      <c r="Y54" s="276" t="str">
        <f t="shared" si="15"/>
        <v/>
      </c>
      <c r="Z54" s="276" t="str">
        <f t="shared" si="15"/>
        <v/>
      </c>
      <c r="AA54" s="276" t="str">
        <f t="shared" si="15"/>
        <v/>
      </c>
      <c r="AB54" s="276" t="str">
        <f t="shared" si="15"/>
        <v/>
      </c>
      <c r="AC54" s="276" t="str">
        <f t="shared" si="15"/>
        <v/>
      </c>
      <c r="AD54" s="276" t="str">
        <f t="shared" si="15"/>
        <v/>
      </c>
      <c r="AE54" s="276"/>
      <c r="AF54" s="276"/>
      <c r="AG54" s="276" t="str">
        <f t="shared" si="15"/>
        <v/>
      </c>
      <c r="AH54" s="276" t="str">
        <f t="shared" si="15"/>
        <v/>
      </c>
      <c r="AI54" s="276" t="str">
        <f t="shared" si="15"/>
        <v/>
      </c>
      <c r="AJ54" s="247"/>
      <c r="AK54" s="247"/>
      <c r="AL54" s="247"/>
      <c r="AM54" s="247"/>
    </row>
    <row r="55" spans="2:39" hidden="1" x14ac:dyDescent="0.2">
      <c r="B55" s="20" t="str">
        <f t="array" ref="B55">IF(ISERROR(INDEX('Eingabe Meldungen'!$C$2:$C$492,LARGE(('Eingabe Meldungen'!$A$2:$A$492=$B$43)*(ROW('Eingabe Meldungen'!$A$2:$A$492)-1),COUNTIF('Eingabe Meldungen'!$A$2:$A$492,$B$43)+1-ROW('Eingabe Meldungen'!A12)))),"",INDEX('Eingabe Meldungen'!$C$2:$C$492,LARGE(('Eingabe Meldungen'!$A$2:$A$492=$B$43)*(ROW('Eingabe Meldungen'!$A$2:$A$492)-1),COUNTIF('Eingabe Meldungen'!$A$2:$A$492,$B$43)+1-ROW('Eingabe Meldungen'!A12))))</f>
        <v>Sigloch</v>
      </c>
      <c r="C55" t="str">
        <f t="array" ref="C55">IF(ISERROR(INDEX('Eingabe Meldungen'!$D$2:$D$492,LARGE(('Eingabe Meldungen'!$A$2:$A$492=$B$43)*(ROW('Eingabe Meldungen'!$A$2:$A$492)-1),COUNTIF('Eingabe Meldungen'!$A$2:$A$492,$B$43)+1-ROW('Eingabe Meldungen'!A12)))),"",INDEX('Eingabe Meldungen'!$D$2:$D$492,LARGE(('Eingabe Meldungen'!$A$2:$A$492=$B$43)*(ROW('Eingabe Meldungen'!$A$2:$A$492)-1),COUNTIF('Eingabe Meldungen'!$A$2:$A$492,$B$43)+1-ROW('Eingabe Meldungen'!A12))))</f>
        <v>Malte</v>
      </c>
      <c r="D55" s="11">
        <f t="array" ref="D55">IF(B55&lt;&gt;"",INDEX('Eingabe Meldungen'!$C$2:$H$492,MATCH(B55&amp;C55,'Eingabe Meldungen'!$C$2:$C$492&amp;'Eingabe Meldungen'!$D$2:$D$492,0),6),"")</f>
        <v>2008</v>
      </c>
      <c r="E55" s="66" t="str">
        <f t="array" ref="E55">IF(B55&lt;&gt;"",INDEX('Eingabe Meldungen'!$C$2:$H$492,MATCH(B55&amp;C55,'Eingabe Meldungen'!$C$2:$C$492&amp;'Eingabe Meldungen'!$D$2:$D$492,0),4),"")</f>
        <v>Lgw. bis 50 kg</v>
      </c>
      <c r="F55" s="32" t="e">
        <f>IF(VLOOKUP(B55,Rennlisten!#REF!,6,FALSE)=0,"",VLOOKUP(B55,Rennlisten!#REF!,6,FALSE))</f>
        <v>#REF!</v>
      </c>
      <c r="G55" t="e">
        <f t="shared" si="12"/>
        <v>#REF!</v>
      </c>
      <c r="H55" s="21" t="str">
        <f t="array" ref="H55">IF(B55&lt;&gt;"",INDEX('Eingabe Meldungen'!$C$2:$J$492,MATCH(B55&amp;C55,'Eingabe Meldungen'!$C$2:$C$492&amp;'Eingabe Meldungen'!$D$2:$D$492,0),8),"")</f>
        <v xml:space="preserve">WSV Schifferclub Neckarrems </v>
      </c>
      <c r="J55" s="276" t="str">
        <f t="shared" ref="J55:K79" si="16">IF(EXACT($H55,J$4),$I55,"")</f>
        <v/>
      </c>
      <c r="K55" s="276" t="str">
        <f t="shared" si="16"/>
        <v/>
      </c>
      <c r="L55" s="276" t="e">
        <f>IF(EXACT($H55,#REF!),$I55,"")</f>
        <v>#REF!</v>
      </c>
      <c r="M55" s="276" t="str">
        <f t="shared" si="13"/>
        <v/>
      </c>
      <c r="N55" s="276" t="str">
        <f t="shared" si="14"/>
        <v/>
      </c>
      <c r="O55" s="276" t="str">
        <f t="shared" si="15"/>
        <v/>
      </c>
      <c r="P55" s="276" t="str">
        <f t="shared" si="15"/>
        <v/>
      </c>
      <c r="Q55" s="276" t="str">
        <f t="shared" si="15"/>
        <v/>
      </c>
      <c r="R55" s="276" t="str">
        <f t="shared" si="15"/>
        <v/>
      </c>
      <c r="S55" s="276" t="str">
        <f t="shared" si="15"/>
        <v/>
      </c>
      <c r="T55" s="276" t="str">
        <f t="shared" si="15"/>
        <v/>
      </c>
      <c r="U55" s="276" t="str">
        <f t="shared" si="15"/>
        <v/>
      </c>
      <c r="V55" s="276" t="str">
        <f t="shared" si="15"/>
        <v/>
      </c>
      <c r="W55" s="276" t="str">
        <f t="shared" si="15"/>
        <v/>
      </c>
      <c r="X55" s="276" t="str">
        <f t="shared" si="15"/>
        <v/>
      </c>
      <c r="Y55" s="276" t="str">
        <f t="shared" si="15"/>
        <v/>
      </c>
      <c r="Z55" s="276" t="str">
        <f t="shared" si="15"/>
        <v/>
      </c>
      <c r="AA55" s="276" t="str">
        <f t="shared" si="15"/>
        <v/>
      </c>
      <c r="AB55" s="276" t="str">
        <f t="shared" si="15"/>
        <v/>
      </c>
      <c r="AC55" s="276" t="str">
        <f t="shared" si="15"/>
        <v/>
      </c>
      <c r="AD55" s="276" t="str">
        <f t="shared" si="15"/>
        <v/>
      </c>
      <c r="AE55" s="276"/>
      <c r="AF55" s="276"/>
      <c r="AG55" s="276" t="str">
        <f t="shared" si="15"/>
        <v/>
      </c>
      <c r="AH55" s="276" t="str">
        <f t="shared" si="15"/>
        <v/>
      </c>
      <c r="AI55" s="276" t="str">
        <f t="shared" si="15"/>
        <v/>
      </c>
      <c r="AJ55" s="247"/>
      <c r="AK55" s="247"/>
      <c r="AL55" s="247"/>
      <c r="AM55" s="247"/>
    </row>
    <row r="56" spans="2:39" hidden="1" x14ac:dyDescent="0.2">
      <c r="B56" s="20" t="str">
        <f t="array" ref="B56">IF(ISERROR(INDEX('Eingabe Meldungen'!$C$2:$C$492,LARGE(('Eingabe Meldungen'!$A$2:$A$492=$B$43)*(ROW('Eingabe Meldungen'!$A$2:$A$492)-1),COUNTIF('Eingabe Meldungen'!$A$2:$A$492,$B$43)+1-ROW('Eingabe Meldungen'!A13)))),"",INDEX('Eingabe Meldungen'!$C$2:$C$492,LARGE(('Eingabe Meldungen'!$A$2:$A$492=$B$43)*(ROW('Eingabe Meldungen'!$A$2:$A$492)-1),COUNTIF('Eingabe Meldungen'!$A$2:$A$492,$B$43)+1-ROW('Eingabe Meldungen'!A13))))</f>
        <v/>
      </c>
      <c r="C56" t="str">
        <f t="array" ref="C56">IF(ISERROR(INDEX('Eingabe Meldungen'!$D$2:$D$492,LARGE(('Eingabe Meldungen'!$A$2:$A$492=$B$43)*(ROW('Eingabe Meldungen'!$A$2:$A$492)-1),COUNTIF('Eingabe Meldungen'!$A$2:$A$492,$B$43)+1-ROW('Eingabe Meldungen'!A13)))),"",INDEX('Eingabe Meldungen'!$D$2:$D$492,LARGE(('Eingabe Meldungen'!$A$2:$A$492=$B$43)*(ROW('Eingabe Meldungen'!$A$2:$A$492)-1),COUNTIF('Eingabe Meldungen'!$A$2:$A$492,$B$43)+1-ROW('Eingabe Meldungen'!A13))))</f>
        <v/>
      </c>
      <c r="D56" s="11" t="str">
        <f t="array" ref="D56">IF(B56&lt;&gt;"",INDEX('Eingabe Meldungen'!$C$2:$H$492,MATCH(B56&amp;C56,'Eingabe Meldungen'!$C$2:$C$492&amp;'Eingabe Meldungen'!$D$2:$D$492,0),6),"")</f>
        <v/>
      </c>
      <c r="E56" s="66" t="str">
        <f t="array" ref="E56">IF(B56&lt;&gt;"",INDEX('Eingabe Meldungen'!$C$2:$H$492,MATCH(B56&amp;C56,'Eingabe Meldungen'!$C$2:$C$492&amp;'Eingabe Meldungen'!$D$2:$D$492,0),4),"")</f>
        <v/>
      </c>
      <c r="F56" s="32" t="e">
        <f>IF(VLOOKUP(B56,Rennlisten!#REF!,6,FALSE)=0,"",VLOOKUP(B56,Rennlisten!#REF!,6,FALSE))</f>
        <v>#REF!</v>
      </c>
      <c r="G56" t="e">
        <f t="shared" si="12"/>
        <v>#REF!</v>
      </c>
      <c r="H56" s="21" t="str">
        <f t="array" ref="H56">IF(B56&lt;&gt;"",INDEX('Eingabe Meldungen'!$C$2:$J$492,MATCH(B56&amp;C56,'Eingabe Meldungen'!$C$2:$C$492&amp;'Eingabe Meldungen'!$D$2:$D$492,0),8),"")</f>
        <v/>
      </c>
      <c r="J56" s="276" t="str">
        <f t="shared" si="16"/>
        <v/>
      </c>
      <c r="K56" s="276" t="str">
        <f t="shared" si="16"/>
        <v/>
      </c>
      <c r="L56" s="276" t="e">
        <f>IF(EXACT($H56,#REF!),$I56,"")</f>
        <v>#REF!</v>
      </c>
      <c r="M56" s="276" t="str">
        <f t="shared" si="13"/>
        <v/>
      </c>
      <c r="N56" s="276" t="str">
        <f t="shared" si="14"/>
        <v/>
      </c>
      <c r="O56" s="276" t="str">
        <f t="shared" si="15"/>
        <v/>
      </c>
      <c r="P56" s="276" t="str">
        <f t="shared" si="15"/>
        <v/>
      </c>
      <c r="Q56" s="276" t="str">
        <f t="shared" si="15"/>
        <v/>
      </c>
      <c r="R56" s="276" t="str">
        <f t="shared" si="15"/>
        <v/>
      </c>
      <c r="S56" s="276" t="str">
        <f t="shared" si="15"/>
        <v/>
      </c>
      <c r="T56" s="276" t="str">
        <f t="shared" si="15"/>
        <v/>
      </c>
      <c r="U56" s="276" t="str">
        <f t="shared" si="15"/>
        <v/>
      </c>
      <c r="V56" s="276" t="str">
        <f t="shared" si="15"/>
        <v/>
      </c>
      <c r="W56" s="276">
        <f t="shared" si="15"/>
        <v>0</v>
      </c>
      <c r="X56" s="276">
        <f t="shared" si="15"/>
        <v>0</v>
      </c>
      <c r="Y56" s="276">
        <f t="shared" si="15"/>
        <v>0</v>
      </c>
      <c r="Z56" s="276">
        <f t="shared" si="15"/>
        <v>0</v>
      </c>
      <c r="AA56" s="276">
        <f t="shared" si="15"/>
        <v>0</v>
      </c>
      <c r="AB56" s="276">
        <f t="shared" si="15"/>
        <v>0</v>
      </c>
      <c r="AC56" s="276">
        <f t="shared" si="15"/>
        <v>0</v>
      </c>
      <c r="AD56" s="276">
        <f t="shared" si="15"/>
        <v>0</v>
      </c>
      <c r="AE56" s="276"/>
      <c r="AF56" s="276"/>
      <c r="AG56" s="276">
        <f t="shared" si="15"/>
        <v>0</v>
      </c>
      <c r="AH56" s="276">
        <f t="shared" si="15"/>
        <v>0</v>
      </c>
      <c r="AI56" s="276">
        <f t="shared" si="15"/>
        <v>0</v>
      </c>
      <c r="AJ56" s="247"/>
      <c r="AK56" s="247"/>
      <c r="AL56" s="247"/>
      <c r="AM56" s="247"/>
    </row>
    <row r="57" spans="2:39" hidden="1" x14ac:dyDescent="0.2">
      <c r="B57" s="20" t="str">
        <f t="array" ref="B57">IF(ISERROR(INDEX('Eingabe Meldungen'!$C$2:$C$492,LARGE(('Eingabe Meldungen'!$A$2:$A$492=$B$43)*(ROW('Eingabe Meldungen'!$A$2:$A$492)-1),COUNTIF('Eingabe Meldungen'!$A$2:$A$492,$B$43)+1-ROW('Eingabe Meldungen'!A14)))),"",INDEX('Eingabe Meldungen'!$C$2:$C$492,LARGE(('Eingabe Meldungen'!$A$2:$A$492=$B$43)*(ROW('Eingabe Meldungen'!$A$2:$A$492)-1),COUNTIF('Eingabe Meldungen'!$A$2:$A$492,$B$43)+1-ROW('Eingabe Meldungen'!A14))))</f>
        <v/>
      </c>
      <c r="C57" t="str">
        <f t="array" ref="C57">IF(ISERROR(INDEX('Eingabe Meldungen'!$D$2:$D$492,LARGE(('Eingabe Meldungen'!$A$2:$A$492=$B$43)*(ROW('Eingabe Meldungen'!$A$2:$A$492)-1),COUNTIF('Eingabe Meldungen'!$A$2:$A$492,$B$43)+1-ROW('Eingabe Meldungen'!A14)))),"",INDEX('Eingabe Meldungen'!$D$2:$D$492,LARGE(('Eingabe Meldungen'!$A$2:$A$492=$B$43)*(ROW('Eingabe Meldungen'!$A$2:$A$492)-1),COUNTIF('Eingabe Meldungen'!$A$2:$A$492,$B$43)+1-ROW('Eingabe Meldungen'!A14))))</f>
        <v/>
      </c>
      <c r="D57" s="11" t="str">
        <f t="array" ref="D57">IF(B57&lt;&gt;"",INDEX('Eingabe Meldungen'!$C$2:$H$492,MATCH(B57&amp;C57,'Eingabe Meldungen'!$C$2:$C$492&amp;'Eingabe Meldungen'!$D$2:$D$492,0),6),"")</f>
        <v/>
      </c>
      <c r="E57" s="66" t="str">
        <f t="array" ref="E57">IF(B57&lt;&gt;"",INDEX('Eingabe Meldungen'!$C$2:$H$492,MATCH(B57&amp;C57,'Eingabe Meldungen'!$C$2:$C$492&amp;'Eingabe Meldungen'!$D$2:$D$492,0),4),"")</f>
        <v/>
      </c>
      <c r="F57" s="32" t="e">
        <f>IF(VLOOKUP(B57,Rennlisten!#REF!,6,FALSE)=0,"",VLOOKUP(B57,Rennlisten!#REF!,6,FALSE))</f>
        <v>#REF!</v>
      </c>
      <c r="G57" t="e">
        <f t="shared" si="12"/>
        <v>#REF!</v>
      </c>
      <c r="H57" s="21" t="str">
        <f t="array" ref="H57">IF(B57&lt;&gt;"",INDEX('Eingabe Meldungen'!$C$2:$J$492,MATCH(B57&amp;C57,'Eingabe Meldungen'!$C$2:$C$492&amp;'Eingabe Meldungen'!$D$2:$D$492,0),8),"")</f>
        <v/>
      </c>
      <c r="J57" s="276" t="str">
        <f t="shared" si="16"/>
        <v/>
      </c>
      <c r="K57" s="276" t="str">
        <f t="shared" si="16"/>
        <v/>
      </c>
      <c r="L57" s="276" t="e">
        <f>IF(EXACT($H57,#REF!),$I57,"")</f>
        <v>#REF!</v>
      </c>
      <c r="M57" s="276" t="str">
        <f t="shared" si="13"/>
        <v/>
      </c>
      <c r="N57" s="276" t="str">
        <f t="shared" si="14"/>
        <v/>
      </c>
      <c r="O57" s="276" t="str">
        <f t="shared" ref="O57:AI66" si="17">IF(EXACT($H57,O$4),$I57,"")</f>
        <v/>
      </c>
      <c r="P57" s="276" t="str">
        <f t="shared" si="17"/>
        <v/>
      </c>
      <c r="Q57" s="276" t="str">
        <f t="shared" si="17"/>
        <v/>
      </c>
      <c r="R57" s="276" t="str">
        <f t="shared" si="17"/>
        <v/>
      </c>
      <c r="S57" s="276" t="str">
        <f t="shared" si="17"/>
        <v/>
      </c>
      <c r="T57" s="276" t="str">
        <f t="shared" si="17"/>
        <v/>
      </c>
      <c r="U57" s="276" t="str">
        <f t="shared" si="17"/>
        <v/>
      </c>
      <c r="V57" s="276" t="str">
        <f t="shared" si="17"/>
        <v/>
      </c>
      <c r="W57" s="276">
        <f t="shared" si="17"/>
        <v>0</v>
      </c>
      <c r="X57" s="276">
        <f t="shared" si="17"/>
        <v>0</v>
      </c>
      <c r="Y57" s="276">
        <f t="shared" si="17"/>
        <v>0</v>
      </c>
      <c r="Z57" s="276">
        <f t="shared" si="17"/>
        <v>0</v>
      </c>
      <c r="AA57" s="276">
        <f t="shared" si="17"/>
        <v>0</v>
      </c>
      <c r="AB57" s="276">
        <f t="shared" si="17"/>
        <v>0</v>
      </c>
      <c r="AC57" s="276">
        <f t="shared" si="17"/>
        <v>0</v>
      </c>
      <c r="AD57" s="276">
        <f t="shared" si="17"/>
        <v>0</v>
      </c>
      <c r="AE57" s="276"/>
      <c r="AF57" s="276"/>
      <c r="AG57" s="276">
        <f t="shared" si="17"/>
        <v>0</v>
      </c>
      <c r="AH57" s="276">
        <f t="shared" si="17"/>
        <v>0</v>
      </c>
      <c r="AI57" s="276">
        <f t="shared" si="17"/>
        <v>0</v>
      </c>
      <c r="AJ57" s="247"/>
      <c r="AK57" s="247"/>
      <c r="AL57" s="247"/>
      <c r="AM57" s="247"/>
    </row>
    <row r="58" spans="2:39" hidden="1" x14ac:dyDescent="0.2">
      <c r="B58" s="20" t="str">
        <f t="array" ref="B58">IF(ISERROR(INDEX('Eingabe Meldungen'!$C$2:$C$492,LARGE(('Eingabe Meldungen'!$A$2:$A$492=$B$43)*(ROW('Eingabe Meldungen'!$A$2:$A$492)-1),COUNTIF('Eingabe Meldungen'!$A$2:$A$492,$B$43)+1-ROW('Eingabe Meldungen'!A15)))),"",INDEX('Eingabe Meldungen'!$C$2:$C$492,LARGE(('Eingabe Meldungen'!$A$2:$A$492=$B$43)*(ROW('Eingabe Meldungen'!$A$2:$A$492)-1),COUNTIF('Eingabe Meldungen'!$A$2:$A$492,$B$43)+1-ROW('Eingabe Meldungen'!A15))))</f>
        <v/>
      </c>
      <c r="C58" t="str">
        <f t="array" ref="C58">IF(ISERROR(INDEX('Eingabe Meldungen'!$D$2:$D$492,LARGE(('Eingabe Meldungen'!$A$2:$A$492=$B$43)*(ROW('Eingabe Meldungen'!$A$2:$A$492)-1),COUNTIF('Eingabe Meldungen'!$A$2:$A$492,$B$43)+1-ROW('Eingabe Meldungen'!A15)))),"",INDEX('Eingabe Meldungen'!$D$2:$D$492,LARGE(('Eingabe Meldungen'!$A$2:$A$492=$B$43)*(ROW('Eingabe Meldungen'!$A$2:$A$492)-1),COUNTIF('Eingabe Meldungen'!$A$2:$A$492,$B$43)+1-ROW('Eingabe Meldungen'!A15))))</f>
        <v/>
      </c>
      <c r="D58" s="11" t="str">
        <f t="array" ref="D58">IF(B58&lt;&gt;"",INDEX('Eingabe Meldungen'!$C$2:$H$492,MATCH(B58&amp;C58,'Eingabe Meldungen'!$C$2:$C$492&amp;'Eingabe Meldungen'!$D$2:$D$492,0),6),"")</f>
        <v/>
      </c>
      <c r="E58" s="66" t="str">
        <f t="array" ref="E58">IF(B58&lt;&gt;"",INDEX('Eingabe Meldungen'!$C$2:$H$492,MATCH(B58&amp;C58,'Eingabe Meldungen'!$C$2:$C$492&amp;'Eingabe Meldungen'!$D$2:$D$492,0),4),"")</f>
        <v/>
      </c>
      <c r="F58" s="32" t="e">
        <f>IF(VLOOKUP(B58,Rennlisten!#REF!,6,FALSE)=0,"",VLOOKUP(B58,Rennlisten!#REF!,6,FALSE))</f>
        <v>#REF!</v>
      </c>
      <c r="G58" t="e">
        <f t="shared" si="12"/>
        <v>#REF!</v>
      </c>
      <c r="H58" s="21" t="str">
        <f t="array" ref="H58">IF(B58&lt;&gt;"",INDEX('Eingabe Meldungen'!$C$2:$J$492,MATCH(B58&amp;C58,'Eingabe Meldungen'!$C$2:$C$492&amp;'Eingabe Meldungen'!$D$2:$D$492,0),8),"")</f>
        <v/>
      </c>
      <c r="J58" s="276" t="str">
        <f t="shared" si="16"/>
        <v/>
      </c>
      <c r="K58" s="276" t="str">
        <f t="shared" si="16"/>
        <v/>
      </c>
      <c r="L58" s="276" t="e">
        <f>IF(EXACT($H58,#REF!),$I58,"")</f>
        <v>#REF!</v>
      </c>
      <c r="M58" s="276" t="str">
        <f t="shared" si="13"/>
        <v/>
      </c>
      <c r="N58" s="276" t="str">
        <f t="shared" si="14"/>
        <v/>
      </c>
      <c r="O58" s="276" t="str">
        <f t="shared" si="17"/>
        <v/>
      </c>
      <c r="P58" s="276" t="str">
        <f t="shared" si="17"/>
        <v/>
      </c>
      <c r="Q58" s="276" t="str">
        <f t="shared" si="17"/>
        <v/>
      </c>
      <c r="R58" s="276" t="str">
        <f t="shared" si="17"/>
        <v/>
      </c>
      <c r="S58" s="276" t="str">
        <f t="shared" si="17"/>
        <v/>
      </c>
      <c r="T58" s="276" t="str">
        <f t="shared" si="17"/>
        <v/>
      </c>
      <c r="U58" s="276" t="str">
        <f t="shared" si="17"/>
        <v/>
      </c>
      <c r="V58" s="276" t="str">
        <f t="shared" si="17"/>
        <v/>
      </c>
      <c r="W58" s="276">
        <f t="shared" si="17"/>
        <v>0</v>
      </c>
      <c r="X58" s="276">
        <f t="shared" si="17"/>
        <v>0</v>
      </c>
      <c r="Y58" s="276">
        <f t="shared" si="17"/>
        <v>0</v>
      </c>
      <c r="Z58" s="276">
        <f t="shared" si="17"/>
        <v>0</v>
      </c>
      <c r="AA58" s="276">
        <f t="shared" si="17"/>
        <v>0</v>
      </c>
      <c r="AB58" s="276">
        <f t="shared" si="17"/>
        <v>0</v>
      </c>
      <c r="AC58" s="276">
        <f t="shared" si="17"/>
        <v>0</v>
      </c>
      <c r="AD58" s="276">
        <f t="shared" si="17"/>
        <v>0</v>
      </c>
      <c r="AE58" s="276"/>
      <c r="AF58" s="276"/>
      <c r="AG58" s="276">
        <f t="shared" si="17"/>
        <v>0</v>
      </c>
      <c r="AH58" s="276">
        <f t="shared" si="17"/>
        <v>0</v>
      </c>
      <c r="AI58" s="276">
        <f t="shared" si="17"/>
        <v>0</v>
      </c>
      <c r="AJ58" s="247"/>
      <c r="AK58" s="247"/>
      <c r="AL58" s="247"/>
      <c r="AM58" s="247"/>
    </row>
    <row r="59" spans="2:39" hidden="1" x14ac:dyDescent="0.2">
      <c r="B59" s="20" t="str">
        <f t="array" ref="B59">IF(ISERROR(INDEX('Eingabe Meldungen'!$C$2:$C$492,LARGE(('Eingabe Meldungen'!$A$2:$A$492=$B$43)*(ROW('Eingabe Meldungen'!$A$2:$A$492)-1),COUNTIF('Eingabe Meldungen'!$A$2:$A$492,$B$43)+1-ROW('Eingabe Meldungen'!A16)))),"",INDEX('Eingabe Meldungen'!$C$2:$C$492,LARGE(('Eingabe Meldungen'!$A$2:$A$492=$B$43)*(ROW('Eingabe Meldungen'!$A$2:$A$492)-1),COUNTIF('Eingabe Meldungen'!$A$2:$A$492,$B$43)+1-ROW('Eingabe Meldungen'!A16))))</f>
        <v/>
      </c>
      <c r="C59" t="str">
        <f t="array" ref="C59">IF(ISERROR(INDEX('Eingabe Meldungen'!$D$2:$D$492,LARGE(('Eingabe Meldungen'!$A$2:$A$492=$B$43)*(ROW('Eingabe Meldungen'!$A$2:$A$492)-1),COUNTIF('Eingabe Meldungen'!$A$2:$A$492,$B$43)+1-ROW('Eingabe Meldungen'!A16)))),"",INDEX('Eingabe Meldungen'!$D$2:$D$492,LARGE(('Eingabe Meldungen'!$A$2:$A$492=$B$43)*(ROW('Eingabe Meldungen'!$A$2:$A$492)-1),COUNTIF('Eingabe Meldungen'!$A$2:$A$492,$B$43)+1-ROW('Eingabe Meldungen'!A16))))</f>
        <v/>
      </c>
      <c r="D59" s="11" t="str">
        <f t="array" ref="D59">IF(B59&lt;&gt;"",INDEX('Eingabe Meldungen'!$C$2:$H$492,MATCH(B59&amp;C59,'Eingabe Meldungen'!$C$2:$C$492&amp;'Eingabe Meldungen'!$D$2:$D$492,0),6),"")</f>
        <v/>
      </c>
      <c r="E59" s="66" t="str">
        <f t="array" ref="E59">IF(B59&lt;&gt;"",INDEX('Eingabe Meldungen'!$C$2:$H$492,MATCH(B59&amp;C59,'Eingabe Meldungen'!$C$2:$C$492&amp;'Eingabe Meldungen'!$D$2:$D$492,0),4),"")</f>
        <v/>
      </c>
      <c r="F59" s="32" t="e">
        <f>IF(VLOOKUP(B59,Rennlisten!#REF!,6,FALSE)=0,"",VLOOKUP(B59,Rennlisten!#REF!,6,FALSE))</f>
        <v>#REF!</v>
      </c>
      <c r="G59" t="e">
        <f t="shared" si="12"/>
        <v>#REF!</v>
      </c>
      <c r="H59" s="21" t="str">
        <f t="array" ref="H59">IF(B59&lt;&gt;"",INDEX('Eingabe Meldungen'!$C$2:$J$492,MATCH(B59&amp;C59,'Eingabe Meldungen'!$C$2:$C$492&amp;'Eingabe Meldungen'!$D$2:$D$492,0),8),"")</f>
        <v/>
      </c>
      <c r="J59" s="276" t="str">
        <f t="shared" si="16"/>
        <v/>
      </c>
      <c r="K59" s="276" t="str">
        <f t="shared" si="16"/>
        <v/>
      </c>
      <c r="L59" s="276" t="e">
        <f>IF(EXACT($H59,#REF!),$I59,"")</f>
        <v>#REF!</v>
      </c>
      <c r="M59" s="276" t="str">
        <f t="shared" si="13"/>
        <v/>
      </c>
      <c r="N59" s="276" t="str">
        <f t="shared" si="14"/>
        <v/>
      </c>
      <c r="O59" s="276" t="str">
        <f t="shared" si="17"/>
        <v/>
      </c>
      <c r="P59" s="276" t="str">
        <f t="shared" si="17"/>
        <v/>
      </c>
      <c r="Q59" s="276" t="str">
        <f t="shared" si="17"/>
        <v/>
      </c>
      <c r="R59" s="276" t="str">
        <f t="shared" si="17"/>
        <v/>
      </c>
      <c r="S59" s="276" t="str">
        <f t="shared" si="17"/>
        <v/>
      </c>
      <c r="T59" s="276" t="str">
        <f t="shared" si="17"/>
        <v/>
      </c>
      <c r="U59" s="276" t="str">
        <f t="shared" si="17"/>
        <v/>
      </c>
      <c r="V59" s="276" t="str">
        <f t="shared" si="17"/>
        <v/>
      </c>
      <c r="W59" s="276">
        <f t="shared" si="17"/>
        <v>0</v>
      </c>
      <c r="X59" s="276">
        <f t="shared" si="17"/>
        <v>0</v>
      </c>
      <c r="Y59" s="276">
        <f t="shared" si="17"/>
        <v>0</v>
      </c>
      <c r="Z59" s="276">
        <f t="shared" si="17"/>
        <v>0</v>
      </c>
      <c r="AA59" s="276">
        <f t="shared" si="17"/>
        <v>0</v>
      </c>
      <c r="AB59" s="276">
        <f t="shared" si="17"/>
        <v>0</v>
      </c>
      <c r="AC59" s="276">
        <f t="shared" si="17"/>
        <v>0</v>
      </c>
      <c r="AD59" s="276">
        <f t="shared" si="17"/>
        <v>0</v>
      </c>
      <c r="AE59" s="276"/>
      <c r="AF59" s="276"/>
      <c r="AG59" s="276">
        <f t="shared" si="17"/>
        <v>0</v>
      </c>
      <c r="AH59" s="276">
        <f t="shared" si="17"/>
        <v>0</v>
      </c>
      <c r="AI59" s="276">
        <f t="shared" si="17"/>
        <v>0</v>
      </c>
      <c r="AJ59" s="247"/>
      <c r="AK59" s="247"/>
      <c r="AL59" s="247"/>
      <c r="AM59" s="247"/>
    </row>
    <row r="60" spans="2:39" ht="13.2" hidden="1" thickBot="1" x14ac:dyDescent="0.25">
      <c r="B60" s="22" t="str">
        <f t="array" ref="B60">IF(ISERROR(INDEX('Eingabe Meldungen'!$C$2:$C$492,LARGE(('Eingabe Meldungen'!$A$2:$A$492=$B$43)*(ROW('Eingabe Meldungen'!$A$2:$A$492)-1),COUNTIF('Eingabe Meldungen'!$A$2:$A$492,$B$43)+1-ROW('Eingabe Meldungen'!A17)))),"",INDEX('Eingabe Meldungen'!$C$2:$C$492,LARGE(('Eingabe Meldungen'!$A$2:$A$492=$B$43)*(ROW('Eingabe Meldungen'!$A$2:$A$492)-1),COUNTIF('Eingabe Meldungen'!$A$2:$A$492,$B$43)+1-ROW('Eingabe Meldungen'!A17))))</f>
        <v/>
      </c>
      <c r="C60" s="14" t="str">
        <f t="array" ref="C60">IF(ISERROR(INDEX('Eingabe Meldungen'!$D$2:$D$492,LARGE(('Eingabe Meldungen'!$A$2:$A$492=$B$43)*(ROW('Eingabe Meldungen'!$A$2:$A$492)-1),COUNTIF('Eingabe Meldungen'!$A$2:$A$492,$B$43)+1-ROW('Eingabe Meldungen'!A17)))),"",INDEX('Eingabe Meldungen'!$D$2:$D$492,LARGE(('Eingabe Meldungen'!$A$2:$A$492=$B$43)*(ROW('Eingabe Meldungen'!$A$2:$A$492)-1),COUNTIF('Eingabe Meldungen'!$A$2:$A$492,$B$43)+1-ROW('Eingabe Meldungen'!A17))))</f>
        <v/>
      </c>
      <c r="D60" s="12" t="str">
        <f t="array" ref="D60">IF(B60&lt;&gt;"",INDEX('Eingabe Meldungen'!$C$2:$H$492,MATCH(B60&amp;C60,'Eingabe Meldungen'!$C$2:$C$492&amp;'Eingabe Meldungen'!$D$2:$D$492,0),6),"")</f>
        <v/>
      </c>
      <c r="E60" s="99" t="str">
        <f t="array" ref="E60">IF(B60&lt;&gt;"",INDEX('Eingabe Meldungen'!$C$2:$H$492,MATCH(B60&amp;C60,'Eingabe Meldungen'!$C$2:$C$492&amp;'Eingabe Meldungen'!$D$2:$D$492,0),4),"")</f>
        <v/>
      </c>
      <c r="F60" s="33" t="e">
        <f>IF(VLOOKUP(B60,Rennlisten!#REF!,6,FALSE)=0,"",VLOOKUP(B60,Rennlisten!#REF!,6,FALSE))</f>
        <v>#REF!</v>
      </c>
      <c r="G60" s="14" t="e">
        <f t="shared" si="12"/>
        <v>#REF!</v>
      </c>
      <c r="H60" s="23" t="str">
        <f t="array" ref="H60">IF(B60&lt;&gt;"",INDEX('Eingabe Meldungen'!$C$2:$J$492,MATCH(B60&amp;C60,'Eingabe Meldungen'!$C$2:$C$492&amp;'Eingabe Meldungen'!$D$2:$D$492,0),8),"")</f>
        <v/>
      </c>
      <c r="J60" s="276" t="str">
        <f t="shared" si="16"/>
        <v/>
      </c>
      <c r="K60" s="276" t="str">
        <f t="shared" si="16"/>
        <v/>
      </c>
      <c r="L60" s="276" t="e">
        <f>IF(EXACT($H60,#REF!),$I60,"")</f>
        <v>#REF!</v>
      </c>
      <c r="M60" s="276" t="str">
        <f t="shared" si="13"/>
        <v/>
      </c>
      <c r="N60" s="276" t="str">
        <f t="shared" si="14"/>
        <v/>
      </c>
      <c r="O60" s="276" t="str">
        <f t="shared" si="17"/>
        <v/>
      </c>
      <c r="P60" s="276" t="str">
        <f t="shared" si="17"/>
        <v/>
      </c>
      <c r="Q60" s="276" t="str">
        <f t="shared" si="17"/>
        <v/>
      </c>
      <c r="R60" s="276" t="str">
        <f t="shared" si="17"/>
        <v/>
      </c>
      <c r="S60" s="276" t="str">
        <f t="shared" si="17"/>
        <v/>
      </c>
      <c r="T60" s="276" t="str">
        <f t="shared" si="17"/>
        <v/>
      </c>
      <c r="U60" s="276" t="str">
        <f t="shared" si="17"/>
        <v/>
      </c>
      <c r="V60" s="276" t="str">
        <f t="shared" si="17"/>
        <v/>
      </c>
      <c r="W60" s="276">
        <f t="shared" si="17"/>
        <v>0</v>
      </c>
      <c r="X60" s="276">
        <f t="shared" si="17"/>
        <v>0</v>
      </c>
      <c r="Y60" s="276">
        <f t="shared" si="17"/>
        <v>0</v>
      </c>
      <c r="Z60" s="276">
        <f t="shared" si="17"/>
        <v>0</v>
      </c>
      <c r="AA60" s="276">
        <f t="shared" si="17"/>
        <v>0</v>
      </c>
      <c r="AB60" s="276">
        <f t="shared" si="17"/>
        <v>0</v>
      </c>
      <c r="AC60" s="276">
        <f t="shared" si="17"/>
        <v>0</v>
      </c>
      <c r="AD60" s="276">
        <f t="shared" si="17"/>
        <v>0</v>
      </c>
      <c r="AE60" s="276"/>
      <c r="AF60" s="276"/>
      <c r="AG60" s="276">
        <f t="shared" si="17"/>
        <v>0</v>
      </c>
      <c r="AH60" s="276">
        <f t="shared" si="17"/>
        <v>0</v>
      </c>
      <c r="AI60" s="276">
        <f t="shared" si="17"/>
        <v>0</v>
      </c>
      <c r="AJ60" s="247"/>
      <c r="AK60" s="247"/>
      <c r="AL60" s="247"/>
      <c r="AM60" s="247"/>
    </row>
    <row r="61" spans="2:39" hidden="1" x14ac:dyDescent="0.2">
      <c r="B61" s="20"/>
      <c r="D61" s="11"/>
      <c r="E61" s="66"/>
      <c r="F61" s="32"/>
      <c r="H61" s="21"/>
      <c r="J61" s="276" t="str">
        <f t="shared" si="16"/>
        <v/>
      </c>
      <c r="K61" s="276" t="str">
        <f t="shared" si="16"/>
        <v/>
      </c>
      <c r="L61" s="276" t="e">
        <f>IF(EXACT($H61,#REF!),$I61,"")</f>
        <v>#REF!</v>
      </c>
      <c r="M61" s="276" t="str">
        <f t="shared" si="13"/>
        <v/>
      </c>
      <c r="N61" s="276" t="str">
        <f t="shared" si="14"/>
        <v/>
      </c>
      <c r="O61" s="276" t="str">
        <f t="shared" si="17"/>
        <v/>
      </c>
      <c r="P61" s="276" t="str">
        <f t="shared" si="17"/>
        <v/>
      </c>
      <c r="Q61" s="276" t="str">
        <f t="shared" si="17"/>
        <v/>
      </c>
      <c r="R61" s="276" t="str">
        <f t="shared" si="17"/>
        <v/>
      </c>
      <c r="S61" s="276" t="str">
        <f t="shared" si="17"/>
        <v/>
      </c>
      <c r="T61" s="276" t="str">
        <f t="shared" si="17"/>
        <v/>
      </c>
      <c r="U61" s="276" t="str">
        <f t="shared" si="17"/>
        <v/>
      </c>
      <c r="V61" s="276" t="str">
        <f t="shared" si="17"/>
        <v/>
      </c>
      <c r="W61" s="276">
        <f t="shared" si="17"/>
        <v>0</v>
      </c>
      <c r="X61" s="276">
        <f t="shared" si="17"/>
        <v>0</v>
      </c>
      <c r="Y61" s="276">
        <f t="shared" si="17"/>
        <v>0</v>
      </c>
      <c r="Z61" s="276">
        <f t="shared" si="17"/>
        <v>0</v>
      </c>
      <c r="AA61" s="276">
        <f t="shared" si="17"/>
        <v>0</v>
      </c>
      <c r="AB61" s="276">
        <f t="shared" si="17"/>
        <v>0</v>
      </c>
      <c r="AC61" s="276">
        <f t="shared" si="17"/>
        <v>0</v>
      </c>
      <c r="AD61" s="276">
        <f t="shared" si="17"/>
        <v>0</v>
      </c>
      <c r="AE61" s="276"/>
      <c r="AF61" s="276"/>
      <c r="AG61" s="276">
        <f t="shared" si="17"/>
        <v>0</v>
      </c>
      <c r="AH61" s="276">
        <f t="shared" si="17"/>
        <v>0</v>
      </c>
      <c r="AI61" s="276">
        <f t="shared" si="17"/>
        <v>0</v>
      </c>
      <c r="AJ61" s="247"/>
      <c r="AK61" s="247"/>
      <c r="AL61" s="247"/>
      <c r="AM61" s="247"/>
    </row>
    <row r="62" spans="2:39" ht="30" hidden="1" customHeight="1" x14ac:dyDescent="0.2">
      <c r="B62" s="26">
        <v>4</v>
      </c>
      <c r="C62" s="65" t="str">
        <f>VLOOKUP(B62,Ausschreibung!$B$5:$I$35,2,FALSE)</f>
        <v>Ergocup</v>
      </c>
      <c r="D62" s="27">
        <f>VLOOKUP(B62,Ausschreibung!$B$5:$I$35,3,FALSE)</f>
        <v>0.49166666666666664</v>
      </c>
      <c r="E62" s="65" t="str">
        <f>VLOOKUP(B62,Ausschreibung!$B$5:$I$35,4,FALSE)</f>
        <v>Jungen U14</v>
      </c>
      <c r="F62" s="68" t="str">
        <f>VLOOKUP(B62,Ausschreibung!$B$5:$I$35,5,FALSE)</f>
        <v>-</v>
      </c>
      <c r="G62" s="65" t="str">
        <f>VLOOKUP(B62,Ausschreibung!$B$5:$I$35,6,FALSE)</f>
        <v>13 und jünger</v>
      </c>
      <c r="H62" s="28" t="str">
        <f>VLOOKUP(B62,Ausschreibung!$B$5:$I$35,8,FALSE)</f>
        <v>1000 m</v>
      </c>
      <c r="J62" s="276" t="str">
        <f t="shared" si="16"/>
        <v/>
      </c>
      <c r="K62" s="276" t="str">
        <f t="shared" si="16"/>
        <v/>
      </c>
      <c r="L62" s="276" t="e">
        <f>IF(EXACT($H62,#REF!),$I62,"")</f>
        <v>#REF!</v>
      </c>
      <c r="M62" s="276" t="str">
        <f t="shared" si="13"/>
        <v/>
      </c>
      <c r="N62" s="276" t="str">
        <f t="shared" si="14"/>
        <v/>
      </c>
      <c r="O62" s="276" t="str">
        <f t="shared" si="17"/>
        <v/>
      </c>
      <c r="P62" s="276" t="str">
        <f t="shared" si="17"/>
        <v/>
      </c>
      <c r="Q62" s="276" t="str">
        <f t="shared" si="17"/>
        <v/>
      </c>
      <c r="R62" s="276" t="str">
        <f t="shared" si="17"/>
        <v/>
      </c>
      <c r="S62" s="276" t="str">
        <f t="shared" si="17"/>
        <v/>
      </c>
      <c r="T62" s="276" t="str">
        <f t="shared" si="17"/>
        <v/>
      </c>
      <c r="U62" s="276" t="str">
        <f t="shared" si="17"/>
        <v/>
      </c>
      <c r="V62" s="276" t="str">
        <f t="shared" si="17"/>
        <v/>
      </c>
      <c r="W62" s="276" t="str">
        <f t="shared" si="17"/>
        <v/>
      </c>
      <c r="X62" s="276" t="str">
        <f t="shared" si="17"/>
        <v/>
      </c>
      <c r="Y62" s="276" t="str">
        <f t="shared" si="17"/>
        <v/>
      </c>
      <c r="Z62" s="276" t="str">
        <f t="shared" si="17"/>
        <v/>
      </c>
      <c r="AA62" s="276" t="str">
        <f t="shared" si="17"/>
        <v/>
      </c>
      <c r="AB62" s="276" t="str">
        <f t="shared" si="17"/>
        <v/>
      </c>
      <c r="AC62" s="276" t="str">
        <f t="shared" si="17"/>
        <v/>
      </c>
      <c r="AD62" s="276" t="str">
        <f t="shared" si="17"/>
        <v/>
      </c>
      <c r="AE62" s="276"/>
      <c r="AF62" s="276"/>
      <c r="AG62" s="276" t="str">
        <f t="shared" si="17"/>
        <v/>
      </c>
      <c r="AH62" s="276" t="str">
        <f t="shared" si="17"/>
        <v/>
      </c>
      <c r="AI62" s="276" t="str">
        <f t="shared" si="17"/>
        <v/>
      </c>
      <c r="AJ62" s="247"/>
      <c r="AK62" s="247"/>
      <c r="AL62" s="247"/>
      <c r="AM62" s="247"/>
    </row>
    <row r="63" spans="2:39" hidden="1" x14ac:dyDescent="0.2">
      <c r="B63" s="19" t="s">
        <v>1</v>
      </c>
      <c r="C63" s="18" t="s">
        <v>2</v>
      </c>
      <c r="D63" s="17" t="s">
        <v>49</v>
      </c>
      <c r="E63" s="130" t="s">
        <v>16</v>
      </c>
      <c r="F63" s="17" t="s">
        <v>50</v>
      </c>
      <c r="G63" s="17" t="s">
        <v>51</v>
      </c>
      <c r="H63" s="30" t="s">
        <v>17</v>
      </c>
      <c r="J63" s="276" t="str">
        <f t="shared" si="16"/>
        <v/>
      </c>
      <c r="K63" s="276" t="str">
        <f t="shared" si="16"/>
        <v/>
      </c>
      <c r="L63" s="276" t="e">
        <f>IF(EXACT($H63,#REF!),$I63,"")</f>
        <v>#REF!</v>
      </c>
      <c r="M63" s="276" t="str">
        <f t="shared" si="13"/>
        <v/>
      </c>
      <c r="N63" s="276" t="str">
        <f t="shared" si="14"/>
        <v/>
      </c>
      <c r="O63" s="276" t="str">
        <f t="shared" si="17"/>
        <v/>
      </c>
      <c r="P63" s="276" t="str">
        <f t="shared" si="17"/>
        <v/>
      </c>
      <c r="Q63" s="276" t="str">
        <f t="shared" si="17"/>
        <v/>
      </c>
      <c r="R63" s="276" t="str">
        <f t="shared" si="17"/>
        <v/>
      </c>
      <c r="S63" s="276" t="str">
        <f t="shared" si="17"/>
        <v/>
      </c>
      <c r="T63" s="276" t="str">
        <f t="shared" si="17"/>
        <v/>
      </c>
      <c r="U63" s="276" t="str">
        <f t="shared" si="17"/>
        <v/>
      </c>
      <c r="V63" s="276" t="str">
        <f t="shared" si="17"/>
        <v/>
      </c>
      <c r="W63" s="276" t="str">
        <f t="shared" si="17"/>
        <v/>
      </c>
      <c r="X63" s="276" t="str">
        <f t="shared" si="17"/>
        <v/>
      </c>
      <c r="Y63" s="276" t="str">
        <f t="shared" si="17"/>
        <v/>
      </c>
      <c r="Z63" s="276" t="str">
        <f t="shared" si="17"/>
        <v/>
      </c>
      <c r="AA63" s="276" t="str">
        <f t="shared" si="17"/>
        <v/>
      </c>
      <c r="AB63" s="276" t="str">
        <f t="shared" si="17"/>
        <v/>
      </c>
      <c r="AC63" s="276" t="str">
        <f t="shared" si="17"/>
        <v/>
      </c>
      <c r="AD63" s="276" t="str">
        <f t="shared" si="17"/>
        <v/>
      </c>
      <c r="AE63" s="276"/>
      <c r="AF63" s="276"/>
      <c r="AG63" s="276" t="str">
        <f t="shared" si="17"/>
        <v/>
      </c>
      <c r="AH63" s="276" t="str">
        <f t="shared" si="17"/>
        <v/>
      </c>
      <c r="AI63" s="276" t="str">
        <f t="shared" si="17"/>
        <v/>
      </c>
      <c r="AJ63" s="247"/>
      <c r="AK63" s="247"/>
      <c r="AL63" s="247"/>
      <c r="AM63" s="247"/>
    </row>
    <row r="64" spans="2:39" ht="15.75" hidden="1" customHeight="1" x14ac:dyDescent="0.2">
      <c r="B64" s="20" t="str">
        <f t="array" ref="B64">IF(ISERROR(INDEX('Eingabe Meldungen'!$C$2:$C$492,LARGE(('Eingabe Meldungen'!$A$2:$A$492=$B$62)*(ROW('Eingabe Meldungen'!$A$2:$A$492)-1),COUNTIF('Eingabe Meldungen'!$A$2:$A$492,$B$62)+1-ROW('Eingabe Meldungen'!A1)))),"",INDEX('Eingabe Meldungen'!$C$2:$C$492,LARGE(('Eingabe Meldungen'!$A$2:$A$492=$B$62)*(ROW('Eingabe Meldungen'!$A$2:$A$492)-1),COUNTIF('Eingabe Meldungen'!$A$2:$A$492,$B$62)+1-ROW('Eingabe Meldungen'!A1))))</f>
        <v>Bittermann</v>
      </c>
      <c r="C64" t="str">
        <f t="array" ref="C64">IF(ISERROR(INDEX('Eingabe Meldungen'!$D$2:$D$492,LARGE(('Eingabe Meldungen'!$A$2:$A$492=$B$62)*(ROW('Eingabe Meldungen'!$A$2:$A$492)-1),COUNTIF('Eingabe Meldungen'!$A$2:$A$492,$B$62)+1-ROW('Eingabe Meldungen'!A1)))),"",INDEX('Eingabe Meldungen'!$D$2:$D$492,LARGE(('Eingabe Meldungen'!$A$2:$A$492=$B$62)*(ROW('Eingabe Meldungen'!$A$2:$A$492)-1),COUNTIF('Eingabe Meldungen'!$A$2:$A$492,$B$62)+1-ROW('Eingabe Meldungen'!A1))))</f>
        <v>Alfons</v>
      </c>
      <c r="D64" s="11">
        <f t="array" ref="D64">IF(B64&lt;&gt;"",INDEX('Eingabe Meldungen'!$C$2:$H$492,MATCH(B64&amp;C64,'Eingabe Meldungen'!$C$2:$C$492&amp;'Eingabe Meldungen'!$D$2:$D$492,0),6),"")</f>
        <v>2007</v>
      </c>
      <c r="E64" s="66" t="str">
        <f t="array" ref="E64">IF(B64&lt;&gt;"",INDEX('Eingabe Meldungen'!$C$2:$H$492,MATCH(B64&amp;C64,'Eingabe Meldungen'!$C$2:$C$492&amp;'Eingabe Meldungen'!$D$2:$D$492,0),4),"")</f>
        <v>-</v>
      </c>
      <c r="F64" s="32" t="e">
        <f>IF(VLOOKUP(B64,Rennlisten!#REF!,6,FALSE)=0,"",VLOOKUP(B64,Rennlisten!#REF!,6,FALSE))</f>
        <v>#REF!</v>
      </c>
      <c r="G64" t="e">
        <f t="shared" ref="G64:G78" si="18">RANK(F64,$F$64:$F$79,1)</f>
        <v>#REF!</v>
      </c>
      <c r="H64" s="81" t="str">
        <f t="array" ref="H64">IF(B64&lt;&gt;"",INDEX('Eingabe Meldungen'!$C$2:$J$492,MATCH(B64&amp;C64,'Eingabe Meldungen'!$C$2:$C$492&amp;'Eingabe Meldungen'!$D$2:$D$492,0),8),"")</f>
        <v>Marbacher Ruderverein</v>
      </c>
      <c r="J64" s="276" t="str">
        <f t="shared" si="16"/>
        <v/>
      </c>
      <c r="K64" s="276" t="str">
        <f t="shared" si="16"/>
        <v/>
      </c>
      <c r="L64" s="276" t="e">
        <f>IF(EXACT($H64,#REF!),$I64,"")</f>
        <v>#REF!</v>
      </c>
      <c r="M64" s="276" t="str">
        <f t="shared" si="13"/>
        <v/>
      </c>
      <c r="N64" s="276" t="str">
        <f t="shared" si="14"/>
        <v/>
      </c>
      <c r="O64" s="276" t="str">
        <f t="shared" si="17"/>
        <v/>
      </c>
      <c r="P64" s="276" t="str">
        <f t="shared" si="17"/>
        <v/>
      </c>
      <c r="Q64" s="276" t="str">
        <f t="shared" si="17"/>
        <v/>
      </c>
      <c r="R64" s="276" t="str">
        <f t="shared" si="17"/>
        <v/>
      </c>
      <c r="S64" s="276" t="str">
        <f t="shared" si="17"/>
        <v/>
      </c>
      <c r="T64" s="276" t="str">
        <f t="shared" si="17"/>
        <v/>
      </c>
      <c r="U64" s="276" t="str">
        <f t="shared" si="17"/>
        <v/>
      </c>
      <c r="V64" s="276" t="str">
        <f t="shared" si="17"/>
        <v/>
      </c>
      <c r="W64" s="276" t="str">
        <f t="shared" si="17"/>
        <v/>
      </c>
      <c r="X64" s="276" t="str">
        <f t="shared" si="17"/>
        <v/>
      </c>
      <c r="Y64" s="276" t="str">
        <f t="shared" si="17"/>
        <v/>
      </c>
      <c r="Z64" s="276" t="str">
        <f t="shared" si="17"/>
        <v/>
      </c>
      <c r="AA64" s="276" t="str">
        <f t="shared" si="17"/>
        <v/>
      </c>
      <c r="AB64" s="276" t="str">
        <f t="shared" si="17"/>
        <v/>
      </c>
      <c r="AC64" s="276" t="str">
        <f t="shared" si="17"/>
        <v/>
      </c>
      <c r="AD64" s="276" t="str">
        <f t="shared" si="17"/>
        <v/>
      </c>
      <c r="AE64" s="276"/>
      <c r="AF64" s="276"/>
      <c r="AG64" s="276" t="str">
        <f t="shared" si="17"/>
        <v/>
      </c>
      <c r="AH64" s="276" t="str">
        <f t="shared" si="17"/>
        <v/>
      </c>
      <c r="AI64" s="276" t="str">
        <f t="shared" si="17"/>
        <v/>
      </c>
      <c r="AJ64" s="247"/>
      <c r="AK64" s="247"/>
      <c r="AL64" s="247"/>
      <c r="AM64" s="247"/>
    </row>
    <row r="65" spans="2:39" ht="13.5" hidden="1" customHeight="1" x14ac:dyDescent="0.2">
      <c r="B65" s="20" t="str">
        <f t="array" ref="B65">IF(ISERROR(INDEX('Eingabe Meldungen'!$C$2:$C$492,LARGE(('Eingabe Meldungen'!$A$2:$A$492=$B$62)*(ROW('Eingabe Meldungen'!$A$2:$A$492)-1),COUNTIF('Eingabe Meldungen'!$A$2:$A$492,$B$62)+1-ROW('Eingabe Meldungen'!A2)))),"",INDEX('Eingabe Meldungen'!$C$2:$C$492,LARGE(('Eingabe Meldungen'!$A$2:$A$492=$B$62)*(ROW('Eingabe Meldungen'!$A$2:$A$492)-1),COUNTIF('Eingabe Meldungen'!$A$2:$A$492,$B$62)+1-ROW('Eingabe Meldungen'!A2))))</f>
        <v>Krause</v>
      </c>
      <c r="C65" t="str">
        <f t="array" ref="C65">IF(ISERROR(INDEX('Eingabe Meldungen'!$D$2:$D$492,LARGE(('Eingabe Meldungen'!$A$2:$A$492=$B$62)*(ROW('Eingabe Meldungen'!$A$2:$A$492)-1),COUNTIF('Eingabe Meldungen'!$A$2:$A$492,$B$62)+1-ROW('Eingabe Meldungen'!A2)))),"",INDEX('Eingabe Meldungen'!$D$2:$D$492,LARGE(('Eingabe Meldungen'!$A$2:$A$492=$B$62)*(ROW('Eingabe Meldungen'!$A$2:$A$492)-1),COUNTIF('Eingabe Meldungen'!$A$2:$A$492,$B$62)+1-ROW('Eingabe Meldungen'!A2))))</f>
        <v>Carl</v>
      </c>
      <c r="D65" s="11">
        <f t="array" ref="D65">IF(B65&lt;&gt;"",INDEX('Eingabe Meldungen'!$C$2:$H$492,MATCH(B65&amp;C65,'Eingabe Meldungen'!$C$2:$C$492&amp;'Eingabe Meldungen'!$D$2:$D$492,0),6),"")</f>
        <v>2007</v>
      </c>
      <c r="E65" s="66" t="str">
        <f t="array" ref="E65">IF(B65&lt;&gt;"",INDEX('Eingabe Meldungen'!$C$2:$H$492,MATCH(B65&amp;C65,'Eingabe Meldungen'!$C$2:$C$492&amp;'Eingabe Meldungen'!$D$2:$D$492,0),4),"")</f>
        <v>-</v>
      </c>
      <c r="F65" s="32" t="e">
        <f>IF(VLOOKUP(B65,Rennlisten!#REF!,6,FALSE)=0,"",VLOOKUP(B65,Rennlisten!#REF!,6,FALSE))</f>
        <v>#REF!</v>
      </c>
      <c r="G65" t="e">
        <f t="shared" si="18"/>
        <v>#REF!</v>
      </c>
      <c r="H65" s="81" t="str">
        <f t="array" ref="H65">IF(B65&lt;&gt;"",INDEX('Eingabe Meldungen'!$C$2:$J$492,MATCH(B65&amp;C65,'Eingabe Meldungen'!$C$2:$C$492&amp;'Eingabe Meldungen'!$D$2:$D$492,0),8),"")</f>
        <v>Rudergesellschaft Heidelberg</v>
      </c>
      <c r="J65" s="276" t="str">
        <f t="shared" si="16"/>
        <v/>
      </c>
      <c r="K65" s="276" t="str">
        <f t="shared" si="16"/>
        <v/>
      </c>
      <c r="L65" s="276" t="e">
        <f>IF(EXACT($H65,#REF!),$I65,"")</f>
        <v>#REF!</v>
      </c>
      <c r="M65" s="276" t="str">
        <f t="shared" si="13"/>
        <v/>
      </c>
      <c r="N65" s="276" t="str">
        <f t="shared" si="14"/>
        <v/>
      </c>
      <c r="O65" s="276" t="str">
        <f t="shared" si="17"/>
        <v/>
      </c>
      <c r="P65" s="276" t="str">
        <f t="shared" si="17"/>
        <v/>
      </c>
      <c r="Q65" s="276" t="str">
        <f t="shared" si="17"/>
        <v/>
      </c>
      <c r="R65" s="276" t="str">
        <f t="shared" si="17"/>
        <v/>
      </c>
      <c r="S65" s="276" t="str">
        <f t="shared" si="17"/>
        <v/>
      </c>
      <c r="T65" s="276" t="str">
        <f t="shared" si="17"/>
        <v/>
      </c>
      <c r="U65" s="276" t="str">
        <f t="shared" si="17"/>
        <v/>
      </c>
      <c r="V65" s="276" t="str">
        <f t="shared" si="17"/>
        <v/>
      </c>
      <c r="W65" s="276" t="str">
        <f t="shared" si="17"/>
        <v/>
      </c>
      <c r="X65" s="276" t="str">
        <f t="shared" si="17"/>
        <v/>
      </c>
      <c r="Y65" s="276" t="str">
        <f t="shared" si="17"/>
        <v/>
      </c>
      <c r="Z65" s="276" t="str">
        <f t="shared" si="17"/>
        <v/>
      </c>
      <c r="AA65" s="276" t="str">
        <f t="shared" si="17"/>
        <v/>
      </c>
      <c r="AB65" s="276" t="str">
        <f t="shared" si="17"/>
        <v/>
      </c>
      <c r="AC65" s="276" t="str">
        <f t="shared" si="17"/>
        <v/>
      </c>
      <c r="AD65" s="276" t="str">
        <f t="shared" si="17"/>
        <v/>
      </c>
      <c r="AE65" s="276"/>
      <c r="AF65" s="276"/>
      <c r="AG65" s="276" t="str">
        <f t="shared" si="17"/>
        <v/>
      </c>
      <c r="AH65" s="276" t="str">
        <f t="shared" si="17"/>
        <v/>
      </c>
      <c r="AI65" s="276" t="str">
        <f t="shared" si="17"/>
        <v/>
      </c>
      <c r="AJ65" s="247"/>
      <c r="AK65" s="247"/>
      <c r="AL65" s="247"/>
      <c r="AM65" s="247"/>
    </row>
    <row r="66" spans="2:39" ht="12.75" hidden="1" customHeight="1" x14ac:dyDescent="0.2">
      <c r="B66" s="20" t="str">
        <f t="array" ref="B66">IF(ISERROR(INDEX('Eingabe Meldungen'!$C$2:$C$492,LARGE(('Eingabe Meldungen'!$A$2:$A$492=$B$62)*(ROW('Eingabe Meldungen'!$A$2:$A$492)-1),COUNTIF('Eingabe Meldungen'!$A$2:$A$492,$B$62)+1-ROW('Eingabe Meldungen'!A3)))),"",INDEX('Eingabe Meldungen'!$C$2:$C$492,LARGE(('Eingabe Meldungen'!$A$2:$A$492=$B$62)*(ROW('Eingabe Meldungen'!$A$2:$A$492)-1),COUNTIF('Eingabe Meldungen'!$A$2:$A$492,$B$62)+1-ROW('Eingabe Meldungen'!A3))))</f>
        <v>Nestor</v>
      </c>
      <c r="C66" t="str">
        <f t="array" ref="C66">IF(ISERROR(INDEX('Eingabe Meldungen'!$D$2:$D$492,LARGE(('Eingabe Meldungen'!$A$2:$A$492=$B$62)*(ROW('Eingabe Meldungen'!$A$2:$A$492)-1),COUNTIF('Eingabe Meldungen'!$A$2:$A$492,$B$62)+1-ROW('Eingabe Meldungen'!A3)))),"",INDEX('Eingabe Meldungen'!$D$2:$D$492,LARGE(('Eingabe Meldungen'!$A$2:$A$492=$B$62)*(ROW('Eingabe Meldungen'!$A$2:$A$492)-1),COUNTIF('Eingabe Meldungen'!$A$2:$A$492,$B$62)+1-ROW('Eingabe Meldungen'!A3))))</f>
        <v>David</v>
      </c>
      <c r="D66" s="11">
        <f t="array" ref="D66">IF(B66&lt;&gt;"",INDEX('Eingabe Meldungen'!$C$2:$H$492,MATCH(B66&amp;C66,'Eingabe Meldungen'!$C$2:$C$492&amp;'Eingabe Meldungen'!$D$2:$D$492,0),6),"")</f>
        <v>2007</v>
      </c>
      <c r="E66" s="66" t="str">
        <f t="array" ref="E66">IF(B66&lt;&gt;"",INDEX('Eingabe Meldungen'!$C$2:$H$492,MATCH(B66&amp;C66,'Eingabe Meldungen'!$C$2:$C$492&amp;'Eingabe Meldungen'!$D$2:$D$492,0),4),"")</f>
        <v>-</v>
      </c>
      <c r="F66" s="32" t="e">
        <f>IF(VLOOKUP(B66,Rennlisten!#REF!,6,FALSE)=0,"",VLOOKUP(B66,Rennlisten!#REF!,6,FALSE))</f>
        <v>#REF!</v>
      </c>
      <c r="G66" t="e">
        <f t="shared" si="18"/>
        <v>#REF!</v>
      </c>
      <c r="H66" s="81" t="str">
        <f t="array" ref="H66">IF(B66&lt;&gt;"",INDEX('Eingabe Meldungen'!$C$2:$J$492,MATCH(B66&amp;C66,'Eingabe Meldungen'!$C$2:$C$492&amp;'Eingabe Meldungen'!$D$2:$D$492,0),8),"")</f>
        <v>Mannheimer RV "Amicitia"</v>
      </c>
      <c r="J66" s="276" t="str">
        <f t="shared" si="16"/>
        <v/>
      </c>
      <c r="K66" s="276" t="str">
        <f t="shared" si="16"/>
        <v/>
      </c>
      <c r="L66" s="276" t="e">
        <f>IF(EXACT($H66,#REF!),$I66,"")</f>
        <v>#REF!</v>
      </c>
      <c r="M66" s="276" t="str">
        <f t="shared" si="13"/>
        <v/>
      </c>
      <c r="N66" s="276" t="str">
        <f t="shared" si="14"/>
        <v/>
      </c>
      <c r="O66" s="276" t="str">
        <f t="shared" si="17"/>
        <v/>
      </c>
      <c r="P66" s="276" t="str">
        <f t="shared" si="17"/>
        <v/>
      </c>
      <c r="Q66" s="276" t="str">
        <f t="shared" si="17"/>
        <v/>
      </c>
      <c r="R66" s="276" t="str">
        <f t="shared" si="17"/>
        <v/>
      </c>
      <c r="S66" s="276" t="str">
        <f t="shared" si="17"/>
        <v/>
      </c>
      <c r="T66" s="276" t="str">
        <f t="shared" si="17"/>
        <v/>
      </c>
      <c r="U66" s="276" t="str">
        <f t="shared" si="17"/>
        <v/>
      </c>
      <c r="V66" s="276" t="str">
        <f t="shared" si="17"/>
        <v/>
      </c>
      <c r="W66" s="276" t="str">
        <f t="shared" si="17"/>
        <v/>
      </c>
      <c r="X66" s="276" t="str">
        <f t="shared" si="17"/>
        <v/>
      </c>
      <c r="Y66" s="276" t="str">
        <f t="shared" si="17"/>
        <v/>
      </c>
      <c r="Z66" s="276" t="str">
        <f t="shared" si="17"/>
        <v/>
      </c>
      <c r="AA66" s="276" t="str">
        <f t="shared" si="17"/>
        <v/>
      </c>
      <c r="AB66" s="276" t="str">
        <f t="shared" si="17"/>
        <v/>
      </c>
      <c r="AC66" s="276" t="str">
        <f t="shared" si="17"/>
        <v/>
      </c>
      <c r="AD66" s="276" t="str">
        <f t="shared" si="17"/>
        <v/>
      </c>
      <c r="AE66" s="276"/>
      <c r="AF66" s="276"/>
      <c r="AG66" s="276" t="str">
        <f t="shared" si="17"/>
        <v/>
      </c>
      <c r="AH66" s="276" t="str">
        <f t="shared" si="17"/>
        <v/>
      </c>
      <c r="AI66" s="276" t="str">
        <f t="shared" si="17"/>
        <v/>
      </c>
      <c r="AJ66" s="247"/>
      <c r="AK66" s="247"/>
      <c r="AL66" s="247"/>
      <c r="AM66" s="247"/>
    </row>
    <row r="67" spans="2:39" hidden="1" x14ac:dyDescent="0.2">
      <c r="B67" s="20" t="str">
        <f t="array" ref="B67">IF(ISERROR(INDEX('Eingabe Meldungen'!$C$2:$C$492,LARGE(('Eingabe Meldungen'!$A$2:$A$492=$B$62)*(ROW('Eingabe Meldungen'!$A$2:$A$492)-1),COUNTIF('Eingabe Meldungen'!$A$2:$A$492,$B$62)+1-ROW('Eingabe Meldungen'!A4)))),"",INDEX('Eingabe Meldungen'!$C$2:$C$492,LARGE(('Eingabe Meldungen'!$A$2:$A$492=$B$62)*(ROW('Eingabe Meldungen'!$A$2:$A$492)-1),COUNTIF('Eingabe Meldungen'!$A$2:$A$492,$B$62)+1-ROW('Eingabe Meldungen'!A4))))</f>
        <v>Schilling</v>
      </c>
      <c r="C67" t="str">
        <f t="array" ref="C67">IF(ISERROR(INDEX('Eingabe Meldungen'!$D$2:$D$492,LARGE(('Eingabe Meldungen'!$A$2:$A$492=$B$62)*(ROW('Eingabe Meldungen'!$A$2:$A$492)-1),COUNTIF('Eingabe Meldungen'!$A$2:$A$492,$B$62)+1-ROW('Eingabe Meldungen'!A4)))),"",INDEX('Eingabe Meldungen'!$D$2:$D$492,LARGE(('Eingabe Meldungen'!$A$2:$A$492=$B$62)*(ROW('Eingabe Meldungen'!$A$2:$A$492)-1),COUNTIF('Eingabe Meldungen'!$A$2:$A$492,$B$62)+1-ROW('Eingabe Meldungen'!A4))))</f>
        <v>Felix</v>
      </c>
      <c r="D67" s="11">
        <f t="array" ref="D67">IF(B67&lt;&gt;"",INDEX('Eingabe Meldungen'!$C$2:$H$492,MATCH(B67&amp;C67,'Eingabe Meldungen'!$C$2:$C$492&amp;'Eingabe Meldungen'!$D$2:$D$492,0),6),"")</f>
        <v>2007</v>
      </c>
      <c r="E67" s="66" t="str">
        <f t="array" ref="E67">IF(B67&lt;&gt;"",INDEX('Eingabe Meldungen'!$C$2:$H$492,MATCH(B67&amp;C67,'Eingabe Meldungen'!$C$2:$C$492&amp;'Eingabe Meldungen'!$D$2:$D$492,0),4),"")</f>
        <v>-</v>
      </c>
      <c r="F67" s="32" t="e">
        <f>IF(VLOOKUP(B67,Rennlisten!#REF!,6,FALSE)=0,"",VLOOKUP(B67,Rennlisten!#REF!,6,FALSE))</f>
        <v>#REF!</v>
      </c>
      <c r="G67" t="e">
        <f t="shared" si="18"/>
        <v>#REF!</v>
      </c>
      <c r="H67" s="81" t="str">
        <f t="array" ref="H67">IF(B67&lt;&gt;"",INDEX('Eingabe Meldungen'!$C$2:$J$492,MATCH(B67&amp;C67,'Eingabe Meldungen'!$C$2:$C$492&amp;'Eingabe Meldungen'!$D$2:$D$492,0),8),"")</f>
        <v>Heidelberger Ruderklub</v>
      </c>
      <c r="J67" s="276" t="str">
        <f t="shared" si="16"/>
        <v/>
      </c>
      <c r="K67" s="276" t="str">
        <f t="shared" si="16"/>
        <v/>
      </c>
      <c r="L67" s="276" t="e">
        <f>IF(EXACT($H67,#REF!),$I67,"")</f>
        <v>#REF!</v>
      </c>
      <c r="M67" s="276" t="str">
        <f t="shared" si="13"/>
        <v/>
      </c>
      <c r="N67" s="276" t="str">
        <f t="shared" si="14"/>
        <v/>
      </c>
      <c r="O67" s="276" t="str">
        <f t="shared" ref="O67:AI79" si="19">IF(EXACT($H67,O$4),$I67,"")</f>
        <v/>
      </c>
      <c r="P67" s="276" t="str">
        <f t="shared" si="19"/>
        <v/>
      </c>
      <c r="Q67" s="276" t="str">
        <f t="shared" si="19"/>
        <v/>
      </c>
      <c r="R67" s="276" t="str">
        <f t="shared" si="19"/>
        <v/>
      </c>
      <c r="S67" s="276" t="str">
        <f t="shared" si="19"/>
        <v/>
      </c>
      <c r="T67" s="276" t="str">
        <f t="shared" si="19"/>
        <v/>
      </c>
      <c r="U67" s="276" t="str">
        <f t="shared" si="19"/>
        <v/>
      </c>
      <c r="V67" s="276" t="str">
        <f t="shared" si="19"/>
        <v/>
      </c>
      <c r="W67" s="276" t="str">
        <f t="shared" si="19"/>
        <v/>
      </c>
      <c r="X67" s="276" t="str">
        <f t="shared" si="19"/>
        <v/>
      </c>
      <c r="Y67" s="276" t="str">
        <f t="shared" si="19"/>
        <v/>
      </c>
      <c r="Z67" s="276" t="str">
        <f t="shared" si="19"/>
        <v/>
      </c>
      <c r="AA67" s="276" t="str">
        <f t="shared" si="19"/>
        <v/>
      </c>
      <c r="AB67" s="276" t="str">
        <f t="shared" si="19"/>
        <v/>
      </c>
      <c r="AC67" s="276" t="str">
        <f t="shared" si="19"/>
        <v/>
      </c>
      <c r="AD67" s="276" t="str">
        <f t="shared" si="19"/>
        <v/>
      </c>
      <c r="AE67" s="276"/>
      <c r="AF67" s="276"/>
      <c r="AG67" s="276" t="str">
        <f t="shared" si="19"/>
        <v/>
      </c>
      <c r="AH67" s="276" t="str">
        <f t="shared" si="19"/>
        <v/>
      </c>
      <c r="AI67" s="276" t="str">
        <f t="shared" si="19"/>
        <v/>
      </c>
      <c r="AJ67" s="247"/>
      <c r="AK67" s="247"/>
      <c r="AL67" s="247"/>
      <c r="AM67" s="247"/>
    </row>
    <row r="68" spans="2:39" hidden="1" x14ac:dyDescent="0.2">
      <c r="B68" s="20" t="str">
        <f t="array" ref="B68">IF(ISERROR(INDEX('Eingabe Meldungen'!$C$2:$C$492,LARGE(('Eingabe Meldungen'!$A$2:$A$492=$B$62)*(ROW('Eingabe Meldungen'!$A$2:$A$492)-1),COUNTIF('Eingabe Meldungen'!$A$2:$A$492,$B$62)+1-ROW('Eingabe Meldungen'!A5)))),"",INDEX('Eingabe Meldungen'!$C$2:$C$492,LARGE(('Eingabe Meldungen'!$A$2:$A$492=$B$62)*(ROW('Eingabe Meldungen'!$A$2:$A$492)-1),COUNTIF('Eingabe Meldungen'!$A$2:$A$492,$B$62)+1-ROW('Eingabe Meldungen'!A5))))</f>
        <v>Balke</v>
      </c>
      <c r="C68" t="str">
        <f t="array" ref="C68">IF(ISERROR(INDEX('Eingabe Meldungen'!$D$2:$D$492,LARGE(('Eingabe Meldungen'!$A$2:$A$492=$B$62)*(ROW('Eingabe Meldungen'!$A$2:$A$492)-1),COUNTIF('Eingabe Meldungen'!$A$2:$A$492,$B$62)+1-ROW('Eingabe Meldungen'!A5)))),"",INDEX('Eingabe Meldungen'!$D$2:$D$492,LARGE(('Eingabe Meldungen'!$A$2:$A$492=$B$62)*(ROW('Eingabe Meldungen'!$A$2:$A$492)-1),COUNTIF('Eingabe Meldungen'!$A$2:$A$492,$B$62)+1-ROW('Eingabe Meldungen'!A5))))</f>
        <v>Frederik</v>
      </c>
      <c r="D68" s="11">
        <f t="array" ref="D68">IF(B68&lt;&gt;"",INDEX('Eingabe Meldungen'!$C$2:$H$492,MATCH(B68&amp;C68,'Eingabe Meldungen'!$C$2:$C$492&amp;'Eingabe Meldungen'!$D$2:$D$492,0),6),"")</f>
        <v>2007</v>
      </c>
      <c r="E68" s="66" t="str">
        <f t="array" ref="E68">IF(B68&lt;&gt;"",INDEX('Eingabe Meldungen'!$C$2:$H$492,MATCH(B68&amp;C68,'Eingabe Meldungen'!$C$2:$C$492&amp;'Eingabe Meldungen'!$D$2:$D$492,0),4),"")</f>
        <v>-</v>
      </c>
      <c r="F68" s="32" t="e">
        <f>IF(VLOOKUP(B68,Rennlisten!#REF!,6,FALSE)=0,"",VLOOKUP(B68,Rennlisten!#REF!,6,FALSE))</f>
        <v>#REF!</v>
      </c>
      <c r="G68" t="e">
        <f t="shared" si="18"/>
        <v>#REF!</v>
      </c>
      <c r="H68" s="81" t="str">
        <f t="array" ref="H68">IF(B68&lt;&gt;"",INDEX('Eingabe Meldungen'!$C$2:$J$492,MATCH(B68&amp;C68,'Eingabe Meldungen'!$C$2:$C$492&amp;'Eingabe Meldungen'!$D$2:$D$492,0),8),"")</f>
        <v>RV Waldsee</v>
      </c>
      <c r="J68" s="276" t="str">
        <f t="shared" si="16"/>
        <v/>
      </c>
      <c r="K68" s="276" t="str">
        <f t="shared" si="16"/>
        <v/>
      </c>
      <c r="L68" s="276" t="e">
        <f>IF(EXACT($H68,#REF!),$I68,"")</f>
        <v>#REF!</v>
      </c>
      <c r="M68" s="276" t="str">
        <f t="shared" si="13"/>
        <v/>
      </c>
      <c r="N68" s="276" t="str">
        <f t="shared" si="14"/>
        <v/>
      </c>
      <c r="O68" s="276" t="str">
        <f t="shared" si="19"/>
        <v/>
      </c>
      <c r="P68" s="276" t="str">
        <f t="shared" si="19"/>
        <v/>
      </c>
      <c r="Q68" s="276" t="str">
        <f t="shared" si="19"/>
        <v/>
      </c>
      <c r="R68" s="276" t="str">
        <f t="shared" si="19"/>
        <v/>
      </c>
      <c r="S68" s="276">
        <f t="shared" si="19"/>
        <v>0</v>
      </c>
      <c r="T68" s="276" t="str">
        <f t="shared" si="19"/>
        <v/>
      </c>
      <c r="U68" s="276" t="str">
        <f t="shared" si="19"/>
        <v/>
      </c>
      <c r="V68" s="276" t="str">
        <f t="shared" si="19"/>
        <v/>
      </c>
      <c r="W68" s="276" t="str">
        <f t="shared" si="19"/>
        <v/>
      </c>
      <c r="X68" s="276" t="str">
        <f t="shared" si="19"/>
        <v/>
      </c>
      <c r="Y68" s="276" t="str">
        <f t="shared" si="19"/>
        <v/>
      </c>
      <c r="Z68" s="276" t="str">
        <f t="shared" si="19"/>
        <v/>
      </c>
      <c r="AA68" s="276" t="str">
        <f t="shared" si="19"/>
        <v/>
      </c>
      <c r="AB68" s="276" t="str">
        <f t="shared" si="19"/>
        <v/>
      </c>
      <c r="AC68" s="276" t="str">
        <f t="shared" si="19"/>
        <v/>
      </c>
      <c r="AD68" s="276" t="str">
        <f t="shared" si="19"/>
        <v/>
      </c>
      <c r="AE68" s="276"/>
      <c r="AF68" s="276"/>
      <c r="AG68" s="276" t="str">
        <f t="shared" si="19"/>
        <v/>
      </c>
      <c r="AH68" s="276" t="str">
        <f t="shared" si="19"/>
        <v/>
      </c>
      <c r="AI68" s="276" t="str">
        <f t="shared" si="19"/>
        <v/>
      </c>
      <c r="AJ68" s="247"/>
      <c r="AK68" s="247"/>
      <c r="AL68" s="247"/>
      <c r="AM68" s="247"/>
    </row>
    <row r="69" spans="2:39" hidden="1" x14ac:dyDescent="0.2">
      <c r="B69" s="20" t="str">
        <f t="array" ref="B69">IF(ISERROR(INDEX('Eingabe Meldungen'!$C$2:$C$492,LARGE(('Eingabe Meldungen'!$A$2:$A$492=$B$62)*(ROW('Eingabe Meldungen'!$A$2:$A$492)-1),COUNTIF('Eingabe Meldungen'!$A$2:$A$492,$B$62)+1-ROW('Eingabe Meldungen'!A6)))),"",INDEX('Eingabe Meldungen'!$C$2:$C$492,LARGE(('Eingabe Meldungen'!$A$2:$A$492=$B$62)*(ROW('Eingabe Meldungen'!$A$2:$A$492)-1),COUNTIF('Eingabe Meldungen'!$A$2:$A$492,$B$62)+1-ROW('Eingabe Meldungen'!A6))))</f>
        <v>Meyer</v>
      </c>
      <c r="C69" t="str">
        <f t="array" ref="C69">IF(ISERROR(INDEX('Eingabe Meldungen'!$D$2:$D$492,LARGE(('Eingabe Meldungen'!$A$2:$A$492=$B$62)*(ROW('Eingabe Meldungen'!$A$2:$A$492)-1),COUNTIF('Eingabe Meldungen'!$A$2:$A$492,$B$62)+1-ROW('Eingabe Meldungen'!A6)))),"",INDEX('Eingabe Meldungen'!$D$2:$D$492,LARGE(('Eingabe Meldungen'!$A$2:$A$492=$B$62)*(ROW('Eingabe Meldungen'!$A$2:$A$492)-1),COUNTIF('Eingabe Meldungen'!$A$2:$A$492,$B$62)+1-ROW('Eingabe Meldungen'!A6))))</f>
        <v>Lars</v>
      </c>
      <c r="D69" s="11">
        <f t="array" ref="D69">IF(B69&lt;&gt;"",INDEX('Eingabe Meldungen'!$C$2:$H$492,MATCH(B69&amp;C69,'Eingabe Meldungen'!$C$2:$C$492&amp;'Eingabe Meldungen'!$D$2:$D$492,0),6),"")</f>
        <v>2007</v>
      </c>
      <c r="E69" s="66" t="str">
        <f t="array" ref="E69">IF(B69&lt;&gt;"",INDEX('Eingabe Meldungen'!$C$2:$H$492,MATCH(B69&amp;C69,'Eingabe Meldungen'!$C$2:$C$492&amp;'Eingabe Meldungen'!$D$2:$D$492,0),4),"")</f>
        <v>-</v>
      </c>
      <c r="F69" s="32" t="e">
        <f>IF(VLOOKUP(B69,Rennlisten!#REF!,6,FALSE)=0,"",VLOOKUP(B69,Rennlisten!#REF!,6,FALSE))</f>
        <v>#REF!</v>
      </c>
      <c r="G69" t="e">
        <f t="shared" si="18"/>
        <v>#REF!</v>
      </c>
      <c r="H69" s="81" t="str">
        <f t="array" ref="H69">IF(B69&lt;&gt;"",INDEX('Eingabe Meldungen'!$C$2:$J$492,MATCH(B69&amp;C69,'Eingabe Meldungen'!$C$2:$C$492&amp;'Eingabe Meldungen'!$D$2:$D$492,0),8),"")</f>
        <v>Rudergesellschaft Heidelberg</v>
      </c>
      <c r="J69" s="276" t="str">
        <f t="shared" si="16"/>
        <v/>
      </c>
      <c r="K69" s="276" t="str">
        <f t="shared" si="16"/>
        <v/>
      </c>
      <c r="L69" s="276" t="e">
        <f>IF(EXACT($H69,#REF!),$I69,"")</f>
        <v>#REF!</v>
      </c>
      <c r="M69" s="276" t="str">
        <f t="shared" si="13"/>
        <v/>
      </c>
      <c r="N69" s="276" t="str">
        <f t="shared" si="14"/>
        <v/>
      </c>
      <c r="O69" s="276" t="str">
        <f t="shared" si="19"/>
        <v/>
      </c>
      <c r="P69" s="276" t="str">
        <f t="shared" si="19"/>
        <v/>
      </c>
      <c r="Q69" s="276" t="str">
        <f t="shared" si="19"/>
        <v/>
      </c>
      <c r="R69" s="276" t="str">
        <f t="shared" si="19"/>
        <v/>
      </c>
      <c r="S69" s="276" t="str">
        <f t="shared" si="19"/>
        <v/>
      </c>
      <c r="T69" s="276" t="str">
        <f t="shared" si="19"/>
        <v/>
      </c>
      <c r="U69" s="276" t="str">
        <f t="shared" si="19"/>
        <v/>
      </c>
      <c r="V69" s="276" t="str">
        <f t="shared" si="19"/>
        <v/>
      </c>
      <c r="W69" s="276" t="str">
        <f t="shared" si="19"/>
        <v/>
      </c>
      <c r="X69" s="276" t="str">
        <f t="shared" si="19"/>
        <v/>
      </c>
      <c r="Y69" s="276" t="str">
        <f t="shared" si="19"/>
        <v/>
      </c>
      <c r="Z69" s="276" t="str">
        <f t="shared" si="19"/>
        <v/>
      </c>
      <c r="AA69" s="276" t="str">
        <f t="shared" si="19"/>
        <v/>
      </c>
      <c r="AB69" s="276" t="str">
        <f t="shared" si="19"/>
        <v/>
      </c>
      <c r="AC69" s="276" t="str">
        <f t="shared" si="19"/>
        <v/>
      </c>
      <c r="AD69" s="276" t="str">
        <f t="shared" si="19"/>
        <v/>
      </c>
      <c r="AE69" s="276"/>
      <c r="AF69" s="276"/>
      <c r="AG69" s="276" t="str">
        <f t="shared" si="19"/>
        <v/>
      </c>
      <c r="AH69" s="276" t="str">
        <f t="shared" si="19"/>
        <v/>
      </c>
      <c r="AI69" s="276" t="str">
        <f t="shared" si="19"/>
        <v/>
      </c>
      <c r="AJ69" s="247"/>
      <c r="AK69" s="247"/>
      <c r="AL69" s="247"/>
      <c r="AM69" s="247"/>
    </row>
    <row r="70" spans="2:39" hidden="1" x14ac:dyDescent="0.2">
      <c r="B70" s="20" t="str">
        <f t="array" ref="B70">IF(ISERROR(INDEX('Eingabe Meldungen'!$C$2:$C$492,LARGE(('Eingabe Meldungen'!$A$2:$A$492=$B$62)*(ROW('Eingabe Meldungen'!$A$2:$A$492)-1),COUNTIF('Eingabe Meldungen'!$A$2:$A$492,$B$62)+1-ROW('Eingabe Meldungen'!A8)))),"",INDEX('Eingabe Meldungen'!$C$2:$C$492,LARGE(('Eingabe Meldungen'!$A$2:$A$492=$B$62)*(ROW('Eingabe Meldungen'!$A$2:$A$492)-1),COUNTIF('Eingabe Meldungen'!$A$2:$A$492,$B$62)+1-ROW('Eingabe Meldungen'!A8))))</f>
        <v>Yilmaz</v>
      </c>
      <c r="C70" t="str">
        <f t="array" ref="C70">IF(ISERROR(INDEX('Eingabe Meldungen'!$D$2:$D$492,LARGE(('Eingabe Meldungen'!$A$2:$A$492=$B$62)*(ROW('Eingabe Meldungen'!$A$2:$A$492)-1),COUNTIF('Eingabe Meldungen'!$A$2:$A$492,$B$62)+1-ROW('Eingabe Meldungen'!A8)))),"",INDEX('Eingabe Meldungen'!$D$2:$D$492,LARGE(('Eingabe Meldungen'!$A$2:$A$492=$B$62)*(ROW('Eingabe Meldungen'!$A$2:$A$492)-1),COUNTIF('Eingabe Meldungen'!$A$2:$A$492,$B$62)+1-ROW('Eingabe Meldungen'!A8))))</f>
        <v>Leon</v>
      </c>
      <c r="D70" s="11">
        <f t="array" ref="D70">IF(B70&lt;&gt;"",INDEX('Eingabe Meldungen'!$C$2:$H$492,MATCH(B70&amp;C70,'Eingabe Meldungen'!$C$2:$C$492&amp;'Eingabe Meldungen'!$D$2:$D$492,0),6),"")</f>
        <v>2007</v>
      </c>
      <c r="E70" s="66" t="str">
        <f t="array" ref="E70">IF(B70&lt;&gt;"",INDEX('Eingabe Meldungen'!$C$2:$H$492,MATCH(B70&amp;C70,'Eingabe Meldungen'!$C$2:$C$492&amp;'Eingabe Meldungen'!$D$2:$D$492,0),4),"")</f>
        <v>-</v>
      </c>
      <c r="F70" s="32" t="e">
        <f>IF(VLOOKUP(B70,Rennlisten!#REF!,6,FALSE)=0,"",VLOOKUP(B70,Rennlisten!#REF!,6,FALSE))</f>
        <v>#REF!</v>
      </c>
      <c r="G70" t="e">
        <f t="shared" si="18"/>
        <v>#REF!</v>
      </c>
      <c r="H70" s="81" t="str">
        <f t="array" ref="H70">IF(B70&lt;&gt;"",INDEX('Eingabe Meldungen'!$C$2:$J$492,MATCH(B70&amp;C70,'Eingabe Meldungen'!$C$2:$C$492&amp;'Eingabe Meldungen'!$D$2:$D$492,0),8),"")</f>
        <v>Stuttgart-Cannstatter RC</v>
      </c>
      <c r="J70" s="276" t="str">
        <f t="shared" si="16"/>
        <v/>
      </c>
      <c r="K70" s="276" t="str">
        <f t="shared" si="16"/>
        <v/>
      </c>
      <c r="L70" s="276" t="e">
        <f>IF(EXACT($H70,#REF!),$I70,"")</f>
        <v>#REF!</v>
      </c>
      <c r="M70" s="276" t="str">
        <f t="shared" si="13"/>
        <v/>
      </c>
      <c r="N70" s="276" t="str">
        <f t="shared" si="14"/>
        <v/>
      </c>
      <c r="O70" s="276" t="str">
        <f t="shared" si="19"/>
        <v/>
      </c>
      <c r="P70" s="276" t="str">
        <f t="shared" si="19"/>
        <v/>
      </c>
      <c r="Q70" s="276" t="str">
        <f t="shared" si="19"/>
        <v/>
      </c>
      <c r="R70" s="276" t="str">
        <f t="shared" si="19"/>
        <v/>
      </c>
      <c r="S70" s="276" t="str">
        <f t="shared" si="19"/>
        <v/>
      </c>
      <c r="T70" s="276" t="str">
        <f t="shared" si="19"/>
        <v/>
      </c>
      <c r="U70" s="276" t="str">
        <f t="shared" si="19"/>
        <v/>
      </c>
      <c r="V70" s="276" t="str">
        <f t="shared" si="19"/>
        <v/>
      </c>
      <c r="W70" s="276" t="str">
        <f t="shared" si="19"/>
        <v/>
      </c>
      <c r="X70" s="276" t="str">
        <f t="shared" si="19"/>
        <v/>
      </c>
      <c r="Y70" s="276" t="str">
        <f t="shared" si="19"/>
        <v/>
      </c>
      <c r="Z70" s="276" t="str">
        <f t="shared" si="19"/>
        <v/>
      </c>
      <c r="AA70" s="276" t="str">
        <f t="shared" si="19"/>
        <v/>
      </c>
      <c r="AB70" s="276" t="str">
        <f t="shared" si="19"/>
        <v/>
      </c>
      <c r="AC70" s="276" t="str">
        <f t="shared" si="19"/>
        <v/>
      </c>
      <c r="AD70" s="276" t="str">
        <f t="shared" si="19"/>
        <v/>
      </c>
      <c r="AE70" s="276"/>
      <c r="AF70" s="276"/>
      <c r="AG70" s="276" t="str">
        <f t="shared" si="19"/>
        <v/>
      </c>
      <c r="AH70" s="276" t="str">
        <f t="shared" si="19"/>
        <v/>
      </c>
      <c r="AI70" s="276" t="str">
        <f t="shared" si="19"/>
        <v/>
      </c>
      <c r="AJ70" s="247"/>
      <c r="AK70" s="247"/>
      <c r="AL70" s="247"/>
      <c r="AM70" s="247"/>
    </row>
    <row r="71" spans="2:39" hidden="1" x14ac:dyDescent="0.2">
      <c r="B71" s="20" t="str">
        <f t="array" ref="B71">IF(ISERROR(INDEX('Eingabe Meldungen'!$C$2:$C$492,LARGE(('Eingabe Meldungen'!$A$2:$A$492=$B$62)*(ROW('Eingabe Meldungen'!$A$2:$A$492)-1),COUNTIF('Eingabe Meldungen'!$A$2:$A$492,$B$62)+1-ROW('Eingabe Meldungen'!A9)))),"",INDEX('Eingabe Meldungen'!$C$2:$C$492,LARGE(('Eingabe Meldungen'!$A$2:$A$492=$B$62)*(ROW('Eingabe Meldungen'!$A$2:$A$492)-1),COUNTIF('Eingabe Meldungen'!$A$2:$A$492,$B$62)+1-ROW('Eingabe Meldungen'!A9))))</f>
        <v>Bitz</v>
      </c>
      <c r="C71" t="str">
        <f t="array" ref="C71">IF(ISERROR(INDEX('Eingabe Meldungen'!$D$2:$D$492,LARGE(('Eingabe Meldungen'!$A$2:$A$492=$B$62)*(ROW('Eingabe Meldungen'!$A$2:$A$492)-1),COUNTIF('Eingabe Meldungen'!$A$2:$A$492,$B$62)+1-ROW('Eingabe Meldungen'!A9)))),"",INDEX('Eingabe Meldungen'!$D$2:$D$492,LARGE(('Eingabe Meldungen'!$A$2:$A$492=$B$62)*(ROW('Eingabe Meldungen'!$A$2:$A$492)-1),COUNTIF('Eingabe Meldungen'!$A$2:$A$492,$B$62)+1-ROW('Eingabe Meldungen'!A9))))</f>
        <v>Moritz</v>
      </c>
      <c r="D71" s="11">
        <f t="array" ref="D71">IF(B71&lt;&gt;"",INDEX('Eingabe Meldungen'!$C$2:$H$492,MATCH(B71&amp;C71,'Eingabe Meldungen'!$C$2:$C$492&amp;'Eingabe Meldungen'!$D$2:$D$492,0),6),"")</f>
        <v>2007</v>
      </c>
      <c r="E71" s="66" t="str">
        <f t="array" ref="E71">IF(B71&lt;&gt;"",INDEX('Eingabe Meldungen'!$C$2:$H$492,MATCH(B71&amp;C71,'Eingabe Meldungen'!$C$2:$C$492&amp;'Eingabe Meldungen'!$D$2:$D$492,0),4),"")</f>
        <v>-</v>
      </c>
      <c r="F71" s="32" t="e">
        <f>IF(VLOOKUP(B71,Rennlisten!#REF!,6,FALSE)=0,"",VLOOKUP(B71,Rennlisten!#REF!,6,FALSE))</f>
        <v>#REF!</v>
      </c>
      <c r="G71" t="e">
        <f t="shared" si="18"/>
        <v>#REF!</v>
      </c>
      <c r="H71" s="81" t="str">
        <f t="array" ref="H71">IF(B71&lt;&gt;"",INDEX('Eingabe Meldungen'!$C$2:$J$492,MATCH(B71&amp;C71,'Eingabe Meldungen'!$C$2:$C$492&amp;'Eingabe Meldungen'!$D$2:$D$492,0),8),"")</f>
        <v>Marbacher Ruderverein</v>
      </c>
      <c r="J71" s="276" t="str">
        <f t="shared" si="16"/>
        <v/>
      </c>
      <c r="K71" s="276" t="str">
        <f t="shared" si="16"/>
        <v/>
      </c>
      <c r="L71" s="276" t="e">
        <f>IF(EXACT($H71,#REF!),$I71,"")</f>
        <v>#REF!</v>
      </c>
      <c r="M71" s="276" t="str">
        <f t="shared" si="13"/>
        <v/>
      </c>
      <c r="N71" s="276" t="str">
        <f t="shared" si="14"/>
        <v/>
      </c>
      <c r="O71" s="276" t="str">
        <f t="shared" si="19"/>
        <v/>
      </c>
      <c r="P71" s="276" t="str">
        <f t="shared" si="19"/>
        <v/>
      </c>
      <c r="Q71" s="276" t="str">
        <f t="shared" si="19"/>
        <v/>
      </c>
      <c r="R71" s="276" t="str">
        <f t="shared" si="19"/>
        <v/>
      </c>
      <c r="S71" s="276" t="str">
        <f t="shared" si="19"/>
        <v/>
      </c>
      <c r="T71" s="276" t="str">
        <f t="shared" si="19"/>
        <v/>
      </c>
      <c r="U71" s="276" t="str">
        <f t="shared" si="19"/>
        <v/>
      </c>
      <c r="V71" s="276" t="str">
        <f t="shared" si="19"/>
        <v/>
      </c>
      <c r="W71" s="276" t="str">
        <f t="shared" si="19"/>
        <v/>
      </c>
      <c r="X71" s="276" t="str">
        <f t="shared" si="19"/>
        <v/>
      </c>
      <c r="Y71" s="276" t="str">
        <f t="shared" si="19"/>
        <v/>
      </c>
      <c r="Z71" s="276" t="str">
        <f t="shared" si="19"/>
        <v/>
      </c>
      <c r="AA71" s="276" t="str">
        <f t="shared" si="19"/>
        <v/>
      </c>
      <c r="AB71" s="276" t="str">
        <f t="shared" si="19"/>
        <v/>
      </c>
      <c r="AC71" s="276" t="str">
        <f t="shared" si="19"/>
        <v/>
      </c>
      <c r="AD71" s="276" t="str">
        <f t="shared" si="19"/>
        <v/>
      </c>
      <c r="AE71" s="276"/>
      <c r="AF71" s="276"/>
      <c r="AG71" s="276" t="str">
        <f t="shared" si="19"/>
        <v/>
      </c>
      <c r="AH71" s="276" t="str">
        <f t="shared" si="19"/>
        <v/>
      </c>
      <c r="AI71" s="276" t="str">
        <f t="shared" si="19"/>
        <v/>
      </c>
      <c r="AJ71" s="247"/>
      <c r="AK71" s="247"/>
      <c r="AL71" s="247"/>
      <c r="AM71" s="247"/>
    </row>
    <row r="72" spans="2:39" hidden="1" x14ac:dyDescent="0.2">
      <c r="B72" s="20" t="str">
        <f t="array" ref="B72">IF(ISERROR(INDEX('Eingabe Meldungen'!$C$2:$C$492,LARGE(('Eingabe Meldungen'!$A$2:$A$492=$B$62)*(ROW('Eingabe Meldungen'!$A$2:$A$492)-1),COUNTIF('Eingabe Meldungen'!$A$2:$A$492,$B$62)+1-ROW('Eingabe Meldungen'!A10)))),"",INDEX('Eingabe Meldungen'!$C$2:$C$492,LARGE(('Eingabe Meldungen'!$A$2:$A$492=$B$62)*(ROW('Eingabe Meldungen'!$A$2:$A$492)-1),COUNTIF('Eingabe Meldungen'!$A$2:$A$492,$B$62)+1-ROW('Eingabe Meldungen'!A10))))</f>
        <v>Krausch</v>
      </c>
      <c r="C72" t="str">
        <f t="array" ref="C72">IF(ISERROR(INDEX('Eingabe Meldungen'!$D$2:$D$492,LARGE(('Eingabe Meldungen'!$A$2:$A$492=$B$62)*(ROW('Eingabe Meldungen'!$A$2:$A$492)-1),COUNTIF('Eingabe Meldungen'!$A$2:$A$492,$B$62)+1-ROW('Eingabe Meldungen'!A10)))),"",INDEX('Eingabe Meldungen'!$D$2:$D$492,LARGE(('Eingabe Meldungen'!$A$2:$A$492=$B$62)*(ROW('Eingabe Meldungen'!$A$2:$A$492)-1),COUNTIF('Eingabe Meldungen'!$A$2:$A$492,$B$62)+1-ROW('Eingabe Meldungen'!A10))))</f>
        <v>Philipp</v>
      </c>
      <c r="D72" s="11">
        <f t="array" ref="D72">IF(B72&lt;&gt;"",INDEX('Eingabe Meldungen'!$C$2:$H$492,MATCH(B72&amp;C72,'Eingabe Meldungen'!$C$2:$C$492&amp;'Eingabe Meldungen'!$D$2:$D$492,0),6),"")</f>
        <v>2007</v>
      </c>
      <c r="E72" s="66" t="str">
        <f t="array" ref="E72">IF(B72&lt;&gt;"",INDEX('Eingabe Meldungen'!$C$2:$H$492,MATCH(B72&amp;C72,'Eingabe Meldungen'!$C$2:$C$492&amp;'Eingabe Meldungen'!$D$2:$D$492,0),4),"")</f>
        <v>-</v>
      </c>
      <c r="F72" s="32" t="e">
        <f>IF(VLOOKUP(B72,Rennlisten!#REF!,6,FALSE)=0,"",VLOOKUP(B72,Rennlisten!#REF!,6,FALSE))</f>
        <v>#REF!</v>
      </c>
      <c r="G72" t="e">
        <f t="shared" si="18"/>
        <v>#REF!</v>
      </c>
      <c r="H72" s="81" t="str">
        <f t="array" ref="H72">IF(B72&lt;&gt;"",INDEX('Eingabe Meldungen'!$C$2:$J$492,MATCH(B72&amp;C72,'Eingabe Meldungen'!$C$2:$C$492&amp;'Eingabe Meldungen'!$D$2:$D$492,0),8),"")</f>
        <v>Heidelberger Ruderklub</v>
      </c>
      <c r="J72" s="276" t="str">
        <f t="shared" si="16"/>
        <v/>
      </c>
      <c r="K72" s="276" t="str">
        <f t="shared" si="16"/>
        <v/>
      </c>
      <c r="L72" s="276" t="e">
        <f>IF(EXACT($H72,#REF!),$I72,"")</f>
        <v>#REF!</v>
      </c>
      <c r="M72" s="276" t="str">
        <f t="shared" si="13"/>
        <v/>
      </c>
      <c r="N72" s="276" t="str">
        <f t="shared" si="14"/>
        <v/>
      </c>
      <c r="O72" s="276" t="str">
        <f t="shared" si="19"/>
        <v/>
      </c>
      <c r="P72" s="276" t="str">
        <f t="shared" si="19"/>
        <v/>
      </c>
      <c r="Q72" s="276" t="str">
        <f t="shared" si="19"/>
        <v/>
      </c>
      <c r="R72" s="276" t="str">
        <f t="shared" si="19"/>
        <v/>
      </c>
      <c r="S72" s="276" t="str">
        <f t="shared" si="19"/>
        <v/>
      </c>
      <c r="T72" s="276" t="str">
        <f t="shared" si="19"/>
        <v/>
      </c>
      <c r="U72" s="276" t="str">
        <f t="shared" si="19"/>
        <v/>
      </c>
      <c r="V72" s="276" t="str">
        <f t="shared" si="19"/>
        <v/>
      </c>
      <c r="W72" s="276" t="str">
        <f t="shared" si="19"/>
        <v/>
      </c>
      <c r="X72" s="276" t="str">
        <f t="shared" si="19"/>
        <v/>
      </c>
      <c r="Y72" s="276" t="str">
        <f t="shared" si="19"/>
        <v/>
      </c>
      <c r="Z72" s="276" t="str">
        <f t="shared" si="19"/>
        <v/>
      </c>
      <c r="AA72" s="276" t="str">
        <f t="shared" si="19"/>
        <v/>
      </c>
      <c r="AB72" s="276" t="str">
        <f t="shared" si="19"/>
        <v/>
      </c>
      <c r="AC72" s="276" t="str">
        <f t="shared" si="19"/>
        <v/>
      </c>
      <c r="AD72" s="276" t="str">
        <f t="shared" si="19"/>
        <v/>
      </c>
      <c r="AE72" s="276"/>
      <c r="AF72" s="276"/>
      <c r="AG72" s="276" t="str">
        <f t="shared" si="19"/>
        <v/>
      </c>
      <c r="AH72" s="276" t="str">
        <f t="shared" si="19"/>
        <v/>
      </c>
      <c r="AI72" s="276" t="str">
        <f t="shared" si="19"/>
        <v/>
      </c>
      <c r="AJ72" s="247"/>
      <c r="AK72" s="247"/>
      <c r="AL72" s="247"/>
      <c r="AM72" s="247"/>
    </row>
    <row r="73" spans="2:39" hidden="1" x14ac:dyDescent="0.2">
      <c r="B73" s="20" t="str">
        <f t="array" ref="B73">IF(ISERROR(INDEX('Eingabe Meldungen'!$C$2:$C$492,LARGE(('Eingabe Meldungen'!$A$2:$A$492=$B$62)*(ROW('Eingabe Meldungen'!$A$2:$A$492)-1),COUNTIF('Eingabe Meldungen'!$A$2:$A$492,$B$62)+1-ROW('Eingabe Meldungen'!A11)))),"",INDEX('Eingabe Meldungen'!$C$2:$C$492,LARGE(('Eingabe Meldungen'!$A$2:$A$492=$B$62)*(ROW('Eingabe Meldungen'!$A$2:$A$492)-1),COUNTIF('Eingabe Meldungen'!$A$2:$A$492,$B$62)+1-ROW('Eingabe Meldungen'!A11))))</f>
        <v>Schilling</v>
      </c>
      <c r="C73" t="str">
        <f t="array" ref="C73">IF(ISERROR(INDEX('Eingabe Meldungen'!$D$2:$D$492,LARGE(('Eingabe Meldungen'!$A$2:$A$492=$B$62)*(ROW('Eingabe Meldungen'!$A$2:$A$492)-1),COUNTIF('Eingabe Meldungen'!$A$2:$A$492,$B$62)+1-ROW('Eingabe Meldungen'!A11)))),"",INDEX('Eingabe Meldungen'!$D$2:$D$492,LARGE(('Eingabe Meldungen'!$A$2:$A$492=$B$62)*(ROW('Eingabe Meldungen'!$A$2:$A$492)-1),COUNTIF('Eingabe Meldungen'!$A$2:$A$492,$B$62)+1-ROW('Eingabe Meldungen'!A11))))</f>
        <v>Philipp</v>
      </c>
      <c r="D73" s="11">
        <f t="array" ref="D73">IF(B73&lt;&gt;"",INDEX('Eingabe Meldungen'!$C$2:$H$492,MATCH(B73&amp;C73,'Eingabe Meldungen'!$C$2:$C$492&amp;'Eingabe Meldungen'!$D$2:$D$492,0),6),"")</f>
        <v>2007</v>
      </c>
      <c r="E73" s="66" t="str">
        <f t="array" ref="E73">IF(B73&lt;&gt;"",INDEX('Eingabe Meldungen'!$C$2:$H$492,MATCH(B73&amp;C73,'Eingabe Meldungen'!$C$2:$C$492&amp;'Eingabe Meldungen'!$D$2:$D$492,0),4),"")</f>
        <v>-</v>
      </c>
      <c r="F73" s="32" t="e">
        <f>IF(VLOOKUP(B73,Rennlisten!#REF!,6,FALSE)=0,"",VLOOKUP(B73,Rennlisten!#REF!,6,FALSE))</f>
        <v>#REF!</v>
      </c>
      <c r="G73" t="e">
        <f t="shared" si="18"/>
        <v>#REF!</v>
      </c>
      <c r="H73" s="81" t="str">
        <f t="array" ref="H73">IF(B73&lt;&gt;"",INDEX('Eingabe Meldungen'!$C$2:$J$492,MATCH(B73&amp;C73,'Eingabe Meldungen'!$C$2:$C$492&amp;'Eingabe Meldungen'!$D$2:$D$492,0),8),"")</f>
        <v>Heidelberger Ruderklub</v>
      </c>
      <c r="J73" s="276" t="str">
        <f t="shared" si="16"/>
        <v/>
      </c>
      <c r="K73" s="276" t="str">
        <f t="shared" si="16"/>
        <v/>
      </c>
      <c r="L73" s="276" t="e">
        <f>IF(EXACT($H73,#REF!),$I73,"")</f>
        <v>#REF!</v>
      </c>
      <c r="M73" s="276" t="str">
        <f t="shared" si="13"/>
        <v/>
      </c>
      <c r="N73" s="276" t="str">
        <f t="shared" si="14"/>
        <v/>
      </c>
      <c r="O73" s="276" t="str">
        <f t="shared" si="19"/>
        <v/>
      </c>
      <c r="P73" s="276" t="str">
        <f t="shared" si="19"/>
        <v/>
      </c>
      <c r="Q73" s="276" t="str">
        <f t="shared" si="19"/>
        <v/>
      </c>
      <c r="R73" s="276" t="str">
        <f t="shared" si="19"/>
        <v/>
      </c>
      <c r="S73" s="276" t="str">
        <f t="shared" si="19"/>
        <v/>
      </c>
      <c r="T73" s="276" t="str">
        <f t="shared" si="19"/>
        <v/>
      </c>
      <c r="U73" s="276" t="str">
        <f t="shared" si="19"/>
        <v/>
      </c>
      <c r="V73" s="276" t="str">
        <f t="shared" si="19"/>
        <v/>
      </c>
      <c r="W73" s="276" t="str">
        <f t="shared" si="19"/>
        <v/>
      </c>
      <c r="X73" s="276" t="str">
        <f t="shared" si="19"/>
        <v/>
      </c>
      <c r="Y73" s="276" t="str">
        <f t="shared" si="19"/>
        <v/>
      </c>
      <c r="Z73" s="276" t="str">
        <f t="shared" si="19"/>
        <v/>
      </c>
      <c r="AA73" s="276" t="str">
        <f t="shared" si="19"/>
        <v/>
      </c>
      <c r="AB73" s="276" t="str">
        <f t="shared" si="19"/>
        <v/>
      </c>
      <c r="AC73" s="276" t="str">
        <f t="shared" si="19"/>
        <v/>
      </c>
      <c r="AD73" s="276" t="str">
        <f t="shared" si="19"/>
        <v/>
      </c>
      <c r="AE73" s="276"/>
      <c r="AF73" s="276"/>
      <c r="AG73" s="276" t="str">
        <f t="shared" si="19"/>
        <v/>
      </c>
      <c r="AH73" s="276" t="str">
        <f t="shared" si="19"/>
        <v/>
      </c>
      <c r="AI73" s="276" t="str">
        <f t="shared" si="19"/>
        <v/>
      </c>
      <c r="AJ73" s="247"/>
      <c r="AK73" s="247"/>
      <c r="AL73" s="247"/>
      <c r="AM73" s="247"/>
    </row>
    <row r="74" spans="2:39" hidden="1" x14ac:dyDescent="0.2">
      <c r="B74" s="20" t="str">
        <f t="array" ref="B74">IF(ISERROR(INDEX('Eingabe Meldungen'!$C$2:$C$492,LARGE(('Eingabe Meldungen'!$A$2:$A$492=$B$62)*(ROW('Eingabe Meldungen'!$A$2:$A$492)-1),COUNTIF('Eingabe Meldungen'!$A$2:$A$492,$B$62)+1-ROW('Eingabe Meldungen'!A12)))),"",INDEX('Eingabe Meldungen'!$C$2:$C$492,LARGE(('Eingabe Meldungen'!$A$2:$A$492=$B$62)*(ROW('Eingabe Meldungen'!$A$2:$A$492)-1),COUNTIF('Eingabe Meldungen'!$A$2:$A$492,$B$62)+1-ROW('Eingabe Meldungen'!A12))))</f>
        <v>Calovini</v>
      </c>
      <c r="C74" t="str">
        <f t="array" ref="C74">IF(ISERROR(INDEX('Eingabe Meldungen'!$D$2:$D$492,LARGE(('Eingabe Meldungen'!$A$2:$A$492=$B$62)*(ROW('Eingabe Meldungen'!$A$2:$A$492)-1),COUNTIF('Eingabe Meldungen'!$A$2:$A$492,$B$62)+1-ROW('Eingabe Meldungen'!A12)))),"",INDEX('Eingabe Meldungen'!$D$2:$D$492,LARGE(('Eingabe Meldungen'!$A$2:$A$492=$B$62)*(ROW('Eingabe Meldungen'!$A$2:$A$492)-1),COUNTIF('Eingabe Meldungen'!$A$2:$A$492,$B$62)+1-ROW('Eingabe Meldungen'!A12))))</f>
        <v>Samuel</v>
      </c>
      <c r="D74" s="11">
        <f t="array" ref="D74">IF(B74&lt;&gt;"",INDEX('Eingabe Meldungen'!$C$2:$H$492,MATCH(B74&amp;C74,'Eingabe Meldungen'!$C$2:$C$492&amp;'Eingabe Meldungen'!$D$2:$D$492,0),6),"")</f>
        <v>2007</v>
      </c>
      <c r="E74" s="66" t="str">
        <f t="array" ref="E74">IF(B74&lt;&gt;"",INDEX('Eingabe Meldungen'!$C$2:$H$492,MATCH(B74&amp;C74,'Eingabe Meldungen'!$C$2:$C$492&amp;'Eingabe Meldungen'!$D$2:$D$492,0),4),"")</f>
        <v>-</v>
      </c>
      <c r="F74" s="32" t="e">
        <f>IF(VLOOKUP(B74,Rennlisten!#REF!,6,FALSE)=0,"",VLOOKUP(B74,Rennlisten!#REF!,6,FALSE))</f>
        <v>#REF!</v>
      </c>
      <c r="G74" t="e">
        <f t="shared" si="18"/>
        <v>#REF!</v>
      </c>
      <c r="H74" s="81" t="str">
        <f t="array" ref="H74">IF(B74&lt;&gt;"",INDEX('Eingabe Meldungen'!$C$2:$J$492,MATCH(B74&amp;C74,'Eingabe Meldungen'!$C$2:$C$492&amp;'Eingabe Meldungen'!$D$2:$D$492,0),8),"")</f>
        <v>Marbacher Ruderverein</v>
      </c>
      <c r="J74" s="276" t="str">
        <f t="shared" si="16"/>
        <v/>
      </c>
      <c r="K74" s="276" t="str">
        <f t="shared" si="16"/>
        <v/>
      </c>
      <c r="L74" s="276" t="e">
        <f>IF(EXACT($H74,#REF!),$I74,"")</f>
        <v>#REF!</v>
      </c>
      <c r="M74" s="276" t="str">
        <f t="shared" si="13"/>
        <v/>
      </c>
      <c r="N74" s="276" t="str">
        <f t="shared" si="14"/>
        <v/>
      </c>
      <c r="O74" s="276" t="str">
        <f t="shared" si="19"/>
        <v/>
      </c>
      <c r="P74" s="276" t="str">
        <f t="shared" si="19"/>
        <v/>
      </c>
      <c r="Q74" s="276" t="str">
        <f t="shared" si="19"/>
        <v/>
      </c>
      <c r="R74" s="276" t="str">
        <f t="shared" si="19"/>
        <v/>
      </c>
      <c r="S74" s="276" t="str">
        <f t="shared" si="19"/>
        <v/>
      </c>
      <c r="T74" s="276" t="str">
        <f t="shared" si="19"/>
        <v/>
      </c>
      <c r="U74" s="276" t="str">
        <f t="shared" si="19"/>
        <v/>
      </c>
      <c r="V74" s="276" t="str">
        <f t="shared" si="19"/>
        <v/>
      </c>
      <c r="W74" s="276" t="str">
        <f t="shared" si="19"/>
        <v/>
      </c>
      <c r="X74" s="276" t="str">
        <f t="shared" si="19"/>
        <v/>
      </c>
      <c r="Y74" s="276" t="str">
        <f t="shared" si="19"/>
        <v/>
      </c>
      <c r="Z74" s="276" t="str">
        <f t="shared" si="19"/>
        <v/>
      </c>
      <c r="AA74" s="276" t="str">
        <f t="shared" si="19"/>
        <v/>
      </c>
      <c r="AB74" s="276" t="str">
        <f t="shared" si="19"/>
        <v/>
      </c>
      <c r="AC74" s="276" t="str">
        <f t="shared" si="19"/>
        <v/>
      </c>
      <c r="AD74" s="276" t="str">
        <f t="shared" si="19"/>
        <v/>
      </c>
      <c r="AE74" s="276"/>
      <c r="AF74" s="276"/>
      <c r="AG74" s="276" t="str">
        <f t="shared" si="19"/>
        <v/>
      </c>
      <c r="AH74" s="276" t="str">
        <f t="shared" si="19"/>
        <v/>
      </c>
      <c r="AI74" s="276" t="str">
        <f t="shared" si="19"/>
        <v/>
      </c>
      <c r="AJ74" s="247"/>
      <c r="AK74" s="247"/>
      <c r="AL74" s="247"/>
      <c r="AM74" s="247"/>
    </row>
    <row r="75" spans="2:39" hidden="1" x14ac:dyDescent="0.2">
      <c r="B75" s="20" t="str">
        <f t="array" ref="B75">IF(ISERROR(INDEX('Eingabe Meldungen'!$C$2:$C$492,LARGE(('Eingabe Meldungen'!$A$2:$A$492=$B$62)*(ROW('Eingabe Meldungen'!$A$2:$A$492)-1),COUNTIF('Eingabe Meldungen'!$A$2:$A$492,$B$62)+1-ROW('Eingabe Meldungen'!A13)))),"",INDEX('Eingabe Meldungen'!$C$2:$C$492,LARGE(('Eingabe Meldungen'!$A$2:$A$492=$B$62)*(ROW('Eingabe Meldungen'!$A$2:$A$492)-1),COUNTIF('Eingabe Meldungen'!$A$2:$A$492,$B$62)+1-ROW('Eingabe Meldungen'!A13))))</f>
        <v/>
      </c>
      <c r="C75" t="str">
        <f t="array" ref="C75">IF(ISERROR(INDEX('Eingabe Meldungen'!$D$2:$D$492,LARGE(('Eingabe Meldungen'!$A$2:$A$492=$B$62)*(ROW('Eingabe Meldungen'!$A$2:$A$492)-1),COUNTIF('Eingabe Meldungen'!$A$2:$A$492,$B$62)+1-ROW('Eingabe Meldungen'!A13)))),"",INDEX('Eingabe Meldungen'!$D$2:$D$492,LARGE(('Eingabe Meldungen'!$A$2:$A$492=$B$62)*(ROW('Eingabe Meldungen'!$A$2:$A$492)-1),COUNTIF('Eingabe Meldungen'!$A$2:$A$492,$B$62)+1-ROW('Eingabe Meldungen'!A13))))</f>
        <v/>
      </c>
      <c r="D75" s="11" t="str">
        <f t="array" ref="D75">IF(B75&lt;&gt;"",INDEX('Eingabe Meldungen'!$C$2:$H$492,MATCH(B75&amp;C75,'Eingabe Meldungen'!$C$2:$C$492&amp;'Eingabe Meldungen'!$D$2:$D$492,0),6),"")</f>
        <v/>
      </c>
      <c r="E75" s="66" t="str">
        <f t="array" ref="E75">IF(B75&lt;&gt;"",INDEX('Eingabe Meldungen'!$C$2:$H$492,MATCH(B75&amp;C75,'Eingabe Meldungen'!$C$2:$C$492&amp;'Eingabe Meldungen'!$D$2:$D$492,0),4),"")</f>
        <v/>
      </c>
      <c r="F75" s="32" t="e">
        <f>IF(VLOOKUP(B75,Rennlisten!#REF!,6,FALSE)=0,"",VLOOKUP(B75,Rennlisten!#REF!,6,FALSE))</f>
        <v>#REF!</v>
      </c>
      <c r="G75" t="e">
        <f t="shared" si="18"/>
        <v>#REF!</v>
      </c>
      <c r="H75" s="81" t="str">
        <f t="array" ref="H75">IF(B75&lt;&gt;"",INDEX('Eingabe Meldungen'!$C$2:$J$492,MATCH(B75&amp;C75,'Eingabe Meldungen'!$C$2:$C$492&amp;'Eingabe Meldungen'!$D$2:$D$492,0),8),"")</f>
        <v/>
      </c>
      <c r="J75" s="276" t="str">
        <f t="shared" si="16"/>
        <v/>
      </c>
      <c r="K75" s="276" t="str">
        <f t="shared" si="16"/>
        <v/>
      </c>
      <c r="L75" s="276" t="e">
        <f>IF(EXACT($H75,#REF!),$I75,"")</f>
        <v>#REF!</v>
      </c>
      <c r="M75" s="276" t="str">
        <f t="shared" si="13"/>
        <v/>
      </c>
      <c r="N75" s="276" t="str">
        <f t="shared" si="14"/>
        <v/>
      </c>
      <c r="O75" s="276" t="str">
        <f t="shared" si="19"/>
        <v/>
      </c>
      <c r="P75" s="276" t="str">
        <f t="shared" si="19"/>
        <v/>
      </c>
      <c r="Q75" s="276" t="str">
        <f t="shared" si="19"/>
        <v/>
      </c>
      <c r="R75" s="276" t="str">
        <f t="shared" si="19"/>
        <v/>
      </c>
      <c r="S75" s="276" t="str">
        <f t="shared" si="19"/>
        <v/>
      </c>
      <c r="T75" s="276" t="str">
        <f t="shared" si="19"/>
        <v/>
      </c>
      <c r="U75" s="276" t="str">
        <f t="shared" si="19"/>
        <v/>
      </c>
      <c r="V75" s="276" t="str">
        <f t="shared" si="19"/>
        <v/>
      </c>
      <c r="W75" s="276">
        <f t="shared" si="19"/>
        <v>0</v>
      </c>
      <c r="X75" s="276">
        <f t="shared" si="19"/>
        <v>0</v>
      </c>
      <c r="Y75" s="276">
        <f t="shared" si="19"/>
        <v>0</v>
      </c>
      <c r="Z75" s="276">
        <f t="shared" si="19"/>
        <v>0</v>
      </c>
      <c r="AA75" s="276">
        <f t="shared" si="19"/>
        <v>0</v>
      </c>
      <c r="AB75" s="276">
        <f t="shared" si="19"/>
        <v>0</v>
      </c>
      <c r="AC75" s="276">
        <f t="shared" si="19"/>
        <v>0</v>
      </c>
      <c r="AD75" s="276">
        <f t="shared" si="19"/>
        <v>0</v>
      </c>
      <c r="AE75" s="276"/>
      <c r="AF75" s="276"/>
      <c r="AG75" s="276">
        <f t="shared" si="19"/>
        <v>0</v>
      </c>
      <c r="AH75" s="276">
        <f t="shared" si="19"/>
        <v>0</v>
      </c>
      <c r="AI75" s="276">
        <f t="shared" si="19"/>
        <v>0</v>
      </c>
      <c r="AJ75" s="247"/>
      <c r="AK75" s="247"/>
      <c r="AL75" s="247"/>
      <c r="AM75" s="247"/>
    </row>
    <row r="76" spans="2:39" hidden="1" x14ac:dyDescent="0.2">
      <c r="B76" s="20" t="str">
        <f t="array" ref="B76">IF(ISERROR(INDEX('Eingabe Meldungen'!$C$2:$C$492,LARGE(('Eingabe Meldungen'!$A$2:$A$492=$B$62)*(ROW('Eingabe Meldungen'!$A$2:$A$492)-1),COUNTIF('Eingabe Meldungen'!$A$2:$A$492,$B$62)+1-ROW('Eingabe Meldungen'!A14)))),"",INDEX('Eingabe Meldungen'!$C$2:$C$492,LARGE(('Eingabe Meldungen'!$A$2:$A$492=$B$62)*(ROW('Eingabe Meldungen'!$A$2:$A$492)-1),COUNTIF('Eingabe Meldungen'!$A$2:$A$492,$B$62)+1-ROW('Eingabe Meldungen'!A14))))</f>
        <v/>
      </c>
      <c r="C76" t="str">
        <f t="array" ref="C76">IF(ISERROR(INDEX('Eingabe Meldungen'!$D$2:$D$492,LARGE(('Eingabe Meldungen'!$A$2:$A$492=$B$62)*(ROW('Eingabe Meldungen'!$A$2:$A$492)-1),COUNTIF('Eingabe Meldungen'!$A$2:$A$492,$B$62)+1-ROW('Eingabe Meldungen'!A14)))),"",INDEX('Eingabe Meldungen'!$D$2:$D$492,LARGE(('Eingabe Meldungen'!$A$2:$A$492=$B$62)*(ROW('Eingabe Meldungen'!$A$2:$A$492)-1),COUNTIF('Eingabe Meldungen'!$A$2:$A$492,$B$62)+1-ROW('Eingabe Meldungen'!A14))))</f>
        <v/>
      </c>
      <c r="D76" s="11" t="str">
        <f t="array" ref="D76">IF(B76&lt;&gt;"",INDEX('Eingabe Meldungen'!$C$2:$H$492,MATCH(B76&amp;C76,'Eingabe Meldungen'!$C$2:$C$492&amp;'Eingabe Meldungen'!$D$2:$D$492,0),6),"")</f>
        <v/>
      </c>
      <c r="E76" s="66" t="str">
        <f t="array" ref="E76">IF(B76&lt;&gt;"",INDEX('Eingabe Meldungen'!$C$2:$H$492,MATCH(B76&amp;C76,'Eingabe Meldungen'!$C$2:$C$492&amp;'Eingabe Meldungen'!$D$2:$D$492,0),4),"")</f>
        <v/>
      </c>
      <c r="F76" s="32" t="e">
        <f>IF(VLOOKUP(B76,Rennlisten!#REF!,6,FALSE)=0,"",VLOOKUP(B76,Rennlisten!#REF!,6,FALSE))</f>
        <v>#REF!</v>
      </c>
      <c r="G76" t="e">
        <f t="shared" si="18"/>
        <v>#REF!</v>
      </c>
      <c r="H76" s="81" t="str">
        <f t="array" ref="H76">IF(B76&lt;&gt;"",INDEX('Eingabe Meldungen'!$C$2:$J$492,MATCH(B76&amp;C76,'Eingabe Meldungen'!$C$2:$C$492&amp;'Eingabe Meldungen'!$D$2:$D$492,0),8),"")</f>
        <v/>
      </c>
      <c r="J76" s="276" t="str">
        <f t="shared" si="16"/>
        <v/>
      </c>
      <c r="K76" s="276" t="str">
        <f t="shared" si="16"/>
        <v/>
      </c>
      <c r="L76" s="276" t="e">
        <f>IF(EXACT($H76,#REF!),$I76,"")</f>
        <v>#REF!</v>
      </c>
      <c r="M76" s="276" t="str">
        <f t="shared" si="13"/>
        <v/>
      </c>
      <c r="N76" s="276" t="str">
        <f t="shared" si="14"/>
        <v/>
      </c>
      <c r="O76" s="276" t="str">
        <f t="shared" si="19"/>
        <v/>
      </c>
      <c r="P76" s="276" t="str">
        <f t="shared" si="19"/>
        <v/>
      </c>
      <c r="Q76" s="276" t="str">
        <f t="shared" si="19"/>
        <v/>
      </c>
      <c r="R76" s="276" t="str">
        <f t="shared" si="19"/>
        <v/>
      </c>
      <c r="S76" s="276" t="str">
        <f t="shared" si="19"/>
        <v/>
      </c>
      <c r="T76" s="276" t="str">
        <f t="shared" si="19"/>
        <v/>
      </c>
      <c r="U76" s="276" t="str">
        <f t="shared" si="19"/>
        <v/>
      </c>
      <c r="V76" s="276" t="str">
        <f t="shared" si="19"/>
        <v/>
      </c>
      <c r="W76" s="276">
        <f t="shared" si="19"/>
        <v>0</v>
      </c>
      <c r="X76" s="276">
        <f t="shared" si="19"/>
        <v>0</v>
      </c>
      <c r="Y76" s="276">
        <f t="shared" si="19"/>
        <v>0</v>
      </c>
      <c r="Z76" s="276">
        <f t="shared" si="19"/>
        <v>0</v>
      </c>
      <c r="AA76" s="276">
        <f t="shared" si="19"/>
        <v>0</v>
      </c>
      <c r="AB76" s="276">
        <f t="shared" si="19"/>
        <v>0</v>
      </c>
      <c r="AC76" s="276">
        <f t="shared" si="19"/>
        <v>0</v>
      </c>
      <c r="AD76" s="276">
        <f t="shared" si="19"/>
        <v>0</v>
      </c>
      <c r="AE76" s="276"/>
      <c r="AF76" s="276"/>
      <c r="AG76" s="276">
        <f t="shared" si="19"/>
        <v>0</v>
      </c>
      <c r="AH76" s="276">
        <f t="shared" si="19"/>
        <v>0</v>
      </c>
      <c r="AI76" s="276">
        <f t="shared" si="19"/>
        <v>0</v>
      </c>
      <c r="AJ76" s="247"/>
      <c r="AK76" s="247"/>
      <c r="AL76" s="247"/>
      <c r="AM76" s="247"/>
    </row>
    <row r="77" spans="2:39" hidden="1" x14ac:dyDescent="0.2">
      <c r="B77" s="20" t="str">
        <f t="array" ref="B77">IF(ISERROR(INDEX('Eingabe Meldungen'!$C$2:$C$492,LARGE(('Eingabe Meldungen'!$A$2:$A$492=$B$62)*(ROW('Eingabe Meldungen'!$A$2:$A$492)-1),COUNTIF('Eingabe Meldungen'!$A$2:$A$492,$B$62)+1-ROW('Eingabe Meldungen'!A15)))),"",INDEX('Eingabe Meldungen'!$C$2:$C$492,LARGE(('Eingabe Meldungen'!$A$2:$A$492=$B$62)*(ROW('Eingabe Meldungen'!$A$2:$A$492)-1),COUNTIF('Eingabe Meldungen'!$A$2:$A$492,$B$62)+1-ROW('Eingabe Meldungen'!A15))))</f>
        <v/>
      </c>
      <c r="C77" t="str">
        <f t="array" ref="C77">IF(ISERROR(INDEX('Eingabe Meldungen'!$D$2:$D$492,LARGE(('Eingabe Meldungen'!$A$2:$A$492=$B$62)*(ROW('Eingabe Meldungen'!$A$2:$A$492)-1),COUNTIF('Eingabe Meldungen'!$A$2:$A$492,$B$62)+1-ROW('Eingabe Meldungen'!A15)))),"",INDEX('Eingabe Meldungen'!$D$2:$D$492,LARGE(('Eingabe Meldungen'!$A$2:$A$492=$B$62)*(ROW('Eingabe Meldungen'!$A$2:$A$492)-1),COUNTIF('Eingabe Meldungen'!$A$2:$A$492,$B$62)+1-ROW('Eingabe Meldungen'!A15))))</f>
        <v/>
      </c>
      <c r="D77" s="11" t="str">
        <f t="array" ref="D77">IF(B77&lt;&gt;"",INDEX('Eingabe Meldungen'!$C$2:$H$492,MATCH(B77&amp;C77,'Eingabe Meldungen'!$C$2:$C$492&amp;'Eingabe Meldungen'!$D$2:$D$492,0),6),"")</f>
        <v/>
      </c>
      <c r="E77" s="66" t="str">
        <f t="array" ref="E77">IF(B77&lt;&gt;"",INDEX('Eingabe Meldungen'!$C$2:$H$492,MATCH(B77&amp;C77,'Eingabe Meldungen'!$C$2:$C$492&amp;'Eingabe Meldungen'!$D$2:$D$492,0),4),"")</f>
        <v/>
      </c>
      <c r="F77" s="32" t="e">
        <f>IF(VLOOKUP(B77,Rennlisten!#REF!,6,FALSE)=0,"",VLOOKUP(B77,Rennlisten!#REF!,6,FALSE))</f>
        <v>#REF!</v>
      </c>
      <c r="G77" t="e">
        <f t="shared" si="18"/>
        <v>#REF!</v>
      </c>
      <c r="H77" s="81" t="str">
        <f t="array" ref="H77">IF(B77&lt;&gt;"",INDEX('Eingabe Meldungen'!$C$2:$J$492,MATCH(B77&amp;C77,'Eingabe Meldungen'!$C$2:$C$492&amp;'Eingabe Meldungen'!$D$2:$D$492,0),8),"")</f>
        <v/>
      </c>
      <c r="J77" s="276" t="str">
        <f t="shared" si="16"/>
        <v/>
      </c>
      <c r="K77" s="276" t="str">
        <f t="shared" si="16"/>
        <v/>
      </c>
      <c r="L77" s="276" t="e">
        <f>IF(EXACT($H77,#REF!),$I77,"")</f>
        <v>#REF!</v>
      </c>
      <c r="M77" s="276" t="str">
        <f t="shared" si="13"/>
        <v/>
      </c>
      <c r="N77" s="276" t="str">
        <f t="shared" si="14"/>
        <v/>
      </c>
      <c r="O77" s="276" t="str">
        <f t="shared" si="19"/>
        <v/>
      </c>
      <c r="P77" s="276" t="str">
        <f t="shared" si="19"/>
        <v/>
      </c>
      <c r="Q77" s="276" t="str">
        <f t="shared" si="19"/>
        <v/>
      </c>
      <c r="R77" s="276" t="str">
        <f t="shared" si="19"/>
        <v/>
      </c>
      <c r="S77" s="276" t="str">
        <f t="shared" si="19"/>
        <v/>
      </c>
      <c r="T77" s="276" t="str">
        <f t="shared" si="19"/>
        <v/>
      </c>
      <c r="U77" s="276" t="str">
        <f t="shared" si="19"/>
        <v/>
      </c>
      <c r="V77" s="276" t="str">
        <f t="shared" si="19"/>
        <v/>
      </c>
      <c r="W77" s="276">
        <f t="shared" si="19"/>
        <v>0</v>
      </c>
      <c r="X77" s="276">
        <f t="shared" si="19"/>
        <v>0</v>
      </c>
      <c r="Y77" s="276">
        <f t="shared" si="19"/>
        <v>0</v>
      </c>
      <c r="Z77" s="276">
        <f t="shared" si="19"/>
        <v>0</v>
      </c>
      <c r="AA77" s="276">
        <f t="shared" si="19"/>
        <v>0</v>
      </c>
      <c r="AB77" s="276">
        <f t="shared" si="19"/>
        <v>0</v>
      </c>
      <c r="AC77" s="276">
        <f t="shared" si="19"/>
        <v>0</v>
      </c>
      <c r="AD77" s="276">
        <f t="shared" si="19"/>
        <v>0</v>
      </c>
      <c r="AE77" s="276"/>
      <c r="AF77" s="276"/>
      <c r="AG77" s="276">
        <f t="shared" si="19"/>
        <v>0</v>
      </c>
      <c r="AH77" s="276">
        <f t="shared" si="19"/>
        <v>0</v>
      </c>
      <c r="AI77" s="276">
        <f t="shared" si="19"/>
        <v>0</v>
      </c>
      <c r="AJ77" s="247"/>
      <c r="AK77" s="247"/>
      <c r="AL77" s="247"/>
      <c r="AM77" s="247"/>
    </row>
    <row r="78" spans="2:39" hidden="1" x14ac:dyDescent="0.2">
      <c r="B78" s="20" t="str">
        <f t="array" ref="B78">IF(ISERROR(INDEX('Eingabe Meldungen'!$C$2:$C$492,LARGE(('Eingabe Meldungen'!$A$2:$A$492=$B$62)*(ROW('Eingabe Meldungen'!$A$2:$A$492)-1),COUNTIF('Eingabe Meldungen'!$A$2:$A$492,$B$62)+1-ROW('Eingabe Meldungen'!A16)))),"",INDEX('Eingabe Meldungen'!$C$2:$C$492,LARGE(('Eingabe Meldungen'!$A$2:$A$492=$B$62)*(ROW('Eingabe Meldungen'!$A$2:$A$492)-1),COUNTIF('Eingabe Meldungen'!$A$2:$A$492,$B$62)+1-ROW('Eingabe Meldungen'!A16))))</f>
        <v/>
      </c>
      <c r="C78" t="str">
        <f t="array" ref="C78">IF(ISERROR(INDEX('Eingabe Meldungen'!$D$2:$D$492,LARGE(('Eingabe Meldungen'!$A$2:$A$492=$B$62)*(ROW('Eingabe Meldungen'!$A$2:$A$492)-1),COUNTIF('Eingabe Meldungen'!$A$2:$A$492,$B$62)+1-ROW('Eingabe Meldungen'!A16)))),"",INDEX('Eingabe Meldungen'!$D$2:$D$492,LARGE(('Eingabe Meldungen'!$A$2:$A$492=$B$62)*(ROW('Eingabe Meldungen'!$A$2:$A$492)-1),COUNTIF('Eingabe Meldungen'!$A$2:$A$492,$B$62)+1-ROW('Eingabe Meldungen'!A16))))</f>
        <v/>
      </c>
      <c r="D78" s="11" t="str">
        <f t="array" ref="D78">IF(B78&lt;&gt;"",INDEX('Eingabe Meldungen'!$C$2:$H$492,MATCH(B78&amp;C78,'Eingabe Meldungen'!$C$2:$C$492&amp;'Eingabe Meldungen'!$D$2:$D$492,0),6),"")</f>
        <v/>
      </c>
      <c r="E78" s="66" t="str">
        <f t="array" ref="E78">IF(B78&lt;&gt;"",INDEX('Eingabe Meldungen'!$C$2:$H$492,MATCH(B78&amp;C78,'Eingabe Meldungen'!$C$2:$C$492&amp;'Eingabe Meldungen'!$D$2:$D$492,0),4),"")</f>
        <v/>
      </c>
      <c r="F78" s="32" t="e">
        <f>IF(VLOOKUP(B78,Rennlisten!#REF!,6,FALSE)=0,"",VLOOKUP(B78,Rennlisten!#REF!,6,FALSE))</f>
        <v>#REF!</v>
      </c>
      <c r="G78" t="e">
        <f t="shared" si="18"/>
        <v>#REF!</v>
      </c>
      <c r="H78" s="81" t="str">
        <f t="array" ref="H78">IF(B78&lt;&gt;"",INDEX('Eingabe Meldungen'!$C$2:$J$492,MATCH(B78&amp;C78,'Eingabe Meldungen'!$C$2:$C$492&amp;'Eingabe Meldungen'!$D$2:$D$492,0),8),"")</f>
        <v/>
      </c>
      <c r="J78" s="276" t="str">
        <f t="shared" si="16"/>
        <v/>
      </c>
      <c r="K78" s="276" t="str">
        <f t="shared" si="16"/>
        <v/>
      </c>
      <c r="L78" s="276" t="e">
        <f>IF(EXACT($H78,#REF!),$I78,"")</f>
        <v>#REF!</v>
      </c>
      <c r="M78" s="276" t="str">
        <f t="shared" si="13"/>
        <v/>
      </c>
      <c r="N78" s="276" t="str">
        <f t="shared" si="14"/>
        <v/>
      </c>
      <c r="O78" s="276" t="str">
        <f t="shared" si="19"/>
        <v/>
      </c>
      <c r="P78" s="276" t="str">
        <f t="shared" si="19"/>
        <v/>
      </c>
      <c r="Q78" s="276" t="str">
        <f t="shared" si="19"/>
        <v/>
      </c>
      <c r="R78" s="276" t="str">
        <f t="shared" si="19"/>
        <v/>
      </c>
      <c r="S78" s="276" t="str">
        <f t="shared" si="19"/>
        <v/>
      </c>
      <c r="T78" s="276" t="str">
        <f t="shared" si="19"/>
        <v/>
      </c>
      <c r="U78" s="276" t="str">
        <f t="shared" si="19"/>
        <v/>
      </c>
      <c r="V78" s="276" t="str">
        <f t="shared" si="19"/>
        <v/>
      </c>
      <c r="W78" s="276">
        <f t="shared" si="19"/>
        <v>0</v>
      </c>
      <c r="X78" s="276">
        <f t="shared" si="19"/>
        <v>0</v>
      </c>
      <c r="Y78" s="276">
        <f t="shared" si="19"/>
        <v>0</v>
      </c>
      <c r="Z78" s="276">
        <f t="shared" si="19"/>
        <v>0</v>
      </c>
      <c r="AA78" s="276">
        <f t="shared" si="19"/>
        <v>0</v>
      </c>
      <c r="AB78" s="276">
        <f t="shared" si="19"/>
        <v>0</v>
      </c>
      <c r="AC78" s="276">
        <f t="shared" si="19"/>
        <v>0</v>
      </c>
      <c r="AD78" s="276">
        <f t="shared" si="19"/>
        <v>0</v>
      </c>
      <c r="AE78" s="276"/>
      <c r="AF78" s="276"/>
      <c r="AG78" s="276">
        <f t="shared" si="19"/>
        <v>0</v>
      </c>
      <c r="AH78" s="276">
        <f t="shared" si="19"/>
        <v>0</v>
      </c>
      <c r="AI78" s="276">
        <f t="shared" si="19"/>
        <v>0</v>
      </c>
      <c r="AJ78" s="247"/>
      <c r="AK78" s="247"/>
      <c r="AL78" s="247"/>
      <c r="AM78" s="247"/>
    </row>
    <row r="79" spans="2:39" hidden="1" x14ac:dyDescent="0.2">
      <c r="B79" s="20" t="str">
        <f t="array" ref="B79">IF(ISERROR(INDEX('Eingabe Meldungen'!$C$2:$C$492,LARGE(('Eingabe Meldungen'!$A$2:$A$492=$B$62)*(ROW('Eingabe Meldungen'!$A$2:$A$492)-1),COUNTIF('Eingabe Meldungen'!$A$2:$A$492,$B$62)+1-ROW('Eingabe Meldungen'!A17)))),"",INDEX('Eingabe Meldungen'!$C$2:$C$492,LARGE(('Eingabe Meldungen'!$A$2:$A$492=$B$62)*(ROW('Eingabe Meldungen'!$A$2:$A$492)-1),COUNTIF('Eingabe Meldungen'!$A$2:$A$492,$B$62)+1-ROW('Eingabe Meldungen'!A17))))</f>
        <v/>
      </c>
      <c r="C79" t="str">
        <f t="array" ref="C79">IF(ISERROR(INDEX('Eingabe Meldungen'!$D$2:$D$492,LARGE(('Eingabe Meldungen'!$A$2:$A$492=$B$62)*(ROW('Eingabe Meldungen'!$A$2:$A$492)-1),COUNTIF('Eingabe Meldungen'!$A$2:$A$492,$B$62)+1-ROW('Eingabe Meldungen'!A17)))),"",INDEX('Eingabe Meldungen'!$D$2:$D$492,LARGE(('Eingabe Meldungen'!$A$2:$A$492=$B$62)*(ROW('Eingabe Meldungen'!$A$2:$A$492)-1),COUNTIF('Eingabe Meldungen'!$A$2:$A$492,$B$62)+1-ROW('Eingabe Meldungen'!A17))))</f>
        <v/>
      </c>
      <c r="D79" s="11" t="str">
        <f t="array" ref="D79">IF(B79&lt;&gt;"",INDEX('Eingabe Meldungen'!$C$2:$H$492,MATCH(B79&amp;C79,'Eingabe Meldungen'!$C$2:$C$492&amp;'Eingabe Meldungen'!$D$2:$D$492,0),6),"")</f>
        <v/>
      </c>
      <c r="E79" s="66" t="str">
        <f t="array" ref="E79">IF(B79&lt;&gt;"",INDEX('Eingabe Meldungen'!$C$2:$H$492,MATCH(B79&amp;C79,'Eingabe Meldungen'!$C$2:$C$492&amp;'Eingabe Meldungen'!$D$2:$D$492,0),4),"")</f>
        <v/>
      </c>
      <c r="F79" s="32" t="e">
        <f>IF(VLOOKUP(B79,Rennlisten!#REF!,6,FALSE)=0,"",VLOOKUP(B79,Rennlisten!#REF!,6,FALSE))</f>
        <v>#REF!</v>
      </c>
      <c r="G79" t="e">
        <f t="shared" ref="G79" si="20">RANK(F79,$F$64:$F$79,1)</f>
        <v>#REF!</v>
      </c>
      <c r="H79" s="81" t="str">
        <f t="array" ref="H79">IF(B79&lt;&gt;"",INDEX('Eingabe Meldungen'!$C$2:$J$492,MATCH(B79&amp;C79,'Eingabe Meldungen'!$C$2:$C$492&amp;'Eingabe Meldungen'!$D$2:$D$492,0),8),"")</f>
        <v/>
      </c>
      <c r="I79" s="2"/>
      <c r="J79" s="276" t="str">
        <f t="shared" si="16"/>
        <v/>
      </c>
      <c r="K79" s="276" t="str">
        <f t="shared" si="16"/>
        <v/>
      </c>
      <c r="L79" s="276" t="e">
        <f>IF(EXACT($H79,#REF!),$I79,"")</f>
        <v>#REF!</v>
      </c>
      <c r="M79" s="276" t="str">
        <f t="shared" ref="M79" si="21">IF(EXACT($H79,L$4),$I79,"")</f>
        <v/>
      </c>
      <c r="N79" s="276" t="str">
        <f t="shared" si="14"/>
        <v/>
      </c>
      <c r="O79" s="276" t="str">
        <f t="shared" si="19"/>
        <v/>
      </c>
      <c r="P79" s="276" t="str">
        <f t="shared" si="19"/>
        <v/>
      </c>
      <c r="Q79" s="276" t="str">
        <f t="shared" si="19"/>
        <v/>
      </c>
      <c r="R79" s="276" t="str">
        <f t="shared" si="19"/>
        <v/>
      </c>
      <c r="S79" s="276" t="str">
        <f t="shared" si="19"/>
        <v/>
      </c>
      <c r="T79" s="276" t="str">
        <f t="shared" si="19"/>
        <v/>
      </c>
      <c r="U79" s="276" t="str">
        <f t="shared" si="19"/>
        <v/>
      </c>
      <c r="V79" s="276" t="str">
        <f t="shared" si="19"/>
        <v/>
      </c>
      <c r="W79" s="276">
        <f t="shared" si="19"/>
        <v>0</v>
      </c>
      <c r="X79" s="276">
        <f t="shared" si="19"/>
        <v>0</v>
      </c>
      <c r="Y79" s="276">
        <f t="shared" si="19"/>
        <v>0</v>
      </c>
      <c r="Z79" s="276">
        <f t="shared" si="19"/>
        <v>0</v>
      </c>
      <c r="AA79" s="276">
        <f t="shared" si="19"/>
        <v>0</v>
      </c>
      <c r="AB79" s="276">
        <f t="shared" si="19"/>
        <v>0</v>
      </c>
      <c r="AC79" s="276">
        <f t="shared" si="19"/>
        <v>0</v>
      </c>
      <c r="AD79" s="276">
        <f t="shared" si="19"/>
        <v>0</v>
      </c>
      <c r="AE79" s="276"/>
      <c r="AF79" s="276"/>
      <c r="AG79" s="276">
        <f t="shared" si="19"/>
        <v>0</v>
      </c>
      <c r="AH79" s="276">
        <f t="shared" si="19"/>
        <v>0</v>
      </c>
      <c r="AI79" s="276">
        <f t="shared" si="19"/>
        <v>0</v>
      </c>
      <c r="AJ79" s="247"/>
      <c r="AK79" s="247"/>
      <c r="AL79" s="247"/>
      <c r="AM79" s="247"/>
    </row>
    <row r="80" spans="2:39" ht="13.2" thickBot="1" x14ac:dyDescent="0.25">
      <c r="B80" s="17"/>
      <c r="C80" s="18"/>
      <c r="D80" s="17"/>
      <c r="E80" s="16"/>
      <c r="F80" s="17"/>
      <c r="G80" s="17"/>
      <c r="H80" s="16"/>
      <c r="I80" s="2"/>
      <c r="J80" s="247"/>
      <c r="K80" s="247"/>
      <c r="L80" s="247"/>
      <c r="M80" s="247"/>
      <c r="N80" s="247"/>
      <c r="O80" s="247"/>
      <c r="P80" s="247"/>
      <c r="Q80" s="247"/>
      <c r="R80" s="247"/>
      <c r="S80" s="247"/>
      <c r="T80" s="247"/>
      <c r="U80" s="247"/>
      <c r="V80" s="247"/>
      <c r="W80" s="247"/>
      <c r="X80" s="247"/>
      <c r="Y80" s="247"/>
      <c r="Z80" s="247"/>
      <c r="AA80" s="247"/>
      <c r="AB80" s="247"/>
      <c r="AC80" s="247"/>
      <c r="AD80" s="247"/>
      <c r="AE80" s="247"/>
      <c r="AF80" s="247"/>
      <c r="AG80" s="247"/>
      <c r="AH80" s="247"/>
      <c r="AI80" s="247"/>
      <c r="AJ80" s="247"/>
      <c r="AK80" s="247"/>
      <c r="AL80" s="247"/>
      <c r="AM80" s="247"/>
    </row>
    <row r="81" spans="2:39" s="316" customFormat="1" ht="26.25" customHeight="1" x14ac:dyDescent="0.2">
      <c r="B81" s="326">
        <v>1</v>
      </c>
      <c r="C81" s="327" t="str">
        <f>VLOOKUP(B81,Ausschreibung!$B$5:$I$35,2,FALSE)</f>
        <v>Ergocup</v>
      </c>
      <c r="D81" s="328">
        <f>VLOOKUP(B81,Ausschreibung!$B$5:$I$35,3,FALSE)</f>
        <v>0.375</v>
      </c>
      <c r="E81" s="327" t="str">
        <f>VLOOKUP(B81,Ausschreibung!$B$5:$I$35,4,FALSE)</f>
        <v>Masters A-H, weiblich  </v>
      </c>
      <c r="F81" s="329" t="str">
        <f>VLOOKUP(B81,Ausschreibung!$B$5:$I$35,5,FALSE)</f>
        <v>-</v>
      </c>
      <c r="G81" s="330" t="str">
        <f>VLOOKUP(B81,Ausschreibung!$B$5:$I$35,6,FALSE)</f>
        <v>27 und älter  </v>
      </c>
      <c r="H81" s="331" t="str">
        <f>VLOOKUP(B81,Ausschreibung!$B$5:$I$35,8,FALSE)</f>
        <v>30 min.</v>
      </c>
      <c r="J81" s="332"/>
      <c r="K81" s="332"/>
      <c r="L81" s="332"/>
      <c r="M81" s="332"/>
      <c r="N81" s="332"/>
      <c r="O81" s="332"/>
      <c r="P81" s="332"/>
      <c r="Q81" s="332"/>
      <c r="R81" s="332"/>
      <c r="S81" s="332"/>
      <c r="T81" s="332"/>
      <c r="U81" s="332"/>
      <c r="V81" s="332"/>
      <c r="W81" s="332"/>
      <c r="X81" s="332"/>
      <c r="Y81" s="332"/>
      <c r="Z81" s="332"/>
      <c r="AA81" s="332"/>
      <c r="AB81" s="332"/>
      <c r="AC81" s="332"/>
      <c r="AD81" s="332"/>
      <c r="AE81" s="332"/>
      <c r="AF81" s="332"/>
      <c r="AG81" s="332"/>
      <c r="AH81" s="332"/>
      <c r="AI81" s="332"/>
      <c r="AJ81" s="333"/>
      <c r="AK81" s="333"/>
      <c r="AL81" s="333"/>
      <c r="AM81" s="333"/>
    </row>
    <row r="82" spans="2:39" s="316" customFormat="1" ht="26.25" customHeight="1" x14ac:dyDescent="0.2">
      <c r="B82" s="334" t="s">
        <v>1</v>
      </c>
      <c r="C82" s="335" t="s">
        <v>2</v>
      </c>
      <c r="D82" s="336" t="s">
        <v>49</v>
      </c>
      <c r="E82" s="381" t="s">
        <v>16</v>
      </c>
      <c r="F82" s="337" t="s">
        <v>50</v>
      </c>
      <c r="G82" s="338" t="s">
        <v>51</v>
      </c>
      <c r="H82" s="339" t="s">
        <v>17</v>
      </c>
      <c r="J82" s="332"/>
      <c r="K82" s="332"/>
      <c r="L82" s="332"/>
      <c r="M82" s="332"/>
      <c r="N82" s="332"/>
      <c r="O82" s="332"/>
      <c r="P82" s="332"/>
      <c r="Q82" s="332"/>
      <c r="R82" s="332"/>
      <c r="S82" s="332"/>
      <c r="T82" s="332"/>
      <c r="U82" s="332"/>
      <c r="V82" s="332"/>
      <c r="W82" s="332"/>
      <c r="X82" s="332"/>
      <c r="Y82" s="332"/>
      <c r="Z82" s="332"/>
      <c r="AA82" s="332"/>
      <c r="AB82" s="332"/>
      <c r="AC82" s="332"/>
      <c r="AD82" s="332"/>
      <c r="AE82" s="332"/>
      <c r="AF82" s="332"/>
      <c r="AG82" s="332"/>
      <c r="AH82" s="332"/>
      <c r="AI82" s="332"/>
      <c r="AJ82" s="333"/>
      <c r="AK82" s="333"/>
      <c r="AL82" s="333"/>
      <c r="AM82" s="333"/>
    </row>
    <row r="83" spans="2:39" s="316" customFormat="1" ht="26.25" customHeight="1" x14ac:dyDescent="0.2">
      <c r="B83" s="340" t="str">
        <f t="array" ref="B83">IF(ISERROR(INDEX('Eingabe Meldungen'!$C$2:$C$492,LARGE(('Eingabe Meldungen'!$A$2:$A$492=$B$81)*(ROW('Eingabe Meldungen'!$A$2:$A$492)-1),COUNTIF('Eingabe Meldungen'!$A$2:$A$492,$B$81)+1-ROW('Eingabe Meldungen'!A1)))),"",INDEX('Eingabe Meldungen'!$C$2:$C$492,LARGE(('Eingabe Meldungen'!$A$2:$A$492=$B$81)*(ROW('Eingabe Meldungen'!$A$2:$A$492)-1),COUNTIF('Eingabe Meldungen'!$A$2:$A$492,$B$81)+1-ROW('Eingabe Meldungen'!A1))))</f>
        <v>Reinert</v>
      </c>
      <c r="C83" s="316" t="str">
        <f t="array" ref="C83">IF(ISERROR(INDEX('Eingabe Meldungen'!$D$2:$D$492,LARGE(('Eingabe Meldungen'!$A$2:$A$492=$B$81)*(ROW('Eingabe Meldungen'!$A$2:$A$492)-1),COUNTIF('Eingabe Meldungen'!$A$2:$A$492,$B$81)+1-ROW('Eingabe Meldungen'!A1)))),"",INDEX('Eingabe Meldungen'!$D$2:$D$492,LARGE(('Eingabe Meldungen'!$A$2:$A$492=$B$81)*(ROW('Eingabe Meldungen'!$A$2:$A$492)-1),COUNTIF('Eingabe Meldungen'!$A$2:$A$492,$B$81)+1-ROW('Eingabe Meldungen'!A1))))</f>
        <v>Ingrid</v>
      </c>
      <c r="D83" s="341">
        <f t="array" ref="D83">IF(B83&lt;&gt;"",INDEX('Eingabe Meldungen'!$C$2:$H$492,MATCH(B83&amp;C83,'Eingabe Meldungen'!$C$2:$C$492&amp;'Eingabe Meldungen'!$D$2:$D$492,0),6),"")</f>
        <v>1960</v>
      </c>
      <c r="E83" s="382" t="str">
        <f t="array" ref="E83">IF(B83&lt;&gt;"",INDEX('Eingabe Meldungen'!$C$2:$H$492,MATCH(B83&amp;C83,'Eingabe Meldungen'!$C$2:$C$492&amp;'Eingabe Meldungen'!$D$2:$D$492,0),4),"")</f>
        <v>F</v>
      </c>
      <c r="F83" s="342">
        <v>6820</v>
      </c>
      <c r="G83" s="333">
        <v>1</v>
      </c>
      <c r="H83" s="343" t="str">
        <f t="array" ref="H83">IF(B83&lt;&gt;"",INDEX('Eingabe Meldungen'!$C$2:$J$492,MATCH(B83&amp;C83,'Eingabe Meldungen'!$C$2:$C$492&amp;'Eingabe Meldungen'!$D$2:$D$492,0),8),"")</f>
        <v>HRG Schwaben</v>
      </c>
      <c r="J83" s="332"/>
      <c r="K83" s="332"/>
      <c r="L83" s="332"/>
      <c r="M83" s="332"/>
      <c r="N83" s="332"/>
      <c r="O83" s="332"/>
      <c r="P83" s="332"/>
      <c r="Q83" s="332">
        <v>1</v>
      </c>
      <c r="R83" s="332"/>
      <c r="S83" s="332"/>
      <c r="T83" s="332"/>
      <c r="U83" s="332"/>
      <c r="V83" s="332"/>
      <c r="W83" s="332"/>
      <c r="X83" s="332"/>
      <c r="Y83" s="332"/>
      <c r="Z83" s="332"/>
      <c r="AA83" s="332"/>
      <c r="AB83" s="332"/>
      <c r="AC83" s="332"/>
      <c r="AD83" s="332"/>
      <c r="AE83" s="332"/>
      <c r="AF83" s="332"/>
      <c r="AG83" s="332"/>
      <c r="AH83" s="332"/>
      <c r="AI83" s="332"/>
      <c r="AJ83" s="333"/>
      <c r="AK83" s="333"/>
      <c r="AL83" s="333"/>
      <c r="AM83" s="333"/>
    </row>
    <row r="84" spans="2:39" s="316" customFormat="1" ht="26.25" customHeight="1" x14ac:dyDescent="0.2">
      <c r="B84" s="340" t="str">
        <f t="array" ref="B84">IF(ISERROR(INDEX('Eingabe Meldungen'!$C$2:$C$492,LARGE(('Eingabe Meldungen'!$A$2:$A$492=$B$81)*(ROW('Eingabe Meldungen'!$A$2:$A$492)-1),COUNTIF('Eingabe Meldungen'!$A$2:$A$492,$B$81)+1-ROW('Eingabe Meldungen'!A2)))),"",INDEX('Eingabe Meldungen'!$C$2:$C$492,LARGE(('Eingabe Meldungen'!$A$2:$A$492=$B$81)*(ROW('Eingabe Meldungen'!$A$2:$A$492)-1),COUNTIF('Eingabe Meldungen'!$A$2:$A$492,$B$81)+1-ROW('Eingabe Meldungen'!A2))))</f>
        <v>Schmidt</v>
      </c>
      <c r="C84" s="316" t="str">
        <f t="array" ref="C84">IF(ISERROR(INDEX('Eingabe Meldungen'!$D$2:$D$492,LARGE(('Eingabe Meldungen'!$A$2:$A$492=$B$81)*(ROW('Eingabe Meldungen'!$A$2:$A$492)-1),COUNTIF('Eingabe Meldungen'!$A$2:$A$492,$B$81)+1-ROW('Eingabe Meldungen'!A2)))),"",INDEX('Eingabe Meldungen'!$D$2:$D$492,LARGE(('Eingabe Meldungen'!$A$2:$A$492=$B$81)*(ROW('Eingabe Meldungen'!$A$2:$A$492)-1),COUNTIF('Eingabe Meldungen'!$A$2:$A$492,$B$81)+1-ROW('Eingabe Meldungen'!A2))))</f>
        <v>Henriette</v>
      </c>
      <c r="D84" s="341">
        <f t="array" ref="D84">IF(B84&lt;&gt;"",INDEX('Eingabe Meldungen'!$C$2:$H$492,MATCH(B84&amp;C84,'Eingabe Meldungen'!$C$2:$C$492&amp;'Eingabe Meldungen'!$D$2:$D$492,0),6),"")</f>
        <v>1965</v>
      </c>
      <c r="E84" s="382" t="s">
        <v>146</v>
      </c>
      <c r="F84" s="342">
        <v>6103</v>
      </c>
      <c r="G84" s="333">
        <v>2</v>
      </c>
      <c r="H84" s="343" t="str">
        <f t="array" ref="H84">IF(B84&lt;&gt;"",INDEX('Eingabe Meldungen'!$C$2:$J$492,MATCH(B84&amp;C84,'Eingabe Meldungen'!$C$2:$C$492&amp;'Eingabe Meldungen'!$D$2:$D$492,0),8),"")</f>
        <v>Marbacher Ruderverein</v>
      </c>
      <c r="J84" s="332"/>
      <c r="K84" s="332"/>
      <c r="L84" s="332"/>
      <c r="M84" s="332"/>
      <c r="N84" s="332"/>
      <c r="O84" s="332">
        <v>1</v>
      </c>
      <c r="P84" s="332"/>
      <c r="Q84" s="332"/>
      <c r="R84" s="332"/>
      <c r="S84" s="332"/>
      <c r="T84" s="332"/>
      <c r="U84" s="332"/>
      <c r="V84" s="332"/>
      <c r="W84" s="332"/>
      <c r="X84" s="332"/>
      <c r="Y84" s="332"/>
      <c r="Z84" s="332"/>
      <c r="AA84" s="332"/>
      <c r="AB84" s="332"/>
      <c r="AC84" s="332"/>
      <c r="AD84" s="332"/>
      <c r="AE84" s="332"/>
      <c r="AF84" s="332"/>
      <c r="AG84" s="332"/>
      <c r="AH84" s="332"/>
      <c r="AI84" s="332"/>
      <c r="AJ84" s="333"/>
      <c r="AK84" s="333"/>
      <c r="AL84" s="333"/>
      <c r="AM84" s="333"/>
    </row>
    <row r="85" spans="2:39" s="316" customFormat="1" ht="26.25" customHeight="1" x14ac:dyDescent="0.2">
      <c r="B85" s="340" t="str">
        <f t="array" ref="B85">IF(ISERROR(INDEX('Eingabe Meldungen'!$C$2:$C$492,LARGE(('Eingabe Meldungen'!$A$2:$A$492=$B$81)*(ROW('Eingabe Meldungen'!$A$2:$A$492)-1),COUNTIF('Eingabe Meldungen'!$A$2:$A$492,$B$81)+1-ROW('Eingabe Meldungen'!A3)))),"",INDEX('Eingabe Meldungen'!$C$2:$C$492,LARGE(('Eingabe Meldungen'!$A$2:$A$492=$B$81)*(ROW('Eingabe Meldungen'!$A$2:$A$492)-1),COUNTIF('Eingabe Meldungen'!$A$2:$A$492,$B$81)+1-ROW('Eingabe Meldungen'!A3))))</f>
        <v>Young</v>
      </c>
      <c r="C85" s="316" t="str">
        <f t="array" ref="C85">IF(ISERROR(INDEX('Eingabe Meldungen'!$D$2:$D$492,LARGE(('Eingabe Meldungen'!$A$2:$A$492=$B$81)*(ROW('Eingabe Meldungen'!$A$2:$A$492)-1),COUNTIF('Eingabe Meldungen'!$A$2:$A$492,$B$81)+1-ROW('Eingabe Meldungen'!A3)))),"",INDEX('Eingabe Meldungen'!$D$2:$D$492,LARGE(('Eingabe Meldungen'!$A$2:$A$492=$B$81)*(ROW('Eingabe Meldungen'!$A$2:$A$492)-1),COUNTIF('Eingabe Meldungen'!$A$2:$A$492,$B$81)+1-ROW('Eingabe Meldungen'!A3))))</f>
        <v>Susan</v>
      </c>
      <c r="D85" s="341">
        <f t="array" ref="D85">IF(B85&lt;&gt;"",INDEX('Eingabe Meldungen'!$C$2:$H$492,MATCH(B85&amp;C85,'Eingabe Meldungen'!$C$2:$C$492&amp;'Eingabe Meldungen'!$D$2:$D$492,0),6),"")</f>
        <v>1965</v>
      </c>
      <c r="E85" s="382" t="s">
        <v>146</v>
      </c>
      <c r="F85" s="342">
        <v>6870</v>
      </c>
      <c r="G85" s="333">
        <v>1</v>
      </c>
      <c r="H85" s="343" t="str">
        <f t="array" ref="H85">IF(B85&lt;&gt;"",INDEX('Eingabe Meldungen'!$C$2:$J$492,MATCH(B85&amp;C85,'Eingabe Meldungen'!$C$2:$C$492&amp;'Eingabe Meldungen'!$D$2:$D$492,0),8),"")</f>
        <v>Sub7 IRC</v>
      </c>
      <c r="J85" s="332"/>
      <c r="K85" s="332"/>
      <c r="L85" s="332"/>
      <c r="M85" s="332"/>
      <c r="N85" s="332"/>
      <c r="O85" s="332"/>
      <c r="P85" s="332"/>
      <c r="Q85" s="332"/>
      <c r="R85" s="332"/>
      <c r="S85" s="332"/>
      <c r="T85" s="332"/>
      <c r="U85" s="332"/>
      <c r="V85" s="332"/>
      <c r="W85" s="332"/>
      <c r="X85" s="332"/>
      <c r="Y85" s="332"/>
      <c r="Z85" s="332"/>
      <c r="AA85" s="332"/>
      <c r="AB85" s="332"/>
      <c r="AC85" s="332"/>
      <c r="AD85" s="332"/>
      <c r="AE85" s="332"/>
      <c r="AF85" s="332"/>
      <c r="AG85" s="332"/>
      <c r="AH85" s="332"/>
      <c r="AI85" s="332"/>
      <c r="AJ85" s="333"/>
      <c r="AK85" s="333"/>
      <c r="AL85" s="333"/>
      <c r="AM85" s="333"/>
    </row>
    <row r="86" spans="2:39" s="316" customFormat="1" ht="26.25" customHeight="1" x14ac:dyDescent="0.2">
      <c r="B86" s="340" t="str">
        <f t="array" ref="B86">IF(ISERROR(INDEX('Eingabe Meldungen'!$C$2:$C$492,LARGE(('Eingabe Meldungen'!$A$2:$A$492=$B$81)*(ROW('Eingabe Meldungen'!$A$2:$A$492)-1),COUNTIF('Eingabe Meldungen'!$A$2:$A$492,$B$81)+1-ROW('Eingabe Meldungen'!A4)))),"",INDEX('Eingabe Meldungen'!$C$2:$C$492,LARGE(('Eingabe Meldungen'!$A$2:$A$492=$B$81)*(ROW('Eingabe Meldungen'!$A$2:$A$492)-1),COUNTIF('Eingabe Meldungen'!$A$2:$A$492,$B$81)+1-ROW('Eingabe Meldungen'!A4))))</f>
        <v>Breitenbücher</v>
      </c>
      <c r="C86" s="316" t="str">
        <f t="array" ref="C86">IF(ISERROR(INDEX('Eingabe Meldungen'!$D$2:$D$492,LARGE(('Eingabe Meldungen'!$A$2:$A$492=$B$81)*(ROW('Eingabe Meldungen'!$A$2:$A$492)-1),COUNTIF('Eingabe Meldungen'!$A$2:$A$492,$B$81)+1-ROW('Eingabe Meldungen'!A4)))),"",INDEX('Eingabe Meldungen'!$D$2:$D$492,LARGE(('Eingabe Meldungen'!$A$2:$A$492=$B$81)*(ROW('Eingabe Meldungen'!$A$2:$A$492)-1),COUNTIF('Eingabe Meldungen'!$A$2:$A$492,$B$81)+1-ROW('Eingabe Meldungen'!A4))))</f>
        <v>Heike</v>
      </c>
      <c r="D86" s="341">
        <f t="array" ref="D86">IF(B86&lt;&gt;"",INDEX('Eingabe Meldungen'!$C$2:$H$492,MATCH(B86&amp;C86,'Eingabe Meldungen'!$C$2:$C$492&amp;'Eingabe Meldungen'!$D$2:$D$492,0),6),"")</f>
        <v>1967</v>
      </c>
      <c r="E86" s="382" t="str">
        <f t="array" ref="E86">IF(B86&lt;&gt;"",INDEX('Eingabe Meldungen'!$C$2:$H$492,MATCH(B86&amp;C86,'Eingabe Meldungen'!$C$2:$C$492&amp;'Eingabe Meldungen'!$D$2:$D$492,0),4),"")</f>
        <v>D</v>
      </c>
      <c r="F86" s="342">
        <v>6441</v>
      </c>
      <c r="G86" s="333">
        <v>2</v>
      </c>
      <c r="H86" s="343" t="str">
        <f t="array" ref="H86">IF(B86&lt;&gt;"",INDEX('Eingabe Meldungen'!$C$2:$J$492,MATCH(B86&amp;C86,'Eingabe Meldungen'!$C$2:$C$492&amp;'Eingabe Meldungen'!$D$2:$D$492,0),8),"")</f>
        <v>Marbacher Ruderverein</v>
      </c>
      <c r="J86" s="332"/>
      <c r="K86" s="332"/>
      <c r="L86" s="332"/>
      <c r="M86" s="332"/>
      <c r="N86" s="332"/>
      <c r="O86" s="332">
        <v>1</v>
      </c>
      <c r="P86" s="332"/>
      <c r="Q86" s="332"/>
      <c r="R86" s="332"/>
      <c r="S86" s="332"/>
      <c r="T86" s="332"/>
      <c r="U86" s="332"/>
      <c r="V86" s="332"/>
      <c r="W86" s="332"/>
      <c r="X86" s="332"/>
      <c r="Y86" s="332"/>
      <c r="Z86" s="332"/>
      <c r="AA86" s="332"/>
      <c r="AB86" s="332"/>
      <c r="AC86" s="332"/>
      <c r="AD86" s="332"/>
      <c r="AE86" s="332"/>
      <c r="AF86" s="332"/>
      <c r="AG86" s="332"/>
      <c r="AH86" s="332"/>
      <c r="AI86" s="332"/>
      <c r="AJ86" s="333"/>
      <c r="AK86" s="333"/>
      <c r="AL86" s="333"/>
      <c r="AM86" s="333"/>
    </row>
    <row r="87" spans="2:39" s="316" customFormat="1" ht="26.25" customHeight="1" x14ac:dyDescent="0.2">
      <c r="B87" s="340" t="str">
        <f t="array" ref="B87">IF(ISERROR(INDEX('Eingabe Meldungen'!$C$2:$C$492,LARGE(('Eingabe Meldungen'!$A$2:$A$492=$B$81)*(ROW('Eingabe Meldungen'!$A$2:$A$492)-1),COUNTIF('Eingabe Meldungen'!$A$2:$A$492,$B$81)+1-ROW('Eingabe Meldungen'!A5)))),"",INDEX('Eingabe Meldungen'!$C$2:$C$492,LARGE(('Eingabe Meldungen'!$A$2:$A$492=$B$81)*(ROW('Eingabe Meldungen'!$A$2:$A$492)-1),COUNTIF('Eingabe Meldungen'!$A$2:$A$492,$B$81)+1-ROW('Eingabe Meldungen'!A5))))</f>
        <v>Schmidt</v>
      </c>
      <c r="C87" s="316" t="str">
        <f t="array" ref="C87">IF(ISERROR(INDEX('Eingabe Meldungen'!$D$2:$D$492,LARGE(('Eingabe Meldungen'!$A$2:$A$492=$B$81)*(ROW('Eingabe Meldungen'!$A$2:$A$492)-1),COUNTIF('Eingabe Meldungen'!$A$2:$A$492,$B$81)+1-ROW('Eingabe Meldungen'!A5)))),"",INDEX('Eingabe Meldungen'!$D$2:$D$492,LARGE(('Eingabe Meldungen'!$A$2:$A$492=$B$81)*(ROW('Eingabe Meldungen'!$A$2:$A$492)-1),COUNTIF('Eingabe Meldungen'!$A$2:$A$492,$B$81)+1-ROW('Eingabe Meldungen'!A5))))</f>
        <v>Uta</v>
      </c>
      <c r="D87" s="341">
        <f t="array" ref="D87">IF(B87&lt;&gt;"",INDEX('Eingabe Meldungen'!$C$2:$H$492,MATCH(B87&amp;C87,'Eingabe Meldungen'!$C$2:$C$492&amp;'Eingabe Meldungen'!$D$2:$D$492,0),6),"")</f>
        <v>1972</v>
      </c>
      <c r="E87" s="382" t="str">
        <f t="array" ref="E87">IF(B87&lt;&gt;"",INDEX('Eingabe Meldungen'!$C$2:$H$492,MATCH(B87&amp;C87,'Eingabe Meldungen'!$C$2:$C$492&amp;'Eingabe Meldungen'!$D$2:$D$492,0),4),"")</f>
        <v>C</v>
      </c>
      <c r="F87" s="342">
        <v>6554</v>
      </c>
      <c r="G87" s="333">
        <v>3</v>
      </c>
      <c r="H87" s="343" t="str">
        <f t="array" ref="H87">IF(B87&lt;&gt;"",INDEX('Eingabe Meldungen'!$C$2:$J$492,MATCH(B87&amp;C87,'Eingabe Meldungen'!$C$2:$C$492&amp;'Eingabe Meldungen'!$D$2:$D$492,0),8),"")</f>
        <v>Marbacher Ruderverein</v>
      </c>
      <c r="J87" s="332"/>
      <c r="K87" s="332"/>
      <c r="L87" s="332"/>
      <c r="M87" s="332"/>
      <c r="N87" s="332"/>
      <c r="O87" s="332">
        <v>1</v>
      </c>
      <c r="P87" s="332"/>
      <c r="Q87" s="332"/>
      <c r="R87" s="332"/>
      <c r="S87" s="332"/>
      <c r="T87" s="332"/>
      <c r="U87" s="332"/>
      <c r="V87" s="332"/>
      <c r="W87" s="332"/>
      <c r="X87" s="332"/>
      <c r="Y87" s="332"/>
      <c r="Z87" s="332"/>
      <c r="AA87" s="332"/>
      <c r="AB87" s="332"/>
      <c r="AC87" s="332"/>
      <c r="AD87" s="332"/>
      <c r="AE87" s="332"/>
      <c r="AF87" s="332"/>
      <c r="AG87" s="332"/>
      <c r="AH87" s="332"/>
      <c r="AI87" s="332"/>
      <c r="AJ87" s="333"/>
      <c r="AK87" s="333"/>
      <c r="AL87" s="333"/>
      <c r="AM87" s="333"/>
    </row>
    <row r="88" spans="2:39" s="316" customFormat="1" ht="26.25" customHeight="1" x14ac:dyDescent="0.2">
      <c r="B88" s="340" t="str">
        <f t="array" ref="B88">IF(ISERROR(INDEX('Eingabe Meldungen'!$C$2:$C$492,LARGE(('Eingabe Meldungen'!$A$2:$A$492=$B$81)*(ROW('Eingabe Meldungen'!$A$2:$A$492)-1),COUNTIF('Eingabe Meldungen'!$A$2:$A$492,$B$81)+1-ROW('Eingabe Meldungen'!A6)))),"",INDEX('Eingabe Meldungen'!$C$2:$C$492,LARGE(('Eingabe Meldungen'!$A$2:$A$492=$B$81)*(ROW('Eingabe Meldungen'!$A$2:$A$492)-1),COUNTIF('Eingabe Meldungen'!$A$2:$A$492,$B$81)+1-ROW('Eingabe Meldungen'!A6))))</f>
        <v>Vogt</v>
      </c>
      <c r="C88" s="316" t="str">
        <f t="array" ref="C88">IF(ISERROR(INDEX('Eingabe Meldungen'!$D$2:$D$492,LARGE(('Eingabe Meldungen'!$A$2:$A$492=$B$81)*(ROW('Eingabe Meldungen'!$A$2:$A$492)-1),COUNTIF('Eingabe Meldungen'!$A$2:$A$492,$B$81)+1-ROW('Eingabe Meldungen'!A6)))),"",INDEX('Eingabe Meldungen'!$D$2:$D$492,LARGE(('Eingabe Meldungen'!$A$2:$A$492=$B$81)*(ROW('Eingabe Meldungen'!$A$2:$A$492)-1),COUNTIF('Eingabe Meldungen'!$A$2:$A$492,$B$81)+1-ROW('Eingabe Meldungen'!A6))))</f>
        <v>Antje</v>
      </c>
      <c r="D88" s="341">
        <f t="array" ref="D88">IF(B88&lt;&gt;"",INDEX('Eingabe Meldungen'!$C$2:$H$492,MATCH(B88&amp;C88,'Eingabe Meldungen'!$C$2:$C$492&amp;'Eingabe Meldungen'!$D$2:$D$492,0),6),"")</f>
        <v>1975</v>
      </c>
      <c r="E88" s="382" t="str">
        <f t="array" ref="E88">IF(B88&lt;&gt;"",INDEX('Eingabe Meldungen'!$C$2:$H$492,MATCH(B88&amp;C88,'Eingabe Meldungen'!$C$2:$C$492&amp;'Eingabe Meldungen'!$D$2:$D$492,0),4),"")</f>
        <v>C</v>
      </c>
      <c r="F88" s="342">
        <v>6811</v>
      </c>
      <c r="G88" s="333">
        <v>2</v>
      </c>
      <c r="H88" s="343" t="str">
        <f t="array" ref="H88">IF(B88&lt;&gt;"",INDEX('Eingabe Meldungen'!$C$2:$J$492,MATCH(B88&amp;C88,'Eingabe Meldungen'!$C$2:$C$492&amp;'Eingabe Meldungen'!$D$2:$D$492,0),8),"")</f>
        <v>HRG Schwaben</v>
      </c>
      <c r="J88" s="332"/>
      <c r="K88" s="332"/>
      <c r="L88" s="332"/>
      <c r="M88" s="332"/>
      <c r="N88" s="332"/>
      <c r="O88" s="332"/>
      <c r="P88" s="332"/>
      <c r="Q88" s="332">
        <v>3</v>
      </c>
      <c r="R88" s="332"/>
      <c r="S88" s="332"/>
      <c r="T88" s="332"/>
      <c r="U88" s="332"/>
      <c r="V88" s="332"/>
      <c r="W88" s="332"/>
      <c r="X88" s="332"/>
      <c r="Y88" s="332"/>
      <c r="Z88" s="332"/>
      <c r="AA88" s="332"/>
      <c r="AB88" s="332"/>
      <c r="AC88" s="332"/>
      <c r="AD88" s="332"/>
      <c r="AE88" s="332"/>
      <c r="AF88" s="332"/>
      <c r="AG88" s="332"/>
      <c r="AH88" s="332"/>
      <c r="AI88" s="332"/>
      <c r="AJ88" s="333"/>
      <c r="AK88" s="333"/>
      <c r="AL88" s="333"/>
      <c r="AM88" s="333"/>
    </row>
    <row r="89" spans="2:39" s="316" customFormat="1" ht="26.25" customHeight="1" x14ac:dyDescent="0.2">
      <c r="B89" s="340" t="str">
        <f t="array" ref="B89">IF(ISERROR(INDEX('Eingabe Meldungen'!$C$2:$C$492,LARGE(('Eingabe Meldungen'!$A$2:$A$492=$B$81)*(ROW('Eingabe Meldungen'!$A$2:$A$492)-1),COUNTIF('Eingabe Meldungen'!$A$2:$A$492,$B$81)+1-ROW('Eingabe Meldungen'!A7)))),"",INDEX('Eingabe Meldungen'!$C$2:$C$492,LARGE(('Eingabe Meldungen'!$A$2:$A$492=$B$81)*(ROW('Eingabe Meldungen'!$A$2:$A$492)-1),COUNTIF('Eingabe Meldungen'!$A$2:$A$492,$B$81)+1-ROW('Eingabe Meldungen'!A7))))</f>
        <v>Munke</v>
      </c>
      <c r="C89" s="316" t="str">
        <f t="array" ref="C89">IF(ISERROR(INDEX('Eingabe Meldungen'!$D$2:$D$492,LARGE(('Eingabe Meldungen'!$A$2:$A$492=$B$81)*(ROW('Eingabe Meldungen'!$A$2:$A$492)-1),COUNTIF('Eingabe Meldungen'!$A$2:$A$492,$B$81)+1-ROW('Eingabe Meldungen'!A7)))),"",INDEX('Eingabe Meldungen'!$D$2:$D$492,LARGE(('Eingabe Meldungen'!$A$2:$A$492=$B$81)*(ROW('Eingabe Meldungen'!$A$2:$A$492)-1),COUNTIF('Eingabe Meldungen'!$A$2:$A$492,$B$81)+1-ROW('Eingabe Meldungen'!A7))))</f>
        <v>Steffi</v>
      </c>
      <c r="D89" s="341">
        <f t="array" ref="D89">IF(B89&lt;&gt;"",INDEX('Eingabe Meldungen'!$C$2:$H$492,MATCH(B89&amp;C89,'Eingabe Meldungen'!$C$2:$C$492&amp;'Eingabe Meldungen'!$D$2:$D$492,0),6),"")</f>
        <v>1968</v>
      </c>
      <c r="E89" s="382" t="str">
        <f t="array" ref="E89">IF(B89&lt;&gt;"",INDEX('Eingabe Meldungen'!$C$2:$H$492,MATCH(B89&amp;C89,'Eingabe Meldungen'!$C$2:$C$492&amp;'Eingabe Meldungen'!$D$2:$D$492,0),4),"")</f>
        <v>D</v>
      </c>
      <c r="F89" s="342">
        <v>7193</v>
      </c>
      <c r="G89" s="333">
        <v>1</v>
      </c>
      <c r="H89" s="343" t="str">
        <f t="array" ref="H89">IF(B89&lt;&gt;"",INDEX('Eingabe Meldungen'!$C$2:$J$492,MATCH(B89&amp;C89,'Eingabe Meldungen'!$C$2:$C$492&amp;'Eingabe Meldungen'!$D$2:$D$492,0),8),"")</f>
        <v xml:space="preserve">WSV Schifferclub Neckarrems </v>
      </c>
      <c r="J89" s="332"/>
      <c r="K89" s="332"/>
      <c r="L89" s="332"/>
      <c r="M89" s="332"/>
      <c r="N89" s="332"/>
      <c r="O89" s="332"/>
      <c r="P89" s="332"/>
      <c r="Q89" s="332"/>
      <c r="R89" s="332">
        <v>3</v>
      </c>
      <c r="S89" s="332"/>
      <c r="T89" s="332"/>
      <c r="U89" s="332"/>
      <c r="V89" s="332"/>
      <c r="W89" s="332"/>
      <c r="X89" s="332"/>
      <c r="Y89" s="332"/>
      <c r="Z89" s="332"/>
      <c r="AA89" s="332"/>
      <c r="AB89" s="332"/>
      <c r="AC89" s="332"/>
      <c r="AD89" s="332"/>
      <c r="AE89" s="332"/>
      <c r="AF89" s="332"/>
      <c r="AG89" s="332"/>
      <c r="AH89" s="332"/>
      <c r="AI89" s="332"/>
      <c r="AJ89" s="333"/>
      <c r="AK89" s="333"/>
      <c r="AL89" s="333"/>
      <c r="AM89" s="333"/>
    </row>
    <row r="90" spans="2:39" s="316" customFormat="1" ht="26.25" customHeight="1" x14ac:dyDescent="0.2">
      <c r="B90" s="340" t="str">
        <f t="array" ref="B90">IF(ISERROR(INDEX('Eingabe Meldungen'!$C$2:$C$492,LARGE(('Eingabe Meldungen'!$A$2:$A$492=$B$81)*(ROW('Eingabe Meldungen'!$A$2:$A$492)-1),COUNTIF('Eingabe Meldungen'!$A$2:$A$492,$B$81)+1-ROW('Eingabe Meldungen'!A8)))),"",INDEX('Eingabe Meldungen'!$C$2:$C$492,LARGE(('Eingabe Meldungen'!$A$2:$A$492=$B$81)*(ROW('Eingabe Meldungen'!$A$2:$A$492)-1),COUNTIF('Eingabe Meldungen'!$A$2:$A$492,$B$81)+1-ROW('Eingabe Meldungen'!A8))))</f>
        <v>Wöppel</v>
      </c>
      <c r="C90" s="316" t="str">
        <f t="array" ref="C90">IF(ISERROR(INDEX('Eingabe Meldungen'!$D$2:$D$492,LARGE(('Eingabe Meldungen'!$A$2:$A$492=$B$81)*(ROW('Eingabe Meldungen'!$A$2:$A$492)-1),COUNTIF('Eingabe Meldungen'!$A$2:$A$492,$B$81)+1-ROW('Eingabe Meldungen'!A8)))),"",INDEX('Eingabe Meldungen'!$D$2:$D$492,LARGE(('Eingabe Meldungen'!$A$2:$A$492=$B$81)*(ROW('Eingabe Meldungen'!$A$2:$A$492)-1),COUNTIF('Eingabe Meldungen'!$A$2:$A$492,$B$81)+1-ROW('Eingabe Meldungen'!A8))))</f>
        <v>Stefanie</v>
      </c>
      <c r="D90" s="341">
        <f t="array" ref="D90">IF(B90&lt;&gt;"",INDEX('Eingabe Meldungen'!$C$2:$H$492,MATCH(B90&amp;C90,'Eingabe Meldungen'!$C$2:$C$492&amp;'Eingabe Meldungen'!$D$2:$D$492,0),6),"")</f>
        <v>1971</v>
      </c>
      <c r="E90" s="382" t="str">
        <f t="array" ref="E90">IF(B90&lt;&gt;"",INDEX('Eingabe Meldungen'!$C$2:$H$492,MATCH(B90&amp;C90,'Eingabe Meldungen'!$C$2:$C$492&amp;'Eingabe Meldungen'!$D$2:$D$492,0),4),"")</f>
        <v>C</v>
      </c>
      <c r="F90" s="342">
        <v>7319</v>
      </c>
      <c r="G90" s="333">
        <v>1</v>
      </c>
      <c r="H90" s="343" t="str">
        <f t="array" ref="H90">IF(B90&lt;&gt;"",INDEX('Eingabe Meldungen'!$C$2:$J$492,MATCH(B90&amp;C90,'Eingabe Meldungen'!$C$2:$C$492&amp;'Eingabe Meldungen'!$D$2:$D$492,0),8),"")</f>
        <v xml:space="preserve">WSV Schifferclub Neckarrems </v>
      </c>
      <c r="J90" s="332"/>
      <c r="K90" s="332"/>
      <c r="L90" s="332"/>
      <c r="M90" s="332"/>
      <c r="N90" s="332"/>
      <c r="O90" s="332"/>
      <c r="P90" s="332"/>
      <c r="Q90" s="332"/>
      <c r="R90" s="332">
        <v>5</v>
      </c>
      <c r="S90" s="332"/>
      <c r="T90" s="332"/>
      <c r="U90" s="332"/>
      <c r="V90" s="332"/>
      <c r="W90" s="332"/>
      <c r="X90" s="332"/>
      <c r="Y90" s="332"/>
      <c r="Z90" s="332"/>
      <c r="AA90" s="332"/>
      <c r="AB90" s="332"/>
      <c r="AC90" s="332"/>
      <c r="AD90" s="332"/>
      <c r="AE90" s="332"/>
      <c r="AF90" s="332"/>
      <c r="AG90" s="332"/>
      <c r="AH90" s="332"/>
      <c r="AI90" s="332"/>
      <c r="AJ90" s="333"/>
      <c r="AK90" s="333"/>
      <c r="AL90" s="333"/>
      <c r="AM90" s="333"/>
    </row>
    <row r="91" spans="2:39" s="316" customFormat="1" ht="26.25" customHeight="1" x14ac:dyDescent="0.2">
      <c r="B91" s="340" t="str">
        <f t="array" ref="B91">IF(ISERROR(INDEX('Eingabe Meldungen'!$C$2:$C$492,LARGE(('Eingabe Meldungen'!$A$2:$A$492=$B$81)*(ROW('Eingabe Meldungen'!$A$2:$A$492)-1),COUNTIF('Eingabe Meldungen'!$A$2:$A$492,$B$81)+1-ROW('Eingabe Meldungen'!A9)))),"",INDEX('Eingabe Meldungen'!$C$2:$C$492,LARGE(('Eingabe Meldungen'!$A$2:$A$492=$B$81)*(ROW('Eingabe Meldungen'!$A$2:$A$492)-1),COUNTIF('Eingabe Meldungen'!$A$2:$A$492,$B$81)+1-ROW('Eingabe Meldungen'!A9))))</f>
        <v/>
      </c>
      <c r="C91" s="316" t="str">
        <f t="array" ref="C91">IF(ISERROR(INDEX('Eingabe Meldungen'!$D$2:$D$492,LARGE(('Eingabe Meldungen'!$A$2:$A$492=$B$81)*(ROW('Eingabe Meldungen'!$A$2:$A$492)-1),COUNTIF('Eingabe Meldungen'!$A$2:$A$492,$B$81)+1-ROW('Eingabe Meldungen'!A9)))),"",INDEX('Eingabe Meldungen'!$D$2:$D$492,LARGE(('Eingabe Meldungen'!$A$2:$A$492=$B$81)*(ROW('Eingabe Meldungen'!$A$2:$A$492)-1),COUNTIF('Eingabe Meldungen'!$A$2:$A$492,$B$81)+1-ROW('Eingabe Meldungen'!A9))))</f>
        <v/>
      </c>
      <c r="D91" s="341" t="str">
        <f t="array" ref="D91">IF(B91&lt;&gt;"",INDEX('Eingabe Meldungen'!$C$2:$H$492,MATCH(B91&amp;C91,'Eingabe Meldungen'!$C$2:$C$492&amp;'Eingabe Meldungen'!$D$2:$D$492,0),6),"")</f>
        <v/>
      </c>
      <c r="E91" s="382" t="str">
        <f t="array" ref="E91">IF(B91&lt;&gt;"",INDEX('Eingabe Meldungen'!$C$2:$H$492,MATCH(B91&amp;C91,'Eingabe Meldungen'!$C$2:$C$492&amp;'Eingabe Meldungen'!$D$2:$D$492,0),4),"")</f>
        <v/>
      </c>
      <c r="F91" s="342"/>
      <c r="G91" s="333"/>
      <c r="H91" s="343" t="str">
        <f t="array" ref="H91">IF(B91&lt;&gt;"",INDEX('Eingabe Meldungen'!$C$2:$J$492,MATCH(B91&amp;C91,'Eingabe Meldungen'!$C$2:$C$492&amp;'Eingabe Meldungen'!$D$2:$D$492,0),8),"")</f>
        <v/>
      </c>
      <c r="J91" s="332"/>
      <c r="K91" s="332"/>
      <c r="L91" s="332"/>
      <c r="M91" s="332"/>
      <c r="N91" s="332"/>
      <c r="O91" s="332"/>
      <c r="P91" s="332"/>
      <c r="Q91" s="332"/>
      <c r="R91" s="332"/>
      <c r="S91" s="332"/>
      <c r="T91" s="332"/>
      <c r="U91" s="332"/>
      <c r="V91" s="332"/>
      <c r="W91" s="332"/>
      <c r="X91" s="332"/>
      <c r="Y91" s="332"/>
      <c r="Z91" s="332"/>
      <c r="AA91" s="332"/>
      <c r="AB91" s="332"/>
      <c r="AC91" s="332"/>
      <c r="AD91" s="332"/>
      <c r="AE91" s="332"/>
      <c r="AF91" s="332"/>
      <c r="AG91" s="332"/>
      <c r="AH91" s="332"/>
      <c r="AI91" s="332"/>
      <c r="AJ91" s="333"/>
      <c r="AK91" s="333"/>
      <c r="AL91" s="333"/>
      <c r="AM91" s="333"/>
    </row>
    <row r="92" spans="2:39" s="316" customFormat="1" ht="21" customHeight="1" thickBot="1" x14ac:dyDescent="0.25">
      <c r="B92" s="344" t="str">
        <f t="array" ref="B92">IF(ISERROR(INDEX('Eingabe Meldungen'!$C$2:$C$492,LARGE(('Eingabe Meldungen'!$A$2:$A$492=$B$81)*(ROW('Eingabe Meldungen'!$A$2:$A$492)-1),COUNTIF('Eingabe Meldungen'!$A$2:$A$492,$B$81)+1-ROW('Eingabe Meldungen'!A10)))),"",INDEX('Eingabe Meldungen'!$C$2:$C$492,LARGE(('Eingabe Meldungen'!$A$2:$A$492=$B$81)*(ROW('Eingabe Meldungen'!$A$2:$A$492)-1),COUNTIF('Eingabe Meldungen'!$A$2:$A$492,$B$81)+1-ROW('Eingabe Meldungen'!A10))))</f>
        <v/>
      </c>
      <c r="C92" s="345" t="str">
        <f t="array" ref="C92">IF(ISERROR(INDEX('Eingabe Meldungen'!$D$2:$D$492,LARGE(('Eingabe Meldungen'!$A$2:$A$492=$B$81)*(ROW('Eingabe Meldungen'!$A$2:$A$492)-1),COUNTIF('Eingabe Meldungen'!$A$2:$A$492,$B$81)+1-ROW('Eingabe Meldungen'!A10)))),"",INDEX('Eingabe Meldungen'!$D$2:$D$492,LARGE(('Eingabe Meldungen'!$A$2:$A$492=$B$81)*(ROW('Eingabe Meldungen'!$A$2:$A$492)-1),COUNTIF('Eingabe Meldungen'!$A$2:$A$492,$B$81)+1-ROW('Eingabe Meldungen'!A10))))</f>
        <v/>
      </c>
      <c r="D92" s="346" t="str">
        <f t="array" ref="D92">IF(B92&lt;&gt;"",INDEX('Eingabe Meldungen'!$C$2:$H$492,MATCH(B92&amp;C92,'Eingabe Meldungen'!$C$2:$C$492&amp;'Eingabe Meldungen'!$D$2:$D$492,0),6),"")</f>
        <v/>
      </c>
      <c r="E92" s="383" t="str">
        <f t="array" ref="E92">IF(B92&lt;&gt;"",INDEX('Eingabe Meldungen'!$C$2:$H$492,MATCH(B92&amp;C92,'Eingabe Meldungen'!$C$2:$C$492&amp;'Eingabe Meldungen'!$D$2:$D$492,0),4),"")</f>
        <v/>
      </c>
      <c r="F92" s="347"/>
      <c r="G92" s="348"/>
      <c r="H92" s="349" t="str">
        <f t="array" ref="H92">IF(B92&lt;&gt;"",INDEX('Eingabe Meldungen'!$C$2:$J$492,MATCH(B92&amp;C92,'Eingabe Meldungen'!$C$2:$C$492&amp;'Eingabe Meldungen'!$D$2:$D$492,0),8),"")</f>
        <v/>
      </c>
      <c r="I92" s="350"/>
      <c r="J92" s="332"/>
      <c r="K92" s="332"/>
      <c r="L92" s="332"/>
      <c r="M92" s="332"/>
      <c r="N92" s="332"/>
      <c r="O92" s="332"/>
      <c r="P92" s="332"/>
      <c r="Q92" s="332"/>
      <c r="R92" s="332"/>
      <c r="S92" s="332"/>
      <c r="T92" s="332"/>
      <c r="U92" s="332"/>
      <c r="V92" s="332"/>
      <c r="W92" s="332"/>
      <c r="X92" s="332"/>
      <c r="Y92" s="332"/>
      <c r="Z92" s="332"/>
      <c r="AA92" s="332"/>
      <c r="AB92" s="332"/>
      <c r="AC92" s="332"/>
      <c r="AD92" s="332"/>
      <c r="AE92" s="332"/>
      <c r="AF92" s="332"/>
      <c r="AG92" s="332"/>
      <c r="AH92" s="332"/>
      <c r="AI92" s="332"/>
      <c r="AJ92" s="333"/>
      <c r="AK92" s="333"/>
      <c r="AL92" s="333"/>
      <c r="AM92" s="333"/>
    </row>
    <row r="93" spans="2:39" s="316" customFormat="1" ht="26.25" customHeight="1" thickBot="1" x14ac:dyDescent="0.25">
      <c r="E93" s="352"/>
      <c r="F93" s="333"/>
      <c r="G93" s="333"/>
      <c r="J93" s="333"/>
      <c r="K93" s="333"/>
      <c r="L93" s="333"/>
      <c r="M93" s="333"/>
      <c r="N93" s="333"/>
      <c r="O93" s="333"/>
      <c r="P93" s="333"/>
      <c r="Q93" s="333"/>
      <c r="R93" s="333"/>
      <c r="S93" s="333"/>
      <c r="T93" s="333"/>
      <c r="U93" s="333"/>
      <c r="V93" s="333"/>
      <c r="W93" s="333"/>
      <c r="X93" s="333"/>
      <c r="Y93" s="333"/>
      <c r="Z93" s="333"/>
      <c r="AA93" s="333"/>
      <c r="AB93" s="333"/>
      <c r="AC93" s="333"/>
      <c r="AD93" s="333"/>
      <c r="AE93" s="333"/>
      <c r="AF93" s="333"/>
      <c r="AG93" s="333"/>
      <c r="AH93" s="333"/>
      <c r="AI93" s="333"/>
      <c r="AJ93" s="333"/>
      <c r="AK93" s="333"/>
      <c r="AL93" s="333"/>
      <c r="AM93" s="333"/>
    </row>
    <row r="94" spans="2:39" s="316" customFormat="1" ht="26.25" customHeight="1" x14ac:dyDescent="0.2">
      <c r="B94" s="326">
        <v>2</v>
      </c>
      <c r="C94" s="327" t="str">
        <f>VLOOKUP(B94,Ausschreibung!$B$5:$I$35,2,FALSE)</f>
        <v>Ergocup</v>
      </c>
      <c r="D94" s="328">
        <f>VLOOKUP(B94,Ausschreibung!$B$5:$I$35,3,FALSE)</f>
        <v>0.40277777777777779</v>
      </c>
      <c r="E94" s="327" t="str">
        <f>VLOOKUP(B94,Ausschreibung!$B$5:$I$35,4,FALSE)</f>
        <v>Masters A-H, männlich</v>
      </c>
      <c r="F94" s="329" t="str">
        <f>VLOOKUP(B94,Ausschreibung!$B$5:$I$35,5,FALSE)</f>
        <v>-</v>
      </c>
      <c r="G94" s="330" t="str">
        <f>VLOOKUP(B94,Ausschreibung!$B$5:$I$35,6,FALSE)</f>
        <v>27 und älter</v>
      </c>
      <c r="H94" s="331" t="str">
        <f>VLOOKUP(B94,Ausschreibung!$B$5:$I$35,8,FALSE)</f>
        <v>30 min.</v>
      </c>
      <c r="J94" s="332"/>
      <c r="K94" s="332"/>
      <c r="L94" s="332"/>
      <c r="M94" s="332"/>
      <c r="N94" s="332"/>
      <c r="O94" s="332"/>
      <c r="P94" s="332"/>
      <c r="Q94" s="332"/>
      <c r="R94" s="332"/>
      <c r="S94" s="332"/>
      <c r="T94" s="332"/>
      <c r="U94" s="332"/>
      <c r="V94" s="332"/>
      <c r="W94" s="332"/>
      <c r="X94" s="332"/>
      <c r="Y94" s="332"/>
      <c r="Z94" s="332"/>
      <c r="AA94" s="332"/>
      <c r="AB94" s="332"/>
      <c r="AC94" s="332"/>
      <c r="AD94" s="332"/>
      <c r="AE94" s="332"/>
      <c r="AF94" s="332"/>
      <c r="AG94" s="332"/>
      <c r="AH94" s="332"/>
      <c r="AI94" s="332"/>
      <c r="AJ94" s="333"/>
      <c r="AK94" s="333"/>
      <c r="AL94" s="333"/>
      <c r="AM94" s="333"/>
    </row>
    <row r="95" spans="2:39" s="316" customFormat="1" ht="26.25" customHeight="1" thickBot="1" x14ac:dyDescent="0.25">
      <c r="B95" s="334" t="s">
        <v>1</v>
      </c>
      <c r="C95" s="335" t="s">
        <v>2</v>
      </c>
      <c r="D95" s="336" t="s">
        <v>49</v>
      </c>
      <c r="E95" s="381" t="s">
        <v>16</v>
      </c>
      <c r="F95" s="337" t="s">
        <v>50</v>
      </c>
      <c r="G95" s="338" t="s">
        <v>51</v>
      </c>
      <c r="H95" s="339" t="s">
        <v>17</v>
      </c>
      <c r="J95" s="332"/>
      <c r="K95" s="332"/>
      <c r="L95" s="332"/>
      <c r="M95" s="332"/>
      <c r="N95" s="332"/>
      <c r="O95" s="332"/>
      <c r="P95" s="332"/>
      <c r="Q95" s="332"/>
      <c r="R95" s="332"/>
      <c r="S95" s="332"/>
      <c r="T95" s="332"/>
      <c r="U95" s="332"/>
      <c r="V95" s="332"/>
      <c r="W95" s="332"/>
      <c r="X95" s="332"/>
      <c r="Y95" s="332"/>
      <c r="Z95" s="332"/>
      <c r="AA95" s="332"/>
      <c r="AB95" s="332"/>
      <c r="AC95" s="332"/>
      <c r="AD95" s="332"/>
      <c r="AE95" s="332"/>
      <c r="AF95" s="332"/>
      <c r="AG95" s="332"/>
      <c r="AH95" s="332"/>
      <c r="AI95" s="332"/>
      <c r="AJ95" s="333"/>
      <c r="AK95" s="333"/>
      <c r="AL95" s="333"/>
      <c r="AM95" s="333"/>
    </row>
    <row r="96" spans="2:39" s="316" customFormat="1" ht="26.25" customHeight="1" x14ac:dyDescent="0.2">
      <c r="B96" s="388" t="str">
        <f>Rennlisten!B22</f>
        <v>Gocke</v>
      </c>
      <c r="C96" s="389" t="str">
        <f>Rennlisten!C22</f>
        <v>Eberhard</v>
      </c>
      <c r="D96" s="390">
        <f>Rennlisten!D22</f>
        <v>1940</v>
      </c>
      <c r="E96" s="391" t="str">
        <f>Rennlisten!E22</f>
        <v>J</v>
      </c>
      <c r="F96" s="392">
        <v>6664</v>
      </c>
      <c r="G96" s="393">
        <v>1</v>
      </c>
      <c r="H96" s="394" t="str">
        <f t="array" ref="H96">IF(B96&lt;&gt;"",INDEX('Eingabe Meldungen'!$C$2:$J$492,MATCH(B96&amp;C96,'Eingabe Meldungen'!$C$2:$C$492&amp;'Eingabe Meldungen'!$D$2:$D$492,0),8),"")</f>
        <v>RC Neptun Neckarelz</v>
      </c>
      <c r="J96" s="332"/>
      <c r="K96" s="332"/>
      <c r="L96" s="332"/>
      <c r="M96" s="332"/>
      <c r="N96" s="332">
        <v>3</v>
      </c>
      <c r="O96" s="332"/>
      <c r="P96" s="332"/>
      <c r="Q96" s="332"/>
      <c r="R96" s="332"/>
      <c r="S96" s="332"/>
      <c r="T96" s="332"/>
      <c r="U96" s="332"/>
      <c r="V96" s="332"/>
      <c r="W96" s="332"/>
      <c r="X96" s="332"/>
      <c r="Y96" s="332"/>
      <c r="Z96" s="332"/>
      <c r="AA96" s="332"/>
      <c r="AB96" s="332"/>
      <c r="AC96" s="332"/>
      <c r="AD96" s="332"/>
      <c r="AE96" s="332"/>
      <c r="AF96" s="332"/>
      <c r="AG96" s="332"/>
      <c r="AH96" s="332"/>
      <c r="AI96" s="332"/>
      <c r="AJ96" s="333"/>
      <c r="AK96" s="333"/>
      <c r="AL96" s="333"/>
      <c r="AM96" s="333"/>
    </row>
    <row r="97" spans="2:39" s="316" customFormat="1" ht="26.25" customHeight="1" x14ac:dyDescent="0.2">
      <c r="B97" s="340" t="str">
        <f>Rennlisten!B23</f>
        <v>Schultheiß</v>
      </c>
      <c r="C97" s="316" t="str">
        <f>Rennlisten!C23</f>
        <v>Günther</v>
      </c>
      <c r="D97" s="341">
        <f>Rennlisten!D23</f>
        <v>1942</v>
      </c>
      <c r="E97" s="382" t="str">
        <f>Rennlisten!E23</f>
        <v>I</v>
      </c>
      <c r="F97" s="342">
        <v>6646</v>
      </c>
      <c r="G97" s="333">
        <v>1</v>
      </c>
      <c r="H97" s="343" t="str">
        <f t="array" ref="H97">IF(B97&lt;&gt;"",INDEX('Eingabe Meldungen'!$C$2:$J$492,MATCH(B97&amp;C97,'Eingabe Meldungen'!$C$2:$C$492&amp;'Eingabe Meldungen'!$D$2:$D$492,0),8),"")</f>
        <v>RC Neptun Neckarelz</v>
      </c>
      <c r="J97" s="332"/>
      <c r="K97" s="332"/>
      <c r="L97" s="332"/>
      <c r="M97" s="332"/>
      <c r="N97" s="332">
        <v>1</v>
      </c>
      <c r="O97" s="332"/>
      <c r="P97" s="332"/>
      <c r="Q97" s="332"/>
      <c r="R97" s="332"/>
      <c r="S97" s="332"/>
      <c r="T97" s="332"/>
      <c r="U97" s="332"/>
      <c r="V97" s="332"/>
      <c r="W97" s="332"/>
      <c r="X97" s="332"/>
      <c r="Y97" s="332"/>
      <c r="Z97" s="332"/>
      <c r="AA97" s="332"/>
      <c r="AB97" s="332"/>
      <c r="AC97" s="332"/>
      <c r="AD97" s="332"/>
      <c r="AE97" s="332"/>
      <c r="AF97" s="332"/>
      <c r="AG97" s="332"/>
      <c r="AH97" s="332"/>
      <c r="AI97" s="332"/>
      <c r="AJ97" s="333"/>
      <c r="AK97" s="333"/>
      <c r="AL97" s="333"/>
      <c r="AM97" s="333"/>
    </row>
    <row r="98" spans="2:39" s="316" customFormat="1" ht="26.25" customHeight="1" x14ac:dyDescent="0.2">
      <c r="B98" s="340" t="str">
        <f>Rennlisten!B24</f>
        <v>Diem</v>
      </c>
      <c r="C98" s="316" t="str">
        <f>Rennlisten!C24</f>
        <v>Werner</v>
      </c>
      <c r="D98" s="341">
        <f>Rennlisten!D24</f>
        <v>1943</v>
      </c>
      <c r="E98" s="382" t="str">
        <f>Rennlisten!E24</f>
        <v>J</v>
      </c>
      <c r="F98" s="342">
        <v>6636</v>
      </c>
      <c r="G98" s="333">
        <v>2</v>
      </c>
      <c r="H98" s="343" t="str">
        <f t="array" ref="H98">IF(B98&lt;&gt;"",INDEX('Eingabe Meldungen'!$C$2:$J$492,MATCH(B98&amp;C98,'Eingabe Meldungen'!$C$2:$C$492&amp;'Eingabe Meldungen'!$D$2:$D$492,0),8),"")</f>
        <v>RC Neptun Neckarelz</v>
      </c>
      <c r="J98" s="332"/>
      <c r="K98" s="332"/>
      <c r="L98" s="332"/>
      <c r="M98" s="332"/>
      <c r="N98" s="332">
        <v>1</v>
      </c>
      <c r="O98" s="332"/>
      <c r="P98" s="332"/>
      <c r="Q98" s="332"/>
      <c r="R98" s="332"/>
      <c r="S98" s="332"/>
      <c r="T98" s="332"/>
      <c r="U98" s="332"/>
      <c r="V98" s="332"/>
      <c r="W98" s="332"/>
      <c r="X98" s="332"/>
      <c r="Y98" s="332"/>
      <c r="Z98" s="332"/>
      <c r="AA98" s="332"/>
      <c r="AB98" s="332"/>
      <c r="AC98" s="332"/>
      <c r="AD98" s="332"/>
      <c r="AE98" s="332"/>
      <c r="AF98" s="332"/>
      <c r="AG98" s="332"/>
      <c r="AH98" s="332"/>
      <c r="AI98" s="332"/>
      <c r="AJ98" s="333"/>
      <c r="AK98" s="333"/>
      <c r="AL98" s="333"/>
      <c r="AM98" s="333"/>
    </row>
    <row r="99" spans="2:39" s="316" customFormat="1" ht="26.25" customHeight="1" x14ac:dyDescent="0.2">
      <c r="B99" s="340" t="str">
        <f>Rennlisten!B25</f>
        <v>Schmiedeknecht</v>
      </c>
      <c r="C99" s="316" t="str">
        <f>Rennlisten!C25</f>
        <v>Helmut</v>
      </c>
      <c r="D99" s="341">
        <f>Rennlisten!D25</f>
        <v>1947</v>
      </c>
      <c r="E99" s="382" t="str">
        <f>Rennlisten!E25</f>
        <v>H</v>
      </c>
      <c r="F99" s="342">
        <v>6633</v>
      </c>
      <c r="G99" s="333">
        <v>3</v>
      </c>
      <c r="H99" s="343" t="str">
        <f t="array" ref="H99">IF(B99&lt;&gt;"",INDEX('Eingabe Meldungen'!$C$2:$J$492,MATCH(B99&amp;C99,'Eingabe Meldungen'!$C$2:$C$492&amp;'Eingabe Meldungen'!$D$2:$D$492,0),8),"")</f>
        <v>Ruderverein Bad Wimpfen</v>
      </c>
      <c r="I99" s="351"/>
      <c r="J99" s="332">
        <v>1</v>
      </c>
      <c r="K99" s="332"/>
      <c r="L99" s="332"/>
      <c r="M99" s="332"/>
      <c r="N99" s="332"/>
      <c r="O99" s="332"/>
      <c r="P99" s="332"/>
      <c r="Q99" s="332"/>
      <c r="R99" s="332"/>
      <c r="S99" s="332"/>
      <c r="T99" s="332"/>
      <c r="U99" s="332"/>
      <c r="V99" s="332"/>
      <c r="W99" s="332"/>
      <c r="X99" s="332"/>
      <c r="Y99" s="332"/>
      <c r="Z99" s="332"/>
      <c r="AA99" s="332"/>
      <c r="AB99" s="332"/>
      <c r="AC99" s="332"/>
      <c r="AD99" s="332"/>
      <c r="AE99" s="332"/>
      <c r="AF99" s="332"/>
      <c r="AG99" s="332"/>
      <c r="AH99" s="332"/>
      <c r="AI99" s="332"/>
      <c r="AJ99" s="333"/>
      <c r="AK99" s="333"/>
      <c r="AL99" s="333"/>
      <c r="AM99" s="333"/>
    </row>
    <row r="100" spans="2:39" s="316" customFormat="1" ht="26.25" customHeight="1" x14ac:dyDescent="0.2">
      <c r="B100" s="340" t="str">
        <f>Rennlisten!B26</f>
        <v>Vollmer</v>
      </c>
      <c r="C100" s="316" t="str">
        <f>Rennlisten!C26</f>
        <v>Gerhard</v>
      </c>
      <c r="D100" s="341">
        <f>Rennlisten!D26</f>
        <v>1948</v>
      </c>
      <c r="E100" s="382" t="str">
        <f>Rennlisten!E26</f>
        <v>H</v>
      </c>
      <c r="F100" s="342">
        <v>7337</v>
      </c>
      <c r="G100" s="333">
        <v>1</v>
      </c>
      <c r="H100" s="343" t="str">
        <f t="array" ref="H100">IF(B100&lt;&gt;"",INDEX('Eingabe Meldungen'!$C$2:$J$492,MATCH(B100&amp;C100,'Eingabe Meldungen'!$C$2:$C$492&amp;'Eingabe Meldungen'!$D$2:$D$492,0),8),"")</f>
        <v>HRG Schwaben</v>
      </c>
      <c r="I100" s="351"/>
      <c r="J100" s="332"/>
      <c r="K100" s="332"/>
      <c r="L100" s="332"/>
      <c r="M100" s="332"/>
      <c r="N100" s="332"/>
      <c r="O100" s="332"/>
      <c r="P100" s="332"/>
      <c r="Q100" s="332">
        <v>5</v>
      </c>
      <c r="R100" s="332"/>
      <c r="S100" s="332"/>
      <c r="T100" s="332"/>
      <c r="U100" s="332"/>
      <c r="V100" s="332"/>
      <c r="W100" s="332"/>
      <c r="X100" s="332"/>
      <c r="Y100" s="332"/>
      <c r="Z100" s="332"/>
      <c r="AA100" s="332"/>
      <c r="AB100" s="332"/>
      <c r="AC100" s="332"/>
      <c r="AD100" s="332"/>
      <c r="AE100" s="332"/>
      <c r="AF100" s="332"/>
      <c r="AG100" s="332"/>
      <c r="AH100" s="332"/>
      <c r="AI100" s="332"/>
      <c r="AJ100" s="333"/>
      <c r="AK100" s="333"/>
      <c r="AL100" s="333"/>
      <c r="AM100" s="333"/>
    </row>
    <row r="101" spans="2:39" s="316" customFormat="1" ht="26.25" customHeight="1" x14ac:dyDescent="0.2">
      <c r="B101" s="340" t="str">
        <f>Rennlisten!B27</f>
        <v>Schmidt</v>
      </c>
      <c r="C101" s="316" t="str">
        <f>Rennlisten!C27</f>
        <v>Rolf</v>
      </c>
      <c r="D101" s="341">
        <f>Rennlisten!D27</f>
        <v>1950</v>
      </c>
      <c r="E101" s="382" t="str">
        <f>Rennlisten!E27</f>
        <v>H</v>
      </c>
      <c r="F101" s="342">
        <v>7166</v>
      </c>
      <c r="G101" s="333">
        <v>2</v>
      </c>
      <c r="H101" s="343" t="str">
        <f t="array" ref="H101">IF(B101&lt;&gt;"",INDEX('Eingabe Meldungen'!$C$2:$J$492,MATCH(B101&amp;C101,'Eingabe Meldungen'!$C$2:$C$492&amp;'Eingabe Meldungen'!$D$2:$D$492,0),8),"")</f>
        <v>Marbacher Ruderverein</v>
      </c>
      <c r="J101" s="332"/>
      <c r="K101" s="332"/>
      <c r="L101" s="332"/>
      <c r="M101" s="332"/>
      <c r="N101" s="332"/>
      <c r="O101" s="332">
        <v>3</v>
      </c>
      <c r="P101" s="332"/>
      <c r="Q101" s="332"/>
      <c r="R101" s="332"/>
      <c r="S101" s="332"/>
      <c r="T101" s="332"/>
      <c r="U101" s="332"/>
      <c r="V101" s="332"/>
      <c r="W101" s="332"/>
      <c r="X101" s="332"/>
      <c r="Y101" s="332"/>
      <c r="Z101" s="332"/>
      <c r="AA101" s="332"/>
      <c r="AB101" s="332"/>
      <c r="AC101" s="332"/>
      <c r="AD101" s="332"/>
      <c r="AE101" s="332"/>
      <c r="AF101" s="332"/>
      <c r="AG101" s="332"/>
      <c r="AH101" s="332"/>
      <c r="AI101" s="332"/>
      <c r="AJ101" s="333"/>
      <c r="AK101" s="333"/>
      <c r="AL101" s="333"/>
      <c r="AM101" s="333"/>
    </row>
    <row r="102" spans="2:39" s="316" customFormat="1" ht="26.25" customHeight="1" x14ac:dyDescent="0.2">
      <c r="B102" s="340" t="str">
        <f>Rennlisten!B28</f>
        <v>Rentz</v>
      </c>
      <c r="C102" s="316" t="str">
        <f>Rennlisten!C28</f>
        <v>Jürgen</v>
      </c>
      <c r="D102" s="341">
        <f>Rennlisten!D28</f>
        <v>1955</v>
      </c>
      <c r="E102" s="382" t="str">
        <f>Rennlisten!E28</f>
        <v>G</v>
      </c>
      <c r="F102" s="342">
        <v>7206</v>
      </c>
      <c r="G102" s="333">
        <v>1</v>
      </c>
      <c r="H102" s="343" t="str">
        <f t="array" ref="H102">IF(B102&lt;&gt;"",INDEX('Eingabe Meldungen'!$C$2:$J$492,MATCH(B102&amp;C102,'Eingabe Meldungen'!$C$2:$C$492&amp;'Eingabe Meldungen'!$D$2:$D$492,0),8),"")</f>
        <v>Marbacher Ruderverein</v>
      </c>
      <c r="J102" s="332"/>
      <c r="K102" s="332"/>
      <c r="L102" s="332"/>
      <c r="M102" s="332"/>
      <c r="N102" s="332"/>
      <c r="O102" s="332">
        <v>1</v>
      </c>
      <c r="P102" s="332"/>
      <c r="Q102" s="332"/>
      <c r="R102" s="332"/>
      <c r="S102" s="332"/>
      <c r="T102" s="332"/>
      <c r="U102" s="332"/>
      <c r="V102" s="332"/>
      <c r="W102" s="332"/>
      <c r="X102" s="332"/>
      <c r="Y102" s="332"/>
      <c r="Z102" s="332"/>
      <c r="AA102" s="332"/>
      <c r="AB102" s="332"/>
      <c r="AC102" s="332"/>
      <c r="AD102" s="332"/>
      <c r="AE102" s="332"/>
      <c r="AF102" s="332"/>
      <c r="AG102" s="332"/>
      <c r="AH102" s="332"/>
      <c r="AI102" s="332"/>
      <c r="AJ102" s="333"/>
      <c r="AK102" s="333"/>
      <c r="AL102" s="333"/>
      <c r="AM102" s="333"/>
    </row>
    <row r="103" spans="2:39" s="316" customFormat="1" ht="26.25" customHeight="1" x14ac:dyDescent="0.2">
      <c r="B103" s="340" t="str">
        <f>Rennlisten!B29</f>
        <v>Klinge</v>
      </c>
      <c r="C103" s="316" t="str">
        <f>Rennlisten!C29</f>
        <v>Achim</v>
      </c>
      <c r="D103" s="341">
        <f>Rennlisten!D29</f>
        <v>1957</v>
      </c>
      <c r="E103" s="382" t="str">
        <f>Rennlisten!E29</f>
        <v>F</v>
      </c>
      <c r="F103" s="342">
        <v>7896</v>
      </c>
      <c r="G103" s="333">
        <v>2</v>
      </c>
      <c r="H103" s="343" t="str">
        <f t="array" ref="H103">IF(B103&lt;&gt;"",INDEX('Eingabe Meldungen'!$C$2:$J$492,MATCH(B103&amp;C103,'Eingabe Meldungen'!$C$2:$C$492&amp;'Eingabe Meldungen'!$D$2:$D$492,0),8),"")</f>
        <v>SSG Bensheim</v>
      </c>
      <c r="J103" s="332"/>
      <c r="K103" s="332"/>
      <c r="L103" s="332"/>
      <c r="M103" s="332"/>
      <c r="N103" s="332"/>
      <c r="O103" s="332"/>
      <c r="P103" s="332"/>
      <c r="Q103" s="332"/>
      <c r="R103" s="332"/>
      <c r="S103" s="332"/>
      <c r="T103" s="332"/>
      <c r="U103" s="332"/>
      <c r="V103" s="332"/>
      <c r="W103" s="332"/>
      <c r="X103" s="332"/>
      <c r="Y103" s="332"/>
      <c r="Z103" s="332"/>
      <c r="AA103" s="332"/>
      <c r="AB103" s="332"/>
      <c r="AC103" s="332"/>
      <c r="AD103" s="332"/>
      <c r="AE103" s="332"/>
      <c r="AF103" s="332"/>
      <c r="AG103" s="332"/>
      <c r="AH103" s="332"/>
      <c r="AI103" s="332"/>
      <c r="AJ103" s="333"/>
      <c r="AK103" s="333"/>
      <c r="AL103" s="333"/>
      <c r="AM103" s="333"/>
    </row>
    <row r="104" spans="2:39" s="316" customFormat="1" ht="26.25" customHeight="1" x14ac:dyDescent="0.2">
      <c r="B104" s="340"/>
      <c r="D104" s="341"/>
      <c r="E104" s="382"/>
      <c r="F104" s="342"/>
      <c r="G104" s="333"/>
      <c r="H104" s="343"/>
      <c r="J104" s="332"/>
      <c r="K104" s="332"/>
      <c r="L104" s="332"/>
      <c r="M104" s="332"/>
      <c r="N104" s="332"/>
      <c r="O104" s="332"/>
      <c r="P104" s="332"/>
      <c r="Q104" s="332"/>
      <c r="R104" s="332"/>
      <c r="S104" s="332"/>
      <c r="T104" s="332"/>
      <c r="U104" s="332"/>
      <c r="V104" s="332"/>
      <c r="W104" s="332"/>
      <c r="X104" s="332"/>
      <c r="Y104" s="332"/>
      <c r="Z104" s="332"/>
      <c r="AA104" s="332"/>
      <c r="AB104" s="332"/>
      <c r="AC104" s="332"/>
      <c r="AD104" s="332"/>
      <c r="AE104" s="332"/>
      <c r="AF104" s="332"/>
      <c r="AG104" s="332"/>
      <c r="AH104" s="332"/>
      <c r="AI104" s="332"/>
      <c r="AJ104" s="333"/>
      <c r="AK104" s="333"/>
      <c r="AL104" s="333"/>
      <c r="AM104" s="333"/>
    </row>
    <row r="105" spans="2:39" s="316" customFormat="1" ht="26.25" customHeight="1" x14ac:dyDescent="0.2">
      <c r="B105" s="340" t="str">
        <f>Rennlisten!B31</f>
        <v>Schuhn</v>
      </c>
      <c r="C105" s="316" t="str">
        <f>Rennlisten!C31</f>
        <v>Peter</v>
      </c>
      <c r="D105" s="341">
        <f>Rennlisten!D31</f>
        <v>1959</v>
      </c>
      <c r="E105" s="382" t="str">
        <f>Rennlisten!E31</f>
        <v>F</v>
      </c>
      <c r="F105" s="342">
        <v>8005</v>
      </c>
      <c r="G105" s="333">
        <v>1</v>
      </c>
      <c r="H105" s="343" t="str">
        <f t="array" ref="H105">IF(B105&lt;&gt;"",INDEX('Eingabe Meldungen'!$C$2:$J$492,MATCH(B105&amp;C105,'Eingabe Meldungen'!$C$2:$C$492&amp;'Eingabe Meldungen'!$D$2:$D$492,0),8),"")</f>
        <v>ErgoRudern Saarlouis</v>
      </c>
      <c r="J105" s="332"/>
      <c r="K105" s="332"/>
      <c r="L105" s="332"/>
      <c r="M105" s="332"/>
      <c r="N105" s="332"/>
      <c r="O105" s="332"/>
      <c r="P105" s="332"/>
      <c r="Q105" s="332"/>
      <c r="R105" s="332"/>
      <c r="S105" s="332"/>
      <c r="T105" s="332"/>
      <c r="U105" s="332"/>
      <c r="V105" s="332"/>
      <c r="W105" s="332"/>
      <c r="X105" s="332"/>
      <c r="Y105" s="332"/>
      <c r="Z105" s="332"/>
      <c r="AA105" s="332"/>
      <c r="AB105" s="332"/>
      <c r="AC105" s="332"/>
      <c r="AD105" s="332"/>
      <c r="AE105" s="332"/>
      <c r="AF105" s="332"/>
      <c r="AG105" s="332"/>
      <c r="AH105" s="332"/>
      <c r="AI105" s="332"/>
      <c r="AJ105" s="333"/>
      <c r="AK105" s="333"/>
      <c r="AL105" s="333"/>
      <c r="AM105" s="333"/>
    </row>
    <row r="106" spans="2:39" s="316" customFormat="1" ht="26.25" customHeight="1" x14ac:dyDescent="0.2">
      <c r="B106" s="340" t="str">
        <f>Rennlisten!B32</f>
        <v>Marx</v>
      </c>
      <c r="C106" s="316" t="str">
        <f>Rennlisten!C32</f>
        <v>Johannes</v>
      </c>
      <c r="D106" s="341">
        <f>Rennlisten!D32</f>
        <v>1962</v>
      </c>
      <c r="E106" s="382" t="str">
        <f>Rennlisten!E32</f>
        <v>E</v>
      </c>
      <c r="F106" s="342">
        <v>8424</v>
      </c>
      <c r="G106" s="333">
        <v>1</v>
      </c>
      <c r="H106" s="343" t="str">
        <f t="array" ref="H106">IF(B106&lt;&gt;"",INDEX('Eingabe Meldungen'!$C$2:$J$492,MATCH(B106&amp;C106,'Eingabe Meldungen'!$C$2:$C$492&amp;'Eingabe Meldungen'!$D$2:$D$492,0),8),"")</f>
        <v>RC Neptun Neckarelz</v>
      </c>
      <c r="J106" s="332"/>
      <c r="K106" s="332"/>
      <c r="L106" s="332"/>
      <c r="M106" s="332"/>
      <c r="N106" s="332">
        <v>1</v>
      </c>
      <c r="O106" s="332"/>
      <c r="P106" s="332"/>
      <c r="Q106" s="332"/>
      <c r="R106" s="332"/>
      <c r="S106" s="332"/>
      <c r="T106" s="332"/>
      <c r="U106" s="332"/>
      <c r="V106" s="332"/>
      <c r="W106" s="332"/>
      <c r="X106" s="332"/>
      <c r="Y106" s="332"/>
      <c r="Z106" s="332"/>
      <c r="AA106" s="332"/>
      <c r="AB106" s="332"/>
      <c r="AC106" s="332"/>
      <c r="AD106" s="332"/>
      <c r="AE106" s="332"/>
      <c r="AF106" s="332"/>
      <c r="AG106" s="332"/>
      <c r="AH106" s="332"/>
      <c r="AI106" s="332"/>
      <c r="AJ106" s="333"/>
      <c r="AK106" s="333"/>
      <c r="AL106" s="333"/>
      <c r="AM106" s="333"/>
    </row>
    <row r="107" spans="2:39" s="316" customFormat="1" ht="26.25" customHeight="1" x14ac:dyDescent="0.2">
      <c r="B107" s="340"/>
      <c r="D107" s="341"/>
      <c r="E107" s="382"/>
      <c r="F107" s="342"/>
      <c r="G107" s="333"/>
      <c r="H107" s="343"/>
      <c r="J107" s="332"/>
      <c r="K107" s="332"/>
      <c r="L107" s="332"/>
      <c r="M107" s="332"/>
      <c r="N107" s="332"/>
      <c r="O107" s="332"/>
      <c r="P107" s="332"/>
      <c r="Q107" s="332"/>
      <c r="R107" s="332"/>
      <c r="S107" s="332"/>
      <c r="T107" s="332"/>
      <c r="U107" s="332"/>
      <c r="V107" s="332"/>
      <c r="W107" s="332"/>
      <c r="X107" s="332"/>
      <c r="Y107" s="332"/>
      <c r="Z107" s="332"/>
      <c r="AA107" s="332"/>
      <c r="AB107" s="332"/>
      <c r="AC107" s="332"/>
      <c r="AD107" s="332"/>
      <c r="AE107" s="332"/>
      <c r="AF107" s="332"/>
      <c r="AG107" s="332"/>
      <c r="AH107" s="332"/>
      <c r="AI107" s="332"/>
      <c r="AJ107" s="333"/>
      <c r="AK107" s="333"/>
      <c r="AL107" s="333"/>
      <c r="AM107" s="333"/>
    </row>
    <row r="108" spans="2:39" s="316" customFormat="1" ht="26.25" customHeight="1" x14ac:dyDescent="0.2">
      <c r="B108" s="340" t="str">
        <f>Rennlisten!B34</f>
        <v>Marion</v>
      </c>
      <c r="C108" s="316" t="str">
        <f>Rennlisten!C34</f>
        <v>Markus</v>
      </c>
      <c r="D108" s="341">
        <f>Rennlisten!D34</f>
        <v>1966</v>
      </c>
      <c r="E108" s="382" t="str">
        <f>Rennlisten!E34</f>
        <v>D</v>
      </c>
      <c r="F108" s="342">
        <v>7874</v>
      </c>
      <c r="G108" s="333">
        <v>3</v>
      </c>
      <c r="H108" s="343" t="str">
        <f t="array" ref="H108">IF(B108&lt;&gt;"",INDEX('Eingabe Meldungen'!$C$2:$J$492,MATCH(B108&amp;C108,'Eingabe Meldungen'!$C$2:$C$492&amp;'Eingabe Meldungen'!$D$2:$D$492,0),8),"")</f>
        <v>ErgoRudern Saarlouis</v>
      </c>
      <c r="J108" s="332"/>
      <c r="K108" s="332"/>
      <c r="L108" s="332"/>
      <c r="M108" s="332"/>
      <c r="N108" s="332"/>
      <c r="O108" s="332"/>
      <c r="P108" s="332"/>
      <c r="Q108" s="332"/>
      <c r="R108" s="332"/>
      <c r="S108" s="332"/>
      <c r="T108" s="332"/>
      <c r="U108" s="332"/>
      <c r="V108" s="332"/>
      <c r="W108" s="332"/>
      <c r="X108" s="332"/>
      <c r="Y108" s="332"/>
      <c r="Z108" s="332"/>
      <c r="AA108" s="332"/>
      <c r="AB108" s="332"/>
      <c r="AC108" s="332"/>
      <c r="AD108" s="332"/>
      <c r="AE108" s="332"/>
      <c r="AF108" s="332"/>
      <c r="AG108" s="332"/>
      <c r="AH108" s="332"/>
      <c r="AI108" s="332"/>
      <c r="AJ108" s="333"/>
      <c r="AK108" s="333"/>
      <c r="AL108" s="333"/>
      <c r="AM108" s="333"/>
    </row>
    <row r="109" spans="2:39" s="316" customFormat="1" ht="26.25" customHeight="1" x14ac:dyDescent="0.2">
      <c r="B109" s="340"/>
      <c r="D109" s="341"/>
      <c r="E109" s="382"/>
      <c r="F109" s="342"/>
      <c r="G109" s="333"/>
      <c r="H109" s="343"/>
      <c r="J109" s="332"/>
      <c r="K109" s="332"/>
      <c r="L109" s="332"/>
      <c r="M109" s="332"/>
      <c r="N109" s="332"/>
      <c r="O109" s="332"/>
      <c r="P109" s="332"/>
      <c r="Q109" s="332"/>
      <c r="R109" s="332"/>
      <c r="S109" s="332"/>
      <c r="T109" s="332"/>
      <c r="U109" s="332"/>
      <c r="V109" s="332"/>
      <c r="W109" s="332"/>
      <c r="X109" s="332"/>
      <c r="Y109" s="332"/>
      <c r="Z109" s="332"/>
      <c r="AA109" s="332"/>
      <c r="AB109" s="332"/>
      <c r="AC109" s="332"/>
      <c r="AD109" s="332"/>
      <c r="AE109" s="332"/>
      <c r="AF109" s="332"/>
      <c r="AG109" s="332"/>
      <c r="AH109" s="332"/>
      <c r="AI109" s="332"/>
      <c r="AJ109" s="333"/>
      <c r="AK109" s="333"/>
      <c r="AL109" s="333"/>
      <c r="AM109" s="333"/>
    </row>
    <row r="110" spans="2:39" s="316" customFormat="1" ht="26.25" customHeight="1" x14ac:dyDescent="0.2">
      <c r="B110" s="340" t="str">
        <f>Rennlisten!B36</f>
        <v>Rottler</v>
      </c>
      <c r="C110" s="316" t="str">
        <f>Rennlisten!C36</f>
        <v>Christoph</v>
      </c>
      <c r="D110" s="341">
        <f>Rennlisten!D36</f>
        <v>1968</v>
      </c>
      <c r="E110" s="382" t="str">
        <f>Rennlisten!E36</f>
        <v>D</v>
      </c>
      <c r="F110" s="342">
        <v>7340</v>
      </c>
      <c r="G110" s="333">
        <v>6</v>
      </c>
      <c r="H110" s="343" t="str">
        <f t="array" ref="H110">IF(B110&lt;&gt;"",INDEX('Eingabe Meldungen'!$C$2:$J$492,MATCH(B110&amp;C110,'Eingabe Meldungen'!$C$2:$C$492&amp;'Eingabe Meldungen'!$D$2:$D$492,0),8),"")</f>
        <v>HRG Schwaben</v>
      </c>
      <c r="J110" s="332"/>
      <c r="K110" s="332"/>
      <c r="L110" s="332"/>
      <c r="M110" s="332"/>
      <c r="N110" s="332"/>
      <c r="O110" s="332"/>
      <c r="P110" s="332"/>
      <c r="Q110" s="332"/>
      <c r="R110" s="332"/>
      <c r="S110" s="332"/>
      <c r="T110" s="332"/>
      <c r="U110" s="332"/>
      <c r="V110" s="332"/>
      <c r="W110" s="332"/>
      <c r="X110" s="332"/>
      <c r="Y110" s="332"/>
      <c r="Z110" s="332"/>
      <c r="AA110" s="332"/>
      <c r="AB110" s="332"/>
      <c r="AC110" s="332"/>
      <c r="AD110" s="332"/>
      <c r="AE110" s="332"/>
      <c r="AF110" s="332"/>
      <c r="AG110" s="332"/>
      <c r="AH110" s="332"/>
      <c r="AI110" s="332"/>
      <c r="AJ110" s="333"/>
      <c r="AK110" s="333"/>
      <c r="AL110" s="333"/>
      <c r="AM110" s="333"/>
    </row>
    <row r="111" spans="2:39" s="316" customFormat="1" ht="26.25" customHeight="1" x14ac:dyDescent="0.2">
      <c r="B111" s="340" t="str">
        <f>Rennlisten!B37</f>
        <v>Grün</v>
      </c>
      <c r="C111" s="316" t="str">
        <f>Rennlisten!C37</f>
        <v>Michael</v>
      </c>
      <c r="D111" s="341">
        <f>Rennlisten!D37</f>
        <v>1968</v>
      </c>
      <c r="E111" s="382" t="s">
        <v>444</v>
      </c>
      <c r="F111" s="342">
        <v>8359</v>
      </c>
      <c r="G111" s="333">
        <v>1</v>
      </c>
      <c r="H111" s="343" t="str">
        <f t="array" ref="H111">IF(B111&lt;&gt;"",INDEX('Eingabe Meldungen'!$C$2:$J$492,MATCH(B111&amp;C111,'Eingabe Meldungen'!$C$2:$C$492&amp;'Eingabe Meldungen'!$D$2:$D$492,0),8),"")</f>
        <v>HRG Schwaben</v>
      </c>
      <c r="J111" s="332"/>
      <c r="K111" s="332"/>
      <c r="L111" s="332"/>
      <c r="M111" s="332"/>
      <c r="N111" s="332"/>
      <c r="O111" s="332"/>
      <c r="P111" s="332">
        <v>6</v>
      </c>
      <c r="Q111" s="332"/>
      <c r="R111" s="332"/>
      <c r="S111" s="332"/>
      <c r="T111" s="332"/>
      <c r="U111" s="332"/>
      <c r="V111" s="332"/>
      <c r="W111" s="332"/>
      <c r="X111" s="332"/>
      <c r="Y111" s="332"/>
      <c r="Z111" s="332"/>
      <c r="AA111" s="332"/>
      <c r="AB111" s="332"/>
      <c r="AC111" s="332"/>
      <c r="AD111" s="332"/>
      <c r="AE111" s="332"/>
      <c r="AF111" s="332"/>
      <c r="AG111" s="332"/>
      <c r="AH111" s="332"/>
      <c r="AI111" s="332"/>
      <c r="AJ111" s="333"/>
      <c r="AK111" s="333"/>
      <c r="AL111" s="333"/>
      <c r="AM111" s="333"/>
    </row>
    <row r="112" spans="2:39" s="316" customFormat="1" ht="26.25" customHeight="1" x14ac:dyDescent="0.2">
      <c r="B112" s="340" t="str">
        <f>Rennlisten!B38</f>
        <v>Demmer</v>
      </c>
      <c r="C112" s="316" t="str">
        <f>Rennlisten!C38</f>
        <v>Patrick</v>
      </c>
      <c r="D112" s="341">
        <f>Rennlisten!D38</f>
        <v>1969</v>
      </c>
      <c r="E112" s="382" t="str">
        <f>Rennlisten!E38</f>
        <v>D</v>
      </c>
      <c r="F112" s="342">
        <v>7471</v>
      </c>
      <c r="G112" s="333">
        <v>5</v>
      </c>
      <c r="H112" s="343" t="str">
        <f t="array" ref="H112">IF(B112&lt;&gt;"",INDEX('Eingabe Meldungen'!$C$2:$J$492,MATCH(B112&amp;C112,'Eingabe Meldungen'!$C$2:$C$492&amp;'Eingabe Meldungen'!$D$2:$D$492,0),8),"")</f>
        <v>HRG Schwaben</v>
      </c>
      <c r="J112" s="332"/>
      <c r="K112" s="332"/>
      <c r="L112" s="332"/>
      <c r="M112" s="332"/>
      <c r="N112" s="332"/>
      <c r="O112" s="332"/>
      <c r="P112" s="332">
        <v>1</v>
      </c>
      <c r="Q112" s="332"/>
      <c r="R112" s="332"/>
      <c r="S112" s="332"/>
      <c r="T112" s="332"/>
      <c r="U112" s="332"/>
      <c r="V112" s="332"/>
      <c r="W112" s="332"/>
      <c r="X112" s="332"/>
      <c r="Y112" s="332"/>
      <c r="Z112" s="332"/>
      <c r="AA112" s="332"/>
      <c r="AB112" s="332"/>
      <c r="AC112" s="332"/>
      <c r="AD112" s="332"/>
      <c r="AE112" s="332"/>
      <c r="AF112" s="332"/>
      <c r="AG112" s="332"/>
      <c r="AH112" s="332"/>
      <c r="AI112" s="332"/>
      <c r="AJ112" s="333"/>
      <c r="AK112" s="333"/>
      <c r="AL112" s="333"/>
      <c r="AM112" s="333"/>
    </row>
    <row r="113" spans="2:39" s="316" customFormat="1" ht="26.25" customHeight="1" x14ac:dyDescent="0.2">
      <c r="B113" s="340" t="str">
        <f>Rennlisten!B39</f>
        <v>Bischoff</v>
      </c>
      <c r="C113" s="316" t="str">
        <f>Rennlisten!C39</f>
        <v>Rene´</v>
      </c>
      <c r="D113" s="341">
        <f>Rennlisten!D39</f>
        <v>1969</v>
      </c>
      <c r="E113" s="382" t="str">
        <f>Rennlisten!E39</f>
        <v>D</v>
      </c>
      <c r="F113" s="342">
        <v>8213</v>
      </c>
      <c r="G113" s="333">
        <v>1</v>
      </c>
      <c r="H113" s="343" t="str">
        <f t="array" ref="H113">IF(B113&lt;&gt;"",INDEX('Eingabe Meldungen'!$C$2:$J$492,MATCH(B113&amp;C113,'Eingabe Meldungen'!$C$2:$C$492&amp;'Eingabe Meldungen'!$D$2:$D$492,0),8),"")</f>
        <v>HRG Schwaben</v>
      </c>
      <c r="J113" s="332"/>
      <c r="K113" s="332"/>
      <c r="L113" s="332"/>
      <c r="M113" s="332"/>
      <c r="N113" s="332"/>
      <c r="O113" s="332"/>
      <c r="P113" s="332"/>
      <c r="Q113" s="332">
        <v>7</v>
      </c>
      <c r="R113" s="332"/>
      <c r="S113" s="332"/>
      <c r="T113" s="332"/>
      <c r="U113" s="332"/>
      <c r="V113" s="332"/>
      <c r="W113" s="332"/>
      <c r="X113" s="332"/>
      <c r="Y113" s="332"/>
      <c r="Z113" s="332"/>
      <c r="AA113" s="332"/>
      <c r="AB113" s="332"/>
      <c r="AC113" s="332"/>
      <c r="AD113" s="332"/>
      <c r="AE113" s="332"/>
      <c r="AF113" s="332"/>
      <c r="AG113" s="332"/>
      <c r="AH113" s="332"/>
      <c r="AI113" s="332"/>
      <c r="AJ113" s="333"/>
      <c r="AK113" s="333"/>
      <c r="AL113" s="333"/>
      <c r="AM113" s="333"/>
    </row>
    <row r="114" spans="2:39" s="316" customFormat="1" ht="26.25" customHeight="1" x14ac:dyDescent="0.2">
      <c r="B114" s="340" t="str">
        <f>Rennlisten!B40</f>
        <v>Veigel</v>
      </c>
      <c r="C114" s="316" t="str">
        <f>Rennlisten!C40</f>
        <v>Wolfram</v>
      </c>
      <c r="D114" s="341">
        <f>Rennlisten!D40</f>
        <v>1969</v>
      </c>
      <c r="E114" s="382" t="str">
        <f>Rennlisten!E40</f>
        <v>D</v>
      </c>
      <c r="F114" s="342">
        <v>7669</v>
      </c>
      <c r="G114" s="333">
        <v>4</v>
      </c>
      <c r="H114" s="343" t="str">
        <f t="array" ref="H114">IF(B114&lt;&gt;"",INDEX('Eingabe Meldungen'!$C$2:$J$492,MATCH(B114&amp;C114,'Eingabe Meldungen'!$C$2:$C$492&amp;'Eingabe Meldungen'!$D$2:$D$492,0),8),"")</f>
        <v>Marbacher Ruderverein</v>
      </c>
      <c r="J114" s="332"/>
      <c r="K114" s="332"/>
      <c r="L114" s="332"/>
      <c r="M114" s="332"/>
      <c r="N114" s="332"/>
      <c r="O114" s="332">
        <v>2</v>
      </c>
      <c r="P114" s="332"/>
      <c r="Q114" s="332"/>
      <c r="R114" s="332"/>
      <c r="S114" s="332"/>
      <c r="T114" s="332"/>
      <c r="U114" s="332"/>
      <c r="V114" s="332"/>
      <c r="W114" s="332"/>
      <c r="X114" s="332"/>
      <c r="Y114" s="332"/>
      <c r="Z114" s="332"/>
      <c r="AA114" s="332"/>
      <c r="AB114" s="332"/>
      <c r="AC114" s="332"/>
      <c r="AD114" s="332"/>
      <c r="AE114" s="332"/>
      <c r="AF114" s="332"/>
      <c r="AG114" s="332"/>
      <c r="AH114" s="332"/>
      <c r="AI114" s="332"/>
      <c r="AJ114" s="333"/>
      <c r="AK114" s="333"/>
      <c r="AL114" s="333"/>
      <c r="AM114" s="333"/>
    </row>
    <row r="115" spans="2:39" s="316" customFormat="1" ht="26.25" customHeight="1" x14ac:dyDescent="0.2">
      <c r="B115" s="340">
        <f>Rennlisten!B41</f>
        <v>0</v>
      </c>
      <c r="C115" s="316">
        <f>Rennlisten!C41</f>
        <v>0</v>
      </c>
      <c r="D115" s="341">
        <f>Rennlisten!D41</f>
        <v>0</v>
      </c>
      <c r="E115" s="382">
        <f>Rennlisten!E41</f>
        <v>0</v>
      </c>
      <c r="F115" s="342"/>
      <c r="G115" s="333"/>
      <c r="H115" s="343" t="e">
        <f t="array" ref="H115">IF(B115&lt;&gt;"",INDEX('Eingabe Meldungen'!$C$2:$J$492,MATCH(B115&amp;C115,'Eingabe Meldungen'!$C$2:$C$492&amp;'Eingabe Meldungen'!$D$2:$D$492,0),8),"")</f>
        <v>#N/A</v>
      </c>
      <c r="J115" s="332"/>
      <c r="K115" s="332"/>
      <c r="L115" s="332"/>
      <c r="M115" s="332"/>
      <c r="N115" s="332"/>
      <c r="O115" s="332"/>
      <c r="P115" s="332"/>
      <c r="Q115" s="332"/>
      <c r="R115" s="332"/>
      <c r="S115" s="332"/>
      <c r="T115" s="332"/>
      <c r="U115" s="332"/>
      <c r="V115" s="332"/>
      <c r="W115" s="332"/>
      <c r="X115" s="332"/>
      <c r="Y115" s="332"/>
      <c r="Z115" s="332"/>
      <c r="AA115" s="332"/>
      <c r="AB115" s="332"/>
      <c r="AC115" s="332"/>
      <c r="AD115" s="332"/>
      <c r="AE115" s="332"/>
      <c r="AF115" s="332"/>
      <c r="AG115" s="332"/>
      <c r="AH115" s="332"/>
      <c r="AI115" s="332"/>
      <c r="AJ115" s="333"/>
      <c r="AK115" s="333"/>
      <c r="AL115" s="333"/>
      <c r="AM115" s="333"/>
    </row>
    <row r="116" spans="2:39" s="316" customFormat="1" ht="26.25" customHeight="1" x14ac:dyDescent="0.2">
      <c r="B116" s="340" t="str">
        <f>Rennlisten!B42</f>
        <v>Blank</v>
      </c>
      <c r="C116" s="316" t="str">
        <f>Rennlisten!C42</f>
        <v>Hannes</v>
      </c>
      <c r="D116" s="341">
        <f>Rennlisten!D42</f>
        <v>1971</v>
      </c>
      <c r="E116" s="382" t="str">
        <f>Rennlisten!E42</f>
        <v>C</v>
      </c>
      <c r="F116" s="342">
        <v>6944</v>
      </c>
      <c r="G116" s="333">
        <v>4</v>
      </c>
      <c r="H116" s="343" t="str">
        <f t="array" ref="H116">IF(B116&lt;&gt;"",INDEX('Eingabe Meldungen'!$C$2:$J$492,MATCH(B116&amp;C116,'Eingabe Meldungen'!$C$2:$C$492&amp;'Eingabe Meldungen'!$D$2:$D$492,0),8),"")</f>
        <v>Karlsruher Ruder-Verein Wiking</v>
      </c>
      <c r="J116" s="332"/>
      <c r="K116" s="332"/>
      <c r="L116" s="332"/>
      <c r="M116" s="332"/>
      <c r="N116" s="332"/>
      <c r="O116" s="332"/>
      <c r="P116" s="332"/>
      <c r="Q116" s="332"/>
      <c r="R116" s="332"/>
      <c r="S116" s="332"/>
      <c r="T116" s="332"/>
      <c r="U116" s="332"/>
      <c r="V116" s="332"/>
      <c r="W116" s="332"/>
      <c r="X116" s="332"/>
      <c r="Y116" s="332"/>
      <c r="Z116" s="332"/>
      <c r="AA116" s="332"/>
      <c r="AB116" s="332"/>
      <c r="AC116" s="332"/>
      <c r="AD116" s="332"/>
      <c r="AE116" s="332"/>
      <c r="AF116" s="332"/>
      <c r="AG116" s="332"/>
      <c r="AH116" s="332"/>
      <c r="AI116" s="332"/>
      <c r="AJ116" s="333"/>
      <c r="AK116" s="333"/>
      <c r="AL116" s="333"/>
      <c r="AM116" s="333"/>
    </row>
    <row r="117" spans="2:39" s="316" customFormat="1" ht="26.25" customHeight="1" x14ac:dyDescent="0.2">
      <c r="B117" s="340" t="str">
        <f>Rennlisten!B43</f>
        <v>Fouque</v>
      </c>
      <c r="C117" s="316" t="str">
        <f>Rennlisten!C43</f>
        <v>Martin</v>
      </c>
      <c r="D117" s="341">
        <f>Rennlisten!D43</f>
        <v>1971</v>
      </c>
      <c r="E117" s="382" t="str">
        <f>Rennlisten!E43</f>
        <v>C</v>
      </c>
      <c r="F117" s="342">
        <v>8080</v>
      </c>
      <c r="G117" s="333">
        <v>2</v>
      </c>
      <c r="H117" s="343" t="str">
        <f t="array" ref="H117">IF(B117&lt;&gt;"",INDEX('Eingabe Meldungen'!$C$2:$J$492,MATCH(B117&amp;C117,'Eingabe Meldungen'!$C$2:$C$492&amp;'Eingabe Meldungen'!$D$2:$D$492,0),8),"")</f>
        <v>RC Nürtingen</v>
      </c>
      <c r="J117" s="332"/>
      <c r="K117" s="332"/>
      <c r="L117" s="332"/>
      <c r="M117" s="332">
        <v>4</v>
      </c>
      <c r="N117" s="332"/>
      <c r="O117" s="332"/>
      <c r="P117" s="332"/>
      <c r="Q117" s="332"/>
      <c r="R117" s="332"/>
      <c r="S117" s="332"/>
      <c r="T117" s="332"/>
      <c r="U117" s="332"/>
      <c r="V117" s="332"/>
      <c r="W117" s="332"/>
      <c r="X117" s="332"/>
      <c r="Y117" s="332"/>
      <c r="Z117" s="332"/>
      <c r="AA117" s="332"/>
      <c r="AB117" s="332"/>
      <c r="AC117" s="332"/>
      <c r="AD117" s="332"/>
      <c r="AE117" s="332"/>
      <c r="AF117" s="332"/>
      <c r="AG117" s="332"/>
      <c r="AH117" s="332"/>
      <c r="AI117" s="332"/>
      <c r="AJ117" s="333"/>
      <c r="AK117" s="333"/>
      <c r="AL117" s="333"/>
      <c r="AM117" s="333"/>
    </row>
    <row r="118" spans="2:39" s="316" customFormat="1" ht="26.25" customHeight="1" x14ac:dyDescent="0.2">
      <c r="B118" s="340" t="str">
        <f>Rennlisten!B44</f>
        <v>Burger</v>
      </c>
      <c r="C118" s="316" t="str">
        <f>Rennlisten!C44</f>
        <v>Max</v>
      </c>
      <c r="D118" s="341">
        <f>Rennlisten!D44</f>
        <v>1975</v>
      </c>
      <c r="E118" s="382" t="str">
        <f>Rennlisten!E44</f>
        <v>C</v>
      </c>
      <c r="F118" s="342">
        <v>7777</v>
      </c>
      <c r="G118" s="333">
        <v>3</v>
      </c>
      <c r="H118" s="343" t="str">
        <f t="array" ref="H118">IF(B118&lt;&gt;"",INDEX('Eingabe Meldungen'!$C$2:$J$492,MATCH(B118&amp;C118,'Eingabe Meldungen'!$C$2:$C$492&amp;'Eingabe Meldungen'!$D$2:$D$492,0),8),"")</f>
        <v>Heidelberger Ruderklub</v>
      </c>
      <c r="J118" s="332"/>
      <c r="K118" s="332"/>
      <c r="L118" s="332">
        <v>2</v>
      </c>
      <c r="M118" s="332"/>
      <c r="N118" s="332"/>
      <c r="O118" s="332"/>
      <c r="P118" s="332"/>
      <c r="Q118" s="332"/>
      <c r="R118" s="332"/>
      <c r="S118" s="332"/>
      <c r="T118" s="332"/>
      <c r="U118" s="332"/>
      <c r="V118" s="332"/>
      <c r="W118" s="332"/>
      <c r="X118" s="332"/>
      <c r="Y118" s="332"/>
      <c r="Z118" s="332"/>
      <c r="AA118" s="332"/>
      <c r="AB118" s="332"/>
      <c r="AC118" s="332"/>
      <c r="AD118" s="332"/>
      <c r="AE118" s="332"/>
      <c r="AF118" s="332"/>
      <c r="AG118" s="332"/>
      <c r="AH118" s="332"/>
      <c r="AI118" s="332"/>
      <c r="AJ118" s="333"/>
      <c r="AK118" s="333"/>
      <c r="AL118" s="333"/>
      <c r="AM118" s="333"/>
    </row>
    <row r="119" spans="2:39" s="316" customFormat="1" ht="26.25" customHeight="1" x14ac:dyDescent="0.2">
      <c r="B119" s="340"/>
      <c r="D119" s="341"/>
      <c r="E119" s="382"/>
      <c r="F119" s="342"/>
      <c r="G119" s="333"/>
      <c r="H119" s="343"/>
      <c r="J119" s="332"/>
      <c r="K119" s="332"/>
      <c r="L119" s="332"/>
      <c r="M119" s="332"/>
      <c r="N119" s="332"/>
      <c r="O119" s="332"/>
      <c r="P119" s="332"/>
      <c r="Q119" s="332"/>
      <c r="R119" s="332"/>
      <c r="S119" s="332"/>
      <c r="T119" s="332"/>
      <c r="U119" s="332"/>
      <c r="V119" s="332"/>
      <c r="W119" s="332"/>
      <c r="X119" s="332"/>
      <c r="Y119" s="332"/>
      <c r="Z119" s="332"/>
      <c r="AA119" s="332"/>
      <c r="AB119" s="332"/>
      <c r="AC119" s="332"/>
      <c r="AD119" s="332"/>
      <c r="AE119" s="332"/>
      <c r="AF119" s="332"/>
      <c r="AG119" s="332"/>
      <c r="AH119" s="332"/>
      <c r="AI119" s="332"/>
      <c r="AJ119" s="333"/>
      <c r="AK119" s="333"/>
      <c r="AL119" s="333"/>
      <c r="AM119" s="333"/>
    </row>
    <row r="120" spans="2:39" s="316" customFormat="1" ht="26.25" customHeight="1" x14ac:dyDescent="0.2">
      <c r="B120" s="340" t="str">
        <f>Rennlisten!B46</f>
        <v>Wöppel</v>
      </c>
      <c r="C120" s="316" t="str">
        <f>Rennlisten!C46</f>
        <v>Stefan</v>
      </c>
      <c r="D120" s="341">
        <f>Rennlisten!D46</f>
        <v>1967</v>
      </c>
      <c r="E120" s="382" t="str">
        <f>Rennlisten!E46</f>
        <v>D</v>
      </c>
      <c r="F120" s="342">
        <v>8142</v>
      </c>
      <c r="G120" s="333">
        <v>2</v>
      </c>
      <c r="H120" s="343" t="str">
        <f t="array" ref="H120">IF(B120&lt;&gt;"",INDEX('Eingabe Meldungen'!$C$2:$J$492,MATCH(B120&amp;C120,'Eingabe Meldungen'!$C$2:$C$492&amp;'Eingabe Meldungen'!$D$2:$D$492,0),8),"")</f>
        <v xml:space="preserve">WSV Schifferclub Neckarrems </v>
      </c>
      <c r="J120" s="332"/>
      <c r="K120" s="332"/>
      <c r="L120" s="332"/>
      <c r="M120" s="332"/>
      <c r="N120" s="332"/>
      <c r="O120" s="332"/>
      <c r="P120" s="332"/>
      <c r="Q120" s="332"/>
      <c r="R120" s="332">
        <v>5</v>
      </c>
      <c r="S120" s="332"/>
      <c r="T120" s="332"/>
      <c r="U120" s="332"/>
      <c r="V120" s="332"/>
      <c r="W120" s="332"/>
      <c r="X120" s="332"/>
      <c r="Y120" s="332"/>
      <c r="Z120" s="332"/>
      <c r="AA120" s="332"/>
      <c r="AB120" s="332"/>
      <c r="AC120" s="332"/>
      <c r="AD120" s="332"/>
      <c r="AE120" s="332"/>
      <c r="AF120" s="332"/>
      <c r="AG120" s="332"/>
      <c r="AH120" s="332"/>
      <c r="AI120" s="332"/>
      <c r="AJ120" s="333"/>
      <c r="AK120" s="333"/>
      <c r="AL120" s="333"/>
      <c r="AM120" s="333"/>
    </row>
    <row r="121" spans="2:39" s="316" customFormat="1" ht="26.25" customHeight="1" x14ac:dyDescent="0.2">
      <c r="B121" s="340" t="str">
        <f>Rennlisten!B47</f>
        <v>Lentner</v>
      </c>
      <c r="C121" s="316" t="str">
        <f>Rennlisten!C47</f>
        <v>Bernhard</v>
      </c>
      <c r="D121" s="341">
        <f>Rennlisten!D47</f>
        <v>1959</v>
      </c>
      <c r="E121" s="382" t="str">
        <f>Rennlisten!E47</f>
        <v>F</v>
      </c>
      <c r="F121" s="342">
        <v>7309</v>
      </c>
      <c r="G121" s="333">
        <v>3</v>
      </c>
      <c r="H121" s="343" t="str">
        <f t="array" ref="H121">IF(B121&lt;&gt;"",INDEX('Eingabe Meldungen'!$C$2:$J$492,MATCH(B121&amp;C121,'Eingabe Meldungen'!$C$2:$C$492&amp;'Eingabe Meldungen'!$D$2:$D$492,0),8),"")</f>
        <v xml:space="preserve">WSV Schifferclub Neckarrems </v>
      </c>
      <c r="J121" s="332"/>
      <c r="K121" s="332"/>
      <c r="L121" s="332"/>
      <c r="M121" s="332"/>
      <c r="N121" s="332"/>
      <c r="O121" s="332"/>
      <c r="P121" s="332"/>
      <c r="Q121" s="332"/>
      <c r="R121" s="332">
        <v>1</v>
      </c>
      <c r="S121" s="332"/>
      <c r="T121" s="332"/>
      <c r="U121" s="332"/>
      <c r="V121" s="332"/>
      <c r="W121" s="332"/>
      <c r="X121" s="332"/>
      <c r="Y121" s="332"/>
      <c r="Z121" s="332"/>
      <c r="AA121" s="332"/>
      <c r="AB121" s="332"/>
      <c r="AC121" s="332"/>
      <c r="AD121" s="332"/>
      <c r="AE121" s="332"/>
      <c r="AF121" s="332"/>
      <c r="AG121" s="332"/>
      <c r="AH121" s="332"/>
      <c r="AI121" s="332"/>
      <c r="AJ121" s="333"/>
      <c r="AK121" s="333"/>
      <c r="AL121" s="333"/>
      <c r="AM121" s="333"/>
    </row>
    <row r="122" spans="2:39" s="316" customFormat="1" ht="26.25" customHeight="1" x14ac:dyDescent="0.2">
      <c r="B122" s="340" t="str">
        <f>Rennlisten!B48</f>
        <v/>
      </c>
      <c r="C122" s="316" t="str">
        <f>Rennlisten!C48</f>
        <v/>
      </c>
      <c r="D122" s="341" t="str">
        <f>Rennlisten!D48</f>
        <v/>
      </c>
      <c r="E122" s="382" t="str">
        <f>Rennlisten!E48</f>
        <v/>
      </c>
      <c r="F122" s="342"/>
      <c r="G122" s="333"/>
      <c r="H122" s="343" t="str">
        <f t="array" ref="H122">IF(B122&lt;&gt;"",INDEX('Eingabe Meldungen'!$C$2:$J$492,MATCH(B122&amp;C122,'Eingabe Meldungen'!$C$2:$C$492&amp;'Eingabe Meldungen'!$D$2:$D$492,0),8),"")</f>
        <v/>
      </c>
      <c r="J122" s="332"/>
      <c r="K122" s="332"/>
      <c r="L122" s="332"/>
      <c r="M122" s="332"/>
      <c r="N122" s="332"/>
      <c r="O122" s="332"/>
      <c r="P122" s="332"/>
      <c r="Q122" s="332"/>
      <c r="R122" s="332"/>
      <c r="S122" s="332"/>
      <c r="T122" s="332"/>
      <c r="U122" s="332"/>
      <c r="V122" s="332"/>
      <c r="W122" s="332"/>
      <c r="X122" s="332"/>
      <c r="Y122" s="332"/>
      <c r="Z122" s="332"/>
      <c r="AA122" s="332"/>
      <c r="AB122" s="332"/>
      <c r="AC122" s="332"/>
      <c r="AD122" s="332"/>
      <c r="AE122" s="332"/>
      <c r="AF122" s="332"/>
      <c r="AG122" s="332"/>
      <c r="AH122" s="332"/>
      <c r="AI122" s="332"/>
      <c r="AJ122" s="333"/>
      <c r="AK122" s="333"/>
      <c r="AL122" s="333"/>
      <c r="AM122" s="333"/>
    </row>
    <row r="123" spans="2:39" s="316" customFormat="1" ht="26.25" customHeight="1" x14ac:dyDescent="0.2">
      <c r="B123" s="340" t="str">
        <f>Rennlisten!B49</f>
        <v/>
      </c>
      <c r="C123" s="316" t="str">
        <f>Rennlisten!C49</f>
        <v/>
      </c>
      <c r="D123" s="341" t="str">
        <f>Rennlisten!D49</f>
        <v/>
      </c>
      <c r="E123" s="382" t="str">
        <f>Rennlisten!E49</f>
        <v/>
      </c>
      <c r="F123" s="342"/>
      <c r="G123" s="333"/>
      <c r="H123" s="343" t="str">
        <f t="array" ref="H123">IF(B123&lt;&gt;"",INDEX('Eingabe Meldungen'!$C$2:$J$492,MATCH(B123&amp;C123,'Eingabe Meldungen'!$C$2:$C$492&amp;'Eingabe Meldungen'!$D$2:$D$492,0),8),"")</f>
        <v/>
      </c>
      <c r="J123" s="332"/>
      <c r="K123" s="332"/>
      <c r="L123" s="332"/>
      <c r="M123" s="332"/>
      <c r="N123" s="332"/>
      <c r="O123" s="332"/>
      <c r="P123" s="332"/>
      <c r="Q123" s="332"/>
      <c r="R123" s="332"/>
      <c r="S123" s="332"/>
      <c r="T123" s="332"/>
      <c r="U123" s="332"/>
      <c r="V123" s="332"/>
      <c r="W123" s="332"/>
      <c r="X123" s="332"/>
      <c r="Y123" s="332"/>
      <c r="Z123" s="332"/>
      <c r="AA123" s="332"/>
      <c r="AB123" s="332"/>
      <c r="AC123" s="332"/>
      <c r="AD123" s="332"/>
      <c r="AE123" s="332"/>
      <c r="AF123" s="332"/>
      <c r="AG123" s="332"/>
      <c r="AH123" s="332"/>
      <c r="AI123" s="332"/>
      <c r="AJ123" s="333"/>
      <c r="AK123" s="333"/>
      <c r="AL123" s="333"/>
      <c r="AM123" s="333"/>
    </row>
    <row r="124" spans="2:39" s="316" customFormat="1" ht="26.25" customHeight="1" x14ac:dyDescent="0.2">
      <c r="B124" s="340" t="str">
        <f>Rennlisten!B50</f>
        <v/>
      </c>
      <c r="C124" s="316" t="str">
        <f>Rennlisten!C50</f>
        <v/>
      </c>
      <c r="D124" s="341" t="str">
        <f>Rennlisten!D50</f>
        <v/>
      </c>
      <c r="E124" s="382" t="str">
        <f>Rennlisten!E50</f>
        <v/>
      </c>
      <c r="F124" s="342"/>
      <c r="G124" s="333"/>
      <c r="H124" s="343" t="str">
        <f t="array" ref="H124">IF(B124&lt;&gt;"",INDEX('Eingabe Meldungen'!$C$2:$J$492,MATCH(B124&amp;C124,'Eingabe Meldungen'!$C$2:$C$492&amp;'Eingabe Meldungen'!$D$2:$D$492,0),8),"")</f>
        <v/>
      </c>
      <c r="J124" s="332"/>
      <c r="K124" s="332"/>
      <c r="L124" s="332"/>
      <c r="M124" s="332"/>
      <c r="N124" s="332"/>
      <c r="O124" s="332"/>
      <c r="P124" s="332"/>
      <c r="Q124" s="332"/>
      <c r="R124" s="332"/>
      <c r="S124" s="332"/>
      <c r="T124" s="332"/>
      <c r="U124" s="332"/>
      <c r="V124" s="332"/>
      <c r="W124" s="332"/>
      <c r="X124" s="332"/>
      <c r="Y124" s="332"/>
      <c r="Z124" s="332"/>
      <c r="AA124" s="332"/>
      <c r="AB124" s="332"/>
      <c r="AC124" s="332"/>
      <c r="AD124" s="332"/>
      <c r="AE124" s="332"/>
      <c r="AF124" s="332"/>
      <c r="AG124" s="332"/>
      <c r="AH124" s="332"/>
      <c r="AI124" s="332"/>
      <c r="AJ124" s="333"/>
      <c r="AK124" s="333"/>
      <c r="AL124" s="333"/>
      <c r="AM124" s="333"/>
    </row>
    <row r="125" spans="2:39" s="316" customFormat="1" ht="26.25" customHeight="1" thickBot="1" x14ac:dyDescent="0.25">
      <c r="E125" s="352"/>
      <c r="F125" s="333"/>
      <c r="G125" s="333"/>
      <c r="J125" s="333"/>
      <c r="K125" s="333"/>
      <c r="L125" s="333"/>
      <c r="M125" s="333"/>
      <c r="N125" s="333"/>
      <c r="O125" s="333"/>
      <c r="P125" s="333"/>
      <c r="Q125" s="333"/>
      <c r="R125" s="333"/>
      <c r="S125" s="333"/>
      <c r="T125" s="333"/>
      <c r="U125" s="333"/>
      <c r="V125" s="333"/>
      <c r="W125" s="333"/>
      <c r="X125" s="333"/>
      <c r="Y125" s="333"/>
      <c r="Z125" s="333"/>
      <c r="AA125" s="333"/>
      <c r="AB125" s="333"/>
      <c r="AC125" s="333"/>
      <c r="AD125" s="333"/>
      <c r="AE125" s="333"/>
      <c r="AF125" s="333"/>
      <c r="AG125" s="333"/>
      <c r="AH125" s="333"/>
      <c r="AI125" s="333"/>
      <c r="AJ125" s="333"/>
      <c r="AK125" s="333"/>
      <c r="AL125" s="333"/>
      <c r="AM125" s="333"/>
    </row>
    <row r="126" spans="2:39" s="316" customFormat="1" ht="26.25" customHeight="1" x14ac:dyDescent="0.2">
      <c r="B126" s="326">
        <v>3</v>
      </c>
      <c r="C126" s="327" t="str">
        <f>VLOOKUP(B126,Ausschreibung!$B$5:$I$35,2,FALSE)</f>
        <v>Ergocup</v>
      </c>
      <c r="D126" s="328">
        <f>VLOOKUP(B126,Ausschreibung!$B$5:$I$35,3,FALSE)</f>
        <v>0.4861111111111111</v>
      </c>
      <c r="E126" s="327" t="str">
        <f>VLOOKUP(B126,Ausschreibung!$B$5:$I$35,4,FALSE)</f>
        <v>Jungen U14</v>
      </c>
      <c r="F126" s="329" t="str">
        <f>VLOOKUP(B126,Ausschreibung!$B$5:$I$35,5,FALSE)</f>
        <v>Lgw. bis 50 kg</v>
      </c>
      <c r="G126" s="330" t="str">
        <f>VLOOKUP(B126,Ausschreibung!$B$5:$I$35,6,FALSE)</f>
        <v>13 und jünger</v>
      </c>
      <c r="H126" s="331" t="str">
        <f>VLOOKUP(B126,Ausschreibung!$B$5:$I$35,8,FALSE)</f>
        <v>1000 m</v>
      </c>
      <c r="I126" s="352"/>
      <c r="J126" s="332"/>
      <c r="K126" s="332"/>
      <c r="L126" s="332"/>
      <c r="M126" s="332"/>
      <c r="N126" s="332"/>
      <c r="O126" s="332"/>
      <c r="P126" s="332"/>
      <c r="Q126" s="332"/>
      <c r="R126" s="332"/>
      <c r="S126" s="332"/>
      <c r="T126" s="332"/>
      <c r="U126" s="332"/>
      <c r="V126" s="332"/>
      <c r="W126" s="332"/>
      <c r="X126" s="332"/>
      <c r="Y126" s="332"/>
      <c r="Z126" s="332"/>
      <c r="AA126" s="332"/>
      <c r="AB126" s="332"/>
      <c r="AC126" s="332"/>
      <c r="AD126" s="332"/>
      <c r="AE126" s="332"/>
      <c r="AF126" s="332"/>
      <c r="AG126" s="332"/>
      <c r="AH126" s="332"/>
      <c r="AI126" s="332"/>
      <c r="AJ126" s="333"/>
      <c r="AK126" s="333"/>
      <c r="AL126" s="333"/>
      <c r="AM126" s="333"/>
    </row>
    <row r="127" spans="2:39" s="316" customFormat="1" ht="26.25" customHeight="1" x14ac:dyDescent="0.2">
      <c r="B127" s="334" t="s">
        <v>1</v>
      </c>
      <c r="C127" s="335" t="s">
        <v>2</v>
      </c>
      <c r="D127" s="336" t="s">
        <v>49</v>
      </c>
      <c r="E127" s="381" t="s">
        <v>16</v>
      </c>
      <c r="F127" s="337" t="s">
        <v>50</v>
      </c>
      <c r="G127" s="338" t="s">
        <v>51</v>
      </c>
      <c r="H127" s="339" t="s">
        <v>17</v>
      </c>
      <c r="J127" s="332"/>
      <c r="K127" s="332"/>
      <c r="L127" s="332"/>
      <c r="M127" s="332"/>
      <c r="N127" s="332"/>
      <c r="O127" s="332"/>
      <c r="P127" s="332"/>
      <c r="Q127" s="332"/>
      <c r="R127" s="332"/>
      <c r="S127" s="332"/>
      <c r="T127" s="332"/>
      <c r="U127" s="332"/>
      <c r="V127" s="332"/>
      <c r="W127" s="332"/>
      <c r="X127" s="332"/>
      <c r="Y127" s="332"/>
      <c r="Z127" s="332"/>
      <c r="AA127" s="332"/>
      <c r="AB127" s="332"/>
      <c r="AC127" s="332"/>
      <c r="AD127" s="332"/>
      <c r="AE127" s="332"/>
      <c r="AF127" s="332"/>
      <c r="AG127" s="332"/>
      <c r="AH127" s="332"/>
      <c r="AI127" s="332"/>
      <c r="AJ127" s="333"/>
      <c r="AK127" s="333"/>
      <c r="AL127" s="333"/>
      <c r="AM127" s="333"/>
    </row>
    <row r="128" spans="2:39" s="316" customFormat="1" ht="26.25" customHeight="1" x14ac:dyDescent="0.2">
      <c r="B128" s="340" t="str">
        <f t="array" ref="B128">IF(ISERROR(INDEX('Eingabe Meldungen'!$C$2:$C$492,LARGE(('Eingabe Meldungen'!$A$2:$A$492=$B$126)*(ROW('Eingabe Meldungen'!$A$2:$A$492)-1),COUNTIF('Eingabe Meldungen'!$A$2:$A$492,$B$126)+1-ROW('Eingabe Meldungen'!A1)))),"",INDEX('Eingabe Meldungen'!$C$2:$C$492,LARGE(('Eingabe Meldungen'!$A$2:$A$492=$B$126)*(ROW('Eingabe Meldungen'!$A$2:$A$492)-1),COUNTIF('Eingabe Meldungen'!$A$2:$A$492,$B$126)+1-ROW('Eingabe Meldungen'!A1))))</f>
        <v>Hartig</v>
      </c>
      <c r="C128" s="316" t="str">
        <f t="array" ref="C128">IF(ISERROR(INDEX('Eingabe Meldungen'!$D$2:$D$492,LARGE(('Eingabe Meldungen'!$A$2:$A$492=$B$126)*(ROW('Eingabe Meldungen'!$A$2:$A$492)-1),COUNTIF('Eingabe Meldungen'!$A$2:$A$492,$B$126)+1-ROW('Eingabe Meldungen'!A1)))),"",INDEX('Eingabe Meldungen'!$D$2:$D$492,LARGE(('Eingabe Meldungen'!$A$2:$A$492=$B$126)*(ROW('Eingabe Meldungen'!$A$2:$A$492)-1),COUNTIF('Eingabe Meldungen'!$A$2:$A$492,$B$126)+1-ROW('Eingabe Meldungen'!A1))))</f>
        <v>Ben</v>
      </c>
      <c r="D128" s="341">
        <f t="array" ref="D128">IF(B128&lt;&gt;"",INDEX('Eingabe Meldungen'!$C$2:$H$492,MATCH(B128&amp;C128,'Eingabe Meldungen'!$C$2:$C$492&amp;'Eingabe Meldungen'!$D$2:$D$492,0),6),"")</f>
        <v>2007</v>
      </c>
      <c r="E128" s="382" t="str">
        <f t="array" ref="E128">IF(B128&lt;&gt;"",INDEX('Eingabe Meldungen'!$C$2:$H$492,MATCH(B128&amp;C128,'Eingabe Meldungen'!$C$2:$C$492&amp;'Eingabe Meldungen'!$D$2:$D$492,0),4),"")</f>
        <v>Lgw. bis 50 kg</v>
      </c>
      <c r="F128" s="353" t="s">
        <v>522</v>
      </c>
      <c r="G128" s="333">
        <v>7</v>
      </c>
      <c r="H128" s="343" t="str">
        <f t="array" ref="H128">IF(B128&lt;&gt;"",INDEX('Eingabe Meldungen'!$C$2:$J$492,MATCH(B128&amp;C128,'Eingabe Meldungen'!$C$2:$C$492&amp;'Eingabe Meldungen'!$D$2:$D$492,0),8),"")</f>
        <v>Heidelberger Ruderklub</v>
      </c>
      <c r="J128" s="332"/>
      <c r="K128" s="332"/>
      <c r="L128" s="332"/>
      <c r="M128" s="332"/>
      <c r="N128" s="332"/>
      <c r="O128" s="332"/>
      <c r="P128" s="332"/>
      <c r="Q128" s="332"/>
      <c r="R128" s="332"/>
      <c r="S128" s="332"/>
      <c r="T128" s="332"/>
      <c r="U128" s="332"/>
      <c r="V128" s="332"/>
      <c r="W128" s="332"/>
      <c r="X128" s="332"/>
      <c r="Y128" s="332"/>
      <c r="Z128" s="332"/>
      <c r="AA128" s="332"/>
      <c r="AB128" s="332"/>
      <c r="AC128" s="332"/>
      <c r="AD128" s="332"/>
      <c r="AE128" s="332"/>
      <c r="AF128" s="332"/>
      <c r="AG128" s="332"/>
      <c r="AH128" s="332"/>
      <c r="AI128" s="332"/>
      <c r="AJ128" s="333"/>
      <c r="AK128" s="333"/>
      <c r="AL128" s="333"/>
      <c r="AM128" s="333"/>
    </row>
    <row r="129" spans="2:39" s="316" customFormat="1" ht="26.25" customHeight="1" x14ac:dyDescent="0.2">
      <c r="B129" s="340" t="str">
        <f t="array" ref="B129">IF(ISERROR(INDEX('Eingabe Meldungen'!$C$2:$C$492,LARGE(('Eingabe Meldungen'!$A$2:$A$492=$B$126)*(ROW('Eingabe Meldungen'!$A$2:$A$492)-1),COUNTIF('Eingabe Meldungen'!$A$2:$A$492,$B$126)+1-ROW('Eingabe Meldungen'!A2)))),"",INDEX('Eingabe Meldungen'!$C$2:$C$492,LARGE(('Eingabe Meldungen'!$A$2:$A$492=$B$126)*(ROW('Eingabe Meldungen'!$A$2:$A$492)-1),COUNTIF('Eingabe Meldungen'!$A$2:$A$492,$B$126)+1-ROW('Eingabe Meldungen'!A2))))</f>
        <v>Wieland</v>
      </c>
      <c r="C129" s="316" t="str">
        <f t="array" ref="C129">IF(ISERROR(INDEX('Eingabe Meldungen'!$D$2:$D$492,LARGE(('Eingabe Meldungen'!$A$2:$A$492=$B$126)*(ROW('Eingabe Meldungen'!$A$2:$A$492)-1),COUNTIF('Eingabe Meldungen'!$A$2:$A$492,$B$126)+1-ROW('Eingabe Meldungen'!A2)))),"",INDEX('Eingabe Meldungen'!$D$2:$D$492,LARGE(('Eingabe Meldungen'!$A$2:$A$492=$B$126)*(ROW('Eingabe Meldungen'!$A$2:$A$492)-1),COUNTIF('Eingabe Meldungen'!$A$2:$A$492,$B$126)+1-ROW('Eingabe Meldungen'!A2))))</f>
        <v>Lennart</v>
      </c>
      <c r="D129" s="341">
        <f t="array" ref="D129">IF(B129&lt;&gt;"",INDEX('Eingabe Meldungen'!$C$2:$H$492,MATCH(B129&amp;C129,'Eingabe Meldungen'!$C$2:$C$492&amp;'Eingabe Meldungen'!$D$2:$D$492,0),6),"")</f>
        <v>2007</v>
      </c>
      <c r="E129" s="382" t="str">
        <f t="array" ref="E129">IF(B129&lt;&gt;"",INDEX('Eingabe Meldungen'!$C$2:$H$492,MATCH(B129&amp;C129,'Eingabe Meldungen'!$C$2:$C$492&amp;'Eingabe Meldungen'!$D$2:$D$492,0),4),"")</f>
        <v>Lgw. bis 50 kg</v>
      </c>
      <c r="F129" s="353" t="s">
        <v>521</v>
      </c>
      <c r="G129" s="333">
        <v>5</v>
      </c>
      <c r="H129" s="343" t="str">
        <f t="array" ref="H129">IF(B129&lt;&gt;"",INDEX('Eingabe Meldungen'!$C$2:$J$492,MATCH(B129&amp;C129,'Eingabe Meldungen'!$C$2:$C$492&amp;'Eingabe Meldungen'!$D$2:$D$492,0),8),"")</f>
        <v>RV Waldsee</v>
      </c>
      <c r="J129" s="332"/>
      <c r="K129" s="332"/>
      <c r="L129" s="332"/>
      <c r="M129" s="332"/>
      <c r="N129" s="332"/>
      <c r="O129" s="332"/>
      <c r="P129" s="332"/>
      <c r="Q129" s="332"/>
      <c r="R129" s="332">
        <v>1</v>
      </c>
      <c r="S129" s="332"/>
      <c r="T129" s="332"/>
      <c r="U129" s="332"/>
      <c r="V129" s="332"/>
      <c r="W129" s="332"/>
      <c r="X129" s="332"/>
      <c r="Y129" s="332"/>
      <c r="Z129" s="332"/>
      <c r="AA129" s="332"/>
      <c r="AB129" s="332"/>
      <c r="AC129" s="332"/>
      <c r="AD129" s="332"/>
      <c r="AE129" s="332"/>
      <c r="AF129" s="332"/>
      <c r="AG129" s="332"/>
      <c r="AH129" s="332"/>
      <c r="AI129" s="332"/>
      <c r="AJ129" s="333"/>
      <c r="AK129" s="333"/>
      <c r="AL129" s="333"/>
      <c r="AM129" s="333"/>
    </row>
    <row r="130" spans="2:39" s="316" customFormat="1" ht="26.25" customHeight="1" x14ac:dyDescent="0.2">
      <c r="B130" s="340" t="str">
        <f t="array" ref="B130">IF(ISERROR(INDEX('Eingabe Meldungen'!$C$2:$C$492,LARGE(('Eingabe Meldungen'!$A$2:$A$492=$B$126)*(ROW('Eingabe Meldungen'!$A$2:$A$492)-1),COUNTIF('Eingabe Meldungen'!$A$2:$A$492,$B$126)+1-ROW('Eingabe Meldungen'!A3)))),"",INDEX('Eingabe Meldungen'!$C$2:$C$492,LARGE(('Eingabe Meldungen'!$A$2:$A$492=$B$126)*(ROW('Eingabe Meldungen'!$A$2:$A$492)-1),COUNTIF('Eingabe Meldungen'!$A$2:$A$492,$B$126)+1-ROW('Eingabe Meldungen'!A3))))</f>
        <v>Sprauer</v>
      </c>
      <c r="C130" s="316" t="str">
        <f t="array" ref="C130">IF(ISERROR(INDEX('Eingabe Meldungen'!$D$2:$D$492,LARGE(('Eingabe Meldungen'!$A$2:$A$492=$B$126)*(ROW('Eingabe Meldungen'!$A$2:$A$492)-1),COUNTIF('Eingabe Meldungen'!$A$2:$A$492,$B$126)+1-ROW('Eingabe Meldungen'!A3)))),"",INDEX('Eingabe Meldungen'!$D$2:$D$492,LARGE(('Eingabe Meldungen'!$A$2:$A$492=$B$126)*(ROW('Eingabe Meldungen'!$A$2:$A$492)-1),COUNTIF('Eingabe Meldungen'!$A$2:$A$492,$B$126)+1-ROW('Eingabe Meldungen'!A3))))</f>
        <v>Levin</v>
      </c>
      <c r="D130" s="341">
        <f t="array" ref="D130">IF(B130&lt;&gt;"",INDEX('Eingabe Meldungen'!$C$2:$H$492,MATCH(B130&amp;C130,'Eingabe Meldungen'!$C$2:$C$492&amp;'Eingabe Meldungen'!$D$2:$D$492,0),6),"")</f>
        <v>2007</v>
      </c>
      <c r="E130" s="382" t="str">
        <f t="array" ref="E130">IF(B130&lt;&gt;"",INDEX('Eingabe Meldungen'!$C$2:$H$492,MATCH(B130&amp;C130,'Eingabe Meldungen'!$C$2:$C$492&amp;'Eingabe Meldungen'!$D$2:$D$492,0),4),"")</f>
        <v>Lgw. bis 50 kg</v>
      </c>
      <c r="F130" s="353" t="s">
        <v>520</v>
      </c>
      <c r="G130" s="333">
        <v>4</v>
      </c>
      <c r="H130" s="343" t="str">
        <f t="array" ref="H130">IF(B130&lt;&gt;"",INDEX('Eingabe Meldungen'!$C$2:$J$492,MATCH(B130&amp;C130,'Eingabe Meldungen'!$C$2:$C$492&amp;'Eingabe Meldungen'!$D$2:$D$492,0),8),"")</f>
        <v>Mannheimer RV "Amicitia"</v>
      </c>
      <c r="J130" s="332"/>
      <c r="K130" s="332"/>
      <c r="L130" s="332"/>
      <c r="M130" s="332"/>
      <c r="N130" s="332"/>
      <c r="O130" s="332"/>
      <c r="P130" s="332">
        <v>2</v>
      </c>
      <c r="Q130" s="332"/>
      <c r="R130" s="332"/>
      <c r="S130" s="332"/>
      <c r="T130" s="332"/>
      <c r="U130" s="332"/>
      <c r="V130" s="332"/>
      <c r="W130" s="332"/>
      <c r="X130" s="332"/>
      <c r="Y130" s="332"/>
      <c r="Z130" s="332"/>
      <c r="AA130" s="332"/>
      <c r="AB130" s="332"/>
      <c r="AC130" s="332"/>
      <c r="AD130" s="332"/>
      <c r="AE130" s="332"/>
      <c r="AF130" s="332"/>
      <c r="AG130" s="332"/>
      <c r="AH130" s="332"/>
      <c r="AI130" s="332"/>
      <c r="AJ130" s="333"/>
      <c r="AK130" s="333"/>
      <c r="AL130" s="333"/>
      <c r="AM130" s="333"/>
    </row>
    <row r="131" spans="2:39" s="316" customFormat="1" ht="26.25" customHeight="1" x14ac:dyDescent="0.2">
      <c r="J131" s="332"/>
      <c r="K131" s="332"/>
      <c r="L131" s="332"/>
      <c r="M131" s="332"/>
      <c r="N131" s="332"/>
      <c r="O131" s="332"/>
      <c r="P131" s="332"/>
      <c r="Q131" s="332"/>
      <c r="R131" s="332"/>
      <c r="S131" s="332"/>
      <c r="T131" s="332"/>
      <c r="U131" s="332"/>
      <c r="V131" s="332"/>
      <c r="W131" s="332"/>
      <c r="X131" s="332"/>
      <c r="Y131" s="332"/>
      <c r="Z131" s="332"/>
      <c r="AA131" s="332"/>
      <c r="AB131" s="332"/>
      <c r="AC131" s="332"/>
      <c r="AD131" s="332"/>
      <c r="AE131" s="332"/>
      <c r="AF131" s="332"/>
      <c r="AG131" s="332"/>
      <c r="AH131" s="332"/>
      <c r="AI131" s="332"/>
      <c r="AJ131" s="333"/>
      <c r="AK131" s="333"/>
      <c r="AL131" s="333"/>
      <c r="AM131" s="333"/>
    </row>
    <row r="132" spans="2:39" s="316" customFormat="1" ht="26.25" customHeight="1" x14ac:dyDescent="0.2">
      <c r="B132" s="340" t="str">
        <f t="array" ref="B132">IF(ISERROR(INDEX('Eingabe Meldungen'!$C$2:$C$492,LARGE(('Eingabe Meldungen'!$A$2:$A$492=$B$126)*(ROW('Eingabe Meldungen'!$A$2:$A$492)-1),COUNTIF('Eingabe Meldungen'!$A$2:$A$492,$B$126)+1-ROW('Eingabe Meldungen'!A5)))),"",INDEX('Eingabe Meldungen'!$C$2:$C$492,LARGE(('Eingabe Meldungen'!$A$2:$A$492=$B$126)*(ROW('Eingabe Meldungen'!$A$2:$A$492)-1),COUNTIF('Eingabe Meldungen'!$A$2:$A$492,$B$126)+1-ROW('Eingabe Meldungen'!A5))))</f>
        <v>Roob</v>
      </c>
      <c r="C132" s="316" t="str">
        <f t="array" ref="C132">IF(ISERROR(INDEX('Eingabe Meldungen'!$D$2:$D$492,LARGE(('Eingabe Meldungen'!$A$2:$A$492=$B$126)*(ROW('Eingabe Meldungen'!$A$2:$A$492)-1),COUNTIF('Eingabe Meldungen'!$A$2:$A$492,$B$126)+1-ROW('Eingabe Meldungen'!A5)))),"",INDEX('Eingabe Meldungen'!$D$2:$D$492,LARGE(('Eingabe Meldungen'!$A$2:$A$492=$B$126)*(ROW('Eingabe Meldungen'!$A$2:$A$492)-1),COUNTIF('Eingabe Meldungen'!$A$2:$A$492,$B$126)+1-ROW('Eingabe Meldungen'!A5))))</f>
        <v>Milo</v>
      </c>
      <c r="D132" s="341">
        <f t="array" ref="D132">IF(B132&lt;&gt;"",INDEX('Eingabe Meldungen'!$C$2:$H$492,MATCH(B132&amp;C132,'Eingabe Meldungen'!$C$2:$C$492&amp;'Eingabe Meldungen'!$D$2:$D$492,0),6),"")</f>
        <v>2007</v>
      </c>
      <c r="E132" s="382" t="str">
        <f t="array" ref="E132">IF(B132&lt;&gt;"",INDEX('Eingabe Meldungen'!$C$2:$H$492,MATCH(B132&amp;C132,'Eingabe Meldungen'!$C$2:$C$492&amp;'Eingabe Meldungen'!$D$2:$D$492,0),4),"")</f>
        <v>Lgw. bis 50 kg</v>
      </c>
      <c r="F132" s="353" t="s">
        <v>518</v>
      </c>
      <c r="G132" s="333">
        <v>2</v>
      </c>
      <c r="H132" s="343" t="str">
        <f t="array" ref="H132">IF(B132&lt;&gt;"",INDEX('Eingabe Meldungen'!$C$2:$J$492,MATCH(B132&amp;C132,'Eingabe Meldungen'!$C$2:$C$492&amp;'Eingabe Meldungen'!$D$2:$D$492,0),8),"")</f>
        <v>Mannheimer RV "Amicitia"</v>
      </c>
      <c r="J132" s="332"/>
      <c r="K132" s="332"/>
      <c r="L132" s="332"/>
      <c r="M132" s="332"/>
      <c r="N132" s="332"/>
      <c r="O132" s="332"/>
      <c r="P132" s="332">
        <v>5</v>
      </c>
      <c r="Q132" s="332"/>
      <c r="R132" s="332"/>
      <c r="S132" s="332"/>
      <c r="T132" s="332"/>
      <c r="U132" s="332"/>
      <c r="V132" s="332"/>
      <c r="W132" s="332"/>
      <c r="X132" s="332"/>
      <c r="Y132" s="332"/>
      <c r="Z132" s="332"/>
      <c r="AA132" s="332"/>
      <c r="AB132" s="332"/>
      <c r="AC132" s="332"/>
      <c r="AD132" s="332"/>
      <c r="AE132" s="332"/>
      <c r="AF132" s="332"/>
      <c r="AG132" s="332"/>
      <c r="AH132" s="332"/>
      <c r="AI132" s="332"/>
      <c r="AJ132" s="333"/>
      <c r="AK132" s="333"/>
      <c r="AL132" s="333"/>
      <c r="AM132" s="333"/>
    </row>
    <row r="133" spans="2:39" s="316" customFormat="1" ht="26.25" customHeight="1" x14ac:dyDescent="0.2">
      <c r="B133" s="340" t="str">
        <f t="array" ref="B133">IF(ISERROR(INDEX('Eingabe Meldungen'!$C$2:$C$492,LARGE(('Eingabe Meldungen'!$A$2:$A$492=$B$126)*(ROW('Eingabe Meldungen'!$A$2:$A$492)-1),COUNTIF('Eingabe Meldungen'!$A$2:$A$492,$B$126)+1-ROW('Eingabe Meldungen'!A6)))),"",INDEX('Eingabe Meldungen'!$C$2:$C$492,LARGE(('Eingabe Meldungen'!$A$2:$A$492=$B$126)*(ROW('Eingabe Meldungen'!$A$2:$A$492)-1),COUNTIF('Eingabe Meldungen'!$A$2:$A$492,$B$126)+1-ROW('Eingabe Meldungen'!A6))))</f>
        <v>Klisch</v>
      </c>
      <c r="C133" s="316" t="str">
        <f t="array" ref="C133">IF(ISERROR(INDEX('Eingabe Meldungen'!$D$2:$D$492,LARGE(('Eingabe Meldungen'!$A$2:$A$492=$B$126)*(ROW('Eingabe Meldungen'!$A$2:$A$492)-1),COUNTIF('Eingabe Meldungen'!$A$2:$A$492,$B$126)+1-ROW('Eingabe Meldungen'!A6)))),"",INDEX('Eingabe Meldungen'!$D$2:$D$492,LARGE(('Eingabe Meldungen'!$A$2:$A$492=$B$126)*(ROW('Eingabe Meldungen'!$A$2:$A$492)-1),COUNTIF('Eingabe Meldungen'!$A$2:$A$492,$B$126)+1-ROW('Eingabe Meldungen'!A6))))</f>
        <v>Lars</v>
      </c>
      <c r="D133" s="341">
        <f t="array" ref="D133">IF(B133&lt;&gt;"",INDEX('Eingabe Meldungen'!$C$2:$H$492,MATCH(B133&amp;C133,'Eingabe Meldungen'!$C$2:$C$492&amp;'Eingabe Meldungen'!$D$2:$D$492,0),6),"")</f>
        <v>2008</v>
      </c>
      <c r="E133" s="382" t="str">
        <f t="array" ref="E133">IF(B133&lt;&gt;"",INDEX('Eingabe Meldungen'!$C$2:$H$492,MATCH(B133&amp;C133,'Eingabe Meldungen'!$C$2:$C$492&amp;'Eingabe Meldungen'!$D$2:$D$492,0),4),"")</f>
        <v>Lgw. bis 50 kg</v>
      </c>
      <c r="F133" s="353" t="s">
        <v>523</v>
      </c>
      <c r="G133" s="333">
        <v>8</v>
      </c>
      <c r="H133" s="343" t="str">
        <f t="array" ref="H133">IF(B133&lt;&gt;"",INDEX('Eingabe Meldungen'!$C$2:$J$492,MATCH(B133&amp;C133,'Eingabe Meldungen'!$C$2:$C$492&amp;'Eingabe Meldungen'!$D$2:$D$492,0),8),"")</f>
        <v>Mannheimer RV "Amicitia"</v>
      </c>
      <c r="J133" s="332"/>
      <c r="K133" s="332"/>
      <c r="L133" s="332"/>
      <c r="M133" s="332"/>
      <c r="N133" s="332"/>
      <c r="O133" s="332"/>
      <c r="P133" s="332"/>
      <c r="Q133" s="332"/>
      <c r="R133" s="332"/>
      <c r="S133" s="332"/>
      <c r="T133" s="332"/>
      <c r="U133" s="332"/>
      <c r="V133" s="332"/>
      <c r="W133" s="332"/>
      <c r="X133" s="332"/>
      <c r="Y133" s="332"/>
      <c r="Z133" s="332"/>
      <c r="AA133" s="332"/>
      <c r="AB133" s="332"/>
      <c r="AC133" s="332"/>
      <c r="AD133" s="332"/>
      <c r="AE133" s="332"/>
      <c r="AF133" s="332"/>
      <c r="AG133" s="332"/>
      <c r="AH133" s="332"/>
      <c r="AI133" s="332"/>
      <c r="AJ133" s="333"/>
      <c r="AK133" s="333"/>
      <c r="AL133" s="333"/>
      <c r="AM133" s="333"/>
    </row>
    <row r="134" spans="2:39" s="316" customFormat="1" ht="26.25" customHeight="1" x14ac:dyDescent="0.2">
      <c r="B134" s="340" t="str">
        <f t="array" ref="B134">IF(ISERROR(INDEX('Eingabe Meldungen'!$C$2:$C$492,LARGE(('Eingabe Meldungen'!$A$2:$A$492=$B$126)*(ROW('Eingabe Meldungen'!$A$2:$A$492)-1),COUNTIF('Eingabe Meldungen'!$A$2:$A$492,$B$126)+1-ROW('Eingabe Meldungen'!A7)))),"",INDEX('Eingabe Meldungen'!$C$2:$C$492,LARGE(('Eingabe Meldungen'!$A$2:$A$492=$B$126)*(ROW('Eingabe Meldungen'!$A$2:$A$492)-1),COUNTIF('Eingabe Meldungen'!$A$2:$A$492,$B$126)+1-ROW('Eingabe Meldungen'!A7))))</f>
        <v>Kibele</v>
      </c>
      <c r="C134" s="316" t="str">
        <f t="array" ref="C134">IF(ISERROR(INDEX('Eingabe Meldungen'!$D$2:$D$492,LARGE(('Eingabe Meldungen'!$A$2:$A$492=$B$126)*(ROW('Eingabe Meldungen'!$A$2:$A$492)-1),COUNTIF('Eingabe Meldungen'!$A$2:$A$492,$B$126)+1-ROW('Eingabe Meldungen'!A7)))),"",INDEX('Eingabe Meldungen'!$D$2:$D$492,LARGE(('Eingabe Meldungen'!$A$2:$A$492=$B$126)*(ROW('Eingabe Meldungen'!$A$2:$A$492)-1),COUNTIF('Eingabe Meldungen'!$A$2:$A$492,$B$126)+1-ROW('Eingabe Meldungen'!A7))))</f>
        <v>Leon</v>
      </c>
      <c r="D134" s="341">
        <f t="array" ref="D134">IF(B134&lt;&gt;"",INDEX('Eingabe Meldungen'!$C$2:$H$492,MATCH(B134&amp;C134,'Eingabe Meldungen'!$C$2:$C$492&amp;'Eingabe Meldungen'!$D$2:$D$492,0),6),"")</f>
        <v>2008</v>
      </c>
      <c r="E134" s="382" t="str">
        <f t="array" ref="E134">IF(B134&lt;&gt;"",INDEX('Eingabe Meldungen'!$C$2:$H$492,MATCH(B134&amp;C134,'Eingabe Meldungen'!$C$2:$C$492&amp;'Eingabe Meldungen'!$D$2:$D$492,0),4),"")</f>
        <v>Lgw. bis 50 kg</v>
      </c>
      <c r="F134" s="353" t="s">
        <v>517</v>
      </c>
      <c r="G134" s="333">
        <v>1</v>
      </c>
      <c r="H134" s="343" t="str">
        <f t="array" ref="H134">IF(B134&lt;&gt;"",INDEX('Eingabe Meldungen'!$C$2:$J$492,MATCH(B134&amp;C134,'Eingabe Meldungen'!$C$2:$C$492&amp;'Eingabe Meldungen'!$D$2:$D$492,0),8),"")</f>
        <v>RV Waldsee</v>
      </c>
      <c r="J134" s="332"/>
      <c r="K134" s="332"/>
      <c r="L134" s="332"/>
      <c r="M134" s="332"/>
      <c r="N134" s="332"/>
      <c r="O134" s="332"/>
      <c r="P134" s="332"/>
      <c r="Q134" s="332"/>
      <c r="R134" s="332">
        <v>7</v>
      </c>
      <c r="S134" s="332"/>
      <c r="T134" s="332"/>
      <c r="U134" s="332"/>
      <c r="V134" s="332"/>
      <c r="W134" s="332"/>
      <c r="X134" s="332"/>
      <c r="Y134" s="332"/>
      <c r="Z134" s="332"/>
      <c r="AA134" s="332"/>
      <c r="AB134" s="332"/>
      <c r="AC134" s="332"/>
      <c r="AD134" s="332"/>
      <c r="AE134" s="332"/>
      <c r="AF134" s="332"/>
      <c r="AG134" s="332"/>
      <c r="AH134" s="332"/>
      <c r="AI134" s="332"/>
      <c r="AJ134" s="333"/>
      <c r="AK134" s="333"/>
      <c r="AL134" s="333"/>
      <c r="AM134" s="333"/>
    </row>
    <row r="135" spans="2:39" s="316" customFormat="1" ht="26.25" customHeight="1" x14ac:dyDescent="0.2">
      <c r="B135" s="340" t="str">
        <f t="array" ref="B135">IF(ISERROR(INDEX('Eingabe Meldungen'!$C$2:$C$492,LARGE(('Eingabe Meldungen'!$A$2:$A$492=$B$126)*(ROW('Eingabe Meldungen'!$A$2:$A$492)-1),COUNTIF('Eingabe Meldungen'!$A$2:$A$492,$B$126)+1-ROW('Eingabe Meldungen'!A8)))),"",INDEX('Eingabe Meldungen'!$C$2:$C$492,LARGE(('Eingabe Meldungen'!$A$2:$A$492=$B$126)*(ROW('Eingabe Meldungen'!$A$2:$A$492)-1),COUNTIF('Eingabe Meldungen'!$A$2:$A$492,$B$126)+1-ROW('Eingabe Meldungen'!A8))))</f>
        <v>Dorfschmid</v>
      </c>
      <c r="C135" s="316" t="str">
        <f t="array" ref="C135">IF(ISERROR(INDEX('Eingabe Meldungen'!$D$2:$D$492,LARGE(('Eingabe Meldungen'!$A$2:$A$492=$B$126)*(ROW('Eingabe Meldungen'!$A$2:$A$492)-1),COUNTIF('Eingabe Meldungen'!$A$2:$A$492,$B$126)+1-ROW('Eingabe Meldungen'!A8)))),"",INDEX('Eingabe Meldungen'!$D$2:$D$492,LARGE(('Eingabe Meldungen'!$A$2:$A$492=$B$126)*(ROW('Eingabe Meldungen'!$A$2:$A$492)-1),COUNTIF('Eingabe Meldungen'!$A$2:$A$492,$B$126)+1-ROW('Eingabe Meldungen'!A8))))</f>
        <v>Lukas</v>
      </c>
      <c r="D135" s="341">
        <f t="array" ref="D135">IF(B135&lt;&gt;"",INDEX('Eingabe Meldungen'!$C$2:$H$492,MATCH(B135&amp;C135,'Eingabe Meldungen'!$C$2:$C$492&amp;'Eingabe Meldungen'!$D$2:$D$492,0),6),"")</f>
        <v>2008</v>
      </c>
      <c r="E135" s="382" t="str">
        <f t="array" ref="E135">IF(B135&lt;&gt;"",INDEX('Eingabe Meldungen'!$C$2:$H$492,MATCH(B135&amp;C135,'Eingabe Meldungen'!$C$2:$C$492&amp;'Eingabe Meldungen'!$D$2:$D$492,0),4),"")</f>
        <v>Lgw. bis 50 kg</v>
      </c>
      <c r="F135" s="353" t="s">
        <v>519</v>
      </c>
      <c r="G135" s="333">
        <v>3</v>
      </c>
      <c r="H135" s="343" t="str">
        <f t="array" ref="H135">IF(B135&lt;&gt;"",INDEX('Eingabe Meldungen'!$C$2:$J$492,MATCH(B135&amp;C135,'Eingabe Meldungen'!$C$2:$C$492&amp;'Eingabe Meldungen'!$D$2:$D$492,0),8),"")</f>
        <v>RC Nürtingen</v>
      </c>
      <c r="J135" s="332"/>
      <c r="K135" s="332"/>
      <c r="L135" s="332"/>
      <c r="M135" s="332">
        <v>3</v>
      </c>
      <c r="N135" s="332"/>
      <c r="O135" s="332"/>
      <c r="P135" s="332"/>
      <c r="Q135" s="332"/>
      <c r="R135" s="332"/>
      <c r="S135" s="332"/>
      <c r="T135" s="332"/>
      <c r="U135" s="332"/>
      <c r="V135" s="332"/>
      <c r="W135" s="332"/>
      <c r="X135" s="332"/>
      <c r="Y135" s="332"/>
      <c r="Z135" s="332"/>
      <c r="AA135" s="332"/>
      <c r="AB135" s="332"/>
      <c r="AC135" s="332"/>
      <c r="AD135" s="332"/>
      <c r="AE135" s="332"/>
      <c r="AF135" s="332"/>
      <c r="AG135" s="332"/>
      <c r="AH135" s="332"/>
      <c r="AI135" s="332"/>
      <c r="AJ135" s="333"/>
      <c r="AK135" s="333"/>
      <c r="AL135" s="333"/>
      <c r="AM135" s="333"/>
    </row>
    <row r="136" spans="2:39" s="316" customFormat="1" ht="26.25" customHeight="1" x14ac:dyDescent="0.2">
      <c r="B136" s="340" t="str">
        <f t="array" ref="B136">IF(ISERROR(INDEX('Eingabe Meldungen'!$C$2:$C$492,LARGE(('Eingabe Meldungen'!$A$2:$A$492=$B$126)*(ROW('Eingabe Meldungen'!$A$2:$A$492)-1),COUNTIF('Eingabe Meldungen'!$A$2:$A$492,$B$126)+1-ROW('Eingabe Meldungen'!A9)))),"",INDEX('Eingabe Meldungen'!$C$2:$C$492,LARGE(('Eingabe Meldungen'!$A$2:$A$492=$B$126)*(ROW('Eingabe Meldungen'!$A$2:$A$492)-1),COUNTIF('Eingabe Meldungen'!$A$2:$A$492,$B$126)+1-ROW('Eingabe Meldungen'!A9))))</f>
        <v>Hammer</v>
      </c>
      <c r="C136" s="316" t="str">
        <f t="array" ref="C136">IF(ISERROR(INDEX('Eingabe Meldungen'!$D$2:$D$492,LARGE(('Eingabe Meldungen'!$A$2:$A$492=$B$126)*(ROW('Eingabe Meldungen'!$A$2:$A$492)-1),COUNTIF('Eingabe Meldungen'!$A$2:$A$492,$B$126)+1-ROW('Eingabe Meldungen'!A9)))),"",INDEX('Eingabe Meldungen'!$D$2:$D$492,LARGE(('Eingabe Meldungen'!$A$2:$A$492=$B$126)*(ROW('Eingabe Meldungen'!$A$2:$A$492)-1),COUNTIF('Eingabe Meldungen'!$A$2:$A$492,$B$126)+1-ROW('Eingabe Meldungen'!A9))))</f>
        <v>Maximilian</v>
      </c>
      <c r="D136" s="341">
        <f t="array" ref="D136">IF(B136&lt;&gt;"",INDEX('Eingabe Meldungen'!$C$2:$H$492,MATCH(B136&amp;C136,'Eingabe Meldungen'!$C$2:$C$492&amp;'Eingabe Meldungen'!$D$2:$D$492,0),6),"")</f>
        <v>2008</v>
      </c>
      <c r="E136" s="382" t="str">
        <f t="array" ref="E136">IF(B136&lt;&gt;"",INDEX('Eingabe Meldungen'!$C$2:$H$492,MATCH(B136&amp;C136,'Eingabe Meldungen'!$C$2:$C$492&amp;'Eingabe Meldungen'!$D$2:$D$492,0),4),"")</f>
        <v>Lgw. bis 50 kg</v>
      </c>
      <c r="F136" s="353" t="s">
        <v>524</v>
      </c>
      <c r="G136" s="333">
        <v>6</v>
      </c>
      <c r="H136" s="343" t="str">
        <f t="array" ref="H136">IF(B136&lt;&gt;"",INDEX('Eingabe Meldungen'!$C$2:$J$492,MATCH(B136&amp;C136,'Eingabe Meldungen'!$C$2:$C$492&amp;'Eingabe Meldungen'!$D$2:$D$492,0),8),"")</f>
        <v>RC Nürtingen</v>
      </c>
      <c r="J136" s="332"/>
      <c r="K136" s="332"/>
      <c r="L136" s="332"/>
      <c r="M136" s="332"/>
      <c r="N136" s="332"/>
      <c r="O136" s="332"/>
      <c r="P136" s="332"/>
      <c r="Q136" s="332"/>
      <c r="R136" s="332"/>
      <c r="S136" s="332"/>
      <c r="T136" s="332"/>
      <c r="U136" s="332"/>
      <c r="V136" s="332"/>
      <c r="W136" s="332"/>
      <c r="X136" s="332"/>
      <c r="Y136" s="332"/>
      <c r="Z136" s="332"/>
      <c r="AA136" s="332"/>
      <c r="AB136" s="332"/>
      <c r="AC136" s="332"/>
      <c r="AD136" s="332"/>
      <c r="AE136" s="332"/>
      <c r="AF136" s="332"/>
      <c r="AG136" s="332"/>
      <c r="AH136" s="332"/>
      <c r="AI136" s="332"/>
      <c r="AJ136" s="333"/>
      <c r="AK136" s="333"/>
      <c r="AL136" s="333"/>
      <c r="AM136" s="333"/>
    </row>
    <row r="137" spans="2:39" s="316" customFormat="1" ht="26.25" customHeight="1" x14ac:dyDescent="0.2">
      <c r="B137" s="340"/>
      <c r="D137" s="341"/>
      <c r="E137" s="382"/>
      <c r="F137" s="353"/>
      <c r="G137" s="333"/>
      <c r="H137" s="343"/>
      <c r="J137" s="332"/>
      <c r="K137" s="332"/>
      <c r="L137" s="332"/>
      <c r="M137" s="332"/>
      <c r="N137" s="332"/>
      <c r="O137" s="332"/>
      <c r="P137" s="332"/>
      <c r="Q137" s="332"/>
      <c r="R137" s="332"/>
      <c r="S137" s="332"/>
      <c r="T137" s="332"/>
      <c r="U137" s="332"/>
      <c r="V137" s="332"/>
      <c r="W137" s="332"/>
      <c r="X137" s="332"/>
      <c r="Y137" s="332"/>
      <c r="Z137" s="332"/>
      <c r="AA137" s="332"/>
      <c r="AB137" s="332"/>
      <c r="AC137" s="332"/>
      <c r="AD137" s="332"/>
      <c r="AE137" s="332"/>
      <c r="AF137" s="332"/>
      <c r="AG137" s="332"/>
      <c r="AH137" s="332"/>
      <c r="AI137" s="332"/>
      <c r="AJ137" s="333"/>
      <c r="AK137" s="333"/>
      <c r="AL137" s="333"/>
      <c r="AM137" s="333"/>
    </row>
    <row r="138" spans="2:39" s="316" customFormat="1" ht="26.25" customHeight="1" x14ac:dyDescent="0.2">
      <c r="B138" s="340" t="str">
        <f t="array" ref="B138">IF(ISERROR(INDEX('Eingabe Meldungen'!$C$2:$C$492,LARGE(('Eingabe Meldungen'!$A$2:$A$492=$B$126)*(ROW('Eingabe Meldungen'!$A$2:$A$492)-1),COUNTIF('Eingabe Meldungen'!$A$2:$A$492,$B$126)+1-ROW('Eingabe Meldungen'!A11)))),"",INDEX('Eingabe Meldungen'!$C$2:$C$492,LARGE(('Eingabe Meldungen'!$A$2:$A$492=$B$126)*(ROW('Eingabe Meldungen'!$A$2:$A$492)-1),COUNTIF('Eingabe Meldungen'!$A$2:$A$492,$B$126)+1-ROW('Eingabe Meldungen'!A11))))</f>
        <v>Rebmann</v>
      </c>
      <c r="C138" s="316" t="str">
        <f t="array" ref="C138">IF(ISERROR(INDEX('Eingabe Meldungen'!$D$2:$D$492,LARGE(('Eingabe Meldungen'!$A$2:$A$492=$B$126)*(ROW('Eingabe Meldungen'!$A$2:$A$492)-1),COUNTIF('Eingabe Meldungen'!$A$2:$A$492,$B$126)+1-ROW('Eingabe Meldungen'!A11)))),"",INDEX('Eingabe Meldungen'!$D$2:$D$492,LARGE(('Eingabe Meldungen'!$A$2:$A$492=$B$126)*(ROW('Eingabe Meldungen'!$A$2:$A$492)-1),COUNTIF('Eingabe Meldungen'!$A$2:$A$492,$B$126)+1-ROW('Eingabe Meldungen'!A11))))</f>
        <v>Florentin</v>
      </c>
      <c r="D138" s="341">
        <f t="array" ref="D138">IF(B138&lt;&gt;"",INDEX('Eingabe Meldungen'!$C$2:$H$492,MATCH(B138&amp;C138,'Eingabe Meldungen'!$C$2:$C$492&amp;'Eingabe Meldungen'!$D$2:$D$492,0),6),"")</f>
        <v>2010</v>
      </c>
      <c r="E138" s="382" t="str">
        <f t="array" ref="E138">IF(B138&lt;&gt;"",INDEX('Eingabe Meldungen'!$C$2:$H$492,MATCH(B138&amp;C138,'Eingabe Meldungen'!$C$2:$C$492&amp;'Eingabe Meldungen'!$D$2:$D$492,0),4),"")</f>
        <v>Lgw. bis 50 kg</v>
      </c>
      <c r="F138" s="353" t="s">
        <v>528</v>
      </c>
      <c r="G138" s="333">
        <v>10</v>
      </c>
      <c r="H138" s="343" t="str">
        <f t="array" ref="H138">IF(B138&lt;&gt;"",INDEX('Eingabe Meldungen'!$C$2:$J$492,MATCH(B138&amp;C138,'Eingabe Meldungen'!$C$2:$C$492&amp;'Eingabe Meldungen'!$D$2:$D$492,0),8),"")</f>
        <v>Marbacher Ruderverein</v>
      </c>
      <c r="J138" s="332"/>
      <c r="K138" s="332"/>
      <c r="L138" s="332"/>
      <c r="M138" s="332"/>
      <c r="N138" s="332"/>
      <c r="O138" s="332"/>
      <c r="P138" s="332"/>
      <c r="Q138" s="332"/>
      <c r="R138" s="332"/>
      <c r="S138" s="332"/>
      <c r="T138" s="332"/>
      <c r="U138" s="332"/>
      <c r="V138" s="332"/>
      <c r="W138" s="332"/>
      <c r="X138" s="332"/>
      <c r="Y138" s="332"/>
      <c r="Z138" s="332"/>
      <c r="AA138" s="332"/>
      <c r="AB138" s="332"/>
      <c r="AC138" s="332"/>
      <c r="AD138" s="332"/>
      <c r="AE138" s="332"/>
      <c r="AF138" s="332"/>
      <c r="AG138" s="332"/>
      <c r="AH138" s="332"/>
      <c r="AI138" s="332"/>
      <c r="AJ138" s="333"/>
      <c r="AK138" s="333"/>
      <c r="AL138" s="333"/>
      <c r="AM138" s="333"/>
    </row>
    <row r="139" spans="2:39" s="316" customFormat="1" ht="26.25" customHeight="1" x14ac:dyDescent="0.2">
      <c r="B139" s="340" t="str">
        <f t="array" ref="B139">IF(ISERROR(INDEX('Eingabe Meldungen'!$C$2:$C$492,LARGE(('Eingabe Meldungen'!$A$2:$A$492=$B$126)*(ROW('Eingabe Meldungen'!$A$2:$A$492)-1),COUNTIF('Eingabe Meldungen'!$A$2:$A$492,$B$126)+1-ROW('Eingabe Meldungen'!A12)))),"",INDEX('Eingabe Meldungen'!$C$2:$C$492,LARGE(('Eingabe Meldungen'!$A$2:$A$492=$B$126)*(ROW('Eingabe Meldungen'!$A$2:$A$492)-1),COUNTIF('Eingabe Meldungen'!$A$2:$A$492,$B$126)+1-ROW('Eingabe Meldungen'!A12))))</f>
        <v>Sigloch</v>
      </c>
      <c r="C139" s="316" t="str">
        <f t="array" ref="C139">IF(ISERROR(INDEX('Eingabe Meldungen'!$D$2:$D$492,LARGE(('Eingabe Meldungen'!$A$2:$A$492=$B$126)*(ROW('Eingabe Meldungen'!$A$2:$A$492)-1),COUNTIF('Eingabe Meldungen'!$A$2:$A$492,$B$126)+1-ROW('Eingabe Meldungen'!A12)))),"",INDEX('Eingabe Meldungen'!$D$2:$D$492,LARGE(('Eingabe Meldungen'!$A$2:$A$492=$B$126)*(ROW('Eingabe Meldungen'!$A$2:$A$492)-1),COUNTIF('Eingabe Meldungen'!$A$2:$A$492,$B$126)+1-ROW('Eingabe Meldungen'!A12))))</f>
        <v>Malte</v>
      </c>
      <c r="D139" s="341">
        <f t="array" ref="D139">IF(B139&lt;&gt;"",INDEX('Eingabe Meldungen'!$C$2:$H$492,MATCH(B139&amp;C139,'Eingabe Meldungen'!$C$2:$C$492&amp;'Eingabe Meldungen'!$D$2:$D$492,0),6),"")</f>
        <v>2008</v>
      </c>
      <c r="E139" s="382" t="str">
        <f t="array" ref="E139">IF(B139&lt;&gt;"",INDEX('Eingabe Meldungen'!$C$2:$H$492,MATCH(B139&amp;C139,'Eingabe Meldungen'!$C$2:$C$492&amp;'Eingabe Meldungen'!$D$2:$D$492,0),4),"")</f>
        <v>Lgw. bis 50 kg</v>
      </c>
      <c r="F139" s="353" t="s">
        <v>527</v>
      </c>
      <c r="G139" s="333">
        <v>9</v>
      </c>
      <c r="H139" s="343" t="str">
        <f t="array" ref="H139">IF(B139&lt;&gt;"",INDEX('Eingabe Meldungen'!$C$2:$J$492,MATCH(B139&amp;C139,'Eingabe Meldungen'!$C$2:$C$492&amp;'Eingabe Meldungen'!$D$2:$D$492,0),8),"")</f>
        <v xml:space="preserve">WSV Schifferclub Neckarrems </v>
      </c>
      <c r="J139" s="332"/>
      <c r="K139" s="332"/>
      <c r="L139" s="332"/>
      <c r="M139" s="332"/>
      <c r="N139" s="332"/>
      <c r="O139" s="332"/>
      <c r="P139" s="332"/>
      <c r="Q139" s="332"/>
      <c r="R139" s="332"/>
      <c r="S139" s="332"/>
      <c r="T139" s="332"/>
      <c r="U139" s="332"/>
      <c r="V139" s="332"/>
      <c r="W139" s="332"/>
      <c r="X139" s="332"/>
      <c r="Y139" s="332"/>
      <c r="Z139" s="332"/>
      <c r="AA139" s="332"/>
      <c r="AB139" s="332"/>
      <c r="AC139" s="332"/>
      <c r="AD139" s="332"/>
      <c r="AE139" s="332"/>
      <c r="AF139" s="332"/>
      <c r="AG139" s="332"/>
      <c r="AH139" s="332"/>
      <c r="AI139" s="332"/>
      <c r="AJ139" s="333"/>
      <c r="AK139" s="333"/>
      <c r="AL139" s="333"/>
      <c r="AM139" s="333"/>
    </row>
    <row r="140" spans="2:39" s="316" customFormat="1" ht="26.25" customHeight="1" x14ac:dyDescent="0.2">
      <c r="B140" s="340" t="str">
        <f t="array" ref="B140">IF(ISERROR(INDEX('Eingabe Meldungen'!$C$2:$C$492,LARGE(('Eingabe Meldungen'!$A$2:$A$492=$B$126)*(ROW('Eingabe Meldungen'!$A$2:$A$492)-1),COUNTIF('Eingabe Meldungen'!$A$2:$A$492,$B$126)+1-ROW('Eingabe Meldungen'!A13)))),"",INDEX('Eingabe Meldungen'!$C$2:$C$492,LARGE(('Eingabe Meldungen'!$A$2:$A$492=$B$126)*(ROW('Eingabe Meldungen'!$A$2:$A$492)-1),COUNTIF('Eingabe Meldungen'!$A$2:$A$492,$B$126)+1-ROW('Eingabe Meldungen'!A13))))</f>
        <v/>
      </c>
      <c r="C140" s="316" t="str">
        <f t="array" ref="C140">IF(ISERROR(INDEX('Eingabe Meldungen'!$D$2:$D$492,LARGE(('Eingabe Meldungen'!$A$2:$A$492=$B$126)*(ROW('Eingabe Meldungen'!$A$2:$A$492)-1),COUNTIF('Eingabe Meldungen'!$A$2:$A$492,$B$126)+1-ROW('Eingabe Meldungen'!A13)))),"",INDEX('Eingabe Meldungen'!$D$2:$D$492,LARGE(('Eingabe Meldungen'!$A$2:$A$492=$B$126)*(ROW('Eingabe Meldungen'!$A$2:$A$492)-1),COUNTIF('Eingabe Meldungen'!$A$2:$A$492,$B$126)+1-ROW('Eingabe Meldungen'!A13))))</f>
        <v/>
      </c>
      <c r="D140" s="341" t="str">
        <f t="array" ref="D140">IF(B140&lt;&gt;"",INDEX('Eingabe Meldungen'!$C$2:$H$492,MATCH(B140&amp;C140,'Eingabe Meldungen'!$C$2:$C$492&amp;'Eingabe Meldungen'!$D$2:$D$492,0),6),"")</f>
        <v/>
      </c>
      <c r="E140" s="382" t="str">
        <f t="array" ref="E140">IF(B140&lt;&gt;"",INDEX('Eingabe Meldungen'!$C$2:$H$492,MATCH(B140&amp;C140,'Eingabe Meldungen'!$C$2:$C$492&amp;'Eingabe Meldungen'!$D$2:$D$492,0),4),"")</f>
        <v/>
      </c>
      <c r="F140" s="353"/>
      <c r="G140" s="333" t="e">
        <f t="shared" ref="G140:G143" si="22">RANK(F140,$F$128:$F$143,1)</f>
        <v>#N/A</v>
      </c>
      <c r="H140" s="343" t="str">
        <f t="array" ref="H140">IF(B140&lt;&gt;"",INDEX('Eingabe Meldungen'!$C$2:$J$492,MATCH(B140&amp;C140,'Eingabe Meldungen'!$C$2:$C$492&amp;'Eingabe Meldungen'!$D$2:$D$492,0),8),"")</f>
        <v/>
      </c>
      <c r="J140" s="332"/>
      <c r="K140" s="332"/>
      <c r="L140" s="332"/>
      <c r="M140" s="332"/>
      <c r="N140" s="332"/>
      <c r="O140" s="332"/>
      <c r="P140" s="332"/>
      <c r="Q140" s="332"/>
      <c r="R140" s="332"/>
      <c r="S140" s="332"/>
      <c r="T140" s="332"/>
      <c r="U140" s="332"/>
      <c r="V140" s="332"/>
      <c r="W140" s="332"/>
      <c r="X140" s="332"/>
      <c r="Y140" s="332"/>
      <c r="Z140" s="332"/>
      <c r="AA140" s="332"/>
      <c r="AB140" s="332"/>
      <c r="AC140" s="332"/>
      <c r="AD140" s="332"/>
      <c r="AE140" s="332"/>
      <c r="AF140" s="332"/>
      <c r="AG140" s="332"/>
      <c r="AH140" s="332"/>
      <c r="AI140" s="332"/>
      <c r="AJ140" s="333"/>
      <c r="AK140" s="333"/>
      <c r="AL140" s="333"/>
      <c r="AM140" s="333"/>
    </row>
    <row r="141" spans="2:39" s="316" customFormat="1" ht="26.25" customHeight="1" x14ac:dyDescent="0.2">
      <c r="B141" s="340" t="str">
        <f t="array" ref="B141">IF(ISERROR(INDEX('Eingabe Meldungen'!$C$2:$C$492,LARGE(('Eingabe Meldungen'!$A$2:$A$492=$B$126)*(ROW('Eingabe Meldungen'!$A$2:$A$492)-1),COUNTIF('Eingabe Meldungen'!$A$2:$A$492,$B$126)+1-ROW('Eingabe Meldungen'!A14)))),"",INDEX('Eingabe Meldungen'!$C$2:$C$492,LARGE(('Eingabe Meldungen'!$A$2:$A$492=$B$126)*(ROW('Eingabe Meldungen'!$A$2:$A$492)-1),COUNTIF('Eingabe Meldungen'!$A$2:$A$492,$B$126)+1-ROW('Eingabe Meldungen'!A14))))</f>
        <v/>
      </c>
      <c r="C141" s="316" t="str">
        <f t="array" ref="C141">IF(ISERROR(INDEX('Eingabe Meldungen'!$D$2:$D$492,LARGE(('Eingabe Meldungen'!$A$2:$A$492=$B$126)*(ROW('Eingabe Meldungen'!$A$2:$A$492)-1),COUNTIF('Eingabe Meldungen'!$A$2:$A$492,$B$126)+1-ROW('Eingabe Meldungen'!A14)))),"",INDEX('Eingabe Meldungen'!$D$2:$D$492,LARGE(('Eingabe Meldungen'!$A$2:$A$492=$B$126)*(ROW('Eingabe Meldungen'!$A$2:$A$492)-1),COUNTIF('Eingabe Meldungen'!$A$2:$A$492,$B$126)+1-ROW('Eingabe Meldungen'!A14))))</f>
        <v/>
      </c>
      <c r="D141" s="341" t="str">
        <f t="array" ref="D141">IF(B141&lt;&gt;"",INDEX('Eingabe Meldungen'!$C$2:$H$492,MATCH(B141&amp;C141,'Eingabe Meldungen'!$C$2:$C$492&amp;'Eingabe Meldungen'!$D$2:$D$492,0),6),"")</f>
        <v/>
      </c>
      <c r="E141" s="382" t="str">
        <f t="array" ref="E141">IF(B141&lt;&gt;"",INDEX('Eingabe Meldungen'!$C$2:$H$492,MATCH(B141&amp;C141,'Eingabe Meldungen'!$C$2:$C$492&amp;'Eingabe Meldungen'!$D$2:$D$492,0),4),"")</f>
        <v/>
      </c>
      <c r="F141" s="353"/>
      <c r="G141" s="333" t="e">
        <f t="shared" si="22"/>
        <v>#N/A</v>
      </c>
      <c r="H141" s="343" t="str">
        <f t="array" ref="H141">IF(B141&lt;&gt;"",INDEX('Eingabe Meldungen'!$C$2:$J$492,MATCH(B141&amp;C141,'Eingabe Meldungen'!$C$2:$C$492&amp;'Eingabe Meldungen'!$D$2:$D$492,0),8),"")</f>
        <v/>
      </c>
      <c r="J141" s="332"/>
      <c r="K141" s="332"/>
      <c r="L141" s="332"/>
      <c r="M141" s="332"/>
      <c r="N141" s="332"/>
      <c r="O141" s="332"/>
      <c r="P141" s="332"/>
      <c r="Q141" s="332"/>
      <c r="R141" s="332"/>
      <c r="S141" s="332"/>
      <c r="T141" s="332"/>
      <c r="U141" s="332"/>
      <c r="V141" s="332"/>
      <c r="W141" s="332"/>
      <c r="X141" s="332"/>
      <c r="Y141" s="332"/>
      <c r="Z141" s="332"/>
      <c r="AA141" s="332"/>
      <c r="AB141" s="332"/>
      <c r="AC141" s="332"/>
      <c r="AD141" s="332"/>
      <c r="AE141" s="332"/>
      <c r="AF141" s="332"/>
      <c r="AG141" s="332"/>
      <c r="AH141" s="332"/>
      <c r="AI141" s="332"/>
      <c r="AJ141" s="333"/>
      <c r="AK141" s="333"/>
      <c r="AL141" s="333"/>
      <c r="AM141" s="333"/>
    </row>
    <row r="142" spans="2:39" s="316" customFormat="1" ht="26.25" customHeight="1" x14ac:dyDescent="0.2">
      <c r="B142" s="340" t="str">
        <f t="array" ref="B142">IF(ISERROR(INDEX('Eingabe Meldungen'!$C$2:$C$492,LARGE(('Eingabe Meldungen'!$A$2:$A$492=$B$126)*(ROW('Eingabe Meldungen'!$A$2:$A$492)-1),COUNTIF('Eingabe Meldungen'!$A$2:$A$492,$B$126)+1-ROW('Eingabe Meldungen'!A15)))),"",INDEX('Eingabe Meldungen'!$C$2:$C$492,LARGE(('Eingabe Meldungen'!$A$2:$A$492=$B$126)*(ROW('Eingabe Meldungen'!$A$2:$A$492)-1),COUNTIF('Eingabe Meldungen'!$A$2:$A$492,$B$126)+1-ROW('Eingabe Meldungen'!A15))))</f>
        <v/>
      </c>
      <c r="C142" s="316" t="str">
        <f t="array" ref="C142">IF(ISERROR(INDEX('Eingabe Meldungen'!$D$2:$D$492,LARGE(('Eingabe Meldungen'!$A$2:$A$492=$B$126)*(ROW('Eingabe Meldungen'!$A$2:$A$492)-1),COUNTIF('Eingabe Meldungen'!$A$2:$A$492,$B$126)+1-ROW('Eingabe Meldungen'!A15)))),"",INDEX('Eingabe Meldungen'!$D$2:$D$492,LARGE(('Eingabe Meldungen'!$A$2:$A$492=$B$126)*(ROW('Eingabe Meldungen'!$A$2:$A$492)-1),COUNTIF('Eingabe Meldungen'!$A$2:$A$492,$B$126)+1-ROW('Eingabe Meldungen'!A15))))</f>
        <v/>
      </c>
      <c r="D142" s="341" t="str">
        <f t="array" ref="D142">IF(B142&lt;&gt;"",INDEX('Eingabe Meldungen'!$C$2:$H$492,MATCH(B142&amp;C142,'Eingabe Meldungen'!$C$2:$C$492&amp;'Eingabe Meldungen'!$D$2:$D$492,0),6),"")</f>
        <v/>
      </c>
      <c r="E142" s="382" t="str">
        <f t="array" ref="E142">IF(B142&lt;&gt;"",INDEX('Eingabe Meldungen'!$C$2:$H$492,MATCH(B142&amp;C142,'Eingabe Meldungen'!$C$2:$C$492&amp;'Eingabe Meldungen'!$D$2:$D$492,0),4),"")</f>
        <v/>
      </c>
      <c r="F142" s="353"/>
      <c r="G142" s="333" t="e">
        <f t="shared" si="22"/>
        <v>#N/A</v>
      </c>
      <c r="H142" s="343" t="str">
        <f t="array" ref="H142">IF(B142&lt;&gt;"",INDEX('Eingabe Meldungen'!$C$2:$J$492,MATCH(B142&amp;C142,'Eingabe Meldungen'!$C$2:$C$492&amp;'Eingabe Meldungen'!$D$2:$D$492,0),8),"")</f>
        <v/>
      </c>
      <c r="J142" s="332"/>
      <c r="K142" s="332"/>
      <c r="L142" s="332"/>
      <c r="M142" s="332"/>
      <c r="N142" s="332"/>
      <c r="O142" s="332"/>
      <c r="P142" s="332"/>
      <c r="Q142" s="332"/>
      <c r="R142" s="332"/>
      <c r="S142" s="332"/>
      <c r="T142" s="332"/>
      <c r="U142" s="332"/>
      <c r="V142" s="332"/>
      <c r="W142" s="332"/>
      <c r="X142" s="332"/>
      <c r="Y142" s="332"/>
      <c r="Z142" s="332"/>
      <c r="AA142" s="332"/>
      <c r="AB142" s="332"/>
      <c r="AC142" s="332"/>
      <c r="AD142" s="332"/>
      <c r="AE142" s="332"/>
      <c r="AF142" s="332"/>
      <c r="AG142" s="332"/>
      <c r="AH142" s="332"/>
      <c r="AI142" s="332"/>
      <c r="AJ142" s="333"/>
      <c r="AK142" s="333"/>
      <c r="AL142" s="333"/>
      <c r="AM142" s="333"/>
    </row>
    <row r="143" spans="2:39" s="316" customFormat="1" ht="26.25" customHeight="1" x14ac:dyDescent="0.2">
      <c r="B143" s="340" t="str">
        <f t="array" ref="B143">IF(ISERROR(INDEX('Eingabe Meldungen'!$C$2:$C$492,LARGE(('Eingabe Meldungen'!$A$2:$A$492=$B$126)*(ROW('Eingabe Meldungen'!$A$2:$A$492)-1),COUNTIF('Eingabe Meldungen'!$A$2:$A$492,$B$126)+1-ROW('Eingabe Meldungen'!A16)))),"",INDEX('Eingabe Meldungen'!$C$2:$C$492,LARGE(('Eingabe Meldungen'!$A$2:$A$492=$B$126)*(ROW('Eingabe Meldungen'!$A$2:$A$492)-1),COUNTIF('Eingabe Meldungen'!$A$2:$A$492,$B$126)+1-ROW('Eingabe Meldungen'!A16))))</f>
        <v/>
      </c>
      <c r="C143" s="316" t="str">
        <f t="array" ref="C143">IF(ISERROR(INDEX('Eingabe Meldungen'!$D$2:$D$492,LARGE(('Eingabe Meldungen'!$A$2:$A$492=$B$126)*(ROW('Eingabe Meldungen'!$A$2:$A$492)-1),COUNTIF('Eingabe Meldungen'!$A$2:$A$492,$B$126)+1-ROW('Eingabe Meldungen'!A16)))),"",INDEX('Eingabe Meldungen'!$D$2:$D$492,LARGE(('Eingabe Meldungen'!$A$2:$A$492=$B$126)*(ROW('Eingabe Meldungen'!$A$2:$A$492)-1),COUNTIF('Eingabe Meldungen'!$A$2:$A$492,$B$126)+1-ROW('Eingabe Meldungen'!A16))))</f>
        <v/>
      </c>
      <c r="D143" s="341" t="str">
        <f t="array" ref="D143">IF(B143&lt;&gt;"",INDEX('Eingabe Meldungen'!$C$2:$H$492,MATCH(B143&amp;C143,'Eingabe Meldungen'!$C$2:$C$492&amp;'Eingabe Meldungen'!$D$2:$D$492,0),6),"")</f>
        <v/>
      </c>
      <c r="E143" s="382" t="str">
        <f t="array" ref="E143">IF(B143&lt;&gt;"",INDEX('Eingabe Meldungen'!$C$2:$H$492,MATCH(B143&amp;C143,'Eingabe Meldungen'!$C$2:$C$492&amp;'Eingabe Meldungen'!$D$2:$D$492,0),4),"")</f>
        <v/>
      </c>
      <c r="F143" s="353"/>
      <c r="G143" s="333" t="e">
        <f t="shared" si="22"/>
        <v>#N/A</v>
      </c>
      <c r="H143" s="343" t="str">
        <f t="array" ref="H143">IF(B143&lt;&gt;"",INDEX('Eingabe Meldungen'!$C$2:$J$492,MATCH(B143&amp;C143,'Eingabe Meldungen'!$C$2:$C$492&amp;'Eingabe Meldungen'!$D$2:$D$492,0),8),"")</f>
        <v/>
      </c>
      <c r="J143" s="332"/>
      <c r="K143" s="332"/>
      <c r="L143" s="332"/>
      <c r="M143" s="332"/>
      <c r="N143" s="332"/>
      <c r="O143" s="332"/>
      <c r="P143" s="332"/>
      <c r="Q143" s="332"/>
      <c r="R143" s="332"/>
      <c r="S143" s="332"/>
      <c r="T143" s="332"/>
      <c r="U143" s="332"/>
      <c r="V143" s="332"/>
      <c r="W143" s="332"/>
      <c r="X143" s="332"/>
      <c r="Y143" s="332"/>
      <c r="Z143" s="332"/>
      <c r="AA143" s="332"/>
      <c r="AB143" s="332"/>
      <c r="AC143" s="332"/>
      <c r="AD143" s="332"/>
      <c r="AE143" s="332"/>
      <c r="AF143" s="332"/>
      <c r="AG143" s="332"/>
      <c r="AH143" s="332"/>
      <c r="AI143" s="332"/>
      <c r="AJ143" s="333"/>
      <c r="AK143" s="333"/>
      <c r="AL143" s="333"/>
      <c r="AM143" s="333"/>
    </row>
    <row r="144" spans="2:39" s="316" customFormat="1" ht="26.25" customHeight="1" thickBot="1" x14ac:dyDescent="0.25">
      <c r="E144" s="352"/>
      <c r="F144" s="333"/>
      <c r="G144" s="333"/>
      <c r="J144" s="333"/>
      <c r="K144" s="333"/>
      <c r="L144" s="333"/>
      <c r="M144" s="333"/>
      <c r="N144" s="333"/>
      <c r="O144" s="333"/>
      <c r="P144" s="333"/>
      <c r="Q144" s="333"/>
      <c r="R144" s="333"/>
      <c r="S144" s="333"/>
      <c r="T144" s="333"/>
      <c r="U144" s="333"/>
      <c r="V144" s="333"/>
      <c r="W144" s="333"/>
      <c r="X144" s="333"/>
      <c r="Y144" s="333"/>
      <c r="Z144" s="333"/>
      <c r="AA144" s="333"/>
      <c r="AB144" s="333"/>
      <c r="AC144" s="333"/>
      <c r="AD144" s="333"/>
      <c r="AE144" s="333"/>
      <c r="AF144" s="333"/>
      <c r="AG144" s="333"/>
      <c r="AH144" s="333"/>
      <c r="AI144" s="333"/>
      <c r="AJ144" s="333"/>
      <c r="AK144" s="333"/>
      <c r="AL144" s="333"/>
      <c r="AM144" s="333"/>
    </row>
    <row r="145" spans="2:39" s="316" customFormat="1" ht="26.25" customHeight="1" x14ac:dyDescent="0.2">
      <c r="B145" s="326">
        <v>4</v>
      </c>
      <c r="C145" s="327" t="str">
        <f>VLOOKUP(B145,Ausschreibung!$B$5:$I$35,2,FALSE)</f>
        <v>Ergocup</v>
      </c>
      <c r="D145" s="328">
        <f>VLOOKUP(B145,Ausschreibung!$B$5:$I$35,3,FALSE)</f>
        <v>0.49166666666666664</v>
      </c>
      <c r="E145" s="327" t="str">
        <f>VLOOKUP(B145,Ausschreibung!$B$5:$I$35,4,FALSE)</f>
        <v>Jungen U14</v>
      </c>
      <c r="F145" s="329" t="str">
        <f>VLOOKUP(B145,Ausschreibung!$B$5:$I$35,5,FALSE)</f>
        <v>-</v>
      </c>
      <c r="G145" s="330" t="str">
        <f>VLOOKUP(B145,Ausschreibung!$B$5:$I$35,6,FALSE)</f>
        <v>13 und jünger</v>
      </c>
      <c r="H145" s="331" t="str">
        <f>VLOOKUP(B145,Ausschreibung!$B$5:$I$35,8,FALSE)</f>
        <v>1000 m</v>
      </c>
      <c r="J145" s="332"/>
      <c r="K145" s="332"/>
      <c r="L145" s="332"/>
      <c r="M145" s="332"/>
      <c r="N145" s="332"/>
      <c r="O145" s="332"/>
      <c r="P145" s="332"/>
      <c r="Q145" s="332"/>
      <c r="R145" s="332"/>
      <c r="S145" s="332"/>
      <c r="T145" s="332"/>
      <c r="U145" s="332"/>
      <c r="V145" s="332"/>
      <c r="W145" s="332"/>
      <c r="X145" s="332"/>
      <c r="Y145" s="332"/>
      <c r="Z145" s="332"/>
      <c r="AA145" s="332"/>
      <c r="AB145" s="332"/>
      <c r="AC145" s="332"/>
      <c r="AD145" s="332"/>
      <c r="AE145" s="332"/>
      <c r="AF145" s="332"/>
      <c r="AG145" s="332"/>
      <c r="AH145" s="332"/>
      <c r="AI145" s="332"/>
      <c r="AJ145" s="333"/>
      <c r="AK145" s="333"/>
      <c r="AL145" s="333"/>
      <c r="AM145" s="333"/>
    </row>
    <row r="146" spans="2:39" s="316" customFormat="1" ht="26.25" customHeight="1" x14ac:dyDescent="0.2">
      <c r="B146" s="334" t="s">
        <v>1</v>
      </c>
      <c r="C146" s="335" t="s">
        <v>2</v>
      </c>
      <c r="D146" s="336" t="s">
        <v>49</v>
      </c>
      <c r="E146" s="381" t="s">
        <v>16</v>
      </c>
      <c r="F146" s="337" t="s">
        <v>50</v>
      </c>
      <c r="G146" s="338" t="s">
        <v>51</v>
      </c>
      <c r="H146" s="339" t="s">
        <v>17</v>
      </c>
      <c r="J146" s="332"/>
      <c r="K146" s="332"/>
      <c r="L146" s="332"/>
      <c r="M146" s="332"/>
      <c r="N146" s="332"/>
      <c r="O146" s="332"/>
      <c r="P146" s="332"/>
      <c r="Q146" s="332"/>
      <c r="R146" s="332"/>
      <c r="S146" s="332"/>
      <c r="T146" s="332"/>
      <c r="U146" s="332"/>
      <c r="V146" s="332"/>
      <c r="W146" s="332"/>
      <c r="X146" s="332"/>
      <c r="Y146" s="332"/>
      <c r="Z146" s="332"/>
      <c r="AA146" s="332"/>
      <c r="AB146" s="332"/>
      <c r="AC146" s="332"/>
      <c r="AD146" s="332"/>
      <c r="AE146" s="332"/>
      <c r="AF146" s="332"/>
      <c r="AG146" s="332"/>
      <c r="AH146" s="332"/>
      <c r="AI146" s="332"/>
      <c r="AJ146" s="333"/>
      <c r="AK146" s="333"/>
      <c r="AL146" s="333"/>
      <c r="AM146" s="333"/>
    </row>
    <row r="147" spans="2:39" s="316" customFormat="1" ht="26.25" customHeight="1" x14ac:dyDescent="0.2">
      <c r="B147" s="340" t="str">
        <f t="array" ref="B147">IF(ISERROR(INDEX('Eingabe Meldungen'!$C$2:$C$492,LARGE(('Eingabe Meldungen'!$A$2:$A$492=$B$145)*(ROW('Eingabe Meldungen'!$A$2:$A$492)-1),COUNTIF('Eingabe Meldungen'!$A$2:$A$492,$B$145)+1-ROW('Eingabe Meldungen'!A1)))),"",INDEX('Eingabe Meldungen'!$C$2:$C$492,LARGE(('Eingabe Meldungen'!$A$2:$A$492=$B$145)*(ROW('Eingabe Meldungen'!$A$2:$A$492)-1),COUNTIF('Eingabe Meldungen'!$A$2:$A$492,$B$145)+1-ROW('Eingabe Meldungen'!A1))))</f>
        <v>Bittermann</v>
      </c>
      <c r="C147" s="316" t="str">
        <f t="array" ref="C147">IF(ISERROR(INDEX('Eingabe Meldungen'!$D$2:$D$492,LARGE(('Eingabe Meldungen'!$A$2:$A$492=$B$145)*(ROW('Eingabe Meldungen'!$A$2:$A$492)-1),COUNTIF('Eingabe Meldungen'!$A$2:$A$492,$B$145)+1-ROW('Eingabe Meldungen'!A1)))),"",INDEX('Eingabe Meldungen'!$D$2:$D$492,LARGE(('Eingabe Meldungen'!$A$2:$A$492=$B$145)*(ROW('Eingabe Meldungen'!$A$2:$A$492)-1),COUNTIF('Eingabe Meldungen'!$A$2:$A$492,$B$145)+1-ROW('Eingabe Meldungen'!A1))))</f>
        <v>Alfons</v>
      </c>
      <c r="D147" s="341">
        <f t="array" ref="D147">IF(B147&lt;&gt;"",INDEX('Eingabe Meldungen'!$C$2:$H$492,MATCH(B147&amp;C147,'Eingabe Meldungen'!$C$2:$C$492&amp;'Eingabe Meldungen'!$D$2:$D$492,0),6),"")</f>
        <v>2007</v>
      </c>
      <c r="E147" s="382" t="str">
        <f t="array" ref="E147">IF(B147&lt;&gt;"",INDEX('Eingabe Meldungen'!$C$2:$H$492,MATCH(B147&amp;C147,'Eingabe Meldungen'!$C$2:$C$492&amp;'Eingabe Meldungen'!$D$2:$D$492,0),4),"")</f>
        <v>-</v>
      </c>
      <c r="F147" s="353" t="s">
        <v>531</v>
      </c>
      <c r="G147" s="333">
        <v>10</v>
      </c>
      <c r="H147" s="343" t="str">
        <f t="array" ref="H147">IF(B147&lt;&gt;"",INDEX('Eingabe Meldungen'!$C$2:$J$492,MATCH(B147&amp;C147,'Eingabe Meldungen'!$C$2:$C$492&amp;'Eingabe Meldungen'!$D$2:$D$492,0),8),"")</f>
        <v>Marbacher Ruderverein</v>
      </c>
      <c r="J147" s="332"/>
      <c r="K147" s="332"/>
      <c r="L147" s="332"/>
      <c r="M147" s="332"/>
      <c r="N147" s="332"/>
      <c r="O147" s="332"/>
      <c r="P147" s="332"/>
      <c r="Q147" s="332"/>
      <c r="R147" s="332"/>
      <c r="S147" s="332"/>
      <c r="T147" s="332"/>
      <c r="U147" s="332"/>
      <c r="V147" s="332"/>
      <c r="W147" s="332"/>
      <c r="X147" s="332"/>
      <c r="Y147" s="332"/>
      <c r="Z147" s="332"/>
      <c r="AA147" s="332"/>
      <c r="AB147" s="332"/>
      <c r="AC147" s="332"/>
      <c r="AD147" s="332"/>
      <c r="AE147" s="332"/>
      <c r="AF147" s="332"/>
      <c r="AG147" s="332"/>
      <c r="AH147" s="332"/>
      <c r="AI147" s="332"/>
      <c r="AJ147" s="333"/>
      <c r="AK147" s="333"/>
      <c r="AL147" s="333"/>
      <c r="AM147" s="333"/>
    </row>
    <row r="148" spans="2:39" s="316" customFormat="1" ht="26.25" customHeight="1" x14ac:dyDescent="0.2">
      <c r="B148" s="340" t="str">
        <f t="array" ref="B148">IF(ISERROR(INDEX('Eingabe Meldungen'!$C$2:$C$492,LARGE(('Eingabe Meldungen'!$A$2:$A$492=$B$145)*(ROW('Eingabe Meldungen'!$A$2:$A$492)-1),COUNTIF('Eingabe Meldungen'!$A$2:$A$492,$B$145)+1-ROW('Eingabe Meldungen'!A2)))),"",INDEX('Eingabe Meldungen'!$C$2:$C$492,LARGE(('Eingabe Meldungen'!$A$2:$A$492=$B$145)*(ROW('Eingabe Meldungen'!$A$2:$A$492)-1),COUNTIF('Eingabe Meldungen'!$A$2:$A$492,$B$145)+1-ROW('Eingabe Meldungen'!A2))))</f>
        <v>Krause</v>
      </c>
      <c r="C148" s="316" t="str">
        <f t="array" ref="C148">IF(ISERROR(INDEX('Eingabe Meldungen'!$D$2:$D$492,LARGE(('Eingabe Meldungen'!$A$2:$A$492=$B$145)*(ROW('Eingabe Meldungen'!$A$2:$A$492)-1),COUNTIF('Eingabe Meldungen'!$A$2:$A$492,$B$145)+1-ROW('Eingabe Meldungen'!A2)))),"",INDEX('Eingabe Meldungen'!$D$2:$D$492,LARGE(('Eingabe Meldungen'!$A$2:$A$492=$B$145)*(ROW('Eingabe Meldungen'!$A$2:$A$492)-1),COUNTIF('Eingabe Meldungen'!$A$2:$A$492,$B$145)+1-ROW('Eingabe Meldungen'!A2))))</f>
        <v>Carl</v>
      </c>
      <c r="D148" s="341">
        <f t="array" ref="D148">IF(B148&lt;&gt;"",INDEX('Eingabe Meldungen'!$C$2:$H$492,MATCH(B148&amp;C148,'Eingabe Meldungen'!$C$2:$C$492&amp;'Eingabe Meldungen'!$D$2:$D$492,0),6),"")</f>
        <v>2007</v>
      </c>
      <c r="E148" s="382" t="str">
        <f t="array" ref="E148">IF(B148&lt;&gt;"",INDEX('Eingabe Meldungen'!$C$2:$H$492,MATCH(B148&amp;C148,'Eingabe Meldungen'!$C$2:$C$492&amp;'Eingabe Meldungen'!$D$2:$D$492,0),4),"")</f>
        <v>-</v>
      </c>
      <c r="F148" s="353" t="s">
        <v>526</v>
      </c>
      <c r="G148" s="333">
        <v>1</v>
      </c>
      <c r="H148" s="343" t="str">
        <f t="array" ref="H148">IF(B148&lt;&gt;"",INDEX('Eingabe Meldungen'!$C$2:$J$492,MATCH(B148&amp;C148,'Eingabe Meldungen'!$C$2:$C$492&amp;'Eingabe Meldungen'!$D$2:$D$492,0),8),"")</f>
        <v>Rudergesellschaft Heidelberg</v>
      </c>
      <c r="J148" s="332"/>
      <c r="K148" s="332">
        <v>7</v>
      </c>
      <c r="L148" s="332"/>
      <c r="M148" s="332"/>
      <c r="N148" s="332"/>
      <c r="O148" s="332"/>
      <c r="P148" s="332"/>
      <c r="Q148" s="332"/>
      <c r="R148" s="332"/>
      <c r="S148" s="332"/>
      <c r="T148" s="332"/>
      <c r="U148" s="332"/>
      <c r="V148" s="332"/>
      <c r="W148" s="332"/>
      <c r="X148" s="332"/>
      <c r="Y148" s="332"/>
      <c r="Z148" s="332"/>
      <c r="AA148" s="332"/>
      <c r="AB148" s="332"/>
      <c r="AC148" s="332"/>
      <c r="AD148" s="332"/>
      <c r="AE148" s="332"/>
      <c r="AF148" s="332"/>
      <c r="AG148" s="332"/>
      <c r="AH148" s="332"/>
      <c r="AI148" s="332"/>
      <c r="AJ148" s="333"/>
      <c r="AK148" s="333"/>
      <c r="AL148" s="333"/>
      <c r="AM148" s="333"/>
    </row>
    <row r="149" spans="2:39" s="316" customFormat="1" ht="26.25" customHeight="1" x14ac:dyDescent="0.2">
      <c r="B149" s="340" t="str">
        <f t="array" ref="B149">IF(ISERROR(INDEX('Eingabe Meldungen'!$C$2:$C$492,LARGE(('Eingabe Meldungen'!$A$2:$A$492=$B$145)*(ROW('Eingabe Meldungen'!$A$2:$A$492)-1),COUNTIF('Eingabe Meldungen'!$A$2:$A$492,$B$145)+1-ROW('Eingabe Meldungen'!A3)))),"",INDEX('Eingabe Meldungen'!$C$2:$C$492,LARGE(('Eingabe Meldungen'!$A$2:$A$492=$B$145)*(ROW('Eingabe Meldungen'!$A$2:$A$492)-1),COUNTIF('Eingabe Meldungen'!$A$2:$A$492,$B$145)+1-ROW('Eingabe Meldungen'!A3))))</f>
        <v>Nestor</v>
      </c>
      <c r="C149" s="316" t="str">
        <f t="array" ref="C149">IF(ISERROR(INDEX('Eingabe Meldungen'!$D$2:$D$492,LARGE(('Eingabe Meldungen'!$A$2:$A$492=$B$145)*(ROW('Eingabe Meldungen'!$A$2:$A$492)-1),COUNTIF('Eingabe Meldungen'!$A$2:$A$492,$B$145)+1-ROW('Eingabe Meldungen'!A3)))),"",INDEX('Eingabe Meldungen'!$D$2:$D$492,LARGE(('Eingabe Meldungen'!$A$2:$A$492=$B$145)*(ROW('Eingabe Meldungen'!$A$2:$A$492)-1),COUNTIF('Eingabe Meldungen'!$A$2:$A$492,$B$145)+1-ROW('Eingabe Meldungen'!A3))))</f>
        <v>David</v>
      </c>
      <c r="D149" s="341">
        <f t="array" ref="D149">IF(B149&lt;&gt;"",INDEX('Eingabe Meldungen'!$C$2:$H$492,MATCH(B149&amp;C149,'Eingabe Meldungen'!$C$2:$C$492&amp;'Eingabe Meldungen'!$D$2:$D$492,0),6),"")</f>
        <v>2007</v>
      </c>
      <c r="E149" s="382" t="str">
        <f t="array" ref="E149">IF(B149&lt;&gt;"",INDEX('Eingabe Meldungen'!$C$2:$H$492,MATCH(B149&amp;C149,'Eingabe Meldungen'!$C$2:$C$492&amp;'Eingabe Meldungen'!$D$2:$D$492,0),4),"")</f>
        <v>-</v>
      </c>
      <c r="F149" s="353" t="s">
        <v>530</v>
      </c>
      <c r="G149" s="333">
        <v>9</v>
      </c>
      <c r="H149" s="343" t="str">
        <f t="array" ref="H149">IF(B149&lt;&gt;"",INDEX('Eingabe Meldungen'!$C$2:$J$492,MATCH(B149&amp;C149,'Eingabe Meldungen'!$C$2:$C$492&amp;'Eingabe Meldungen'!$D$2:$D$492,0),8),"")</f>
        <v>Mannheimer RV "Amicitia"</v>
      </c>
      <c r="J149" s="332"/>
      <c r="K149" s="332"/>
      <c r="L149" s="332"/>
      <c r="M149" s="332"/>
      <c r="N149" s="332"/>
      <c r="O149" s="332"/>
      <c r="P149" s="332"/>
      <c r="Q149" s="332"/>
      <c r="R149" s="332"/>
      <c r="S149" s="332"/>
      <c r="T149" s="332"/>
      <c r="U149" s="332"/>
      <c r="V149" s="332"/>
      <c r="W149" s="332"/>
      <c r="X149" s="332"/>
      <c r="Y149" s="332"/>
      <c r="Z149" s="332"/>
      <c r="AA149" s="332"/>
      <c r="AB149" s="332"/>
      <c r="AC149" s="332"/>
      <c r="AD149" s="332"/>
      <c r="AE149" s="332"/>
      <c r="AF149" s="332"/>
      <c r="AG149" s="332"/>
      <c r="AH149" s="332"/>
      <c r="AI149" s="332"/>
      <c r="AJ149" s="333"/>
      <c r="AK149" s="333"/>
      <c r="AL149" s="333"/>
      <c r="AM149" s="333"/>
    </row>
    <row r="150" spans="2:39" s="316" customFormat="1" ht="26.25" customHeight="1" x14ac:dyDescent="0.2">
      <c r="B150" s="340" t="str">
        <f t="array" ref="B150">IF(ISERROR(INDEX('Eingabe Meldungen'!$C$2:$C$492,LARGE(('Eingabe Meldungen'!$A$2:$A$492=$B$145)*(ROW('Eingabe Meldungen'!$A$2:$A$492)-1),COUNTIF('Eingabe Meldungen'!$A$2:$A$492,$B$145)+1-ROW('Eingabe Meldungen'!A4)))),"",INDEX('Eingabe Meldungen'!$C$2:$C$492,LARGE(('Eingabe Meldungen'!$A$2:$A$492=$B$145)*(ROW('Eingabe Meldungen'!$A$2:$A$492)-1),COUNTIF('Eingabe Meldungen'!$A$2:$A$492,$B$145)+1-ROW('Eingabe Meldungen'!A4))))</f>
        <v>Schilling</v>
      </c>
      <c r="C150" s="316" t="str">
        <f t="array" ref="C150">IF(ISERROR(INDEX('Eingabe Meldungen'!$D$2:$D$492,LARGE(('Eingabe Meldungen'!$A$2:$A$492=$B$145)*(ROW('Eingabe Meldungen'!$A$2:$A$492)-1),COUNTIF('Eingabe Meldungen'!$A$2:$A$492,$B$145)+1-ROW('Eingabe Meldungen'!A4)))),"",INDEX('Eingabe Meldungen'!$D$2:$D$492,LARGE(('Eingabe Meldungen'!$A$2:$A$492=$B$145)*(ROW('Eingabe Meldungen'!$A$2:$A$492)-1),COUNTIF('Eingabe Meldungen'!$A$2:$A$492,$B$145)+1-ROW('Eingabe Meldungen'!A4))))</f>
        <v>Felix</v>
      </c>
      <c r="D150" s="341">
        <f t="array" ref="D150">IF(B150&lt;&gt;"",INDEX('Eingabe Meldungen'!$C$2:$H$492,MATCH(B150&amp;C150,'Eingabe Meldungen'!$C$2:$C$492&amp;'Eingabe Meldungen'!$D$2:$D$492,0),6),"")</f>
        <v>2007</v>
      </c>
      <c r="E150" s="382" t="str">
        <f t="array" ref="E150">IF(B150&lt;&gt;"",INDEX('Eingabe Meldungen'!$C$2:$H$492,MATCH(B150&amp;C150,'Eingabe Meldungen'!$C$2:$C$492&amp;'Eingabe Meldungen'!$D$2:$D$492,0),4),"")</f>
        <v>-</v>
      </c>
      <c r="F150" s="353" t="s">
        <v>529</v>
      </c>
      <c r="G150" s="333">
        <v>3</v>
      </c>
      <c r="H150" s="343" t="str">
        <f t="array" ref="H150">IF(B150&lt;&gt;"",INDEX('Eingabe Meldungen'!$C$2:$J$492,MATCH(B150&amp;C150,'Eingabe Meldungen'!$C$2:$C$492&amp;'Eingabe Meldungen'!$D$2:$D$492,0),8),"")</f>
        <v>Heidelberger Ruderklub</v>
      </c>
      <c r="J150" s="332"/>
      <c r="K150" s="332"/>
      <c r="L150" s="332">
        <v>3</v>
      </c>
      <c r="M150" s="332"/>
      <c r="N150" s="332"/>
      <c r="O150" s="332"/>
      <c r="P150" s="332"/>
      <c r="Q150" s="332"/>
      <c r="R150" s="332"/>
      <c r="S150" s="332"/>
      <c r="T150" s="332"/>
      <c r="U150" s="332"/>
      <c r="V150" s="332"/>
      <c r="W150" s="332"/>
      <c r="X150" s="332"/>
      <c r="Y150" s="332"/>
      <c r="Z150" s="332"/>
      <c r="AA150" s="332"/>
      <c r="AB150" s="332"/>
      <c r="AC150" s="332"/>
      <c r="AD150" s="332"/>
      <c r="AE150" s="332"/>
      <c r="AF150" s="332"/>
      <c r="AG150" s="332"/>
      <c r="AH150" s="332"/>
      <c r="AI150" s="332"/>
      <c r="AJ150" s="333"/>
      <c r="AK150" s="333"/>
      <c r="AL150" s="333"/>
      <c r="AM150" s="333"/>
    </row>
    <row r="151" spans="2:39" s="316" customFormat="1" ht="26.25" customHeight="1" x14ac:dyDescent="0.2">
      <c r="B151" s="340" t="str">
        <f t="array" ref="B151">IF(ISERROR(INDEX('Eingabe Meldungen'!$C$2:$C$492,LARGE(('Eingabe Meldungen'!$A$2:$A$492=$B$145)*(ROW('Eingabe Meldungen'!$A$2:$A$492)-1),COUNTIF('Eingabe Meldungen'!$A$2:$A$492,$B$145)+1-ROW('Eingabe Meldungen'!A5)))),"",INDEX('Eingabe Meldungen'!$C$2:$C$492,LARGE(('Eingabe Meldungen'!$A$2:$A$492=$B$145)*(ROW('Eingabe Meldungen'!$A$2:$A$492)-1),COUNTIF('Eingabe Meldungen'!$A$2:$A$492,$B$145)+1-ROW('Eingabe Meldungen'!A5))))</f>
        <v>Balke</v>
      </c>
      <c r="C151" s="316" t="str">
        <f t="array" ref="C151">IF(ISERROR(INDEX('Eingabe Meldungen'!$D$2:$D$492,LARGE(('Eingabe Meldungen'!$A$2:$A$492=$B$145)*(ROW('Eingabe Meldungen'!$A$2:$A$492)-1),COUNTIF('Eingabe Meldungen'!$A$2:$A$492,$B$145)+1-ROW('Eingabe Meldungen'!A5)))),"",INDEX('Eingabe Meldungen'!$D$2:$D$492,LARGE(('Eingabe Meldungen'!$A$2:$A$492=$B$145)*(ROW('Eingabe Meldungen'!$A$2:$A$492)-1),COUNTIF('Eingabe Meldungen'!$A$2:$A$492,$B$145)+1-ROW('Eingabe Meldungen'!A5))))</f>
        <v>Frederik</v>
      </c>
      <c r="D151" s="341">
        <f t="array" ref="D151">IF(B151&lt;&gt;"",INDEX('Eingabe Meldungen'!$C$2:$H$492,MATCH(B151&amp;C151,'Eingabe Meldungen'!$C$2:$C$492&amp;'Eingabe Meldungen'!$D$2:$D$492,0),6),"")</f>
        <v>2007</v>
      </c>
      <c r="E151" s="382" t="str">
        <f t="array" ref="E151">IF(B151&lt;&gt;"",INDEX('Eingabe Meldungen'!$C$2:$H$492,MATCH(B151&amp;C151,'Eingabe Meldungen'!$C$2:$C$492&amp;'Eingabe Meldungen'!$D$2:$D$492,0),4),"")</f>
        <v>-</v>
      </c>
      <c r="F151" s="412" t="s">
        <v>529</v>
      </c>
      <c r="G151" s="333">
        <v>3</v>
      </c>
      <c r="H151" s="343" t="str">
        <f t="array" ref="H151">IF(B151&lt;&gt;"",INDEX('Eingabe Meldungen'!$C$2:$J$492,MATCH(B151&amp;C151,'Eingabe Meldungen'!$C$2:$C$492&amp;'Eingabe Meldungen'!$D$2:$D$492,0),8),"")</f>
        <v>RV Waldsee</v>
      </c>
      <c r="J151" s="332"/>
      <c r="K151" s="332"/>
      <c r="L151" s="332"/>
      <c r="M151" s="332"/>
      <c r="N151" s="332"/>
      <c r="O151" s="332"/>
      <c r="P151" s="332"/>
      <c r="Q151" s="332"/>
      <c r="R151" s="332">
        <v>3</v>
      </c>
      <c r="S151" s="332"/>
      <c r="T151" s="332"/>
      <c r="U151" s="332"/>
      <c r="V151" s="332"/>
      <c r="W151" s="332"/>
      <c r="X151" s="332"/>
      <c r="Y151" s="332"/>
      <c r="Z151" s="332"/>
      <c r="AA151" s="332"/>
      <c r="AB151" s="332"/>
      <c r="AC151" s="332"/>
      <c r="AD151" s="332"/>
      <c r="AE151" s="332"/>
      <c r="AF151" s="332"/>
      <c r="AG151" s="332"/>
      <c r="AH151" s="332"/>
      <c r="AI151" s="332"/>
      <c r="AJ151" s="333"/>
      <c r="AK151" s="333"/>
      <c r="AL151" s="333"/>
      <c r="AM151" s="333"/>
    </row>
    <row r="152" spans="2:39" s="316" customFormat="1" ht="26.25" customHeight="1" x14ac:dyDescent="0.2">
      <c r="B152" s="340" t="str">
        <f t="array" ref="B152">IF(ISERROR(INDEX('Eingabe Meldungen'!$C$2:$C$492,LARGE(('Eingabe Meldungen'!$A$2:$A$492=$B$145)*(ROW('Eingabe Meldungen'!$A$2:$A$492)-1),COUNTIF('Eingabe Meldungen'!$A$2:$A$492,$B$145)+1-ROW('Eingabe Meldungen'!A6)))),"",INDEX('Eingabe Meldungen'!$C$2:$C$492,LARGE(('Eingabe Meldungen'!$A$2:$A$492=$B$145)*(ROW('Eingabe Meldungen'!$A$2:$A$492)-1),COUNTIF('Eingabe Meldungen'!$A$2:$A$492,$B$145)+1-ROW('Eingabe Meldungen'!A6))))</f>
        <v>Meyer</v>
      </c>
      <c r="C152" s="316" t="str">
        <f t="array" ref="C152">IF(ISERROR(INDEX('Eingabe Meldungen'!$D$2:$D$492,LARGE(('Eingabe Meldungen'!$A$2:$A$492=$B$145)*(ROW('Eingabe Meldungen'!$A$2:$A$492)-1),COUNTIF('Eingabe Meldungen'!$A$2:$A$492,$B$145)+1-ROW('Eingabe Meldungen'!A6)))),"",INDEX('Eingabe Meldungen'!$D$2:$D$492,LARGE(('Eingabe Meldungen'!$A$2:$A$492=$B$145)*(ROW('Eingabe Meldungen'!$A$2:$A$492)-1),COUNTIF('Eingabe Meldungen'!$A$2:$A$492,$B$145)+1-ROW('Eingabe Meldungen'!A6))))</f>
        <v>Lars</v>
      </c>
      <c r="D152" s="341">
        <f t="array" ref="D152">IF(B152&lt;&gt;"",INDEX('Eingabe Meldungen'!$C$2:$H$492,MATCH(B152&amp;C152,'Eingabe Meldungen'!$C$2:$C$492&amp;'Eingabe Meldungen'!$D$2:$D$492,0),6),"")</f>
        <v>2007</v>
      </c>
      <c r="E152" s="382" t="str">
        <f t="array" ref="E152">IF(B152&lt;&gt;"",INDEX('Eingabe Meldungen'!$C$2:$H$492,MATCH(B152&amp;C152,'Eingabe Meldungen'!$C$2:$C$492&amp;'Eingabe Meldungen'!$D$2:$D$492,0),4),"")</f>
        <v>-</v>
      </c>
      <c r="F152" s="353" t="s">
        <v>532</v>
      </c>
      <c r="G152" s="333">
        <v>2</v>
      </c>
      <c r="H152" s="343" t="str">
        <f t="array" ref="H152">IF(B152&lt;&gt;"",INDEX('Eingabe Meldungen'!$C$2:$J$492,MATCH(B152&amp;C152,'Eingabe Meldungen'!$C$2:$C$492&amp;'Eingabe Meldungen'!$D$2:$D$492,0),8),"")</f>
        <v>Rudergesellschaft Heidelberg</v>
      </c>
      <c r="J152" s="332"/>
      <c r="K152" s="332">
        <v>5</v>
      </c>
      <c r="L152" s="332"/>
      <c r="M152" s="332"/>
      <c r="N152" s="332"/>
      <c r="O152" s="332"/>
      <c r="P152" s="332"/>
      <c r="Q152" s="332"/>
      <c r="R152" s="332"/>
      <c r="S152" s="332"/>
      <c r="T152" s="332"/>
      <c r="U152" s="332"/>
      <c r="V152" s="332"/>
      <c r="W152" s="332"/>
      <c r="X152" s="332"/>
      <c r="Y152" s="332"/>
      <c r="Z152" s="332"/>
      <c r="AA152" s="332"/>
      <c r="AB152" s="332"/>
      <c r="AC152" s="332"/>
      <c r="AD152" s="332"/>
      <c r="AE152" s="332"/>
      <c r="AF152" s="332"/>
      <c r="AG152" s="332"/>
      <c r="AH152" s="332"/>
      <c r="AI152" s="332"/>
      <c r="AJ152" s="333"/>
      <c r="AK152" s="333"/>
      <c r="AL152" s="333"/>
      <c r="AM152" s="333"/>
    </row>
    <row r="153" spans="2:39" s="316" customFormat="1" ht="26.25" customHeight="1" x14ac:dyDescent="0.2">
      <c r="B153" s="340" t="str">
        <f t="array" ref="B153">IF(ISERROR(INDEX('Eingabe Meldungen'!$C$2:$C$492,LARGE(('Eingabe Meldungen'!$A$2:$A$492=$B$145)*(ROW('Eingabe Meldungen'!$A$2:$A$492)-1),COUNTIF('Eingabe Meldungen'!$A$2:$A$492,$B$145)+1-ROW('Eingabe Meldungen'!A7)))),"",INDEX('Eingabe Meldungen'!$C$2:$C$492,LARGE(('Eingabe Meldungen'!$A$2:$A$492=$B$145)*(ROW('Eingabe Meldungen'!$A$2:$A$492)-1),COUNTIF('Eingabe Meldungen'!$A$2:$A$492,$B$145)+1-ROW('Eingabe Meldungen'!A7))))</f>
        <v>Strahl</v>
      </c>
      <c r="C153" s="316" t="str">
        <f t="array" ref="C153">IF(ISERROR(INDEX('Eingabe Meldungen'!$D$2:$D$492,LARGE(('Eingabe Meldungen'!$A$2:$A$492=$B$145)*(ROW('Eingabe Meldungen'!$A$2:$A$492)-1),COUNTIF('Eingabe Meldungen'!$A$2:$A$492,$B$145)+1-ROW('Eingabe Meldungen'!A7)))),"",INDEX('Eingabe Meldungen'!$D$2:$D$492,LARGE(('Eingabe Meldungen'!$A$2:$A$492=$B$145)*(ROW('Eingabe Meldungen'!$A$2:$A$492)-1),COUNTIF('Eingabe Meldungen'!$A$2:$A$492,$B$145)+1-ROW('Eingabe Meldungen'!A7))))</f>
        <v>Leander</v>
      </c>
      <c r="D153" s="341">
        <f t="array" ref="D153">IF(B153&lt;&gt;"",INDEX('Eingabe Meldungen'!$C$2:$H$492,MATCH(B153&amp;C153,'Eingabe Meldungen'!$C$2:$C$492&amp;'Eingabe Meldungen'!$D$2:$D$492,0),6),"")</f>
        <v>2007</v>
      </c>
      <c r="E153" s="382" t="str">
        <f t="array" ref="E153">IF(B153&lt;&gt;"",INDEX('Eingabe Meldungen'!$C$2:$H$492,MATCH(B153&amp;C153,'Eingabe Meldungen'!$C$2:$C$492&amp;'Eingabe Meldungen'!$D$2:$D$492,0),4),"")</f>
        <v>-</v>
      </c>
      <c r="F153" s="353" t="s">
        <v>537</v>
      </c>
      <c r="G153" s="333">
        <v>11</v>
      </c>
      <c r="H153" s="343" t="str">
        <f t="array" ref="H153">IF(B153&lt;&gt;"",INDEX('Eingabe Meldungen'!$C$2:$J$492,MATCH(B153&amp;C153,'Eingabe Meldungen'!$C$2:$C$492&amp;'Eingabe Meldungen'!$D$2:$D$492,0),8),"")</f>
        <v xml:space="preserve">Schweinfurtrt Ruder-Club Franken </v>
      </c>
      <c r="J153" s="332"/>
      <c r="K153" s="332"/>
      <c r="L153" s="332"/>
      <c r="M153" s="332"/>
      <c r="N153" s="332"/>
      <c r="O153" s="332"/>
      <c r="P153" s="332"/>
      <c r="Q153" s="332"/>
      <c r="R153" s="332"/>
      <c r="S153" s="332"/>
      <c r="T153" s="332"/>
      <c r="U153" s="332"/>
      <c r="V153" s="332"/>
      <c r="W153" s="332"/>
      <c r="X153" s="332"/>
      <c r="Y153" s="332"/>
      <c r="Z153" s="332"/>
      <c r="AA153" s="332"/>
      <c r="AB153" s="332"/>
      <c r="AC153" s="332"/>
      <c r="AD153" s="332"/>
      <c r="AE153" s="332"/>
      <c r="AF153" s="332"/>
      <c r="AG153" s="332"/>
      <c r="AH153" s="332"/>
      <c r="AI153" s="332"/>
      <c r="AJ153" s="333"/>
      <c r="AK153" s="333"/>
      <c r="AL153" s="333"/>
      <c r="AM153" s="333"/>
    </row>
    <row r="154" spans="2:39" s="316" customFormat="1" ht="26.25" customHeight="1" x14ac:dyDescent="0.2">
      <c r="B154" s="340" t="str">
        <f t="array" ref="B154">IF(ISERROR(INDEX('Eingabe Meldungen'!$C$2:$C$492,LARGE(('Eingabe Meldungen'!$A$2:$A$492=$B$145)*(ROW('Eingabe Meldungen'!$A$2:$A$492)-1),COUNTIF('Eingabe Meldungen'!$A$2:$A$492,$B$145)+1-ROW('Eingabe Meldungen'!A8)))),"",INDEX('Eingabe Meldungen'!$C$2:$C$492,LARGE(('Eingabe Meldungen'!$A$2:$A$492=$B$145)*(ROW('Eingabe Meldungen'!$A$2:$A$492)-1),COUNTIF('Eingabe Meldungen'!$A$2:$A$492,$B$145)+1-ROW('Eingabe Meldungen'!A8))))</f>
        <v>Yilmaz</v>
      </c>
      <c r="C154" s="316" t="str">
        <f t="array" ref="C154">IF(ISERROR(INDEX('Eingabe Meldungen'!$D$2:$D$492,LARGE(('Eingabe Meldungen'!$A$2:$A$492=$B$145)*(ROW('Eingabe Meldungen'!$A$2:$A$492)-1),COUNTIF('Eingabe Meldungen'!$A$2:$A$492,$B$145)+1-ROW('Eingabe Meldungen'!A8)))),"",INDEX('Eingabe Meldungen'!$D$2:$D$492,LARGE(('Eingabe Meldungen'!$A$2:$A$492=$B$145)*(ROW('Eingabe Meldungen'!$A$2:$A$492)-1),COUNTIF('Eingabe Meldungen'!$A$2:$A$492,$B$145)+1-ROW('Eingabe Meldungen'!A8))))</f>
        <v>Leon</v>
      </c>
      <c r="D154" s="341">
        <f t="array" ref="D154">IF(B154&lt;&gt;"",INDEX('Eingabe Meldungen'!$C$2:$H$492,MATCH(B154&amp;C154,'Eingabe Meldungen'!$C$2:$C$492&amp;'Eingabe Meldungen'!$D$2:$D$492,0),6),"")</f>
        <v>2007</v>
      </c>
      <c r="E154" s="382" t="str">
        <f t="array" ref="E154">IF(B154&lt;&gt;"",INDEX('Eingabe Meldungen'!$C$2:$H$492,MATCH(B154&amp;C154,'Eingabe Meldungen'!$C$2:$C$492&amp;'Eingabe Meldungen'!$D$2:$D$492,0),4),"")</f>
        <v>-</v>
      </c>
      <c r="F154" s="353" t="s">
        <v>534</v>
      </c>
      <c r="G154" s="333">
        <v>5</v>
      </c>
      <c r="H154" s="343" t="str">
        <f t="array" ref="H154">IF(B154&lt;&gt;"",INDEX('Eingabe Meldungen'!$C$2:$J$492,MATCH(B154&amp;C154,'Eingabe Meldungen'!$C$2:$C$492&amp;'Eingabe Meldungen'!$D$2:$D$492,0),8),"")</f>
        <v>Stuttgart-Cannstatter RC</v>
      </c>
      <c r="J154" s="332"/>
      <c r="K154" s="332"/>
      <c r="L154" s="332"/>
      <c r="M154" s="332"/>
      <c r="N154" s="332"/>
      <c r="O154" s="332"/>
      <c r="P154" s="332"/>
      <c r="Q154" s="332"/>
      <c r="R154" s="332"/>
      <c r="S154" s="332"/>
      <c r="T154" s="332">
        <v>1</v>
      </c>
      <c r="U154" s="332"/>
      <c r="V154" s="332"/>
      <c r="W154" s="332"/>
      <c r="X154" s="332"/>
      <c r="Y154" s="332"/>
      <c r="Z154" s="332"/>
      <c r="AA154" s="332"/>
      <c r="AB154" s="332"/>
      <c r="AC154" s="332"/>
      <c r="AD154" s="332"/>
      <c r="AE154" s="332"/>
      <c r="AF154" s="332"/>
      <c r="AG154" s="332"/>
      <c r="AH154" s="332"/>
      <c r="AI154" s="332"/>
      <c r="AJ154" s="333"/>
      <c r="AK154" s="333"/>
      <c r="AL154" s="333"/>
      <c r="AM154" s="333"/>
    </row>
    <row r="155" spans="2:39" s="316" customFormat="1" ht="26.25" customHeight="1" x14ac:dyDescent="0.2">
      <c r="B155" s="340"/>
      <c r="D155" s="341"/>
      <c r="E155" s="382"/>
      <c r="F155" s="353"/>
      <c r="G155" s="333"/>
      <c r="H155" s="343"/>
      <c r="J155" s="332"/>
      <c r="K155" s="332"/>
      <c r="L155" s="332"/>
      <c r="M155" s="332"/>
      <c r="N155" s="332"/>
      <c r="O155" s="332"/>
      <c r="P155" s="332"/>
      <c r="Q155" s="332"/>
      <c r="R155" s="332"/>
      <c r="S155" s="332"/>
      <c r="T155" s="332"/>
      <c r="U155" s="332"/>
      <c r="V155" s="332"/>
      <c r="W155" s="332"/>
      <c r="X155" s="332"/>
      <c r="Y155" s="332"/>
      <c r="Z155" s="332"/>
      <c r="AA155" s="332"/>
      <c r="AB155" s="332"/>
      <c r="AC155" s="332"/>
      <c r="AD155" s="332"/>
      <c r="AE155" s="332"/>
      <c r="AF155" s="332"/>
      <c r="AG155" s="332"/>
      <c r="AH155" s="332"/>
      <c r="AI155" s="332"/>
      <c r="AJ155" s="333"/>
      <c r="AK155" s="333"/>
      <c r="AL155" s="333"/>
      <c r="AM155" s="333"/>
    </row>
    <row r="156" spans="2:39" s="316" customFormat="1" ht="26.25" customHeight="1" x14ac:dyDescent="0.2">
      <c r="B156" s="340" t="str">
        <f t="array" ref="B156">IF(ISERROR(INDEX('Eingabe Meldungen'!$C$2:$C$492,LARGE(('Eingabe Meldungen'!$A$2:$A$492=$B$145)*(ROW('Eingabe Meldungen'!$A$2:$A$492)-1),COUNTIF('Eingabe Meldungen'!$A$2:$A$492,$B$145)+1-ROW('Eingabe Meldungen'!A10)))),"",INDEX('Eingabe Meldungen'!$C$2:$C$492,LARGE(('Eingabe Meldungen'!$A$2:$A$492=$B$145)*(ROW('Eingabe Meldungen'!$A$2:$A$492)-1),COUNTIF('Eingabe Meldungen'!$A$2:$A$492,$B$145)+1-ROW('Eingabe Meldungen'!A10))))</f>
        <v>Krausch</v>
      </c>
      <c r="C156" s="316" t="str">
        <f t="array" ref="C156">IF(ISERROR(INDEX('Eingabe Meldungen'!$D$2:$D$492,LARGE(('Eingabe Meldungen'!$A$2:$A$492=$B$145)*(ROW('Eingabe Meldungen'!$A$2:$A$492)-1),COUNTIF('Eingabe Meldungen'!$A$2:$A$492,$B$145)+1-ROW('Eingabe Meldungen'!A10)))),"",INDEX('Eingabe Meldungen'!$D$2:$D$492,LARGE(('Eingabe Meldungen'!$A$2:$A$492=$B$145)*(ROW('Eingabe Meldungen'!$A$2:$A$492)-1),COUNTIF('Eingabe Meldungen'!$A$2:$A$492,$B$145)+1-ROW('Eingabe Meldungen'!A10))))</f>
        <v>Philipp</v>
      </c>
      <c r="D156" s="341">
        <f t="array" ref="D156">IF(B156&lt;&gt;"",INDEX('Eingabe Meldungen'!$C$2:$H$492,MATCH(B156&amp;C156,'Eingabe Meldungen'!$C$2:$C$492&amp;'Eingabe Meldungen'!$D$2:$D$492,0),6),"")</f>
        <v>2007</v>
      </c>
      <c r="E156" s="382" t="str">
        <f t="array" ref="E156">IF(B156&lt;&gt;"",INDEX('Eingabe Meldungen'!$C$2:$H$492,MATCH(B156&amp;C156,'Eingabe Meldungen'!$C$2:$C$492&amp;'Eingabe Meldungen'!$D$2:$D$492,0),4),"")</f>
        <v>-</v>
      </c>
      <c r="F156" s="353" t="s">
        <v>520</v>
      </c>
      <c r="G156" s="333">
        <v>12</v>
      </c>
      <c r="H156" s="343" t="str">
        <f t="array" ref="H156">IF(B156&lt;&gt;"",INDEX('Eingabe Meldungen'!$C$2:$J$492,MATCH(B156&amp;C156,'Eingabe Meldungen'!$C$2:$C$492&amp;'Eingabe Meldungen'!$D$2:$D$492,0),8),"")</f>
        <v>Heidelberger Ruderklub</v>
      </c>
      <c r="J156" s="332"/>
      <c r="K156" s="332"/>
      <c r="L156" s="332"/>
      <c r="M156" s="332"/>
      <c r="N156" s="332"/>
      <c r="O156" s="332"/>
      <c r="P156" s="332"/>
      <c r="Q156" s="332"/>
      <c r="R156" s="332"/>
      <c r="S156" s="332"/>
      <c r="T156" s="332"/>
      <c r="U156" s="332"/>
      <c r="V156" s="332"/>
      <c r="W156" s="332"/>
      <c r="X156" s="332"/>
      <c r="Y156" s="332"/>
      <c r="Z156" s="332"/>
      <c r="AA156" s="332"/>
      <c r="AB156" s="332"/>
      <c r="AC156" s="332"/>
      <c r="AD156" s="332"/>
      <c r="AE156" s="332"/>
      <c r="AF156" s="332"/>
      <c r="AG156" s="332"/>
      <c r="AH156" s="332"/>
      <c r="AI156" s="332"/>
      <c r="AJ156" s="333"/>
      <c r="AK156" s="333"/>
      <c r="AL156" s="333"/>
      <c r="AM156" s="333"/>
    </row>
    <row r="157" spans="2:39" s="316" customFormat="1" ht="26.25" customHeight="1" x14ac:dyDescent="0.2">
      <c r="B157" s="340" t="str">
        <f t="array" ref="B157">IF(ISERROR(INDEX('Eingabe Meldungen'!$C$2:$C$492,LARGE(('Eingabe Meldungen'!$A$2:$A$492=$B$145)*(ROW('Eingabe Meldungen'!$A$2:$A$492)-1),COUNTIF('Eingabe Meldungen'!$A$2:$A$492,$B$145)+1-ROW('Eingabe Meldungen'!A11)))),"",INDEX('Eingabe Meldungen'!$C$2:$C$492,LARGE(('Eingabe Meldungen'!$A$2:$A$492=$B$145)*(ROW('Eingabe Meldungen'!$A$2:$A$492)-1),COUNTIF('Eingabe Meldungen'!$A$2:$A$492,$B$145)+1-ROW('Eingabe Meldungen'!A11))))</f>
        <v>Schilling</v>
      </c>
      <c r="C157" s="316" t="str">
        <f t="array" ref="C157">IF(ISERROR(INDEX('Eingabe Meldungen'!$D$2:$D$492,LARGE(('Eingabe Meldungen'!$A$2:$A$492=$B$145)*(ROW('Eingabe Meldungen'!$A$2:$A$492)-1),COUNTIF('Eingabe Meldungen'!$A$2:$A$492,$B$145)+1-ROW('Eingabe Meldungen'!A11)))),"",INDEX('Eingabe Meldungen'!$D$2:$D$492,LARGE(('Eingabe Meldungen'!$A$2:$A$492=$B$145)*(ROW('Eingabe Meldungen'!$A$2:$A$492)-1),COUNTIF('Eingabe Meldungen'!$A$2:$A$492,$B$145)+1-ROW('Eingabe Meldungen'!A11))))</f>
        <v>Philipp</v>
      </c>
      <c r="D157" s="341">
        <f t="array" ref="D157">IF(B157&lt;&gt;"",INDEX('Eingabe Meldungen'!$C$2:$H$492,MATCH(B157&amp;C157,'Eingabe Meldungen'!$C$2:$C$492&amp;'Eingabe Meldungen'!$D$2:$D$492,0),6),"")</f>
        <v>2007</v>
      </c>
      <c r="E157" s="382" t="str">
        <f t="array" ref="E157">IF(B157&lt;&gt;"",INDEX('Eingabe Meldungen'!$C$2:$H$492,MATCH(B157&amp;C157,'Eingabe Meldungen'!$C$2:$C$492&amp;'Eingabe Meldungen'!$D$2:$D$492,0),4),"")</f>
        <v>-</v>
      </c>
      <c r="F157" s="353" t="s">
        <v>536</v>
      </c>
      <c r="G157" s="333">
        <v>8</v>
      </c>
      <c r="H157" s="343" t="str">
        <f t="array" ref="H157">IF(B157&lt;&gt;"",INDEX('Eingabe Meldungen'!$C$2:$J$492,MATCH(B157&amp;C157,'Eingabe Meldungen'!$C$2:$C$492&amp;'Eingabe Meldungen'!$D$2:$D$492,0),8),"")</f>
        <v>Heidelberger Ruderklub</v>
      </c>
      <c r="J157" s="332"/>
      <c r="K157" s="332"/>
      <c r="L157" s="332"/>
      <c r="M157" s="332"/>
      <c r="N157" s="332"/>
      <c r="O157" s="332"/>
      <c r="P157" s="332"/>
      <c r="Q157" s="332"/>
      <c r="R157" s="332"/>
      <c r="S157" s="332"/>
      <c r="T157" s="332"/>
      <c r="U157" s="332"/>
      <c r="V157" s="332"/>
      <c r="W157" s="332"/>
      <c r="X157" s="332"/>
      <c r="Y157" s="332"/>
      <c r="Z157" s="332"/>
      <c r="AA157" s="332"/>
      <c r="AB157" s="332"/>
      <c r="AC157" s="332"/>
      <c r="AD157" s="332"/>
      <c r="AE157" s="332"/>
      <c r="AF157" s="332"/>
      <c r="AG157" s="332"/>
      <c r="AH157" s="332"/>
      <c r="AI157" s="332"/>
      <c r="AJ157" s="333"/>
      <c r="AK157" s="333"/>
      <c r="AL157" s="333"/>
      <c r="AM157" s="333"/>
    </row>
    <row r="158" spans="2:39" s="316" customFormat="1" ht="26.25" customHeight="1" x14ac:dyDescent="0.2">
      <c r="B158" s="340" t="str">
        <f t="array" ref="B158">IF(ISERROR(INDEX('Eingabe Meldungen'!$C$2:$C$492,LARGE(('Eingabe Meldungen'!$A$2:$A$492=$B$145)*(ROW('Eingabe Meldungen'!$A$2:$A$492)-1),COUNTIF('Eingabe Meldungen'!$A$2:$A$492,$B$145)+1-ROW('Eingabe Meldungen'!A12)))),"",INDEX('Eingabe Meldungen'!$C$2:$C$492,LARGE(('Eingabe Meldungen'!$A$2:$A$492=$B$145)*(ROW('Eingabe Meldungen'!$A$2:$A$492)-1),COUNTIF('Eingabe Meldungen'!$A$2:$A$492,$B$145)+1-ROW('Eingabe Meldungen'!A12))))</f>
        <v>Calovini</v>
      </c>
      <c r="C158" s="316" t="str">
        <f t="array" ref="C158">IF(ISERROR(INDEX('Eingabe Meldungen'!$D$2:$D$492,LARGE(('Eingabe Meldungen'!$A$2:$A$492=$B$145)*(ROW('Eingabe Meldungen'!$A$2:$A$492)-1),COUNTIF('Eingabe Meldungen'!$A$2:$A$492,$B$145)+1-ROW('Eingabe Meldungen'!A12)))),"",INDEX('Eingabe Meldungen'!$D$2:$D$492,LARGE(('Eingabe Meldungen'!$A$2:$A$492=$B$145)*(ROW('Eingabe Meldungen'!$A$2:$A$492)-1),COUNTIF('Eingabe Meldungen'!$A$2:$A$492,$B$145)+1-ROW('Eingabe Meldungen'!A12))))</f>
        <v>Samuel</v>
      </c>
      <c r="D158" s="341">
        <f t="array" ref="D158">IF(B158&lt;&gt;"",INDEX('Eingabe Meldungen'!$C$2:$H$492,MATCH(B158&amp;C158,'Eingabe Meldungen'!$C$2:$C$492&amp;'Eingabe Meldungen'!$D$2:$D$492,0),6),"")</f>
        <v>2007</v>
      </c>
      <c r="E158" s="382" t="str">
        <f t="array" ref="E158">IF(B158&lt;&gt;"",INDEX('Eingabe Meldungen'!$C$2:$H$492,MATCH(B158&amp;C158,'Eingabe Meldungen'!$C$2:$C$492&amp;'Eingabe Meldungen'!$D$2:$D$492,0),4),"")</f>
        <v>-</v>
      </c>
      <c r="F158" s="353" t="s">
        <v>533</v>
      </c>
      <c r="G158" s="333">
        <v>4</v>
      </c>
      <c r="H158" s="343" t="str">
        <f t="array" ref="H158">IF(B158&lt;&gt;"",INDEX('Eingabe Meldungen'!$C$2:$J$492,MATCH(B158&amp;C158,'Eingabe Meldungen'!$C$2:$C$492&amp;'Eingabe Meldungen'!$D$2:$D$492,0),8),"")</f>
        <v>Marbacher Ruderverein</v>
      </c>
      <c r="J158" s="332"/>
      <c r="K158" s="332"/>
      <c r="L158" s="332"/>
      <c r="M158" s="332"/>
      <c r="N158" s="332"/>
      <c r="O158" s="332">
        <v>2</v>
      </c>
      <c r="P158" s="332"/>
      <c r="Q158" s="332"/>
      <c r="R158" s="332"/>
      <c r="S158" s="332"/>
      <c r="T158" s="332"/>
      <c r="U158" s="332"/>
      <c r="V158" s="332"/>
      <c r="W158" s="332"/>
      <c r="X158" s="332"/>
      <c r="Y158" s="332"/>
      <c r="Z158" s="332"/>
      <c r="AA158" s="332"/>
      <c r="AB158" s="332"/>
      <c r="AC158" s="332"/>
      <c r="AD158" s="332"/>
      <c r="AE158" s="332"/>
      <c r="AF158" s="332"/>
      <c r="AG158" s="332"/>
      <c r="AH158" s="332"/>
      <c r="AI158" s="332"/>
      <c r="AJ158" s="333"/>
      <c r="AK158" s="333"/>
      <c r="AL158" s="333"/>
      <c r="AM158" s="333"/>
    </row>
    <row r="159" spans="2:39" s="316" customFormat="1" ht="26.25" customHeight="1" x14ac:dyDescent="0.2">
      <c r="B159" s="340" t="s">
        <v>513</v>
      </c>
      <c r="C159" s="316" t="s">
        <v>514</v>
      </c>
      <c r="D159" s="341">
        <v>2007</v>
      </c>
      <c r="E159" s="382" t="s">
        <v>39</v>
      </c>
      <c r="F159" s="353" t="s">
        <v>535</v>
      </c>
      <c r="G159" s="333">
        <v>7</v>
      </c>
      <c r="H159" s="343" t="s">
        <v>515</v>
      </c>
      <c r="J159" s="332"/>
      <c r="K159" s="332"/>
      <c r="L159" s="332"/>
      <c r="M159" s="332"/>
      <c r="N159" s="332"/>
      <c r="O159" s="332"/>
      <c r="P159" s="332"/>
      <c r="Q159" s="332"/>
      <c r="R159" s="332"/>
      <c r="S159" s="332"/>
      <c r="T159" s="332"/>
      <c r="U159" s="332"/>
      <c r="V159" s="332"/>
      <c r="W159" s="332"/>
      <c r="X159" s="332"/>
      <c r="Y159" s="332"/>
      <c r="Z159" s="332"/>
      <c r="AA159" s="332"/>
      <c r="AB159" s="332"/>
      <c r="AC159" s="332"/>
      <c r="AD159" s="332"/>
      <c r="AE159" s="332"/>
      <c r="AF159" s="332"/>
      <c r="AG159" s="332"/>
      <c r="AH159" s="332"/>
      <c r="AI159" s="332"/>
      <c r="AJ159" s="333"/>
      <c r="AK159" s="333"/>
      <c r="AL159" s="333"/>
      <c r="AM159" s="333"/>
    </row>
    <row r="160" spans="2:39" s="316" customFormat="1" ht="26.25" customHeight="1" x14ac:dyDescent="0.2">
      <c r="B160" s="340" t="str">
        <f t="array" ref="B160">IF(ISERROR(INDEX('Eingabe Meldungen'!$C$2:$C$492,LARGE(('Eingabe Meldungen'!$A$2:$A$492=$B$126)*(ROW('Eingabe Meldungen'!$A$2:$A$492)-1),COUNTIF('Eingabe Meldungen'!$A$2:$A$492,$B$126)+1-ROW('Eingabe Meldungen'!A4)))),"",INDEX('Eingabe Meldungen'!$C$2:$C$492,LARGE(('Eingabe Meldungen'!$A$2:$A$492=$B$126)*(ROW('Eingabe Meldungen'!$A$2:$A$492)-1),COUNTIF('Eingabe Meldungen'!$A$2:$A$492,$B$126)+1-ROW('Eingabe Meldungen'!A4))))</f>
        <v>Deuter</v>
      </c>
      <c r="C160" s="316" t="str">
        <f t="array" ref="C160">IF(ISERROR(INDEX('Eingabe Meldungen'!$D$2:$D$492,LARGE(('Eingabe Meldungen'!$A$2:$A$492=$B$126)*(ROW('Eingabe Meldungen'!$A$2:$A$492)-1),COUNTIF('Eingabe Meldungen'!$A$2:$A$492,$B$126)+1-ROW('Eingabe Meldungen'!A4)))),"",INDEX('Eingabe Meldungen'!$D$2:$D$492,LARGE(('Eingabe Meldungen'!$A$2:$A$492=$B$126)*(ROW('Eingabe Meldungen'!$A$2:$A$492)-1),COUNTIF('Eingabe Meldungen'!$A$2:$A$492,$B$126)+1-ROW('Eingabe Meldungen'!A4))))</f>
        <v>Lucius</v>
      </c>
      <c r="D160" s="341">
        <f t="array" ref="D160">IF(B160&lt;&gt;"",INDEX('Eingabe Meldungen'!$C$2:$H$492,MATCH(B160&amp;C160,'Eingabe Meldungen'!$C$2:$C$492&amp;'Eingabe Meldungen'!$D$2:$D$492,0),6),"")</f>
        <v>2007</v>
      </c>
      <c r="E160" s="382" t="s">
        <v>39</v>
      </c>
      <c r="F160" s="353" t="s">
        <v>525</v>
      </c>
      <c r="G160" s="333">
        <v>6</v>
      </c>
      <c r="H160" s="343" t="str">
        <f t="array" ref="H160">IF(B160&lt;&gt;"",INDEX('Eingabe Meldungen'!$C$2:$J$492,MATCH(B160&amp;C160,'Eingabe Meldungen'!$C$2:$C$492&amp;'Eingabe Meldungen'!$D$2:$D$492,0),8),"")</f>
        <v>Mannheimer RV "Amicitia"</v>
      </c>
      <c r="J160" s="332"/>
      <c r="K160" s="332"/>
      <c r="L160" s="332"/>
      <c r="M160" s="332"/>
      <c r="N160" s="332"/>
      <c r="O160" s="332"/>
      <c r="P160" s="332"/>
      <c r="Q160" s="332"/>
      <c r="R160" s="332"/>
      <c r="S160" s="332"/>
      <c r="T160" s="332"/>
      <c r="U160" s="332"/>
      <c r="V160" s="332"/>
      <c r="W160" s="332"/>
      <c r="X160" s="332"/>
      <c r="Y160" s="332"/>
      <c r="Z160" s="332"/>
      <c r="AA160" s="332"/>
      <c r="AB160" s="332"/>
      <c r="AC160" s="332"/>
      <c r="AD160" s="332"/>
      <c r="AE160" s="332"/>
      <c r="AF160" s="332"/>
      <c r="AG160" s="332"/>
      <c r="AH160" s="332"/>
      <c r="AI160" s="332"/>
      <c r="AJ160" s="333"/>
      <c r="AK160" s="333"/>
      <c r="AL160" s="333"/>
      <c r="AM160" s="333"/>
    </row>
    <row r="161" spans="2:39" s="316" customFormat="1" ht="26.25" customHeight="1" x14ac:dyDescent="0.2">
      <c r="B161" s="340" t="str">
        <f t="array" ref="B161">IF(ISERROR(INDEX('Eingabe Meldungen'!$C$2:$C$492,LARGE(('Eingabe Meldungen'!$A$2:$A$492=$B$145)*(ROW('Eingabe Meldungen'!$A$2:$A$492)-1),COUNTIF('Eingabe Meldungen'!$A$2:$A$492,$B$145)+1-ROW('Eingabe Meldungen'!A15)))),"",INDEX('Eingabe Meldungen'!$C$2:$C$492,LARGE(('Eingabe Meldungen'!$A$2:$A$492=$B$145)*(ROW('Eingabe Meldungen'!$A$2:$A$492)-1),COUNTIF('Eingabe Meldungen'!$A$2:$A$492,$B$145)+1-ROW('Eingabe Meldungen'!A15))))</f>
        <v/>
      </c>
      <c r="C161" s="316" t="str">
        <f t="array" ref="C161">IF(ISERROR(INDEX('Eingabe Meldungen'!$D$2:$D$492,LARGE(('Eingabe Meldungen'!$A$2:$A$492=$B$145)*(ROW('Eingabe Meldungen'!$A$2:$A$492)-1),COUNTIF('Eingabe Meldungen'!$A$2:$A$492,$B$145)+1-ROW('Eingabe Meldungen'!A15)))),"",INDEX('Eingabe Meldungen'!$D$2:$D$492,LARGE(('Eingabe Meldungen'!$A$2:$A$492=$B$145)*(ROW('Eingabe Meldungen'!$A$2:$A$492)-1),COUNTIF('Eingabe Meldungen'!$A$2:$A$492,$B$145)+1-ROW('Eingabe Meldungen'!A15))))</f>
        <v/>
      </c>
      <c r="D161" s="341" t="str">
        <f t="array" ref="D161">IF(B161&lt;&gt;"",INDEX('Eingabe Meldungen'!$C$2:$H$492,MATCH(B161&amp;C161,'Eingabe Meldungen'!$C$2:$C$492&amp;'Eingabe Meldungen'!$D$2:$D$492,0),6),"")</f>
        <v/>
      </c>
      <c r="E161" s="382" t="str">
        <f t="array" ref="E161">IF(B161&lt;&gt;"",INDEX('Eingabe Meldungen'!$C$2:$H$492,MATCH(B161&amp;C161,'Eingabe Meldungen'!$C$2:$C$492&amp;'Eingabe Meldungen'!$D$2:$D$492,0),4),"")</f>
        <v/>
      </c>
      <c r="F161" s="353" t="str">
        <f>IF(VLOOKUP(B161,Rennlisten!$B$74:$H$88,6,FALSE)=0,"",VLOOKUP(B161,Rennlisten!$B$74:$H$88,6,FALSE))</f>
        <v/>
      </c>
      <c r="G161" s="333" t="e">
        <f t="shared" ref="G161" si="23">RANK(F161,$F$147:$F$161,1)</f>
        <v>#VALUE!</v>
      </c>
      <c r="H161" s="343" t="str">
        <f t="array" ref="H161">IF(B161&lt;&gt;"",INDEX('Eingabe Meldungen'!$C$2:$J$492,MATCH(B161&amp;C161,'Eingabe Meldungen'!$C$2:$C$492&amp;'Eingabe Meldungen'!$D$2:$D$492,0),8),"")</f>
        <v/>
      </c>
      <c r="J161" s="332"/>
      <c r="K161" s="332"/>
      <c r="L161" s="332"/>
      <c r="M161" s="332"/>
      <c r="N161" s="332"/>
      <c r="O161" s="332"/>
      <c r="P161" s="332"/>
      <c r="Q161" s="332"/>
      <c r="R161" s="332"/>
      <c r="S161" s="332"/>
      <c r="T161" s="332"/>
      <c r="U161" s="332"/>
      <c r="V161" s="332"/>
      <c r="W161" s="332"/>
      <c r="X161" s="332"/>
      <c r="Y161" s="332"/>
      <c r="Z161" s="332"/>
      <c r="AA161" s="332"/>
      <c r="AB161" s="332"/>
      <c r="AC161" s="332"/>
      <c r="AD161" s="332"/>
      <c r="AE161" s="332"/>
      <c r="AF161" s="332"/>
      <c r="AG161" s="332"/>
      <c r="AH161" s="332"/>
      <c r="AI161" s="332"/>
      <c r="AJ161" s="333"/>
      <c r="AK161" s="333"/>
      <c r="AL161" s="333"/>
      <c r="AM161" s="333"/>
    </row>
    <row r="162" spans="2:39" s="316" customFormat="1" ht="26.25" customHeight="1" thickBot="1" x14ac:dyDescent="0.25">
      <c r="E162" s="352"/>
      <c r="F162" s="333"/>
      <c r="G162" s="333"/>
      <c r="J162" s="333"/>
      <c r="K162" s="333"/>
      <c r="L162" s="333"/>
      <c r="M162" s="333"/>
      <c r="N162" s="333"/>
      <c r="O162" s="333"/>
      <c r="P162" s="333"/>
      <c r="Q162" s="333"/>
      <c r="R162" s="333"/>
      <c r="S162" s="333"/>
      <c r="T162" s="333"/>
      <c r="U162" s="333"/>
      <c r="V162" s="333"/>
      <c r="W162" s="333"/>
      <c r="X162" s="333"/>
      <c r="Y162" s="333"/>
      <c r="Z162" s="333"/>
      <c r="AA162" s="333"/>
      <c r="AB162" s="333"/>
      <c r="AC162" s="333"/>
      <c r="AD162" s="333"/>
      <c r="AE162" s="333"/>
      <c r="AF162" s="333"/>
      <c r="AG162" s="333"/>
      <c r="AH162" s="333"/>
      <c r="AI162" s="333"/>
      <c r="AJ162" s="333"/>
      <c r="AK162" s="333"/>
      <c r="AL162" s="333"/>
      <c r="AM162" s="333"/>
    </row>
    <row r="163" spans="2:39" s="316" customFormat="1" ht="26.25" customHeight="1" x14ac:dyDescent="0.2">
      <c r="B163" s="326">
        <v>5</v>
      </c>
      <c r="C163" s="327" t="str">
        <f>VLOOKUP(B163,Ausschreibung!$B$5:$I$35,2,FALSE)</f>
        <v>Ergocup</v>
      </c>
      <c r="D163" s="328">
        <f>VLOOKUP(B163,Ausschreibung!$B$5:$I$35,3,FALSE)</f>
        <v>0.50277777777777777</v>
      </c>
      <c r="E163" s="327" t="str">
        <f>VLOOKUP(B163,Ausschreibung!$B$5:$I$35,4,FALSE)</f>
        <v>Mädchen U14</v>
      </c>
      <c r="F163" s="329" t="str">
        <f>VLOOKUP(B163,Ausschreibung!$B$5:$I$35,5,FALSE)</f>
        <v>Lgw. bis 50 kg</v>
      </c>
      <c r="G163" s="330" t="str">
        <f>VLOOKUP(B163,Ausschreibung!$B$5:$I$35,6,FALSE)</f>
        <v>13 und jünger</v>
      </c>
      <c r="H163" s="331" t="str">
        <f>VLOOKUP(B163,Ausschreibung!$B$5:$I$35,8,FALSE)</f>
        <v>1000 m</v>
      </c>
      <c r="J163" s="332"/>
      <c r="K163" s="332"/>
      <c r="L163" s="332"/>
      <c r="M163" s="332"/>
      <c r="N163" s="332"/>
      <c r="O163" s="332"/>
      <c r="P163" s="332"/>
      <c r="Q163" s="332"/>
      <c r="R163" s="332"/>
      <c r="S163" s="332"/>
      <c r="T163" s="332"/>
      <c r="U163" s="332"/>
      <c r="V163" s="332"/>
      <c r="W163" s="332"/>
      <c r="X163" s="332"/>
      <c r="Y163" s="332"/>
      <c r="Z163" s="332"/>
      <c r="AA163" s="332"/>
      <c r="AB163" s="332"/>
      <c r="AC163" s="332"/>
      <c r="AD163" s="332"/>
      <c r="AE163" s="332"/>
      <c r="AF163" s="332"/>
      <c r="AG163" s="332"/>
      <c r="AH163" s="332"/>
      <c r="AI163" s="332"/>
      <c r="AJ163" s="333"/>
      <c r="AK163" s="333"/>
      <c r="AL163" s="333"/>
      <c r="AM163" s="333"/>
    </row>
    <row r="164" spans="2:39" s="316" customFormat="1" ht="26.25" customHeight="1" x14ac:dyDescent="0.2">
      <c r="B164" s="334" t="s">
        <v>1</v>
      </c>
      <c r="C164" s="335" t="s">
        <v>2</v>
      </c>
      <c r="D164" s="336" t="s">
        <v>49</v>
      </c>
      <c r="E164" s="381" t="s">
        <v>16</v>
      </c>
      <c r="F164" s="337" t="s">
        <v>50</v>
      </c>
      <c r="G164" s="338" t="s">
        <v>51</v>
      </c>
      <c r="H164" s="339" t="s">
        <v>17</v>
      </c>
      <c r="J164" s="332"/>
      <c r="K164" s="332"/>
      <c r="L164" s="332"/>
      <c r="M164" s="332"/>
      <c r="N164" s="332"/>
      <c r="O164" s="332"/>
      <c r="P164" s="332"/>
      <c r="Q164" s="332"/>
      <c r="R164" s="332"/>
      <c r="S164" s="332"/>
      <c r="T164" s="332"/>
      <c r="U164" s="332"/>
      <c r="V164" s="332"/>
      <c r="W164" s="332"/>
      <c r="X164" s="332"/>
      <c r="Y164" s="332"/>
      <c r="Z164" s="332"/>
      <c r="AA164" s="332"/>
      <c r="AB164" s="332"/>
      <c r="AC164" s="332"/>
      <c r="AD164" s="332"/>
      <c r="AE164" s="332"/>
      <c r="AF164" s="332"/>
      <c r="AG164" s="332"/>
      <c r="AH164" s="332"/>
      <c r="AI164" s="332"/>
      <c r="AJ164" s="333"/>
      <c r="AK164" s="333"/>
      <c r="AL164" s="333"/>
      <c r="AM164" s="333"/>
    </row>
    <row r="165" spans="2:39" s="316" customFormat="1" ht="26.25" customHeight="1" x14ac:dyDescent="0.2">
      <c r="B165" s="340" t="str">
        <f t="array" ref="B165">IF(ISERROR(INDEX('Eingabe Meldungen'!$C$2:$C$492,LARGE(('Eingabe Meldungen'!$A$2:$A$492=$B$163)*(ROW('Eingabe Meldungen'!$A$2:$A$492)-1),COUNTIF('Eingabe Meldungen'!$A$2:$A$492,$B$163)+1-ROW('Eingabe Meldungen'!A1)))),"",INDEX('Eingabe Meldungen'!$C$2:$C$492,LARGE(('Eingabe Meldungen'!$A$2:$A$492=$B$163)*(ROW('Eingabe Meldungen'!$A$2:$A$492)-1),COUNTIF('Eingabe Meldungen'!$A$2:$A$492,$B$163)+1-ROW('Eingabe Meldungen'!A1))))</f>
        <v>Schilling</v>
      </c>
      <c r="C165" s="316" t="str">
        <f t="array" ref="C165">IF(ISERROR(INDEX('Eingabe Meldungen'!$D$2:$D$492,LARGE(('Eingabe Meldungen'!$A$2:$A$492=$B$163)*(ROW('Eingabe Meldungen'!$A$2:$A$492)-1),COUNTIF('Eingabe Meldungen'!$A$2:$A$492,$B$163)+1-ROW('Eingabe Meldungen'!A1)))),"",INDEX('Eingabe Meldungen'!$D$2:$D$492,LARGE(('Eingabe Meldungen'!$A$2:$A$492=$B$163)*(ROW('Eingabe Meldungen'!$A$2:$A$492)-1),COUNTIF('Eingabe Meldungen'!$A$2:$A$492,$B$163)+1-ROW('Eingabe Meldungen'!A1))))</f>
        <v>Amelie</v>
      </c>
      <c r="D165" s="341">
        <f t="array" ref="D165">IF(B165&lt;&gt;"",INDEX('Eingabe Meldungen'!$C$2:$H$492,MATCH(B165&amp;C165,'Eingabe Meldungen'!$C$2:$C$492&amp;'Eingabe Meldungen'!$D$2:$D$492,0),6),"")</f>
        <v>2007</v>
      </c>
      <c r="E165" s="382" t="str">
        <f t="array" ref="E165">IF(B165&lt;&gt;"",INDEX('Eingabe Meldungen'!$C$2:$H$492,MATCH(B165&amp;C165,'Eingabe Meldungen'!$C$2:$C$492&amp;'Eingabe Meldungen'!$D$2:$D$492,0),4),"")</f>
        <v>Lgw. bis 50 kg</v>
      </c>
      <c r="F165" s="353" t="s">
        <v>538</v>
      </c>
      <c r="G165" s="333">
        <v>1</v>
      </c>
      <c r="H165" s="343" t="str">
        <f t="array" ref="H165">IF(B165&lt;&gt;"",INDEX('Eingabe Meldungen'!$C$2:$J$492,MATCH(B165&amp;C165,'Eingabe Meldungen'!$C$2:$C$492&amp;'Eingabe Meldungen'!$D$2:$D$492,0),8),"")</f>
        <v>RC Nürtingen</v>
      </c>
      <c r="J165" s="332"/>
      <c r="K165" s="332"/>
      <c r="L165" s="332"/>
      <c r="M165" s="332">
        <v>5</v>
      </c>
      <c r="N165" s="332"/>
      <c r="O165" s="332"/>
      <c r="P165" s="332"/>
      <c r="Q165" s="332"/>
      <c r="R165" s="332"/>
      <c r="S165" s="332"/>
      <c r="T165" s="332"/>
      <c r="U165" s="332"/>
      <c r="V165" s="332"/>
      <c r="W165" s="332"/>
      <c r="X165" s="332"/>
      <c r="Y165" s="332"/>
      <c r="Z165" s="332"/>
      <c r="AA165" s="332"/>
      <c r="AB165" s="332"/>
      <c r="AC165" s="332"/>
      <c r="AD165" s="332"/>
      <c r="AE165" s="332"/>
      <c r="AF165" s="332"/>
      <c r="AG165" s="332"/>
      <c r="AH165" s="332"/>
      <c r="AI165" s="332"/>
      <c r="AJ165" s="333"/>
      <c r="AK165" s="333"/>
      <c r="AL165" s="333"/>
      <c r="AM165" s="333"/>
    </row>
    <row r="166" spans="2:39" s="316" customFormat="1" ht="26.25" customHeight="1" x14ac:dyDescent="0.2">
      <c r="B166" s="340"/>
      <c r="D166" s="341"/>
      <c r="E166" s="382"/>
      <c r="F166" s="353"/>
      <c r="G166" s="333"/>
      <c r="H166" s="343"/>
      <c r="J166" s="332"/>
      <c r="K166" s="332"/>
      <c r="L166" s="332"/>
      <c r="M166" s="332"/>
      <c r="N166" s="332"/>
      <c r="O166" s="332"/>
      <c r="P166" s="332"/>
      <c r="Q166" s="332"/>
      <c r="R166" s="332"/>
      <c r="S166" s="332"/>
      <c r="T166" s="332"/>
      <c r="U166" s="332"/>
      <c r="V166" s="332"/>
      <c r="W166" s="332"/>
      <c r="X166" s="332"/>
      <c r="Y166" s="332"/>
      <c r="Z166" s="332"/>
      <c r="AA166" s="332"/>
      <c r="AB166" s="332"/>
      <c r="AC166" s="332"/>
      <c r="AD166" s="332"/>
      <c r="AE166" s="332"/>
      <c r="AF166" s="332"/>
      <c r="AG166" s="332"/>
      <c r="AH166" s="332"/>
      <c r="AI166" s="332"/>
      <c r="AJ166" s="333"/>
      <c r="AK166" s="333"/>
      <c r="AL166" s="333"/>
      <c r="AM166" s="333"/>
    </row>
    <row r="167" spans="2:39" s="316" customFormat="1" ht="26.25" customHeight="1" x14ac:dyDescent="0.2">
      <c r="B167" s="340" t="str">
        <f t="array" ref="B167">IF(ISERROR(INDEX('Eingabe Meldungen'!$C$2:$C$492,LARGE(('Eingabe Meldungen'!$A$2:$A$492=$B$163)*(ROW('Eingabe Meldungen'!$A$2:$A$492)-1),COUNTIF('Eingabe Meldungen'!$A$2:$A$492,$B$163)+1-ROW('Eingabe Meldungen'!A3)))),"",INDEX('Eingabe Meldungen'!$C$2:$C$492,LARGE(('Eingabe Meldungen'!$A$2:$A$492=$B$163)*(ROW('Eingabe Meldungen'!$A$2:$A$492)-1),COUNTIF('Eingabe Meldungen'!$A$2:$A$492,$B$163)+1-ROW('Eingabe Meldungen'!A3))))</f>
        <v>Warning</v>
      </c>
      <c r="C167" s="316" t="str">
        <f t="array" ref="C167">IF(ISERROR(INDEX('Eingabe Meldungen'!$D$2:$D$492,LARGE(('Eingabe Meldungen'!$A$2:$A$492=$B$163)*(ROW('Eingabe Meldungen'!$A$2:$A$492)-1),COUNTIF('Eingabe Meldungen'!$A$2:$A$492,$B$163)+1-ROW('Eingabe Meldungen'!A3)))),"",INDEX('Eingabe Meldungen'!$D$2:$D$492,LARGE(('Eingabe Meldungen'!$A$2:$A$492=$B$163)*(ROW('Eingabe Meldungen'!$A$2:$A$492)-1),COUNTIF('Eingabe Meldungen'!$A$2:$A$492,$B$163)+1-ROW('Eingabe Meldungen'!A3))))</f>
        <v>Johanna</v>
      </c>
      <c r="D167" s="341">
        <f t="array" ref="D167">IF(B167&lt;&gt;"",INDEX('Eingabe Meldungen'!$C$2:$H$492,MATCH(B167&amp;C167,'Eingabe Meldungen'!$C$2:$C$492&amp;'Eingabe Meldungen'!$D$2:$D$492,0),6),"")</f>
        <v>2007</v>
      </c>
      <c r="E167" s="382" t="str">
        <f t="array" ref="E167">IF(B167&lt;&gt;"",INDEX('Eingabe Meldungen'!$C$2:$H$492,MATCH(B167&amp;C167,'Eingabe Meldungen'!$C$2:$C$492&amp;'Eingabe Meldungen'!$D$2:$D$492,0),4),"")</f>
        <v>Lgw. bis 50 kg</v>
      </c>
      <c r="F167" s="353" t="s">
        <v>540</v>
      </c>
      <c r="G167" s="333">
        <v>3</v>
      </c>
      <c r="H167" s="343" t="str">
        <f t="array" ref="H167">IF(B167&lt;&gt;"",INDEX('Eingabe Meldungen'!$C$2:$J$492,MATCH(B167&amp;C167,'Eingabe Meldungen'!$C$2:$C$492&amp;'Eingabe Meldungen'!$D$2:$D$492,0),8),"")</f>
        <v>Stuttgart-Cannstatter RC</v>
      </c>
      <c r="J167" s="332"/>
      <c r="K167" s="332"/>
      <c r="L167" s="332"/>
      <c r="M167" s="332"/>
      <c r="N167" s="332"/>
      <c r="O167" s="332"/>
      <c r="P167" s="332"/>
      <c r="Q167" s="332"/>
      <c r="R167" s="332"/>
      <c r="S167" s="332"/>
      <c r="T167" s="332">
        <v>1</v>
      </c>
      <c r="U167" s="332"/>
      <c r="V167" s="332"/>
      <c r="W167" s="332"/>
      <c r="X167" s="332"/>
      <c r="Y167" s="332"/>
      <c r="Z167" s="332"/>
      <c r="AA167" s="332"/>
      <c r="AB167" s="332"/>
      <c r="AC167" s="332"/>
      <c r="AD167" s="332"/>
      <c r="AE167" s="332"/>
      <c r="AF167" s="332"/>
      <c r="AG167" s="332"/>
      <c r="AH167" s="332"/>
      <c r="AI167" s="332"/>
      <c r="AJ167" s="333"/>
      <c r="AK167" s="333"/>
      <c r="AL167" s="333"/>
      <c r="AM167" s="333"/>
    </row>
    <row r="168" spans="2:39" s="316" customFormat="1" ht="26.25" customHeight="1" x14ac:dyDescent="0.2">
      <c r="B168" s="340"/>
      <c r="D168" s="341"/>
      <c r="E168" s="382"/>
      <c r="F168" s="353"/>
      <c r="G168" s="333"/>
      <c r="H168" s="343"/>
      <c r="J168" s="332"/>
      <c r="K168" s="332"/>
      <c r="L168" s="332"/>
      <c r="M168" s="332"/>
      <c r="N168" s="332"/>
      <c r="O168" s="332"/>
      <c r="P168" s="332"/>
      <c r="Q168" s="332"/>
      <c r="R168" s="332"/>
      <c r="S168" s="332"/>
      <c r="T168" s="332"/>
      <c r="U168" s="332"/>
      <c r="V168" s="332"/>
      <c r="W168" s="332"/>
      <c r="X168" s="332"/>
      <c r="Y168" s="332"/>
      <c r="Z168" s="332"/>
      <c r="AA168" s="332"/>
      <c r="AB168" s="332"/>
      <c r="AC168" s="332"/>
      <c r="AD168" s="332"/>
      <c r="AE168" s="332"/>
      <c r="AF168" s="332"/>
      <c r="AG168" s="332"/>
      <c r="AH168" s="332"/>
      <c r="AI168" s="332"/>
      <c r="AJ168" s="333"/>
      <c r="AK168" s="333"/>
      <c r="AL168" s="333"/>
      <c r="AM168" s="333"/>
    </row>
    <row r="169" spans="2:39" s="316" customFormat="1" ht="26.25" customHeight="1" x14ac:dyDescent="0.2">
      <c r="B169" s="340" t="str">
        <f t="array" ref="B169">IF(ISERROR(INDEX('Eingabe Meldungen'!$C$2:$C$492,LARGE(('Eingabe Meldungen'!$A$2:$A$492=$B$163)*(ROW('Eingabe Meldungen'!$A$2:$A$492)-1),COUNTIF('Eingabe Meldungen'!$A$2:$A$492,$B$163)+1-ROW('Eingabe Meldungen'!A5)))),"",INDEX('Eingabe Meldungen'!$C$2:$C$492,LARGE(('Eingabe Meldungen'!$A$2:$A$492=$B$163)*(ROW('Eingabe Meldungen'!$A$2:$A$492)-1),COUNTIF('Eingabe Meldungen'!$A$2:$A$492,$B$163)+1-ROW('Eingabe Meldungen'!A5))))</f>
        <v>Grünewald</v>
      </c>
      <c r="C169" s="316" t="str">
        <f t="array" ref="C169">IF(ISERROR(INDEX('Eingabe Meldungen'!$D$2:$D$492,LARGE(('Eingabe Meldungen'!$A$2:$A$492=$B$163)*(ROW('Eingabe Meldungen'!$A$2:$A$492)-1),COUNTIF('Eingabe Meldungen'!$A$2:$A$492,$B$163)+1-ROW('Eingabe Meldungen'!A5)))),"",INDEX('Eingabe Meldungen'!$D$2:$D$492,LARGE(('Eingabe Meldungen'!$A$2:$A$492=$B$163)*(ROW('Eingabe Meldungen'!$A$2:$A$492)-1),COUNTIF('Eingabe Meldungen'!$A$2:$A$492,$B$163)+1-ROW('Eingabe Meldungen'!A5))))</f>
        <v>Julika</v>
      </c>
      <c r="D169" s="341">
        <f t="array" ref="D169">IF(B169&lt;&gt;"",INDEX('Eingabe Meldungen'!$C$2:$H$492,MATCH(B169&amp;C169,'Eingabe Meldungen'!$C$2:$C$492&amp;'Eingabe Meldungen'!$D$2:$D$492,0),6),"")</f>
        <v>2008</v>
      </c>
      <c r="E169" s="382" t="str">
        <f t="array" ref="E169">IF(B169&lt;&gt;"",INDEX('Eingabe Meldungen'!$C$2:$H$492,MATCH(B169&amp;C169,'Eingabe Meldungen'!$C$2:$C$492&amp;'Eingabe Meldungen'!$D$2:$D$492,0),4),"")</f>
        <v>Lgw. bis 50 kg</v>
      </c>
      <c r="F169" s="353" t="s">
        <v>539</v>
      </c>
      <c r="G169" s="333">
        <v>2</v>
      </c>
      <c r="H169" s="343" t="str">
        <f t="array" ref="H169">IF(B169&lt;&gt;"",INDEX('Eingabe Meldungen'!$C$2:$J$492,MATCH(B169&amp;C169,'Eingabe Meldungen'!$C$2:$C$492&amp;'Eingabe Meldungen'!$D$2:$D$492,0),8),"")</f>
        <v>Marbacher Ruderverein</v>
      </c>
      <c r="J169" s="332"/>
      <c r="K169" s="332"/>
      <c r="L169" s="332"/>
      <c r="M169" s="332"/>
      <c r="N169" s="332">
        <v>3</v>
      </c>
      <c r="O169" s="332"/>
      <c r="P169" s="332"/>
      <c r="Q169" s="332"/>
      <c r="R169" s="332"/>
      <c r="S169" s="332"/>
      <c r="T169" s="332"/>
      <c r="U169" s="332"/>
      <c r="V169" s="332"/>
      <c r="W169" s="332"/>
      <c r="X169" s="332"/>
      <c r="Y169" s="332"/>
      <c r="Z169" s="332"/>
      <c r="AA169" s="332"/>
      <c r="AB169" s="332"/>
      <c r="AC169" s="332"/>
      <c r="AD169" s="332"/>
      <c r="AE169" s="332"/>
      <c r="AF169" s="332"/>
      <c r="AG169" s="332"/>
      <c r="AH169" s="332"/>
      <c r="AI169" s="332"/>
      <c r="AJ169" s="333"/>
      <c r="AK169" s="333"/>
      <c r="AL169" s="333"/>
      <c r="AM169" s="333"/>
    </row>
    <row r="170" spans="2:39" s="316" customFormat="1" ht="26.25" customHeight="1" x14ac:dyDescent="0.2">
      <c r="B170" s="340" t="str">
        <f t="array" ref="B170">IF(ISERROR(INDEX('Eingabe Meldungen'!$C$2:$C$492,LARGE(('Eingabe Meldungen'!$A$2:$A$492=$B$163)*(ROW('Eingabe Meldungen'!$A$2:$A$492)-1),COUNTIF('Eingabe Meldungen'!$A$2:$A$492,$B$163)+1-ROW('Eingabe Meldungen'!A6)))),"",INDEX('Eingabe Meldungen'!$C$2:$C$492,LARGE(('Eingabe Meldungen'!$A$2:$A$492=$B$163)*(ROW('Eingabe Meldungen'!$A$2:$A$492)-1),COUNTIF('Eingabe Meldungen'!$A$2:$A$492,$B$163)+1-ROW('Eingabe Meldungen'!A6))))</f>
        <v/>
      </c>
      <c r="C170" s="316" t="str">
        <f t="array" ref="C170">IF(ISERROR(INDEX('Eingabe Meldungen'!$D$2:$D$492,LARGE(('Eingabe Meldungen'!$A$2:$A$492=$B$163)*(ROW('Eingabe Meldungen'!$A$2:$A$492)-1),COUNTIF('Eingabe Meldungen'!$A$2:$A$492,$B$163)+1-ROW('Eingabe Meldungen'!A6)))),"",INDEX('Eingabe Meldungen'!$D$2:$D$492,LARGE(('Eingabe Meldungen'!$A$2:$A$492=$B$163)*(ROW('Eingabe Meldungen'!$A$2:$A$492)-1),COUNTIF('Eingabe Meldungen'!$A$2:$A$492,$B$163)+1-ROW('Eingabe Meldungen'!A6))))</f>
        <v/>
      </c>
      <c r="D170" s="341" t="str">
        <f t="array" ref="D170">IF(B170&lt;&gt;"",INDEX('Eingabe Meldungen'!$C$2:$H$492,MATCH(B170&amp;C170,'Eingabe Meldungen'!$C$2:$C$492&amp;'Eingabe Meldungen'!$D$2:$D$492,0),6),"")</f>
        <v/>
      </c>
      <c r="E170" s="382" t="str">
        <f t="array" ref="E170">IF(B170&lt;&gt;"",INDEX('Eingabe Meldungen'!$C$2:$H$492,MATCH(B170&amp;C170,'Eingabe Meldungen'!$C$2:$C$492&amp;'Eingabe Meldungen'!$D$2:$D$492,0),4),"")</f>
        <v/>
      </c>
      <c r="F170" s="353" t="str">
        <f>IF(VLOOKUP(B170,Rennlisten!$B$92:$H$101,6,FALSE)=0,"",VLOOKUP(B170,Rennlisten!$B$92:$H$101,6,FALSE))</f>
        <v/>
      </c>
      <c r="G170" s="333" t="e">
        <f t="shared" ref="G170:G174" si="24">RANK(F170,$F$165:$F$174,1)</f>
        <v>#VALUE!</v>
      </c>
      <c r="H170" s="343" t="str">
        <f t="array" ref="H170">IF(B170&lt;&gt;"",INDEX('Eingabe Meldungen'!$C$2:$J$492,MATCH(B170&amp;C170,'Eingabe Meldungen'!$C$2:$C$492&amp;'Eingabe Meldungen'!$D$2:$D$492,0),8),"")</f>
        <v/>
      </c>
      <c r="J170" s="332"/>
      <c r="K170" s="332"/>
      <c r="L170" s="332"/>
      <c r="M170" s="332"/>
      <c r="N170" s="332"/>
      <c r="O170" s="332"/>
      <c r="P170" s="332"/>
      <c r="Q170" s="332"/>
      <c r="R170" s="332"/>
      <c r="S170" s="332"/>
      <c r="T170" s="332"/>
      <c r="U170" s="332"/>
      <c r="V170" s="332"/>
      <c r="W170" s="332"/>
      <c r="X170" s="332"/>
      <c r="Y170" s="332"/>
      <c r="Z170" s="332"/>
      <c r="AA170" s="332"/>
      <c r="AB170" s="332"/>
      <c r="AC170" s="332"/>
      <c r="AD170" s="332"/>
      <c r="AE170" s="332"/>
      <c r="AF170" s="332"/>
      <c r="AG170" s="332"/>
      <c r="AH170" s="332"/>
      <c r="AI170" s="332"/>
      <c r="AJ170" s="333"/>
      <c r="AK170" s="333"/>
      <c r="AL170" s="333"/>
      <c r="AM170" s="333"/>
    </row>
    <row r="171" spans="2:39" s="316" customFormat="1" ht="26.25" customHeight="1" x14ac:dyDescent="0.2">
      <c r="B171" s="340" t="str">
        <f t="array" ref="B171">IF(ISERROR(INDEX('Eingabe Meldungen'!$C$2:$C$492,LARGE(('Eingabe Meldungen'!$A$2:$A$492=$B$163)*(ROW('Eingabe Meldungen'!$A$2:$A$492)-1),COUNTIF('Eingabe Meldungen'!$A$2:$A$492,$B$163)+1-ROW('Eingabe Meldungen'!A7)))),"",INDEX('Eingabe Meldungen'!$C$2:$C$492,LARGE(('Eingabe Meldungen'!$A$2:$A$492=$B$163)*(ROW('Eingabe Meldungen'!$A$2:$A$492)-1),COUNTIF('Eingabe Meldungen'!$A$2:$A$492,$B$163)+1-ROW('Eingabe Meldungen'!A7))))</f>
        <v/>
      </c>
      <c r="C171" s="316" t="str">
        <f t="array" ref="C171">IF(ISERROR(INDEX('Eingabe Meldungen'!$D$2:$D$492,LARGE(('Eingabe Meldungen'!$A$2:$A$492=$B$163)*(ROW('Eingabe Meldungen'!$A$2:$A$492)-1),COUNTIF('Eingabe Meldungen'!$A$2:$A$492,$B$163)+1-ROW('Eingabe Meldungen'!A7)))),"",INDEX('Eingabe Meldungen'!$D$2:$D$492,LARGE(('Eingabe Meldungen'!$A$2:$A$492=$B$163)*(ROW('Eingabe Meldungen'!$A$2:$A$492)-1),COUNTIF('Eingabe Meldungen'!$A$2:$A$492,$B$163)+1-ROW('Eingabe Meldungen'!A7))))</f>
        <v/>
      </c>
      <c r="D171" s="341" t="str">
        <f t="array" ref="D171">IF(B171&lt;&gt;"",INDEX('Eingabe Meldungen'!$C$2:$H$492,MATCH(B171&amp;C171,'Eingabe Meldungen'!$C$2:$C$492&amp;'Eingabe Meldungen'!$D$2:$D$492,0),6),"")</f>
        <v/>
      </c>
      <c r="E171" s="382" t="str">
        <f t="array" ref="E171">IF(B171&lt;&gt;"",INDEX('Eingabe Meldungen'!$C$2:$H$492,MATCH(B171&amp;C171,'Eingabe Meldungen'!$C$2:$C$492&amp;'Eingabe Meldungen'!$D$2:$D$492,0),4),"")</f>
        <v/>
      </c>
      <c r="F171" s="353" t="str">
        <f>IF(VLOOKUP(B171,Rennlisten!$B$92:$H$101,6,FALSE)=0,"",VLOOKUP(B171,Rennlisten!$B$92:$H$101,6,FALSE))</f>
        <v/>
      </c>
      <c r="G171" s="333" t="e">
        <f t="shared" si="24"/>
        <v>#VALUE!</v>
      </c>
      <c r="H171" s="343" t="str">
        <f t="array" ref="H171">IF(B171&lt;&gt;"",INDEX('Eingabe Meldungen'!$C$2:$J$492,MATCH(B171&amp;C171,'Eingabe Meldungen'!$C$2:$C$492&amp;'Eingabe Meldungen'!$D$2:$D$492,0),8),"")</f>
        <v/>
      </c>
      <c r="J171" s="332"/>
      <c r="K171" s="332"/>
      <c r="L171" s="332"/>
      <c r="M171" s="332"/>
      <c r="N171" s="332"/>
      <c r="O171" s="332"/>
      <c r="P171" s="332"/>
      <c r="Q171" s="332"/>
      <c r="R171" s="332"/>
      <c r="S171" s="332"/>
      <c r="T171" s="332"/>
      <c r="U171" s="332"/>
      <c r="V171" s="332"/>
      <c r="W171" s="332"/>
      <c r="X171" s="332"/>
      <c r="Y171" s="332"/>
      <c r="Z171" s="332"/>
      <c r="AA171" s="332"/>
      <c r="AB171" s="332"/>
      <c r="AC171" s="332"/>
      <c r="AD171" s="332"/>
      <c r="AE171" s="332"/>
      <c r="AF171" s="332"/>
      <c r="AG171" s="332"/>
      <c r="AH171" s="332"/>
      <c r="AI171" s="332"/>
      <c r="AJ171" s="333"/>
      <c r="AK171" s="333"/>
      <c r="AL171" s="333"/>
      <c r="AM171" s="333"/>
    </row>
    <row r="172" spans="2:39" s="316" customFormat="1" ht="26.25" customHeight="1" x14ac:dyDescent="0.2">
      <c r="B172" s="340" t="str">
        <f t="array" ref="B172">IF(ISERROR(INDEX('Eingabe Meldungen'!$C$2:$C$492,LARGE(('Eingabe Meldungen'!$A$2:$A$492=$B$163)*(ROW('Eingabe Meldungen'!$A$2:$A$492)-1),COUNTIF('Eingabe Meldungen'!$A$2:$A$492,$B$163)+1-ROW('Eingabe Meldungen'!A8)))),"",INDEX('Eingabe Meldungen'!$C$2:$C$492,LARGE(('Eingabe Meldungen'!$A$2:$A$492=$B$163)*(ROW('Eingabe Meldungen'!$A$2:$A$492)-1),COUNTIF('Eingabe Meldungen'!$A$2:$A$492,$B$163)+1-ROW('Eingabe Meldungen'!A8))))</f>
        <v/>
      </c>
      <c r="C172" s="316" t="str">
        <f t="array" ref="C172">IF(ISERROR(INDEX('Eingabe Meldungen'!$D$2:$D$492,LARGE(('Eingabe Meldungen'!$A$2:$A$492=$B$163)*(ROW('Eingabe Meldungen'!$A$2:$A$492)-1),COUNTIF('Eingabe Meldungen'!$A$2:$A$492,$B$163)+1-ROW('Eingabe Meldungen'!A8)))),"",INDEX('Eingabe Meldungen'!$D$2:$D$492,LARGE(('Eingabe Meldungen'!$A$2:$A$492=$B$163)*(ROW('Eingabe Meldungen'!$A$2:$A$492)-1),COUNTIF('Eingabe Meldungen'!$A$2:$A$492,$B$163)+1-ROW('Eingabe Meldungen'!A8))))</f>
        <v/>
      </c>
      <c r="D172" s="341" t="str">
        <f t="array" ref="D172">IF(B172&lt;&gt;"",INDEX('Eingabe Meldungen'!$C$2:$H$492,MATCH(B172&amp;C172,'Eingabe Meldungen'!$C$2:$C$492&amp;'Eingabe Meldungen'!$D$2:$D$492,0),6),"")</f>
        <v/>
      </c>
      <c r="E172" s="382" t="str">
        <f t="array" ref="E172">IF(B172&lt;&gt;"",INDEX('Eingabe Meldungen'!$C$2:$H$492,MATCH(B172&amp;C172,'Eingabe Meldungen'!$C$2:$C$492&amp;'Eingabe Meldungen'!$D$2:$D$492,0),4),"")</f>
        <v/>
      </c>
      <c r="F172" s="353" t="str">
        <f>IF(VLOOKUP(B172,Rennlisten!$B$92:$H$101,6,FALSE)=0,"",VLOOKUP(B172,Rennlisten!$B$92:$H$101,6,FALSE))</f>
        <v/>
      </c>
      <c r="G172" s="333" t="e">
        <f t="shared" si="24"/>
        <v>#VALUE!</v>
      </c>
      <c r="H172" s="343" t="str">
        <f t="array" ref="H172">IF(B172&lt;&gt;"",INDEX('Eingabe Meldungen'!$C$2:$J$492,MATCH(B172&amp;C172,'Eingabe Meldungen'!$C$2:$C$492&amp;'Eingabe Meldungen'!$D$2:$D$492,0),8),"")</f>
        <v/>
      </c>
      <c r="J172" s="332"/>
      <c r="K172" s="332"/>
      <c r="L172" s="332"/>
      <c r="M172" s="332"/>
      <c r="N172" s="332"/>
      <c r="O172" s="332"/>
      <c r="P172" s="332"/>
      <c r="Q172" s="332"/>
      <c r="R172" s="332"/>
      <c r="S172" s="332"/>
      <c r="T172" s="332"/>
      <c r="U172" s="332"/>
      <c r="V172" s="332"/>
      <c r="W172" s="332"/>
      <c r="X172" s="332"/>
      <c r="Y172" s="332"/>
      <c r="Z172" s="332"/>
      <c r="AA172" s="332"/>
      <c r="AB172" s="332"/>
      <c r="AC172" s="332"/>
      <c r="AD172" s="332"/>
      <c r="AE172" s="332"/>
      <c r="AF172" s="332"/>
      <c r="AG172" s="332"/>
      <c r="AH172" s="332"/>
      <c r="AI172" s="332"/>
      <c r="AJ172" s="333"/>
      <c r="AK172" s="333"/>
      <c r="AL172" s="333"/>
      <c r="AM172" s="333"/>
    </row>
    <row r="173" spans="2:39" s="316" customFormat="1" ht="26.25" customHeight="1" x14ac:dyDescent="0.2">
      <c r="B173" s="340" t="str">
        <f t="array" ref="B173">IF(ISERROR(INDEX('Eingabe Meldungen'!$C$2:$C$492,LARGE(('Eingabe Meldungen'!$A$2:$A$492=$B$163)*(ROW('Eingabe Meldungen'!$A$2:$A$492)-1),COUNTIF('Eingabe Meldungen'!$A$2:$A$492,$B$163)+1-ROW('Eingabe Meldungen'!A9)))),"",INDEX('Eingabe Meldungen'!$C$2:$C$492,LARGE(('Eingabe Meldungen'!$A$2:$A$492=$B$163)*(ROW('Eingabe Meldungen'!$A$2:$A$492)-1),COUNTIF('Eingabe Meldungen'!$A$2:$A$492,$B$163)+1-ROW('Eingabe Meldungen'!A9))))</f>
        <v/>
      </c>
      <c r="C173" s="316" t="str">
        <f t="array" ref="C173">IF(ISERROR(INDEX('Eingabe Meldungen'!$D$2:$D$492,LARGE(('Eingabe Meldungen'!$A$2:$A$492=$B$163)*(ROW('Eingabe Meldungen'!$A$2:$A$492)-1),COUNTIF('Eingabe Meldungen'!$A$2:$A$492,$B$163)+1-ROW('Eingabe Meldungen'!A9)))),"",INDEX('Eingabe Meldungen'!$D$2:$D$492,LARGE(('Eingabe Meldungen'!$A$2:$A$492=$B$163)*(ROW('Eingabe Meldungen'!$A$2:$A$492)-1),COUNTIF('Eingabe Meldungen'!$A$2:$A$492,$B$163)+1-ROW('Eingabe Meldungen'!A9))))</f>
        <v/>
      </c>
      <c r="D173" s="341" t="str">
        <f t="array" ref="D173">IF(B173&lt;&gt;"",INDEX('Eingabe Meldungen'!$C$2:$H$492,MATCH(B173&amp;C173,'Eingabe Meldungen'!$C$2:$C$492&amp;'Eingabe Meldungen'!$D$2:$D$492,0),6),"")</f>
        <v/>
      </c>
      <c r="E173" s="382" t="str">
        <f t="array" ref="E173">IF(B173&lt;&gt;"",INDEX('Eingabe Meldungen'!$C$2:$H$492,MATCH(B173&amp;C173,'Eingabe Meldungen'!$C$2:$C$492&amp;'Eingabe Meldungen'!$D$2:$D$492,0),4),"")</f>
        <v/>
      </c>
      <c r="F173" s="353" t="str">
        <f>IF(VLOOKUP(B173,Rennlisten!$B$92:$H$101,6,FALSE)=0,"",VLOOKUP(B173,Rennlisten!$B$92:$H$101,6,FALSE))</f>
        <v/>
      </c>
      <c r="G173" s="333" t="e">
        <f t="shared" si="24"/>
        <v>#VALUE!</v>
      </c>
      <c r="H173" s="343" t="str">
        <f t="array" ref="H173">IF(B173&lt;&gt;"",INDEX('Eingabe Meldungen'!$C$2:$J$492,MATCH(B173&amp;C173,'Eingabe Meldungen'!$C$2:$C$492&amp;'Eingabe Meldungen'!$D$2:$D$492,0),8),"")</f>
        <v/>
      </c>
      <c r="J173" s="332"/>
      <c r="K173" s="332"/>
      <c r="L173" s="332"/>
      <c r="M173" s="332"/>
      <c r="N173" s="332"/>
      <c r="O173" s="332"/>
      <c r="P173" s="332"/>
      <c r="Q173" s="332"/>
      <c r="R173" s="332"/>
      <c r="S173" s="332"/>
      <c r="T173" s="332"/>
      <c r="U173" s="332"/>
      <c r="V173" s="332"/>
      <c r="W173" s="332"/>
      <c r="X173" s="332"/>
      <c r="Y173" s="332"/>
      <c r="Z173" s="332"/>
      <c r="AA173" s="332"/>
      <c r="AB173" s="332"/>
      <c r="AC173" s="332"/>
      <c r="AD173" s="332"/>
      <c r="AE173" s="332"/>
      <c r="AF173" s="332"/>
      <c r="AG173" s="332"/>
      <c r="AH173" s="332"/>
      <c r="AI173" s="332"/>
      <c r="AJ173" s="333"/>
      <c r="AK173" s="333"/>
      <c r="AL173" s="333"/>
      <c r="AM173" s="333"/>
    </row>
    <row r="174" spans="2:39" s="316" customFormat="1" ht="26.25" customHeight="1" x14ac:dyDescent="0.2">
      <c r="B174" s="340" t="str">
        <f t="array" ref="B174">IF(ISERROR(INDEX('Eingabe Meldungen'!$C$2:$C$492,LARGE(('Eingabe Meldungen'!$A$2:$A$492=$B$163)*(ROW('Eingabe Meldungen'!$A$2:$A$492)-1),COUNTIF('Eingabe Meldungen'!$A$2:$A$492,$B$163)+1-ROW('Eingabe Meldungen'!A10)))),"",INDEX('Eingabe Meldungen'!$C$2:$C$492,LARGE(('Eingabe Meldungen'!$A$2:$A$492=$B$163)*(ROW('Eingabe Meldungen'!$A$2:$A$492)-1),COUNTIF('Eingabe Meldungen'!$A$2:$A$492,$B$163)+1-ROW('Eingabe Meldungen'!A10))))</f>
        <v/>
      </c>
      <c r="C174" s="316" t="str">
        <f t="array" ref="C174">IF(ISERROR(INDEX('Eingabe Meldungen'!$D$2:$D$492,LARGE(('Eingabe Meldungen'!$A$2:$A$492=$B$163)*(ROW('Eingabe Meldungen'!$A$2:$A$492)-1),COUNTIF('Eingabe Meldungen'!$A$2:$A$492,$B$163)+1-ROW('Eingabe Meldungen'!A10)))),"",INDEX('Eingabe Meldungen'!$D$2:$D$492,LARGE(('Eingabe Meldungen'!$A$2:$A$492=$B$163)*(ROW('Eingabe Meldungen'!$A$2:$A$492)-1),COUNTIF('Eingabe Meldungen'!$A$2:$A$492,$B$163)+1-ROW('Eingabe Meldungen'!A10))))</f>
        <v/>
      </c>
      <c r="D174" s="341" t="str">
        <f t="array" ref="D174">IF(B174&lt;&gt;"",INDEX('Eingabe Meldungen'!$C$2:$H$492,MATCH(B174&amp;C174,'Eingabe Meldungen'!$C$2:$C$492&amp;'Eingabe Meldungen'!$D$2:$D$492,0),6),"")</f>
        <v/>
      </c>
      <c r="E174" s="382" t="str">
        <f t="array" ref="E174">IF(B174&lt;&gt;"",INDEX('Eingabe Meldungen'!$C$2:$H$492,MATCH(B174&amp;C174,'Eingabe Meldungen'!$C$2:$C$492&amp;'Eingabe Meldungen'!$D$2:$D$492,0),4),"")</f>
        <v/>
      </c>
      <c r="F174" s="353" t="str">
        <f>IF(VLOOKUP(B174,Rennlisten!$B$92:$H$101,6,FALSE)=0,"",VLOOKUP(B174,Rennlisten!$B$92:$H$101,6,FALSE))</f>
        <v/>
      </c>
      <c r="G174" s="333" t="e">
        <f t="shared" si="24"/>
        <v>#VALUE!</v>
      </c>
      <c r="H174" s="343" t="str">
        <f t="array" ref="H174">IF(B174&lt;&gt;"",INDEX('Eingabe Meldungen'!$C$2:$J$492,MATCH(B174&amp;C174,'Eingabe Meldungen'!$C$2:$C$492&amp;'Eingabe Meldungen'!$D$2:$D$492,0),8),"")</f>
        <v/>
      </c>
      <c r="J174" s="332"/>
      <c r="K174" s="332"/>
      <c r="L174" s="332"/>
      <c r="M174" s="332"/>
      <c r="N174" s="332"/>
      <c r="O174" s="332"/>
      <c r="P174" s="332"/>
      <c r="Q174" s="332"/>
      <c r="R174" s="332"/>
      <c r="S174" s="332"/>
      <c r="T174" s="332"/>
      <c r="U174" s="332"/>
      <c r="V174" s="332"/>
      <c r="W174" s="332"/>
      <c r="X174" s="332"/>
      <c r="Y174" s="332"/>
      <c r="Z174" s="332"/>
      <c r="AA174" s="332"/>
      <c r="AB174" s="332"/>
      <c r="AC174" s="332"/>
      <c r="AD174" s="332"/>
      <c r="AE174" s="332"/>
      <c r="AF174" s="332"/>
      <c r="AG174" s="332"/>
      <c r="AH174" s="332"/>
      <c r="AI174" s="332"/>
      <c r="AJ174" s="333"/>
      <c r="AK174" s="333"/>
      <c r="AL174" s="333"/>
      <c r="AM174" s="333"/>
    </row>
    <row r="175" spans="2:39" s="316" customFormat="1" ht="26.25" customHeight="1" thickBot="1" x14ac:dyDescent="0.25">
      <c r="D175" s="341"/>
      <c r="E175" s="382"/>
      <c r="F175" s="355"/>
      <c r="G175" s="333"/>
      <c r="J175" s="333"/>
      <c r="K175" s="333"/>
      <c r="L175" s="333"/>
      <c r="M175" s="333"/>
      <c r="N175" s="333"/>
      <c r="O175" s="333"/>
      <c r="P175" s="333"/>
      <c r="Q175" s="333"/>
      <c r="R175" s="333"/>
      <c r="S175" s="333"/>
      <c r="T175" s="333"/>
      <c r="U175" s="333"/>
      <c r="V175" s="333"/>
      <c r="W175" s="333"/>
      <c r="X175" s="333"/>
      <c r="Y175" s="333"/>
      <c r="Z175" s="333"/>
      <c r="AA175" s="333"/>
      <c r="AB175" s="333"/>
      <c r="AC175" s="333"/>
      <c r="AD175" s="333"/>
      <c r="AE175" s="333"/>
      <c r="AF175" s="333"/>
      <c r="AG175" s="333"/>
      <c r="AH175" s="333"/>
      <c r="AI175" s="333"/>
      <c r="AJ175" s="333"/>
      <c r="AK175" s="333"/>
      <c r="AL175" s="333"/>
      <c r="AM175" s="333"/>
    </row>
    <row r="176" spans="2:39" s="316" customFormat="1" ht="26.25" customHeight="1" x14ac:dyDescent="0.2">
      <c r="B176" s="326">
        <v>6</v>
      </c>
      <c r="C176" s="327" t="str">
        <f>VLOOKUP(B176,Ausschreibung!$B$5:$I$35,2,FALSE)</f>
        <v>Ergocup</v>
      </c>
      <c r="D176" s="328">
        <f>VLOOKUP(B176,Ausschreibung!$B$5:$I$35,3,FALSE)</f>
        <v>0.5083333333333333</v>
      </c>
      <c r="E176" s="327" t="str">
        <f>VLOOKUP(B176,Ausschreibung!$B$5:$I$35,4,FALSE)</f>
        <v>Mädchen U14</v>
      </c>
      <c r="F176" s="329" t="str">
        <f>VLOOKUP(B176,Ausschreibung!$B$5:$I$35,5,FALSE)</f>
        <v>-</v>
      </c>
      <c r="G176" s="330" t="str">
        <f>VLOOKUP(B176,Ausschreibung!$B$5:$I$35,6,FALSE)</f>
        <v>13 und jünger</v>
      </c>
      <c r="H176" s="331" t="str">
        <f>VLOOKUP(B176,Ausschreibung!$B$5:$I$35,8,FALSE)</f>
        <v>1000 m</v>
      </c>
      <c r="J176" s="332"/>
      <c r="K176" s="332"/>
      <c r="L176" s="332"/>
      <c r="M176" s="332"/>
      <c r="N176" s="332"/>
      <c r="O176" s="332"/>
      <c r="P176" s="332"/>
      <c r="Q176" s="332"/>
      <c r="R176" s="332"/>
      <c r="S176" s="332"/>
      <c r="T176" s="332"/>
      <c r="U176" s="332"/>
      <c r="V176" s="332"/>
      <c r="W176" s="332"/>
      <c r="X176" s="332"/>
      <c r="Y176" s="332"/>
      <c r="Z176" s="332"/>
      <c r="AA176" s="332"/>
      <c r="AB176" s="332"/>
      <c r="AC176" s="332"/>
      <c r="AD176" s="332"/>
      <c r="AE176" s="332"/>
      <c r="AF176" s="332"/>
      <c r="AG176" s="332"/>
      <c r="AH176" s="332"/>
      <c r="AI176" s="332"/>
      <c r="AJ176" s="333"/>
      <c r="AK176" s="333"/>
      <c r="AL176" s="333"/>
      <c r="AM176" s="333"/>
    </row>
    <row r="177" spans="2:39" s="316" customFormat="1" ht="26.25" customHeight="1" x14ac:dyDescent="0.2">
      <c r="B177" s="334" t="s">
        <v>1</v>
      </c>
      <c r="C177" s="335" t="s">
        <v>2</v>
      </c>
      <c r="D177" s="336" t="s">
        <v>49</v>
      </c>
      <c r="E177" s="381" t="s">
        <v>16</v>
      </c>
      <c r="F177" s="337" t="s">
        <v>50</v>
      </c>
      <c r="G177" s="338" t="s">
        <v>51</v>
      </c>
      <c r="H177" s="339" t="s">
        <v>17</v>
      </c>
      <c r="J177" s="332"/>
      <c r="K177" s="332"/>
      <c r="L177" s="332"/>
      <c r="M177" s="332"/>
      <c r="N177" s="332"/>
      <c r="O177" s="332"/>
      <c r="P177" s="332"/>
      <c r="Q177" s="332"/>
      <c r="R177" s="332"/>
      <c r="S177" s="332"/>
      <c r="T177" s="332"/>
      <c r="U177" s="332"/>
      <c r="V177" s="332"/>
      <c r="W177" s="332"/>
      <c r="X177" s="332"/>
      <c r="Y177" s="332"/>
      <c r="Z177" s="332"/>
      <c r="AA177" s="332"/>
      <c r="AB177" s="332"/>
      <c r="AC177" s="332"/>
      <c r="AD177" s="332"/>
      <c r="AE177" s="332"/>
      <c r="AF177" s="332"/>
      <c r="AG177" s="332"/>
      <c r="AH177" s="332"/>
      <c r="AI177" s="332"/>
      <c r="AJ177" s="333"/>
      <c r="AK177" s="333"/>
      <c r="AL177" s="333"/>
      <c r="AM177" s="333"/>
    </row>
    <row r="178" spans="2:39" s="316" customFormat="1" ht="26.25" customHeight="1" x14ac:dyDescent="0.2">
      <c r="B178" s="340" t="str">
        <f t="array" ref="B178">IF(ISERROR(INDEX('Eingabe Meldungen'!$C$2:$C$492,LARGE(('Eingabe Meldungen'!$A$2:$A$492=$B$176)*(ROW('Eingabe Meldungen'!$A$2:$A$492)-1),COUNTIF('Eingabe Meldungen'!$A$2:$A$492,$B$176)+1-ROW('Eingabe Meldungen'!A1)))),"",INDEX('Eingabe Meldungen'!$C$2:$C$492,LARGE(('Eingabe Meldungen'!$A$2:$A$492=$B$176)*(ROW('Eingabe Meldungen'!$A$2:$A$492)-1),COUNTIF('Eingabe Meldungen'!$A$2:$A$492,$B$176)+1-ROW('Eingabe Meldungen'!A1))))</f>
        <v>Gathmann</v>
      </c>
      <c r="C178" s="316" t="str">
        <f t="array" ref="C178">IF(ISERROR(INDEX('Eingabe Meldungen'!$D$2:$D$492,LARGE(('Eingabe Meldungen'!$A$2:$A$492=$B$176)*(ROW('Eingabe Meldungen'!$A$2:$A$492)-1),COUNTIF('Eingabe Meldungen'!$A$2:$A$492,$B$176)+1-ROW('Eingabe Meldungen'!A1)))),"",INDEX('Eingabe Meldungen'!$D$2:$D$492,LARGE(('Eingabe Meldungen'!$A$2:$A$492=$B$176)*(ROW('Eingabe Meldungen'!$A$2:$A$492)-1),COUNTIF('Eingabe Meldungen'!$A$2:$A$492,$B$176)+1-ROW('Eingabe Meldungen'!A1))))</f>
        <v>Johanna</v>
      </c>
      <c r="D178" s="341">
        <f t="array" ref="D178">IF(B178&lt;&gt;"",INDEX('Eingabe Meldungen'!$C$2:$H$492,MATCH(B178&amp;C178,'Eingabe Meldungen'!$C$2:$C$492&amp;'Eingabe Meldungen'!$D$2:$D$492,0),6),"")</f>
        <v>2007</v>
      </c>
      <c r="E178" s="382" t="str">
        <f t="array" ref="E178">IF(B178&lt;&gt;"",INDEX('Eingabe Meldungen'!$C$2:$H$492,MATCH(B178&amp;C178,'Eingabe Meldungen'!$C$2:$C$492&amp;'Eingabe Meldungen'!$D$2:$D$492,0),4),"")</f>
        <v>-</v>
      </c>
      <c r="F178" s="353" t="s">
        <v>543</v>
      </c>
      <c r="G178" s="333">
        <v>3</v>
      </c>
      <c r="H178" s="343" t="str">
        <f t="array" ref="H178">IF(B178&lt;&gt;"",INDEX('Eingabe Meldungen'!$C$2:$J$492,MATCH(B178&amp;C178,'Eingabe Meldungen'!$C$2:$C$492&amp;'Eingabe Meldungen'!$D$2:$D$492,0),8),"")</f>
        <v>Stuttgart-Cannstatter RC</v>
      </c>
      <c r="J178" s="332"/>
      <c r="K178" s="332"/>
      <c r="L178" s="332"/>
      <c r="M178" s="332"/>
      <c r="N178" s="332"/>
      <c r="O178" s="332"/>
      <c r="P178" s="332"/>
      <c r="Q178" s="332"/>
      <c r="R178" s="332"/>
      <c r="S178" s="332"/>
      <c r="T178" s="332">
        <v>2</v>
      </c>
      <c r="U178" s="332"/>
      <c r="V178" s="332"/>
      <c r="W178" s="332"/>
      <c r="X178" s="332"/>
      <c r="Y178" s="332"/>
      <c r="Z178" s="332"/>
      <c r="AA178" s="332"/>
      <c r="AB178" s="332"/>
      <c r="AC178" s="332"/>
      <c r="AD178" s="332"/>
      <c r="AE178" s="332"/>
      <c r="AF178" s="332"/>
      <c r="AG178" s="332"/>
      <c r="AH178" s="332"/>
      <c r="AI178" s="332"/>
      <c r="AJ178" s="333"/>
      <c r="AK178" s="333"/>
      <c r="AL178" s="333"/>
      <c r="AM178" s="333"/>
    </row>
    <row r="179" spans="2:39" s="316" customFormat="1" ht="26.25" customHeight="1" x14ac:dyDescent="0.2">
      <c r="B179" s="340" t="str">
        <f t="array" ref="B179">IF(ISERROR(INDEX('Eingabe Meldungen'!$C$2:$C$492,LARGE(('Eingabe Meldungen'!$A$2:$A$492=$B$176)*(ROW('Eingabe Meldungen'!$A$2:$A$492)-1),COUNTIF('Eingabe Meldungen'!$A$2:$A$492,$B$176)+1-ROW('Eingabe Meldungen'!A2)))),"",INDEX('Eingabe Meldungen'!$C$2:$C$492,LARGE(('Eingabe Meldungen'!$A$2:$A$492=$B$176)*(ROW('Eingabe Meldungen'!$A$2:$A$492)-1),COUNTIF('Eingabe Meldungen'!$A$2:$A$492,$B$176)+1-ROW('Eingabe Meldungen'!A2))))</f>
        <v>Schulze</v>
      </c>
      <c r="C179" s="316" t="str">
        <f t="array" ref="C179">IF(ISERROR(INDEX('Eingabe Meldungen'!$D$2:$D$492,LARGE(('Eingabe Meldungen'!$A$2:$A$492=$B$176)*(ROW('Eingabe Meldungen'!$A$2:$A$492)-1),COUNTIF('Eingabe Meldungen'!$A$2:$A$492,$B$176)+1-ROW('Eingabe Meldungen'!A2)))),"",INDEX('Eingabe Meldungen'!$D$2:$D$492,LARGE(('Eingabe Meldungen'!$A$2:$A$492=$B$176)*(ROW('Eingabe Meldungen'!$A$2:$A$492)-1),COUNTIF('Eingabe Meldungen'!$A$2:$A$492,$B$176)+1-ROW('Eingabe Meldungen'!A2))))</f>
        <v>Lisann</v>
      </c>
      <c r="D179" s="341">
        <f t="array" ref="D179">IF(B179&lt;&gt;"",INDEX('Eingabe Meldungen'!$C$2:$H$492,MATCH(B179&amp;C179,'Eingabe Meldungen'!$C$2:$C$492&amp;'Eingabe Meldungen'!$D$2:$D$492,0),6),"")</f>
        <v>2007</v>
      </c>
      <c r="E179" s="382" t="str">
        <f t="array" ref="E179">IF(B179&lt;&gt;"",INDEX('Eingabe Meldungen'!$C$2:$H$492,MATCH(B179&amp;C179,'Eingabe Meldungen'!$C$2:$C$492&amp;'Eingabe Meldungen'!$D$2:$D$492,0),4),"")</f>
        <v>-</v>
      </c>
      <c r="F179" s="353" t="s">
        <v>542</v>
      </c>
      <c r="G179" s="333">
        <v>2</v>
      </c>
      <c r="H179" s="343" t="str">
        <f t="array" ref="H179">IF(B179&lt;&gt;"",INDEX('Eingabe Meldungen'!$C$2:$J$492,MATCH(B179&amp;C179,'Eingabe Meldungen'!$C$2:$C$492&amp;'Eingabe Meldungen'!$D$2:$D$492,0),8),"")</f>
        <v>Mannheimer RV "Amicitia"</v>
      </c>
      <c r="J179" s="332"/>
      <c r="K179" s="332"/>
      <c r="L179" s="332"/>
      <c r="M179" s="332"/>
      <c r="N179" s="332"/>
      <c r="O179" s="332"/>
      <c r="P179" s="332">
        <v>4</v>
      </c>
      <c r="Q179" s="332"/>
      <c r="R179" s="332"/>
      <c r="S179" s="332"/>
      <c r="T179" s="332"/>
      <c r="U179" s="332"/>
      <c r="V179" s="332"/>
      <c r="W179" s="332"/>
      <c r="X179" s="332"/>
      <c r="Y179" s="332"/>
      <c r="Z179" s="332"/>
      <c r="AA179" s="332"/>
      <c r="AB179" s="332"/>
      <c r="AC179" s="332"/>
      <c r="AD179" s="332"/>
      <c r="AE179" s="332"/>
      <c r="AF179" s="332"/>
      <c r="AG179" s="332"/>
      <c r="AH179" s="332"/>
      <c r="AI179" s="332"/>
      <c r="AJ179" s="333"/>
      <c r="AK179" s="333"/>
      <c r="AL179" s="333"/>
      <c r="AM179" s="333"/>
    </row>
    <row r="180" spans="2:39" s="316" customFormat="1" ht="26.25" customHeight="1" x14ac:dyDescent="0.2">
      <c r="B180" s="340"/>
      <c r="D180" s="341"/>
      <c r="E180" s="382"/>
      <c r="F180" s="353"/>
      <c r="G180" s="333"/>
      <c r="H180" s="343"/>
      <c r="J180" s="332"/>
      <c r="K180" s="332"/>
      <c r="L180" s="332"/>
      <c r="M180" s="332"/>
      <c r="N180" s="332"/>
      <c r="O180" s="332"/>
      <c r="P180" s="332"/>
      <c r="Q180" s="332"/>
      <c r="R180" s="332"/>
      <c r="S180" s="332"/>
      <c r="T180" s="332"/>
      <c r="U180" s="332"/>
      <c r="V180" s="332"/>
      <c r="W180" s="332"/>
      <c r="X180" s="332"/>
      <c r="Y180" s="332"/>
      <c r="Z180" s="332"/>
      <c r="AA180" s="332"/>
      <c r="AB180" s="332"/>
      <c r="AC180" s="332"/>
      <c r="AD180" s="332"/>
      <c r="AE180" s="332"/>
      <c r="AF180" s="332"/>
      <c r="AG180" s="332"/>
      <c r="AH180" s="332"/>
      <c r="AI180" s="332"/>
      <c r="AJ180" s="333"/>
      <c r="AK180" s="333"/>
      <c r="AL180" s="333"/>
      <c r="AM180" s="333"/>
    </row>
    <row r="181" spans="2:39" s="316" customFormat="1" ht="26.25" customHeight="1" x14ac:dyDescent="0.2">
      <c r="B181" s="340" t="str">
        <f t="array" ref="B181">IF(ISERROR(INDEX('Eingabe Meldungen'!$C$2:$C$492,LARGE(('Eingabe Meldungen'!$A$2:$A$492=$B$176)*(ROW('Eingabe Meldungen'!$A$2:$A$492)-1),COUNTIF('Eingabe Meldungen'!$A$2:$A$492,$B$176)+1-ROW('Eingabe Meldungen'!A4)))),"",INDEX('Eingabe Meldungen'!$C$2:$C$492,LARGE(('Eingabe Meldungen'!$A$2:$A$492=$B$176)*(ROW('Eingabe Meldungen'!$A$2:$A$492)-1),COUNTIF('Eingabe Meldungen'!$A$2:$A$492,$B$176)+1-ROW('Eingabe Meldungen'!A4))))</f>
        <v>Vurdu</v>
      </c>
      <c r="C181" s="316" t="str">
        <f t="array" ref="C181">IF(ISERROR(INDEX('Eingabe Meldungen'!$D$2:$D$492,LARGE(('Eingabe Meldungen'!$A$2:$A$492=$B$176)*(ROW('Eingabe Meldungen'!$A$2:$A$492)-1),COUNTIF('Eingabe Meldungen'!$A$2:$A$492,$B$176)+1-ROW('Eingabe Meldungen'!A4)))),"",INDEX('Eingabe Meldungen'!$D$2:$D$492,LARGE(('Eingabe Meldungen'!$A$2:$A$492=$B$176)*(ROW('Eingabe Meldungen'!$A$2:$A$492)-1),COUNTIF('Eingabe Meldungen'!$A$2:$A$492,$B$176)+1-ROW('Eingabe Meldungen'!A4))))</f>
        <v>Zehra</v>
      </c>
      <c r="D181" s="341">
        <f t="array" ref="D181">IF(B181&lt;&gt;"",INDEX('Eingabe Meldungen'!$C$2:$H$492,MATCH(B181&amp;C181,'Eingabe Meldungen'!$C$2:$C$492&amp;'Eingabe Meldungen'!$D$2:$D$492,0),6),"")</f>
        <v>2007</v>
      </c>
      <c r="E181" s="382" t="str">
        <f t="array" ref="E181">IF(B181&lt;&gt;"",INDEX('Eingabe Meldungen'!$C$2:$H$492,MATCH(B181&amp;C181,'Eingabe Meldungen'!$C$2:$C$492&amp;'Eingabe Meldungen'!$D$2:$D$492,0),4),"")</f>
        <v>-</v>
      </c>
      <c r="F181" s="353" t="s">
        <v>541</v>
      </c>
      <c r="G181" s="333">
        <v>1</v>
      </c>
      <c r="H181" s="343" t="str">
        <f t="array" ref="H181">IF(B181&lt;&gt;"",INDEX('Eingabe Meldungen'!$C$2:$J$492,MATCH(B181&amp;C181,'Eingabe Meldungen'!$C$2:$C$492&amp;'Eingabe Meldungen'!$D$2:$D$492,0),8),"")</f>
        <v>Mannheimer RV "Amicitia"</v>
      </c>
      <c r="J181" s="332"/>
      <c r="K181" s="332"/>
      <c r="L181" s="332"/>
      <c r="M181" s="332"/>
      <c r="N181" s="332"/>
      <c r="O181" s="332"/>
      <c r="P181" s="332">
        <v>6</v>
      </c>
      <c r="Q181" s="332"/>
      <c r="R181" s="332"/>
      <c r="S181" s="332"/>
      <c r="T181" s="332"/>
      <c r="U181" s="332"/>
      <c r="V181" s="332"/>
      <c r="W181" s="332"/>
      <c r="X181" s="332"/>
      <c r="Y181" s="332"/>
      <c r="Z181" s="332"/>
      <c r="AA181" s="332"/>
      <c r="AB181" s="332"/>
      <c r="AC181" s="332"/>
      <c r="AD181" s="332"/>
      <c r="AE181" s="332"/>
      <c r="AF181" s="332"/>
      <c r="AG181" s="332"/>
      <c r="AH181" s="332"/>
      <c r="AI181" s="332"/>
      <c r="AJ181" s="333"/>
      <c r="AK181" s="333"/>
      <c r="AL181" s="333"/>
      <c r="AM181" s="333"/>
    </row>
    <row r="182" spans="2:39" s="316" customFormat="1" ht="26.25" customHeight="1" x14ac:dyDescent="0.2">
      <c r="B182" s="340" t="str">
        <f t="array" ref="B182">IF(ISERROR(INDEX('Eingabe Meldungen'!$C$2:$C$492,LARGE(('Eingabe Meldungen'!$A$2:$A$492=$B$176)*(ROW('Eingabe Meldungen'!$A$2:$A$492)-1),COUNTIF('Eingabe Meldungen'!$A$2:$A$492,$B$176)+1-ROW('Eingabe Meldungen'!A5)))),"",INDEX('Eingabe Meldungen'!$C$2:$C$492,LARGE(('Eingabe Meldungen'!$A$2:$A$492=$B$176)*(ROW('Eingabe Meldungen'!$A$2:$A$492)-1),COUNTIF('Eingabe Meldungen'!$A$2:$A$492,$B$176)+1-ROW('Eingabe Meldungen'!A5))))</f>
        <v>Zirn</v>
      </c>
      <c r="C182" s="316" t="str">
        <f t="array" ref="C182">IF(ISERROR(INDEX('Eingabe Meldungen'!$D$2:$D$492,LARGE(('Eingabe Meldungen'!$A$2:$A$492=$B$176)*(ROW('Eingabe Meldungen'!$A$2:$A$492)-1),COUNTIF('Eingabe Meldungen'!$A$2:$A$492,$B$176)+1-ROW('Eingabe Meldungen'!A5)))),"",INDEX('Eingabe Meldungen'!$D$2:$D$492,LARGE(('Eingabe Meldungen'!$A$2:$A$492=$B$176)*(ROW('Eingabe Meldungen'!$A$2:$A$492)-1),COUNTIF('Eingabe Meldungen'!$A$2:$A$492,$B$176)+1-ROW('Eingabe Meldungen'!A5))))</f>
        <v>Maja</v>
      </c>
      <c r="D182" s="341">
        <f t="array" ref="D182">IF(B182&lt;&gt;"",INDEX('Eingabe Meldungen'!$C$2:$H$492,MATCH(B182&amp;C182,'Eingabe Meldungen'!$C$2:$C$492&amp;'Eingabe Meldungen'!$D$2:$D$492,0),6),"")</f>
        <v>2008</v>
      </c>
      <c r="E182" s="382" t="str">
        <f t="array" ref="E182">IF(B182&lt;&gt;"",INDEX('Eingabe Meldungen'!$C$2:$H$492,MATCH(B182&amp;C182,'Eingabe Meldungen'!$C$2:$C$492&amp;'Eingabe Meldungen'!$D$2:$D$492,0),4),"")</f>
        <v>-</v>
      </c>
      <c r="F182" s="353" t="s">
        <v>544</v>
      </c>
      <c r="G182" s="333">
        <v>4</v>
      </c>
      <c r="H182" s="343" t="str">
        <f t="array" ref="H182">IF(B182&lt;&gt;"",INDEX('Eingabe Meldungen'!$C$2:$J$492,MATCH(B182&amp;C182,'Eingabe Meldungen'!$C$2:$C$492&amp;'Eingabe Meldungen'!$D$2:$D$492,0),8),"")</f>
        <v>RV Waldsee</v>
      </c>
      <c r="J182" s="332"/>
      <c r="K182" s="332"/>
      <c r="L182" s="332"/>
      <c r="M182" s="332"/>
      <c r="N182" s="332"/>
      <c r="O182" s="332"/>
      <c r="P182" s="332"/>
      <c r="Q182" s="332"/>
      <c r="R182" s="332">
        <v>1</v>
      </c>
      <c r="S182" s="332"/>
      <c r="T182" s="332"/>
      <c r="U182" s="332"/>
      <c r="V182" s="332"/>
      <c r="W182" s="332"/>
      <c r="X182" s="332"/>
      <c r="Y182" s="332"/>
      <c r="Z182" s="332"/>
      <c r="AA182" s="332"/>
      <c r="AB182" s="332"/>
      <c r="AC182" s="332"/>
      <c r="AD182" s="332"/>
      <c r="AE182" s="332"/>
      <c r="AF182" s="332"/>
      <c r="AG182" s="332"/>
      <c r="AH182" s="332"/>
      <c r="AI182" s="332"/>
      <c r="AJ182" s="333"/>
      <c r="AK182" s="333"/>
      <c r="AL182" s="333"/>
      <c r="AM182" s="333"/>
    </row>
    <row r="183" spans="2:39" s="316" customFormat="1" ht="26.25" customHeight="1" x14ac:dyDescent="0.2">
      <c r="B183" s="340" t="str">
        <f t="array" ref="B183">IF(ISERROR(INDEX('Eingabe Meldungen'!$C$2:$C$492,LARGE(('Eingabe Meldungen'!$A$2:$A$492=$B$176)*(ROW('Eingabe Meldungen'!$A$2:$A$492)-1),COUNTIF('Eingabe Meldungen'!$A$2:$A$492,$B$176)+1-ROW('Eingabe Meldungen'!A6)))),"",INDEX('Eingabe Meldungen'!$C$2:$C$492,LARGE(('Eingabe Meldungen'!$A$2:$A$492=$B$176)*(ROW('Eingabe Meldungen'!$A$2:$A$492)-1),COUNTIF('Eingabe Meldungen'!$A$2:$A$492,$B$176)+1-ROW('Eingabe Meldungen'!A6))))</f>
        <v/>
      </c>
      <c r="C183" s="316" t="str">
        <f t="array" ref="C183">IF(ISERROR(INDEX('Eingabe Meldungen'!$D$2:$D$492,LARGE(('Eingabe Meldungen'!$A$2:$A$492=$B$176)*(ROW('Eingabe Meldungen'!$A$2:$A$492)-1),COUNTIF('Eingabe Meldungen'!$A$2:$A$492,$B$176)+1-ROW('Eingabe Meldungen'!A6)))),"",INDEX('Eingabe Meldungen'!$D$2:$D$492,LARGE(('Eingabe Meldungen'!$A$2:$A$492=$B$176)*(ROW('Eingabe Meldungen'!$A$2:$A$492)-1),COUNTIF('Eingabe Meldungen'!$A$2:$A$492,$B$176)+1-ROW('Eingabe Meldungen'!A6))))</f>
        <v/>
      </c>
      <c r="D183" s="341" t="str">
        <f t="array" ref="D183">IF(B183&lt;&gt;"",INDEX('Eingabe Meldungen'!$C$2:$H$492,MATCH(B183&amp;C183,'Eingabe Meldungen'!$C$2:$C$492&amp;'Eingabe Meldungen'!$D$2:$D$492,0),6),"")</f>
        <v/>
      </c>
      <c r="E183" s="382" t="str">
        <f t="array" ref="E183">IF(B183&lt;&gt;"",INDEX('Eingabe Meldungen'!$C$2:$H$492,MATCH(B183&amp;C183,'Eingabe Meldungen'!$C$2:$C$492&amp;'Eingabe Meldungen'!$D$2:$D$492,0),4),"")</f>
        <v/>
      </c>
      <c r="F183" s="353" t="str">
        <f>IF(VLOOKUP(B183,Rennlisten!$B$105:$H$114,6,FALSE)=0,"",VLOOKUP(B183,Rennlisten!$B$105:$H$114,6,FALSE))</f>
        <v/>
      </c>
      <c r="G183" s="333" t="e">
        <f t="shared" ref="G183:G187" si="25">RANK(F183,$F$178:$F$187,1)</f>
        <v>#VALUE!</v>
      </c>
      <c r="H183" s="343" t="str">
        <f t="array" ref="H183">IF(B183&lt;&gt;"",INDEX('Eingabe Meldungen'!$C$2:$J$492,MATCH(B183&amp;C183,'Eingabe Meldungen'!$C$2:$C$492&amp;'Eingabe Meldungen'!$D$2:$D$492,0),8),"")</f>
        <v/>
      </c>
      <c r="J183" s="332"/>
      <c r="K183" s="332"/>
      <c r="L183" s="332"/>
      <c r="M183" s="332"/>
      <c r="N183" s="332"/>
      <c r="O183" s="332"/>
      <c r="P183" s="332"/>
      <c r="Q183" s="332"/>
      <c r="R183" s="332"/>
      <c r="S183" s="332"/>
      <c r="T183" s="332"/>
      <c r="U183" s="332"/>
      <c r="V183" s="332"/>
      <c r="W183" s="332"/>
      <c r="X183" s="332"/>
      <c r="Y183" s="332"/>
      <c r="Z183" s="332"/>
      <c r="AA183" s="332"/>
      <c r="AB183" s="332"/>
      <c r="AC183" s="332"/>
      <c r="AD183" s="332"/>
      <c r="AE183" s="332"/>
      <c r="AF183" s="332"/>
      <c r="AG183" s="332"/>
      <c r="AH183" s="332"/>
      <c r="AI183" s="332"/>
      <c r="AJ183" s="333"/>
      <c r="AK183" s="333"/>
      <c r="AL183" s="333"/>
      <c r="AM183" s="333"/>
    </row>
    <row r="184" spans="2:39" s="316" customFormat="1" ht="26.25" customHeight="1" x14ac:dyDescent="0.2">
      <c r="B184" s="340" t="str">
        <f t="array" ref="B184">IF(ISERROR(INDEX('Eingabe Meldungen'!$C$2:$C$492,LARGE(('Eingabe Meldungen'!$A$2:$A$492=$B$176)*(ROW('Eingabe Meldungen'!$A$2:$A$492)-1),COUNTIF('Eingabe Meldungen'!$A$2:$A$492,$B$176)+1-ROW('Eingabe Meldungen'!A7)))),"",INDEX('Eingabe Meldungen'!$C$2:$C$492,LARGE(('Eingabe Meldungen'!$A$2:$A$492=$B$176)*(ROW('Eingabe Meldungen'!$A$2:$A$492)-1),COUNTIF('Eingabe Meldungen'!$A$2:$A$492,$B$176)+1-ROW('Eingabe Meldungen'!A7))))</f>
        <v/>
      </c>
      <c r="C184" s="316" t="str">
        <f t="array" ref="C184">IF(ISERROR(INDEX('Eingabe Meldungen'!$D$2:$D$492,LARGE(('Eingabe Meldungen'!$A$2:$A$492=$B$176)*(ROW('Eingabe Meldungen'!$A$2:$A$492)-1),COUNTIF('Eingabe Meldungen'!$A$2:$A$492,$B$176)+1-ROW('Eingabe Meldungen'!A7)))),"",INDEX('Eingabe Meldungen'!$D$2:$D$492,LARGE(('Eingabe Meldungen'!$A$2:$A$492=$B$176)*(ROW('Eingabe Meldungen'!$A$2:$A$492)-1),COUNTIF('Eingabe Meldungen'!$A$2:$A$492,$B$176)+1-ROW('Eingabe Meldungen'!A7))))</f>
        <v/>
      </c>
      <c r="D184" s="341" t="str">
        <f t="array" ref="D184">IF(B184&lt;&gt;"",INDEX('Eingabe Meldungen'!$C$2:$H$492,MATCH(B184&amp;C184,'Eingabe Meldungen'!$C$2:$C$492&amp;'Eingabe Meldungen'!$D$2:$D$492,0),6),"")</f>
        <v/>
      </c>
      <c r="E184" s="382" t="str">
        <f t="array" ref="E184">IF(B184&lt;&gt;"",INDEX('Eingabe Meldungen'!$C$2:$H$492,MATCH(B184&amp;C184,'Eingabe Meldungen'!$C$2:$C$492&amp;'Eingabe Meldungen'!$D$2:$D$492,0),4),"")</f>
        <v/>
      </c>
      <c r="F184" s="353" t="str">
        <f>IF(VLOOKUP(B184,Rennlisten!$B$105:$H$114,6,FALSE)=0,"",VLOOKUP(B184,Rennlisten!$B$105:$H$114,6,FALSE))</f>
        <v/>
      </c>
      <c r="G184" s="333" t="e">
        <f t="shared" si="25"/>
        <v>#VALUE!</v>
      </c>
      <c r="H184" s="343" t="str">
        <f t="array" ref="H184">IF(B184&lt;&gt;"",INDEX('Eingabe Meldungen'!$C$2:$J$492,MATCH(B184&amp;C184,'Eingabe Meldungen'!$C$2:$C$492&amp;'Eingabe Meldungen'!$D$2:$D$492,0),8),"")</f>
        <v/>
      </c>
      <c r="J184" s="332"/>
      <c r="K184" s="332"/>
      <c r="L184" s="332"/>
      <c r="M184" s="332"/>
      <c r="N184" s="332"/>
      <c r="O184" s="332"/>
      <c r="P184" s="332"/>
      <c r="Q184" s="332"/>
      <c r="R184" s="332"/>
      <c r="S184" s="332"/>
      <c r="T184" s="332"/>
      <c r="U184" s="332"/>
      <c r="V184" s="332"/>
      <c r="W184" s="332"/>
      <c r="X184" s="332"/>
      <c r="Y184" s="332"/>
      <c r="Z184" s="332"/>
      <c r="AA184" s="332"/>
      <c r="AB184" s="332"/>
      <c r="AC184" s="332"/>
      <c r="AD184" s="332"/>
      <c r="AE184" s="332"/>
      <c r="AF184" s="332"/>
      <c r="AG184" s="332"/>
      <c r="AH184" s="332"/>
      <c r="AI184" s="332"/>
      <c r="AJ184" s="333"/>
      <c r="AK184" s="333"/>
      <c r="AL184" s="333"/>
      <c r="AM184" s="333"/>
    </row>
    <row r="185" spans="2:39" s="316" customFormat="1" ht="26.25" customHeight="1" x14ac:dyDescent="0.2">
      <c r="B185" s="340" t="str">
        <f t="array" ref="B185">IF(ISERROR(INDEX('Eingabe Meldungen'!$C$2:$C$492,LARGE(('Eingabe Meldungen'!$A$2:$A$492=$B$176)*(ROW('Eingabe Meldungen'!$A$2:$A$492)-1),COUNTIF('Eingabe Meldungen'!$A$2:$A$492,$B$176)+1-ROW('Eingabe Meldungen'!A8)))),"",INDEX('Eingabe Meldungen'!$C$2:$C$492,LARGE(('Eingabe Meldungen'!$A$2:$A$492=$B$176)*(ROW('Eingabe Meldungen'!$A$2:$A$492)-1),COUNTIF('Eingabe Meldungen'!$A$2:$A$492,$B$176)+1-ROW('Eingabe Meldungen'!A8))))</f>
        <v/>
      </c>
      <c r="C185" s="316" t="str">
        <f t="array" ref="C185">IF(ISERROR(INDEX('Eingabe Meldungen'!$D$2:$D$492,LARGE(('Eingabe Meldungen'!$A$2:$A$492=$B$176)*(ROW('Eingabe Meldungen'!$A$2:$A$492)-1),COUNTIF('Eingabe Meldungen'!$A$2:$A$492,$B$176)+1-ROW('Eingabe Meldungen'!A8)))),"",INDEX('Eingabe Meldungen'!$D$2:$D$492,LARGE(('Eingabe Meldungen'!$A$2:$A$492=$B$176)*(ROW('Eingabe Meldungen'!$A$2:$A$492)-1),COUNTIF('Eingabe Meldungen'!$A$2:$A$492,$B$176)+1-ROW('Eingabe Meldungen'!A8))))</f>
        <v/>
      </c>
      <c r="D185" s="341" t="str">
        <f t="array" ref="D185">IF(B185&lt;&gt;"",INDEX('Eingabe Meldungen'!$C$2:$H$492,MATCH(B185&amp;C185,'Eingabe Meldungen'!$C$2:$C$492&amp;'Eingabe Meldungen'!$D$2:$D$492,0),6),"")</f>
        <v/>
      </c>
      <c r="E185" s="382" t="str">
        <f t="array" ref="E185">IF(B185&lt;&gt;"",INDEX('Eingabe Meldungen'!$C$2:$H$492,MATCH(B185&amp;C185,'Eingabe Meldungen'!$C$2:$C$492&amp;'Eingabe Meldungen'!$D$2:$D$492,0),4),"")</f>
        <v/>
      </c>
      <c r="F185" s="353" t="str">
        <f>IF(VLOOKUP(B185,Rennlisten!$B$105:$H$114,6,FALSE)=0,"",VLOOKUP(B185,Rennlisten!$B$105:$H$114,6,FALSE))</f>
        <v/>
      </c>
      <c r="G185" s="333" t="e">
        <f t="shared" si="25"/>
        <v>#VALUE!</v>
      </c>
      <c r="H185" s="343" t="str">
        <f t="array" ref="H185">IF(B185&lt;&gt;"",INDEX('Eingabe Meldungen'!$C$2:$J$492,MATCH(B185&amp;C185,'Eingabe Meldungen'!$C$2:$C$492&amp;'Eingabe Meldungen'!$D$2:$D$492,0),8),"")</f>
        <v/>
      </c>
      <c r="J185" s="332"/>
      <c r="K185" s="332"/>
      <c r="L185" s="332"/>
      <c r="M185" s="332"/>
      <c r="N185" s="332"/>
      <c r="O185" s="332"/>
      <c r="P185" s="332"/>
      <c r="Q185" s="332"/>
      <c r="R185" s="332"/>
      <c r="S185" s="332"/>
      <c r="T185" s="332"/>
      <c r="U185" s="332"/>
      <c r="V185" s="332"/>
      <c r="W185" s="332"/>
      <c r="X185" s="332"/>
      <c r="Y185" s="332"/>
      <c r="Z185" s="332"/>
      <c r="AA185" s="332"/>
      <c r="AB185" s="332"/>
      <c r="AC185" s="332"/>
      <c r="AD185" s="332"/>
      <c r="AE185" s="332"/>
      <c r="AF185" s="332"/>
      <c r="AG185" s="332"/>
      <c r="AH185" s="332"/>
      <c r="AI185" s="332"/>
      <c r="AJ185" s="333"/>
      <c r="AK185" s="333"/>
      <c r="AL185" s="333"/>
      <c r="AM185" s="333"/>
    </row>
    <row r="186" spans="2:39" s="316" customFormat="1" ht="26.25" customHeight="1" x14ac:dyDescent="0.2">
      <c r="B186" s="340" t="str">
        <f t="array" ref="B186">IF(ISERROR(INDEX('Eingabe Meldungen'!$C$2:$C$492,LARGE(('Eingabe Meldungen'!$A$2:$A$492=$B$176)*(ROW('Eingabe Meldungen'!$A$2:$A$492)-1),COUNTIF('Eingabe Meldungen'!$A$2:$A$492,$B$176)+1-ROW('Eingabe Meldungen'!A9)))),"",INDEX('Eingabe Meldungen'!$C$2:$C$492,LARGE(('Eingabe Meldungen'!$A$2:$A$492=$B$176)*(ROW('Eingabe Meldungen'!$A$2:$A$492)-1),COUNTIF('Eingabe Meldungen'!$A$2:$A$492,$B$176)+1-ROW('Eingabe Meldungen'!A9))))</f>
        <v/>
      </c>
      <c r="C186" s="316" t="str">
        <f t="array" ref="C186">IF(ISERROR(INDEX('Eingabe Meldungen'!$D$2:$D$492,LARGE(('Eingabe Meldungen'!$A$2:$A$492=$B$176)*(ROW('Eingabe Meldungen'!$A$2:$A$492)-1),COUNTIF('Eingabe Meldungen'!$A$2:$A$492,$B$176)+1-ROW('Eingabe Meldungen'!A9)))),"",INDEX('Eingabe Meldungen'!$D$2:$D$492,LARGE(('Eingabe Meldungen'!$A$2:$A$492=$B$176)*(ROW('Eingabe Meldungen'!$A$2:$A$492)-1),COUNTIF('Eingabe Meldungen'!$A$2:$A$492,$B$176)+1-ROW('Eingabe Meldungen'!A9))))</f>
        <v/>
      </c>
      <c r="D186" s="341" t="str">
        <f t="array" ref="D186">IF(B186&lt;&gt;"",INDEX('Eingabe Meldungen'!$C$2:$H$492,MATCH(B186&amp;C186,'Eingabe Meldungen'!$C$2:$C$492&amp;'Eingabe Meldungen'!$D$2:$D$492,0),6),"")</f>
        <v/>
      </c>
      <c r="E186" s="382" t="str">
        <f t="array" ref="E186">IF(B186&lt;&gt;"",INDEX('Eingabe Meldungen'!$C$2:$H$492,MATCH(B186&amp;C186,'Eingabe Meldungen'!$C$2:$C$492&amp;'Eingabe Meldungen'!$D$2:$D$492,0),4),"")</f>
        <v/>
      </c>
      <c r="F186" s="353" t="str">
        <f>IF(VLOOKUP(B186,Rennlisten!$B$105:$H$114,6,FALSE)=0,"",VLOOKUP(B186,Rennlisten!$B$105:$H$114,6,FALSE))</f>
        <v/>
      </c>
      <c r="G186" s="333" t="e">
        <f t="shared" si="25"/>
        <v>#VALUE!</v>
      </c>
      <c r="H186" s="343" t="str">
        <f t="array" ref="H186">IF(B186&lt;&gt;"",INDEX('Eingabe Meldungen'!$C$2:$J$492,MATCH(B186&amp;C186,'Eingabe Meldungen'!$C$2:$C$492&amp;'Eingabe Meldungen'!$D$2:$D$492,0),8),"")</f>
        <v/>
      </c>
      <c r="J186" s="332"/>
      <c r="K186" s="332"/>
      <c r="L186" s="332"/>
      <c r="M186" s="332"/>
      <c r="N186" s="332"/>
      <c r="O186" s="332"/>
      <c r="P186" s="332"/>
      <c r="Q186" s="332"/>
      <c r="R186" s="332"/>
      <c r="S186" s="332"/>
      <c r="T186" s="332"/>
      <c r="U186" s="332"/>
      <c r="V186" s="332"/>
      <c r="W186" s="332"/>
      <c r="X186" s="332"/>
      <c r="Y186" s="332"/>
      <c r="Z186" s="332"/>
      <c r="AA186" s="332"/>
      <c r="AB186" s="332"/>
      <c r="AC186" s="332"/>
      <c r="AD186" s="332"/>
      <c r="AE186" s="332"/>
      <c r="AF186" s="332"/>
      <c r="AG186" s="332"/>
      <c r="AH186" s="332"/>
      <c r="AI186" s="332"/>
      <c r="AJ186" s="333"/>
      <c r="AK186" s="333"/>
      <c r="AL186" s="333"/>
      <c r="AM186" s="333"/>
    </row>
    <row r="187" spans="2:39" s="316" customFormat="1" ht="26.25" customHeight="1" x14ac:dyDescent="0.2">
      <c r="B187" s="340" t="str">
        <f t="array" ref="B187">IF(ISERROR(INDEX('Eingabe Meldungen'!$C$2:$C$492,LARGE(('Eingabe Meldungen'!$A$2:$A$492=$B$176)*(ROW('Eingabe Meldungen'!$A$2:$A$492)-1),COUNTIF('Eingabe Meldungen'!$A$2:$A$492,$B$176)+1-ROW('Eingabe Meldungen'!A10)))),"",INDEX('Eingabe Meldungen'!$C$2:$C$492,LARGE(('Eingabe Meldungen'!$A$2:$A$492=$B$176)*(ROW('Eingabe Meldungen'!$A$2:$A$492)-1),COUNTIF('Eingabe Meldungen'!$A$2:$A$492,$B$176)+1-ROW('Eingabe Meldungen'!A10))))</f>
        <v/>
      </c>
      <c r="C187" s="316" t="str">
        <f t="array" ref="C187">IF(ISERROR(INDEX('Eingabe Meldungen'!$D$2:$D$492,LARGE(('Eingabe Meldungen'!$A$2:$A$492=$B$176)*(ROW('Eingabe Meldungen'!$A$2:$A$492)-1),COUNTIF('Eingabe Meldungen'!$A$2:$A$492,$B$176)+1-ROW('Eingabe Meldungen'!A10)))),"",INDEX('Eingabe Meldungen'!$D$2:$D$492,LARGE(('Eingabe Meldungen'!$A$2:$A$492=$B$176)*(ROW('Eingabe Meldungen'!$A$2:$A$492)-1),COUNTIF('Eingabe Meldungen'!$A$2:$A$492,$B$176)+1-ROW('Eingabe Meldungen'!A10))))</f>
        <v/>
      </c>
      <c r="D187" s="341" t="str">
        <f t="array" ref="D187">IF(B187&lt;&gt;"",INDEX('Eingabe Meldungen'!$C$2:$H$492,MATCH(B187&amp;C187,'Eingabe Meldungen'!$C$2:$C$492&amp;'Eingabe Meldungen'!$D$2:$D$492,0),6),"")</f>
        <v/>
      </c>
      <c r="E187" s="382" t="str">
        <f t="array" ref="E187">IF(B187&lt;&gt;"",INDEX('Eingabe Meldungen'!$C$2:$H$492,MATCH(B187&amp;C187,'Eingabe Meldungen'!$C$2:$C$492&amp;'Eingabe Meldungen'!$D$2:$D$492,0),4),"")</f>
        <v/>
      </c>
      <c r="F187" s="353" t="str">
        <f>IF(VLOOKUP(B187,Rennlisten!$B$105:$H$114,6,FALSE)=0,"",VLOOKUP(B187,Rennlisten!$B$105:$H$114,6,FALSE))</f>
        <v/>
      </c>
      <c r="G187" s="333" t="e">
        <f t="shared" si="25"/>
        <v>#VALUE!</v>
      </c>
      <c r="H187" s="343" t="str">
        <f t="array" ref="H187">IF(B187&lt;&gt;"",INDEX('Eingabe Meldungen'!$C$2:$J$492,MATCH(B187&amp;C187,'Eingabe Meldungen'!$C$2:$C$492&amp;'Eingabe Meldungen'!$D$2:$D$492,0),8),"")</f>
        <v/>
      </c>
      <c r="J187" s="332"/>
      <c r="K187" s="332"/>
      <c r="L187" s="332"/>
      <c r="M187" s="332"/>
      <c r="N187" s="332"/>
      <c r="O187" s="332"/>
      <c r="P187" s="332"/>
      <c r="Q187" s="332"/>
      <c r="R187" s="332"/>
      <c r="S187" s="332"/>
      <c r="T187" s="332"/>
      <c r="U187" s="332"/>
      <c r="V187" s="332"/>
      <c r="W187" s="332"/>
      <c r="X187" s="332"/>
      <c r="Y187" s="332"/>
      <c r="Z187" s="332"/>
      <c r="AA187" s="332"/>
      <c r="AB187" s="332"/>
      <c r="AC187" s="332"/>
      <c r="AD187" s="332"/>
      <c r="AE187" s="332"/>
      <c r="AF187" s="332"/>
      <c r="AG187" s="332"/>
      <c r="AH187" s="332"/>
      <c r="AI187" s="332"/>
      <c r="AJ187" s="333"/>
      <c r="AK187" s="333"/>
      <c r="AL187" s="333"/>
      <c r="AM187" s="333"/>
    </row>
    <row r="188" spans="2:39" s="316" customFormat="1" ht="26.25" customHeight="1" thickBot="1" x14ac:dyDescent="0.25">
      <c r="E188" s="352"/>
      <c r="F188" s="333"/>
      <c r="G188" s="333"/>
      <c r="J188" s="333"/>
      <c r="K188" s="333"/>
      <c r="L188" s="333"/>
      <c r="M188" s="333"/>
      <c r="N188" s="333"/>
      <c r="O188" s="333"/>
      <c r="P188" s="333"/>
      <c r="Q188" s="333"/>
      <c r="R188" s="333"/>
      <c r="S188" s="333"/>
      <c r="T188" s="333"/>
      <c r="U188" s="333"/>
      <c r="V188" s="333"/>
      <c r="W188" s="333"/>
      <c r="X188" s="333"/>
      <c r="Y188" s="333"/>
      <c r="Z188" s="333"/>
      <c r="AA188" s="333"/>
      <c r="AB188" s="333"/>
      <c r="AC188" s="333"/>
      <c r="AD188" s="333"/>
      <c r="AE188" s="333"/>
      <c r="AF188" s="333"/>
      <c r="AG188" s="333"/>
      <c r="AH188" s="333"/>
      <c r="AI188" s="333"/>
      <c r="AJ188" s="333"/>
      <c r="AK188" s="333"/>
      <c r="AL188" s="333"/>
      <c r="AM188" s="333"/>
    </row>
    <row r="189" spans="2:39" s="316" customFormat="1" ht="26.25" customHeight="1" x14ac:dyDescent="0.2">
      <c r="B189" s="326">
        <v>7</v>
      </c>
      <c r="C189" s="327" t="str">
        <f>VLOOKUP(B189,Ausschreibung!$B$5:$I$35,2,FALSE)</f>
        <v>Ergocup</v>
      </c>
      <c r="D189" s="328">
        <f>VLOOKUP(B189,Ausschreibung!$B$5:$I$35,3,FALSE)</f>
        <v>0.51388888888888884</v>
      </c>
      <c r="E189" s="327" t="str">
        <f>VLOOKUP(B189,Ausschreibung!$B$5:$I$35,4,FALSE)</f>
        <v>Mädchen U15</v>
      </c>
      <c r="F189" s="329" t="str">
        <f>VLOOKUP(B189,Ausschreibung!$B$5:$I$35,5,FALSE)</f>
        <v>Lgw. bis 52,5 kg</v>
      </c>
      <c r="G189" s="330">
        <f>VLOOKUP(B189,Ausschreibung!$B$5:$I$35,6,FALSE)</f>
        <v>14</v>
      </c>
      <c r="H189" s="331" t="str">
        <f>VLOOKUP(B189,Ausschreibung!$B$5:$I$35,8,FALSE)</f>
        <v>1000 m</v>
      </c>
      <c r="J189" s="332"/>
      <c r="K189" s="332"/>
      <c r="L189" s="332"/>
      <c r="M189" s="332"/>
      <c r="N189" s="332"/>
      <c r="O189" s="332"/>
      <c r="P189" s="332"/>
      <c r="Q189" s="332"/>
      <c r="R189" s="332"/>
      <c r="S189" s="332"/>
      <c r="T189" s="332"/>
      <c r="U189" s="332"/>
      <c r="V189" s="332"/>
      <c r="W189" s="332"/>
      <c r="X189" s="332"/>
      <c r="Y189" s="332"/>
      <c r="Z189" s="332"/>
      <c r="AA189" s="332"/>
      <c r="AB189" s="332"/>
      <c r="AC189" s="332"/>
      <c r="AD189" s="332"/>
      <c r="AE189" s="332"/>
      <c r="AF189" s="332"/>
      <c r="AG189" s="332"/>
      <c r="AH189" s="332"/>
      <c r="AI189" s="332"/>
      <c r="AJ189" s="333"/>
      <c r="AK189" s="333"/>
      <c r="AL189" s="333"/>
      <c r="AM189" s="333"/>
    </row>
    <row r="190" spans="2:39" s="316" customFormat="1" ht="26.25" customHeight="1" x14ac:dyDescent="0.2">
      <c r="B190" s="334" t="s">
        <v>1</v>
      </c>
      <c r="C190" s="335" t="s">
        <v>2</v>
      </c>
      <c r="D190" s="336" t="s">
        <v>49</v>
      </c>
      <c r="E190" s="381" t="s">
        <v>16</v>
      </c>
      <c r="F190" s="337" t="s">
        <v>50</v>
      </c>
      <c r="G190" s="338" t="s">
        <v>51</v>
      </c>
      <c r="H190" s="339" t="s">
        <v>17</v>
      </c>
      <c r="J190" s="332"/>
      <c r="K190" s="332"/>
      <c r="L190" s="332"/>
      <c r="M190" s="332"/>
      <c r="N190" s="332"/>
      <c r="O190" s="332"/>
      <c r="P190" s="332"/>
      <c r="Q190" s="332"/>
      <c r="R190" s="332"/>
      <c r="S190" s="332"/>
      <c r="T190" s="332"/>
      <c r="U190" s="332"/>
      <c r="V190" s="332"/>
      <c r="W190" s="332"/>
      <c r="X190" s="332"/>
      <c r="Y190" s="332"/>
      <c r="Z190" s="332"/>
      <c r="AA190" s="332"/>
      <c r="AB190" s="332"/>
      <c r="AC190" s="332"/>
      <c r="AD190" s="332"/>
      <c r="AE190" s="332"/>
      <c r="AF190" s="332"/>
      <c r="AG190" s="332"/>
      <c r="AH190" s="332"/>
      <c r="AI190" s="332"/>
      <c r="AJ190" s="333"/>
      <c r="AK190" s="333"/>
      <c r="AL190" s="333"/>
      <c r="AM190" s="333"/>
    </row>
    <row r="191" spans="2:39" s="316" customFormat="1" ht="26.25" customHeight="1" x14ac:dyDescent="0.2">
      <c r="B191" s="340" t="str">
        <f t="array" ref="B191">IF(ISERROR(INDEX('Eingabe Meldungen'!$C$2:$C$492,LARGE(('Eingabe Meldungen'!$A$2:$A$492=$B$189)*(ROW('Eingabe Meldungen'!$A$2:$A$492)-1),COUNTIF('Eingabe Meldungen'!$A$2:$A$492,$B$189)+1-ROW('Eingabe Meldungen'!A1)))),"",INDEX('Eingabe Meldungen'!$C$2:$C$492,LARGE(('Eingabe Meldungen'!$A$2:$A$492=$B$189)*(ROW('Eingabe Meldungen'!$A$2:$A$492)-1),COUNTIF('Eingabe Meldungen'!$A$2:$A$492,$B$189)+1-ROW('Eingabe Meldungen'!A1))))</f>
        <v>Wulfkühler</v>
      </c>
      <c r="C191" s="316" t="str">
        <f t="array" ref="C191">IF(ISERROR(INDEX('Eingabe Meldungen'!$D$2:$D$492,LARGE(('Eingabe Meldungen'!$A$2:$A$492=$B$189)*(ROW('Eingabe Meldungen'!$A$2:$A$492)-1),COUNTIF('Eingabe Meldungen'!$A$2:$A$492,$B$189)+1-ROW('Eingabe Meldungen'!A1)))),"",INDEX('Eingabe Meldungen'!$D$2:$D$492,LARGE(('Eingabe Meldungen'!$A$2:$A$492=$B$189)*(ROW('Eingabe Meldungen'!$A$2:$A$492)-1),COUNTIF('Eingabe Meldungen'!$A$2:$A$492,$B$189)+1-ROW('Eingabe Meldungen'!A1))))</f>
        <v>Anke</v>
      </c>
      <c r="D191" s="341">
        <f t="array" ref="D191">IF(B191&lt;&gt;"",INDEX('Eingabe Meldungen'!$C$2:$H$492,MATCH(B191&amp;C191,'Eingabe Meldungen'!$C$2:$C$492&amp;'Eingabe Meldungen'!$D$2:$D$492,0),6),"")</f>
        <v>2006</v>
      </c>
      <c r="E191" s="382" t="str">
        <f t="array" ref="E191">IF(B191&lt;&gt;"",INDEX('Eingabe Meldungen'!$C$2:$H$492,MATCH(B191&amp;C191,'Eingabe Meldungen'!$C$2:$C$492&amp;'Eingabe Meldungen'!$D$2:$D$492,0),4),"")</f>
        <v>Lgw. bis 52,5 kg</v>
      </c>
      <c r="F191" s="353" t="s">
        <v>552</v>
      </c>
      <c r="G191" s="333">
        <v>7</v>
      </c>
      <c r="H191" s="343" t="str">
        <f t="array" ref="H191">IF(B191&lt;&gt;"",INDEX('Eingabe Meldungen'!$C$2:$J$492,MATCH(B191&amp;C191,'Eingabe Meldungen'!$C$2:$C$492&amp;'Eingabe Meldungen'!$D$2:$D$492,0),8),"")</f>
        <v>Stuttgart-Cannstatter RC</v>
      </c>
      <c r="J191" s="332"/>
      <c r="K191" s="332"/>
      <c r="L191" s="332"/>
      <c r="M191" s="332"/>
      <c r="N191" s="332"/>
      <c r="O191" s="332"/>
      <c r="P191" s="332"/>
      <c r="Q191" s="332"/>
      <c r="R191" s="332"/>
      <c r="S191" s="332"/>
      <c r="T191" s="332"/>
      <c r="U191" s="332"/>
      <c r="V191" s="332"/>
      <c r="W191" s="332"/>
      <c r="X191" s="332"/>
      <c r="Y191" s="332"/>
      <c r="Z191" s="332"/>
      <c r="AA191" s="332"/>
      <c r="AB191" s="332"/>
      <c r="AC191" s="332"/>
      <c r="AD191" s="332"/>
      <c r="AE191" s="332"/>
      <c r="AF191" s="332"/>
      <c r="AG191" s="332"/>
      <c r="AH191" s="332"/>
      <c r="AI191" s="332"/>
      <c r="AJ191" s="333"/>
      <c r="AK191" s="333"/>
      <c r="AL191" s="333"/>
      <c r="AM191" s="333"/>
    </row>
    <row r="192" spans="2:39" s="316" customFormat="1" ht="26.25" customHeight="1" x14ac:dyDescent="0.2">
      <c r="B192" s="340" t="str">
        <f t="array" ref="B192">IF(ISERROR(INDEX('Eingabe Meldungen'!$C$2:$C$492,LARGE(('Eingabe Meldungen'!$A$2:$A$492=$B$189)*(ROW('Eingabe Meldungen'!$A$2:$A$492)-1),COUNTIF('Eingabe Meldungen'!$A$2:$A$492,$B$189)+1-ROW('Eingabe Meldungen'!A2)))),"",INDEX('Eingabe Meldungen'!$C$2:$C$492,LARGE(('Eingabe Meldungen'!$A$2:$A$492=$B$189)*(ROW('Eingabe Meldungen'!$A$2:$A$492)-1),COUNTIF('Eingabe Meldungen'!$A$2:$A$492,$B$189)+1-ROW('Eingabe Meldungen'!A2))))</f>
        <v>Schweneke</v>
      </c>
      <c r="C192" s="316" t="str">
        <f t="array" ref="C192">IF(ISERROR(INDEX('Eingabe Meldungen'!$D$2:$D$492,LARGE(('Eingabe Meldungen'!$A$2:$A$492=$B$189)*(ROW('Eingabe Meldungen'!$A$2:$A$492)-1),COUNTIF('Eingabe Meldungen'!$A$2:$A$492,$B$189)+1-ROW('Eingabe Meldungen'!A2)))),"",INDEX('Eingabe Meldungen'!$D$2:$D$492,LARGE(('Eingabe Meldungen'!$A$2:$A$492=$B$189)*(ROW('Eingabe Meldungen'!$A$2:$A$492)-1),COUNTIF('Eingabe Meldungen'!$A$2:$A$492,$B$189)+1-ROW('Eingabe Meldungen'!A2))))</f>
        <v>Charlotte</v>
      </c>
      <c r="D192" s="341">
        <f t="array" ref="D192">IF(B192&lt;&gt;"",INDEX('Eingabe Meldungen'!$C$2:$H$492,MATCH(B192&amp;C192,'Eingabe Meldungen'!$C$2:$C$492&amp;'Eingabe Meldungen'!$D$2:$D$492,0),6),"")</f>
        <v>2006</v>
      </c>
      <c r="E192" s="382" t="str">
        <f t="array" ref="E192">IF(B192&lt;&gt;"",INDEX('Eingabe Meldungen'!$C$2:$H$492,MATCH(B192&amp;C192,'Eingabe Meldungen'!$C$2:$C$492&amp;'Eingabe Meldungen'!$D$2:$D$492,0),4),"")</f>
        <v>Lgw. bis 52,5 kg</v>
      </c>
      <c r="F192" s="353" t="s">
        <v>546</v>
      </c>
      <c r="G192" s="333">
        <v>1</v>
      </c>
      <c r="H192" s="343" t="str">
        <f t="array" ref="H192">IF(B192&lt;&gt;"",INDEX('Eingabe Meldungen'!$C$2:$J$492,MATCH(B192&amp;C192,'Eingabe Meldungen'!$C$2:$C$492&amp;'Eingabe Meldungen'!$D$2:$D$492,0),8),"")</f>
        <v>Mannheimer RV "Amicitia"</v>
      </c>
      <c r="J192" s="332"/>
      <c r="K192" s="332"/>
      <c r="L192" s="332"/>
      <c r="M192" s="332"/>
      <c r="N192" s="332"/>
      <c r="O192" s="332"/>
      <c r="P192" s="332">
        <v>7</v>
      </c>
      <c r="Q192" s="332"/>
      <c r="R192" s="332"/>
      <c r="S192" s="332"/>
      <c r="T192" s="332"/>
      <c r="U192" s="332"/>
      <c r="V192" s="332"/>
      <c r="W192" s="332"/>
      <c r="X192" s="332"/>
      <c r="Y192" s="332"/>
      <c r="Z192" s="332"/>
      <c r="AA192" s="332"/>
      <c r="AB192" s="332"/>
      <c r="AC192" s="332"/>
      <c r="AD192" s="332"/>
      <c r="AE192" s="332"/>
      <c r="AF192" s="332"/>
      <c r="AG192" s="332"/>
      <c r="AH192" s="332"/>
      <c r="AI192" s="332"/>
      <c r="AJ192" s="333"/>
      <c r="AK192" s="333"/>
      <c r="AL192" s="333"/>
      <c r="AM192" s="333"/>
    </row>
    <row r="193" spans="2:39" s="316" customFormat="1" ht="26.25" customHeight="1" x14ac:dyDescent="0.2">
      <c r="B193" s="340" t="str">
        <f t="array" ref="B193">IF(ISERROR(INDEX('Eingabe Meldungen'!$C$2:$C$492,LARGE(('Eingabe Meldungen'!$A$2:$A$492=$B$189)*(ROW('Eingabe Meldungen'!$A$2:$A$492)-1),COUNTIF('Eingabe Meldungen'!$A$2:$A$492,$B$189)+1-ROW('Eingabe Meldungen'!A3)))),"",INDEX('Eingabe Meldungen'!$C$2:$C$492,LARGE(('Eingabe Meldungen'!$A$2:$A$492=$B$189)*(ROW('Eingabe Meldungen'!$A$2:$A$492)-1),COUNTIF('Eingabe Meldungen'!$A$2:$A$492,$B$189)+1-ROW('Eingabe Meldungen'!A3))))</f>
        <v>Passon</v>
      </c>
      <c r="C193" s="316" t="str">
        <f t="array" ref="C193">IF(ISERROR(INDEX('Eingabe Meldungen'!$D$2:$D$492,LARGE(('Eingabe Meldungen'!$A$2:$A$492=$B$189)*(ROW('Eingabe Meldungen'!$A$2:$A$492)-1),COUNTIF('Eingabe Meldungen'!$A$2:$A$492,$B$189)+1-ROW('Eingabe Meldungen'!A3)))),"",INDEX('Eingabe Meldungen'!$D$2:$D$492,LARGE(('Eingabe Meldungen'!$A$2:$A$492=$B$189)*(ROW('Eingabe Meldungen'!$A$2:$A$492)-1),COUNTIF('Eingabe Meldungen'!$A$2:$A$492,$B$189)+1-ROW('Eingabe Meldungen'!A3))))</f>
        <v>Cosima</v>
      </c>
      <c r="D193" s="341">
        <f t="array" ref="D193">IF(B193&lt;&gt;"",INDEX('Eingabe Meldungen'!$C$2:$H$492,MATCH(B193&amp;C193,'Eingabe Meldungen'!$C$2:$C$492&amp;'Eingabe Meldungen'!$D$2:$D$492,0),6),"")</f>
        <v>2006</v>
      </c>
      <c r="E193" s="382" t="str">
        <f t="array" ref="E193">IF(B193&lt;&gt;"",INDEX('Eingabe Meldungen'!$C$2:$H$492,MATCH(B193&amp;C193,'Eingabe Meldungen'!$C$2:$C$492&amp;'Eingabe Meldungen'!$D$2:$D$492,0),4),"")</f>
        <v>Lgw. bis 52,5 kg</v>
      </c>
      <c r="F193" s="353" t="s">
        <v>547</v>
      </c>
      <c r="G193" s="333">
        <v>2</v>
      </c>
      <c r="H193" s="343" t="str">
        <f t="array" ref="H193">IF(B193&lt;&gt;"",INDEX('Eingabe Meldungen'!$C$2:$J$492,MATCH(B193&amp;C193,'Eingabe Meldungen'!$C$2:$C$492&amp;'Eingabe Meldungen'!$D$2:$D$492,0),8),"")</f>
        <v>Rudergesellschaft Heidelberg</v>
      </c>
      <c r="J193" s="332"/>
      <c r="K193" s="332">
        <v>5</v>
      </c>
      <c r="L193" s="332"/>
      <c r="M193" s="332"/>
      <c r="N193" s="332"/>
      <c r="O193" s="332"/>
      <c r="P193" s="332"/>
      <c r="Q193" s="332"/>
      <c r="R193" s="332"/>
      <c r="S193" s="332"/>
      <c r="T193" s="332"/>
      <c r="U193" s="332"/>
      <c r="V193" s="332"/>
      <c r="W193" s="332"/>
      <c r="X193" s="332"/>
      <c r="Y193" s="332"/>
      <c r="Z193" s="332"/>
      <c r="AA193" s="332"/>
      <c r="AB193" s="332"/>
      <c r="AC193" s="332"/>
      <c r="AD193" s="332"/>
      <c r="AE193" s="332"/>
      <c r="AF193" s="332"/>
      <c r="AG193" s="332"/>
      <c r="AH193" s="332"/>
      <c r="AI193" s="332"/>
      <c r="AJ193" s="333"/>
      <c r="AK193" s="333"/>
      <c r="AL193" s="333"/>
      <c r="AM193" s="333"/>
    </row>
    <row r="194" spans="2:39" s="316" customFormat="1" ht="26.25" customHeight="1" x14ac:dyDescent="0.2">
      <c r="B194" s="340" t="str">
        <f t="array" ref="B194">IF(ISERROR(INDEX('Eingabe Meldungen'!$C$2:$C$492,LARGE(('Eingabe Meldungen'!$A$2:$A$492=$B$189)*(ROW('Eingabe Meldungen'!$A$2:$A$492)-1),COUNTIF('Eingabe Meldungen'!$A$2:$A$492,$B$189)+1-ROW('Eingabe Meldungen'!A4)))),"",INDEX('Eingabe Meldungen'!$C$2:$C$492,LARGE(('Eingabe Meldungen'!$A$2:$A$492=$B$189)*(ROW('Eingabe Meldungen'!$A$2:$A$492)-1),COUNTIF('Eingabe Meldungen'!$A$2:$A$492,$B$189)+1-ROW('Eingabe Meldungen'!A4))))</f>
        <v>Duwenhoegger</v>
      </c>
      <c r="C194" s="316" t="str">
        <f t="array" ref="C194">IF(ISERROR(INDEX('Eingabe Meldungen'!$D$2:$D$492,LARGE(('Eingabe Meldungen'!$A$2:$A$492=$B$189)*(ROW('Eingabe Meldungen'!$A$2:$A$492)-1),COUNTIF('Eingabe Meldungen'!$A$2:$A$492,$B$189)+1-ROW('Eingabe Meldungen'!A4)))),"",INDEX('Eingabe Meldungen'!$D$2:$D$492,LARGE(('Eingabe Meldungen'!$A$2:$A$492=$B$189)*(ROW('Eingabe Meldungen'!$A$2:$A$492)-1),COUNTIF('Eingabe Meldungen'!$A$2:$A$492,$B$189)+1-ROW('Eingabe Meldungen'!A4))))</f>
        <v>Filippa</v>
      </c>
      <c r="D194" s="341">
        <f t="array" ref="D194">IF(B194&lt;&gt;"",INDEX('Eingabe Meldungen'!$C$2:$H$492,MATCH(B194&amp;C194,'Eingabe Meldungen'!$C$2:$C$492&amp;'Eingabe Meldungen'!$D$2:$D$492,0),6),"")</f>
        <v>2006</v>
      </c>
      <c r="E194" s="382" t="str">
        <f t="array" ref="E194">IF(B194&lt;&gt;"",INDEX('Eingabe Meldungen'!$C$2:$H$492,MATCH(B194&amp;C194,'Eingabe Meldungen'!$C$2:$C$492&amp;'Eingabe Meldungen'!$D$2:$D$492,0),4),"")</f>
        <v>Lgw. bis 52,5 kg</v>
      </c>
      <c r="F194" s="353" t="s">
        <v>551</v>
      </c>
      <c r="G194" s="333">
        <v>6</v>
      </c>
      <c r="H194" s="343" t="str">
        <f t="array" ref="H194">IF(B194&lt;&gt;"",INDEX('Eingabe Meldungen'!$C$2:$J$492,MATCH(B194&amp;C194,'Eingabe Meldungen'!$C$2:$C$492&amp;'Eingabe Meldungen'!$D$2:$D$492,0),8),"")</f>
        <v>Rudergesellschaft Heidelberg</v>
      </c>
      <c r="J194" s="332"/>
      <c r="K194" s="332"/>
      <c r="L194" s="332"/>
      <c r="M194" s="332"/>
      <c r="N194" s="332"/>
      <c r="O194" s="332"/>
      <c r="P194" s="332"/>
      <c r="Q194" s="332"/>
      <c r="R194" s="332"/>
      <c r="S194" s="332"/>
      <c r="T194" s="332"/>
      <c r="U194" s="332"/>
      <c r="V194" s="332"/>
      <c r="W194" s="332"/>
      <c r="X194" s="332"/>
      <c r="Y194" s="332"/>
      <c r="Z194" s="332"/>
      <c r="AA194" s="332"/>
      <c r="AB194" s="332"/>
      <c r="AC194" s="332"/>
      <c r="AD194" s="332"/>
      <c r="AE194" s="332"/>
      <c r="AF194" s="332"/>
      <c r="AG194" s="332"/>
      <c r="AH194" s="332"/>
      <c r="AI194" s="332"/>
      <c r="AJ194" s="333"/>
      <c r="AK194" s="333"/>
      <c r="AL194" s="333"/>
      <c r="AM194" s="333"/>
    </row>
    <row r="195" spans="2:39" s="316" customFormat="1" ht="26.25" customHeight="1" x14ac:dyDescent="0.2">
      <c r="B195" s="340" t="str">
        <f t="array" ref="B195">IF(ISERROR(INDEX('Eingabe Meldungen'!$C$2:$C$492,LARGE(('Eingabe Meldungen'!$A$2:$A$492=$B$189)*(ROW('Eingabe Meldungen'!$A$2:$A$492)-1),COUNTIF('Eingabe Meldungen'!$A$2:$A$492,$B$189)+1-ROW('Eingabe Meldungen'!A5)))),"",INDEX('Eingabe Meldungen'!$C$2:$C$492,LARGE(('Eingabe Meldungen'!$A$2:$A$492=$B$189)*(ROW('Eingabe Meldungen'!$A$2:$A$492)-1),COUNTIF('Eingabe Meldungen'!$A$2:$A$492,$B$189)+1-ROW('Eingabe Meldungen'!A5))))</f>
        <v>Nagel</v>
      </c>
      <c r="C195" s="316" t="str">
        <f t="array" ref="C195">IF(ISERROR(INDEX('Eingabe Meldungen'!$D$2:$D$492,LARGE(('Eingabe Meldungen'!$A$2:$A$492=$B$189)*(ROW('Eingabe Meldungen'!$A$2:$A$492)-1),COUNTIF('Eingabe Meldungen'!$A$2:$A$492,$B$189)+1-ROW('Eingabe Meldungen'!A5)))),"",INDEX('Eingabe Meldungen'!$D$2:$D$492,LARGE(('Eingabe Meldungen'!$A$2:$A$492=$B$189)*(ROW('Eingabe Meldungen'!$A$2:$A$492)-1),COUNTIF('Eingabe Meldungen'!$A$2:$A$492,$B$189)+1-ROW('Eingabe Meldungen'!A5))))</f>
        <v>Franziska</v>
      </c>
      <c r="D195" s="341">
        <f t="array" ref="D195">IF(B195&lt;&gt;"",INDEX('Eingabe Meldungen'!$C$2:$H$492,MATCH(B195&amp;C195,'Eingabe Meldungen'!$C$2:$C$492&amp;'Eingabe Meldungen'!$D$2:$D$492,0),6),"")</f>
        <v>2006</v>
      </c>
      <c r="E195" s="382" t="str">
        <f t="array" ref="E195">IF(B195&lt;&gt;"",INDEX('Eingabe Meldungen'!$C$2:$H$492,MATCH(B195&amp;C195,'Eingabe Meldungen'!$C$2:$C$492&amp;'Eingabe Meldungen'!$D$2:$D$492,0),4),"")</f>
        <v>Lgw. bis 52,5 kg</v>
      </c>
      <c r="F195" s="353" t="s">
        <v>550</v>
      </c>
      <c r="G195" s="333">
        <v>5</v>
      </c>
      <c r="H195" s="343" t="str">
        <f t="array" ref="H195">IF(B195&lt;&gt;"",INDEX('Eingabe Meldungen'!$C$2:$J$492,MATCH(B195&amp;C195,'Eingabe Meldungen'!$C$2:$C$492&amp;'Eingabe Meldungen'!$D$2:$D$492,0),8),"")</f>
        <v>Stuttgart-Cannstatter RC</v>
      </c>
      <c r="J195" s="332"/>
      <c r="K195" s="332"/>
      <c r="L195" s="332"/>
      <c r="M195" s="332"/>
      <c r="N195" s="332"/>
      <c r="O195" s="332"/>
      <c r="P195" s="332"/>
      <c r="Q195" s="332"/>
      <c r="R195" s="332"/>
      <c r="S195" s="332"/>
      <c r="T195" s="332">
        <v>1</v>
      </c>
      <c r="U195" s="332"/>
      <c r="V195" s="332"/>
      <c r="W195" s="332"/>
      <c r="X195" s="332"/>
      <c r="Y195" s="332"/>
      <c r="Z195" s="332"/>
      <c r="AA195" s="332"/>
      <c r="AB195" s="332"/>
      <c r="AC195" s="332"/>
      <c r="AD195" s="332"/>
      <c r="AE195" s="332"/>
      <c r="AF195" s="332"/>
      <c r="AG195" s="332"/>
      <c r="AH195" s="332"/>
      <c r="AI195" s="332"/>
      <c r="AJ195" s="333"/>
      <c r="AK195" s="333"/>
      <c r="AL195" s="333"/>
      <c r="AM195" s="333"/>
    </row>
    <row r="196" spans="2:39" s="316" customFormat="1" ht="26.25" customHeight="1" x14ac:dyDescent="0.2">
      <c r="B196" s="340" t="str">
        <f t="array" ref="B196">IF(ISERROR(INDEX('Eingabe Meldungen'!$C$2:$C$492,LARGE(('Eingabe Meldungen'!$A$2:$A$492=$B$189)*(ROW('Eingabe Meldungen'!$A$2:$A$492)-1),COUNTIF('Eingabe Meldungen'!$A$2:$A$492,$B$189)+1-ROW('Eingabe Meldungen'!A6)))),"",INDEX('Eingabe Meldungen'!$C$2:$C$492,LARGE(('Eingabe Meldungen'!$A$2:$A$492=$B$189)*(ROW('Eingabe Meldungen'!$A$2:$A$492)-1),COUNTIF('Eingabe Meldungen'!$A$2:$A$492,$B$189)+1-ROW('Eingabe Meldungen'!A6))))</f>
        <v>Liebrich</v>
      </c>
      <c r="C196" s="316" t="str">
        <f t="array" ref="C196">IF(ISERROR(INDEX('Eingabe Meldungen'!$D$2:$D$492,LARGE(('Eingabe Meldungen'!$A$2:$A$492=$B$189)*(ROW('Eingabe Meldungen'!$A$2:$A$492)-1),COUNTIF('Eingabe Meldungen'!$A$2:$A$492,$B$189)+1-ROW('Eingabe Meldungen'!A6)))),"",INDEX('Eingabe Meldungen'!$D$2:$D$492,LARGE(('Eingabe Meldungen'!$A$2:$A$492=$B$189)*(ROW('Eingabe Meldungen'!$A$2:$A$492)-1),COUNTIF('Eingabe Meldungen'!$A$2:$A$492,$B$189)+1-ROW('Eingabe Meldungen'!A6))))</f>
        <v>Ina</v>
      </c>
      <c r="D196" s="341">
        <f t="array" ref="D196">IF(B196&lt;&gt;"",INDEX('Eingabe Meldungen'!$C$2:$H$492,MATCH(B196&amp;C196,'Eingabe Meldungen'!$C$2:$C$492&amp;'Eingabe Meldungen'!$D$2:$D$492,0),6),"")</f>
        <v>2006</v>
      </c>
      <c r="E196" s="382" t="str">
        <f t="array" ref="E196">IF(B196&lt;&gt;"",INDEX('Eingabe Meldungen'!$C$2:$H$492,MATCH(B196&amp;C196,'Eingabe Meldungen'!$C$2:$C$492&amp;'Eingabe Meldungen'!$D$2:$D$492,0),4),"")</f>
        <v>Lgw. bis 52,5 kg</v>
      </c>
      <c r="F196" s="353" t="s">
        <v>548</v>
      </c>
      <c r="G196" s="333">
        <v>3</v>
      </c>
      <c r="H196" s="343" t="str">
        <f t="array" ref="H196">IF(B196&lt;&gt;"",INDEX('Eingabe Meldungen'!$C$2:$J$492,MATCH(B196&amp;C196,'Eingabe Meldungen'!$C$2:$C$492&amp;'Eingabe Meldungen'!$D$2:$D$492,0),8),"")</f>
        <v>RC Nürtingen</v>
      </c>
      <c r="J196" s="332"/>
      <c r="K196" s="332"/>
      <c r="L196" s="332"/>
      <c r="M196" s="332">
        <v>3</v>
      </c>
      <c r="N196" s="332"/>
      <c r="O196" s="332"/>
      <c r="P196" s="332"/>
      <c r="Q196" s="332"/>
      <c r="R196" s="332"/>
      <c r="S196" s="332"/>
      <c r="T196" s="332"/>
      <c r="U196" s="332"/>
      <c r="V196" s="332"/>
      <c r="W196" s="332"/>
      <c r="X196" s="332"/>
      <c r="Y196" s="332"/>
      <c r="Z196" s="332"/>
      <c r="AA196" s="332"/>
      <c r="AB196" s="332"/>
      <c r="AC196" s="332"/>
      <c r="AD196" s="332"/>
      <c r="AE196" s="332"/>
      <c r="AF196" s="332"/>
      <c r="AG196" s="332"/>
      <c r="AH196" s="332"/>
      <c r="AI196" s="332"/>
      <c r="AJ196" s="333"/>
      <c r="AK196" s="333"/>
      <c r="AL196" s="333"/>
      <c r="AM196" s="333"/>
    </row>
    <row r="197" spans="2:39" s="316" customFormat="1" ht="26.25" customHeight="1" x14ac:dyDescent="0.2">
      <c r="B197" s="340" t="str">
        <f t="array" ref="B197">IF(ISERROR(INDEX('Eingabe Meldungen'!$C$2:$C$492,LARGE(('Eingabe Meldungen'!$A$2:$A$492=$B$189)*(ROW('Eingabe Meldungen'!$A$2:$A$492)-1),COUNTIF('Eingabe Meldungen'!$A$2:$A$492,$B$189)+1-ROW('Eingabe Meldungen'!A7)))),"",INDEX('Eingabe Meldungen'!$C$2:$C$492,LARGE(('Eingabe Meldungen'!$A$2:$A$492=$B$189)*(ROW('Eingabe Meldungen'!$A$2:$A$492)-1),COUNTIF('Eingabe Meldungen'!$A$2:$A$492,$B$189)+1-ROW('Eingabe Meldungen'!A7))))</f>
        <v>Sauer</v>
      </c>
      <c r="C197" s="316" t="str">
        <f t="array" ref="C197">IF(ISERROR(INDEX('Eingabe Meldungen'!$D$2:$D$492,LARGE(('Eingabe Meldungen'!$A$2:$A$492=$B$189)*(ROW('Eingabe Meldungen'!$A$2:$A$492)-1),COUNTIF('Eingabe Meldungen'!$A$2:$A$492,$B$189)+1-ROW('Eingabe Meldungen'!A7)))),"",INDEX('Eingabe Meldungen'!$D$2:$D$492,LARGE(('Eingabe Meldungen'!$A$2:$A$492=$B$189)*(ROW('Eingabe Meldungen'!$A$2:$A$492)-1),COUNTIF('Eingabe Meldungen'!$A$2:$A$492,$B$189)+1-ROW('Eingabe Meldungen'!A7))))</f>
        <v>Linda</v>
      </c>
      <c r="D197" s="341">
        <f t="array" ref="D197">IF(B197&lt;&gt;"",INDEX('Eingabe Meldungen'!$C$2:$H$492,MATCH(B197&amp;C197,'Eingabe Meldungen'!$C$2:$C$492&amp;'Eingabe Meldungen'!$D$2:$D$492,0),6),"")</f>
        <v>2006</v>
      </c>
      <c r="E197" s="382" t="str">
        <f t="array" ref="E197">IF(B197&lt;&gt;"",INDEX('Eingabe Meldungen'!$C$2:$H$492,MATCH(B197&amp;C197,'Eingabe Meldungen'!$C$2:$C$492&amp;'Eingabe Meldungen'!$D$2:$D$492,0),4),"")</f>
        <v>Lgw. bis 52,5 kg</v>
      </c>
      <c r="F197" s="353" t="s">
        <v>549</v>
      </c>
      <c r="G197" s="333">
        <v>4</v>
      </c>
      <c r="H197" s="343" t="str">
        <f t="array" ref="H197">IF(B197&lt;&gt;"",INDEX('Eingabe Meldungen'!$C$2:$J$492,MATCH(B197&amp;C197,'Eingabe Meldungen'!$C$2:$C$492&amp;'Eingabe Meldungen'!$D$2:$D$492,0),8),"")</f>
        <v>Stuttgart-Cannstatter RC</v>
      </c>
      <c r="J197" s="332"/>
      <c r="K197" s="332"/>
      <c r="L197" s="332"/>
      <c r="M197" s="332"/>
      <c r="N197" s="332"/>
      <c r="O197" s="332"/>
      <c r="P197" s="332"/>
      <c r="Q197" s="332"/>
      <c r="R197" s="332"/>
      <c r="S197" s="332"/>
      <c r="T197" s="332">
        <v>2</v>
      </c>
      <c r="U197" s="332"/>
      <c r="V197" s="332"/>
      <c r="W197" s="332"/>
      <c r="X197" s="332"/>
      <c r="Y197" s="332"/>
      <c r="Z197" s="332"/>
      <c r="AA197" s="332"/>
      <c r="AB197" s="332"/>
      <c r="AC197" s="332"/>
      <c r="AD197" s="332"/>
      <c r="AE197" s="332"/>
      <c r="AF197" s="332"/>
      <c r="AG197" s="332"/>
      <c r="AH197" s="332"/>
      <c r="AI197" s="332"/>
      <c r="AJ197" s="333"/>
      <c r="AK197" s="333"/>
      <c r="AL197" s="333"/>
      <c r="AM197" s="333"/>
    </row>
    <row r="198" spans="2:39" s="316" customFormat="1" ht="26.25" customHeight="1" x14ac:dyDescent="0.2">
      <c r="B198" s="340" t="str">
        <f t="array" ref="B198">IF(ISERROR(INDEX('Eingabe Meldungen'!$C$2:$C$492,LARGE(('Eingabe Meldungen'!$A$2:$A$492=$B$189)*(ROW('Eingabe Meldungen'!$A$2:$A$492)-1),COUNTIF('Eingabe Meldungen'!$A$2:$A$492,$B$189)+1-ROW('Eingabe Meldungen'!A8)))),"",INDEX('Eingabe Meldungen'!$C$2:$C$492,LARGE(('Eingabe Meldungen'!$A$2:$A$492=$B$189)*(ROW('Eingabe Meldungen'!$A$2:$A$492)-1),COUNTIF('Eingabe Meldungen'!$A$2:$A$492,$B$189)+1-ROW('Eingabe Meldungen'!A8))))</f>
        <v/>
      </c>
      <c r="C198" s="316" t="str">
        <f t="array" ref="C198">IF(ISERROR(INDEX('Eingabe Meldungen'!$D$2:$D$492,LARGE(('Eingabe Meldungen'!$A$2:$A$492=$B$189)*(ROW('Eingabe Meldungen'!$A$2:$A$492)-1),COUNTIF('Eingabe Meldungen'!$A$2:$A$492,$B$189)+1-ROW('Eingabe Meldungen'!A8)))),"",INDEX('Eingabe Meldungen'!$D$2:$D$492,LARGE(('Eingabe Meldungen'!$A$2:$A$492=$B$189)*(ROW('Eingabe Meldungen'!$A$2:$A$492)-1),COUNTIF('Eingabe Meldungen'!$A$2:$A$492,$B$189)+1-ROW('Eingabe Meldungen'!A8))))</f>
        <v/>
      </c>
      <c r="D198" s="341" t="str">
        <f t="array" ref="D198">IF(B198&lt;&gt;"",INDEX('Eingabe Meldungen'!$C$2:$H$492,MATCH(B198&amp;C198,'Eingabe Meldungen'!$C$2:$C$492&amp;'Eingabe Meldungen'!$D$2:$D$492,0),6),"")</f>
        <v/>
      </c>
      <c r="E198" s="382" t="str">
        <f t="array" ref="E198">IF(B198&lt;&gt;"",INDEX('Eingabe Meldungen'!$C$2:$H$492,MATCH(B198&amp;C198,'Eingabe Meldungen'!$C$2:$C$492&amp;'Eingabe Meldungen'!$D$2:$D$492,0),4),"")</f>
        <v/>
      </c>
      <c r="F198" s="353" t="str">
        <f>IF(VLOOKUP(B198,Rennlisten!$B$125:$H$127,6,FALSE)=0,"",VLOOKUP(B198,Rennlisten!$B$125:$H$127,6,FALSE))</f>
        <v/>
      </c>
      <c r="G198" s="333" t="e">
        <f t="shared" ref="G198:G200" si="26">RANK(F198,$F$191:$F$200,1)</f>
        <v>#VALUE!</v>
      </c>
      <c r="H198" s="343" t="str">
        <f t="array" ref="H198">IF(B198&lt;&gt;"",INDEX('Eingabe Meldungen'!$C$2:$J$492,MATCH(B198&amp;C198,'Eingabe Meldungen'!$C$2:$C$492&amp;'Eingabe Meldungen'!$D$2:$D$492,0),8),"")</f>
        <v/>
      </c>
      <c r="J198" s="332"/>
      <c r="K198" s="332"/>
      <c r="L198" s="332"/>
      <c r="M198" s="332"/>
      <c r="N198" s="332"/>
      <c r="O198" s="332"/>
      <c r="P198" s="332"/>
      <c r="Q198" s="332"/>
      <c r="R198" s="332"/>
      <c r="S198" s="332"/>
      <c r="T198" s="332"/>
      <c r="U198" s="332"/>
      <c r="V198" s="332"/>
      <c r="W198" s="332"/>
      <c r="X198" s="332"/>
      <c r="Y198" s="332"/>
      <c r="Z198" s="332"/>
      <c r="AA198" s="332"/>
      <c r="AB198" s="332"/>
      <c r="AC198" s="332"/>
      <c r="AD198" s="332"/>
      <c r="AE198" s="332"/>
      <c r="AF198" s="332"/>
      <c r="AG198" s="332"/>
      <c r="AH198" s="332"/>
      <c r="AI198" s="332"/>
      <c r="AJ198" s="333"/>
      <c r="AK198" s="333"/>
      <c r="AL198" s="333"/>
      <c r="AM198" s="333"/>
    </row>
    <row r="199" spans="2:39" s="316" customFormat="1" ht="26.25" customHeight="1" x14ac:dyDescent="0.2">
      <c r="B199" s="340" t="str">
        <f t="array" ref="B199">IF(ISERROR(INDEX('Eingabe Meldungen'!$C$2:$C$492,LARGE(('Eingabe Meldungen'!$A$2:$A$492=$B$189)*(ROW('Eingabe Meldungen'!$A$2:$A$492)-1),COUNTIF('Eingabe Meldungen'!$A$2:$A$492,$B$189)+1-ROW('Eingabe Meldungen'!A9)))),"",INDEX('Eingabe Meldungen'!$C$2:$C$492,LARGE(('Eingabe Meldungen'!$A$2:$A$492=$B$189)*(ROW('Eingabe Meldungen'!$A$2:$A$492)-1),COUNTIF('Eingabe Meldungen'!$A$2:$A$492,$B$189)+1-ROW('Eingabe Meldungen'!A9))))</f>
        <v/>
      </c>
      <c r="C199" s="316" t="str">
        <f t="array" ref="C199">IF(ISERROR(INDEX('Eingabe Meldungen'!$D$2:$D$492,LARGE(('Eingabe Meldungen'!$A$2:$A$492=$B$189)*(ROW('Eingabe Meldungen'!$A$2:$A$492)-1),COUNTIF('Eingabe Meldungen'!$A$2:$A$492,$B$189)+1-ROW('Eingabe Meldungen'!A9)))),"",INDEX('Eingabe Meldungen'!$D$2:$D$492,LARGE(('Eingabe Meldungen'!$A$2:$A$492=$B$189)*(ROW('Eingabe Meldungen'!$A$2:$A$492)-1),COUNTIF('Eingabe Meldungen'!$A$2:$A$492,$B$189)+1-ROW('Eingabe Meldungen'!A9))))</f>
        <v/>
      </c>
      <c r="D199" s="341" t="str">
        <f t="array" ref="D199">IF(B199&lt;&gt;"",INDEX('Eingabe Meldungen'!$C$2:$H$492,MATCH(B199&amp;C199,'Eingabe Meldungen'!$C$2:$C$492&amp;'Eingabe Meldungen'!$D$2:$D$492,0),6),"")</f>
        <v/>
      </c>
      <c r="E199" s="382" t="str">
        <f t="array" ref="E199">IF(B199&lt;&gt;"",INDEX('Eingabe Meldungen'!$C$2:$H$492,MATCH(B199&amp;C199,'Eingabe Meldungen'!$C$2:$C$492&amp;'Eingabe Meldungen'!$D$2:$D$492,0),4),"")</f>
        <v/>
      </c>
      <c r="F199" s="353" t="str">
        <f>IF(VLOOKUP(B199,Rennlisten!$B$125:$H$127,6,FALSE)=0,"",VLOOKUP(B199,Rennlisten!$B$125:$H$127,6,FALSE))</f>
        <v/>
      </c>
      <c r="G199" s="333" t="e">
        <f t="shared" si="26"/>
        <v>#VALUE!</v>
      </c>
      <c r="H199" s="343" t="str">
        <f t="array" ref="H199">IF(B199&lt;&gt;"",INDEX('Eingabe Meldungen'!$C$2:$J$492,MATCH(B199&amp;C199,'Eingabe Meldungen'!$C$2:$C$492&amp;'Eingabe Meldungen'!$D$2:$D$492,0),8),"")</f>
        <v/>
      </c>
      <c r="J199" s="332"/>
      <c r="K199" s="332"/>
      <c r="L199" s="332"/>
      <c r="M199" s="332"/>
      <c r="N199" s="332"/>
      <c r="O199" s="332"/>
      <c r="P199" s="332"/>
      <c r="Q199" s="332"/>
      <c r="R199" s="332"/>
      <c r="S199" s="332"/>
      <c r="T199" s="332"/>
      <c r="U199" s="332"/>
      <c r="V199" s="332"/>
      <c r="W199" s="332"/>
      <c r="X199" s="332"/>
      <c r="Y199" s="332"/>
      <c r="Z199" s="332"/>
      <c r="AA199" s="332"/>
      <c r="AB199" s="332"/>
      <c r="AC199" s="332"/>
      <c r="AD199" s="332"/>
      <c r="AE199" s="332"/>
      <c r="AF199" s="332"/>
      <c r="AG199" s="332"/>
      <c r="AH199" s="332"/>
      <c r="AI199" s="332"/>
      <c r="AJ199" s="333"/>
      <c r="AK199" s="333"/>
      <c r="AL199" s="333"/>
      <c r="AM199" s="333"/>
    </row>
    <row r="200" spans="2:39" s="316" customFormat="1" ht="26.25" customHeight="1" x14ac:dyDescent="0.2">
      <c r="B200" s="340" t="str">
        <f t="array" ref="B200">IF(ISERROR(INDEX('Eingabe Meldungen'!$C$2:$C$492,LARGE(('Eingabe Meldungen'!$A$2:$A$492=$B$189)*(ROW('Eingabe Meldungen'!$A$2:$A$492)-1),COUNTIF('Eingabe Meldungen'!$A$2:$A$492,$B$189)+1-ROW('Eingabe Meldungen'!A10)))),"",INDEX('Eingabe Meldungen'!$C$2:$C$492,LARGE(('Eingabe Meldungen'!$A$2:$A$492=$B$189)*(ROW('Eingabe Meldungen'!$A$2:$A$492)-1),COUNTIF('Eingabe Meldungen'!$A$2:$A$492,$B$189)+1-ROW('Eingabe Meldungen'!A10))))</f>
        <v/>
      </c>
      <c r="C200" s="316" t="str">
        <f t="array" ref="C200">IF(ISERROR(INDEX('Eingabe Meldungen'!$D$2:$D$492,LARGE(('Eingabe Meldungen'!$A$2:$A$492=$B$189)*(ROW('Eingabe Meldungen'!$A$2:$A$492)-1),COUNTIF('Eingabe Meldungen'!$A$2:$A$492,$B$189)+1-ROW('Eingabe Meldungen'!A10)))),"",INDEX('Eingabe Meldungen'!$D$2:$D$492,LARGE(('Eingabe Meldungen'!$A$2:$A$492=$B$189)*(ROW('Eingabe Meldungen'!$A$2:$A$492)-1),COUNTIF('Eingabe Meldungen'!$A$2:$A$492,$B$189)+1-ROW('Eingabe Meldungen'!A10))))</f>
        <v/>
      </c>
      <c r="D200" s="341" t="str">
        <f t="array" ref="D200">IF(B200&lt;&gt;"",INDEX('Eingabe Meldungen'!$C$2:$H$492,MATCH(B200&amp;C200,'Eingabe Meldungen'!$C$2:$C$492&amp;'Eingabe Meldungen'!$D$2:$D$492,0),6),"")</f>
        <v/>
      </c>
      <c r="E200" s="382" t="str">
        <f t="array" ref="E200">IF(B200&lt;&gt;"",INDEX('Eingabe Meldungen'!$C$2:$H$492,MATCH(B200&amp;C200,'Eingabe Meldungen'!$C$2:$C$492&amp;'Eingabe Meldungen'!$D$2:$D$492,0),4),"")</f>
        <v/>
      </c>
      <c r="F200" s="353" t="str">
        <f>IF(VLOOKUP(B200,Rennlisten!$B$125:$H$127,6,FALSE)=0,"",VLOOKUP(B200,Rennlisten!$B$125:$H$127,6,FALSE))</f>
        <v/>
      </c>
      <c r="G200" s="333" t="e">
        <f t="shared" si="26"/>
        <v>#VALUE!</v>
      </c>
      <c r="H200" s="343" t="str">
        <f t="array" ref="H200">IF(B200&lt;&gt;"",INDEX('Eingabe Meldungen'!$C$2:$J$492,MATCH(B200&amp;C200,'Eingabe Meldungen'!$C$2:$C$492&amp;'Eingabe Meldungen'!$D$2:$D$492,0),8),"")</f>
        <v/>
      </c>
      <c r="J200" s="332"/>
      <c r="K200" s="332"/>
      <c r="L200" s="332"/>
      <c r="M200" s="332"/>
      <c r="N200" s="332"/>
      <c r="O200" s="332"/>
      <c r="P200" s="332"/>
      <c r="Q200" s="332"/>
      <c r="R200" s="332"/>
      <c r="S200" s="332"/>
      <c r="T200" s="332"/>
      <c r="U200" s="332"/>
      <c r="V200" s="332"/>
      <c r="W200" s="332"/>
      <c r="X200" s="332"/>
      <c r="Y200" s="332"/>
      <c r="Z200" s="332"/>
      <c r="AA200" s="332"/>
      <c r="AB200" s="332"/>
      <c r="AC200" s="332"/>
      <c r="AD200" s="332"/>
      <c r="AE200" s="332"/>
      <c r="AF200" s="332"/>
      <c r="AG200" s="332"/>
      <c r="AH200" s="332"/>
      <c r="AI200" s="332"/>
      <c r="AJ200" s="333"/>
      <c r="AK200" s="333"/>
      <c r="AL200" s="333"/>
      <c r="AM200" s="333"/>
    </row>
    <row r="201" spans="2:39" s="316" customFormat="1" ht="26.25" customHeight="1" thickBot="1" x14ac:dyDescent="0.25">
      <c r="E201" s="352"/>
      <c r="F201" s="333"/>
      <c r="G201" s="333"/>
      <c r="J201" s="333"/>
      <c r="K201" s="333"/>
      <c r="L201" s="333"/>
      <c r="M201" s="333"/>
      <c r="N201" s="333"/>
      <c r="O201" s="333"/>
      <c r="P201" s="333"/>
      <c r="Q201" s="333"/>
      <c r="R201" s="333"/>
      <c r="S201" s="333"/>
      <c r="T201" s="333"/>
      <c r="U201" s="333"/>
      <c r="V201" s="333"/>
      <c r="W201" s="333"/>
      <c r="X201" s="333"/>
      <c r="Y201" s="333"/>
      <c r="Z201" s="333"/>
      <c r="AA201" s="333"/>
      <c r="AB201" s="333"/>
      <c r="AC201" s="333"/>
      <c r="AD201" s="333"/>
      <c r="AE201" s="333"/>
      <c r="AF201" s="333"/>
      <c r="AG201" s="333"/>
      <c r="AH201" s="333"/>
      <c r="AI201" s="333"/>
      <c r="AJ201" s="333"/>
      <c r="AK201" s="333"/>
      <c r="AL201" s="333"/>
      <c r="AM201" s="333"/>
    </row>
    <row r="202" spans="2:39" s="316" customFormat="1" ht="26.25" customHeight="1" x14ac:dyDescent="0.2">
      <c r="B202" s="326">
        <v>8</v>
      </c>
      <c r="C202" s="327" t="str">
        <f>VLOOKUP(B202,Ausschreibung!$B$5:$I$35,2,FALSE)</f>
        <v>Ergocup</v>
      </c>
      <c r="D202" s="328">
        <f>VLOOKUP(B202,Ausschreibung!$B$5:$I$35,3,FALSE)</f>
        <v>0.51944444444444438</v>
      </c>
      <c r="E202" s="327" t="str">
        <f>VLOOKUP(B202,Ausschreibung!$B$5:$I$35,4,FALSE)</f>
        <v>Mädchen U15</v>
      </c>
      <c r="F202" s="329" t="str">
        <f>VLOOKUP(B202,Ausschreibung!$B$5:$I$35,5,FALSE)</f>
        <v>-</v>
      </c>
      <c r="G202" s="330">
        <f>VLOOKUP(B202,Ausschreibung!$B$5:$I$35,6,FALSE)</f>
        <v>14</v>
      </c>
      <c r="H202" s="331" t="str">
        <f>VLOOKUP(B202,Ausschreibung!$B$5:$I$35,8,FALSE)</f>
        <v>1000 m</v>
      </c>
      <c r="J202" s="332"/>
      <c r="K202" s="332"/>
      <c r="L202" s="332"/>
      <c r="M202" s="332"/>
      <c r="N202" s="332"/>
      <c r="O202" s="332"/>
      <c r="P202" s="332"/>
      <c r="Q202" s="332"/>
      <c r="R202" s="332"/>
      <c r="S202" s="332"/>
      <c r="T202" s="332"/>
      <c r="U202" s="332"/>
      <c r="V202" s="332"/>
      <c r="W202" s="332"/>
      <c r="X202" s="332"/>
      <c r="Y202" s="332"/>
      <c r="Z202" s="332"/>
      <c r="AA202" s="332"/>
      <c r="AB202" s="332"/>
      <c r="AC202" s="332"/>
      <c r="AD202" s="332"/>
      <c r="AE202" s="332"/>
      <c r="AF202" s="332"/>
      <c r="AG202" s="332"/>
      <c r="AH202" s="332"/>
      <c r="AI202" s="332"/>
      <c r="AJ202" s="333"/>
      <c r="AK202" s="333"/>
      <c r="AL202" s="333"/>
      <c r="AM202" s="333"/>
    </row>
    <row r="203" spans="2:39" s="316" customFormat="1" ht="26.25" customHeight="1" x14ac:dyDescent="0.2">
      <c r="B203" s="334" t="s">
        <v>1</v>
      </c>
      <c r="C203" s="335" t="s">
        <v>2</v>
      </c>
      <c r="D203" s="336" t="s">
        <v>49</v>
      </c>
      <c r="E203" s="381" t="s">
        <v>16</v>
      </c>
      <c r="F203" s="337" t="s">
        <v>50</v>
      </c>
      <c r="G203" s="338" t="s">
        <v>51</v>
      </c>
      <c r="H203" s="339" t="s">
        <v>17</v>
      </c>
      <c r="J203" s="332"/>
      <c r="K203" s="332"/>
      <c r="L203" s="332"/>
      <c r="M203" s="332"/>
      <c r="N203" s="332"/>
      <c r="O203" s="332"/>
      <c r="P203" s="332"/>
      <c r="Q203" s="332"/>
      <c r="R203" s="332"/>
      <c r="S203" s="332"/>
      <c r="T203" s="332"/>
      <c r="U203" s="332"/>
      <c r="V203" s="332"/>
      <c r="W203" s="332"/>
      <c r="X203" s="332"/>
      <c r="Y203" s="332"/>
      <c r="Z203" s="332"/>
      <c r="AA203" s="332"/>
      <c r="AB203" s="332"/>
      <c r="AC203" s="332"/>
      <c r="AD203" s="332"/>
      <c r="AE203" s="332"/>
      <c r="AF203" s="332"/>
      <c r="AG203" s="332"/>
      <c r="AH203" s="332"/>
      <c r="AI203" s="332"/>
      <c r="AJ203" s="333"/>
      <c r="AK203" s="333"/>
      <c r="AL203" s="333"/>
      <c r="AM203" s="333"/>
    </row>
    <row r="204" spans="2:39" s="316" customFormat="1" ht="26.25" customHeight="1" x14ac:dyDescent="0.2">
      <c r="B204" s="340" t="str">
        <f t="array" ref="B204">IF(ISERROR(INDEX('Eingabe Meldungen'!$C$2:$C$492,LARGE(('Eingabe Meldungen'!$A$2:$A$492=$B$202)*(ROW('Eingabe Meldungen'!$A$2:$A$492)-1),COUNTIF('Eingabe Meldungen'!$A$2:$A$492,$B$202)+1-ROW('Eingabe Meldungen'!A1)))),"",INDEX('Eingabe Meldungen'!$C$2:$C$492,LARGE(('Eingabe Meldungen'!$A$2:$A$492=$B$202)*(ROW('Eingabe Meldungen'!$A$2:$A$492)-1),COUNTIF('Eingabe Meldungen'!$A$2:$A$492,$B$202)+1-ROW('Eingabe Meldungen'!A1))))</f>
        <v>Weiß</v>
      </c>
      <c r="C204" s="316" t="str">
        <f t="array" ref="C204">IF(ISERROR(INDEX('Eingabe Meldungen'!$D$2:$D$492,LARGE(('Eingabe Meldungen'!$A$2:$A$492=$B$202)*(ROW('Eingabe Meldungen'!$A$2:$A$492)-1),COUNTIF('Eingabe Meldungen'!$A$2:$A$492,$B$202)+1-ROW('Eingabe Meldungen'!A1)))),"",INDEX('Eingabe Meldungen'!$D$2:$D$492,LARGE(('Eingabe Meldungen'!$A$2:$A$492=$B$202)*(ROW('Eingabe Meldungen'!$A$2:$A$492)-1),COUNTIF('Eingabe Meldungen'!$A$2:$A$492,$B$202)+1-ROW('Eingabe Meldungen'!A1))))</f>
        <v>Annika</v>
      </c>
      <c r="D204" s="341">
        <f t="array" ref="D204">IF(B204&lt;&gt;"",INDEX('Eingabe Meldungen'!$C$2:$H$492,MATCH(B204&amp;C204,'Eingabe Meldungen'!$C$2:$C$492&amp;'Eingabe Meldungen'!$D$2:$D$492,0),6),"")</f>
        <v>2006</v>
      </c>
      <c r="E204" s="382" t="str">
        <f t="array" ref="E204">IF(B204&lt;&gt;"",INDEX('Eingabe Meldungen'!$C$2:$H$492,MATCH(B204&amp;C204,'Eingabe Meldungen'!$C$2:$C$492&amp;'Eingabe Meldungen'!$D$2:$D$492,0),4),"")</f>
        <v>-</v>
      </c>
      <c r="F204" s="353" t="s">
        <v>554</v>
      </c>
      <c r="G204" s="333">
        <v>2</v>
      </c>
      <c r="H204" s="343" t="str">
        <f t="array" ref="H204">IF(B204&lt;&gt;"",INDEX('Eingabe Meldungen'!$C$2:$J$492,MATCH(B204&amp;C204,'Eingabe Meldungen'!$C$2:$C$492&amp;'Eingabe Meldungen'!$D$2:$D$492,0),8),"")</f>
        <v>RC Nürtingen</v>
      </c>
      <c r="J204" s="332"/>
      <c r="K204" s="332"/>
      <c r="L204" s="332"/>
      <c r="M204" s="332">
        <v>5</v>
      </c>
      <c r="N204" s="332"/>
      <c r="O204" s="332"/>
      <c r="P204" s="332"/>
      <c r="Q204" s="332"/>
      <c r="R204" s="332"/>
      <c r="S204" s="332"/>
      <c r="T204" s="332"/>
      <c r="U204" s="332"/>
      <c r="V204" s="332"/>
      <c r="W204" s="332"/>
      <c r="X204" s="332"/>
      <c r="Y204" s="332"/>
      <c r="Z204" s="332"/>
      <c r="AA204" s="332"/>
      <c r="AB204" s="332"/>
      <c r="AC204" s="332"/>
      <c r="AD204" s="332"/>
      <c r="AE204" s="332"/>
      <c r="AF204" s="332"/>
      <c r="AG204" s="332"/>
      <c r="AH204" s="332"/>
      <c r="AI204" s="332"/>
      <c r="AJ204" s="333"/>
      <c r="AK204" s="333"/>
      <c r="AL204" s="333"/>
      <c r="AM204" s="333"/>
    </row>
    <row r="205" spans="2:39" s="316" customFormat="1" ht="26.25" customHeight="1" x14ac:dyDescent="0.2">
      <c r="B205" s="340" t="str">
        <f t="array" ref="B205">IF(ISERROR(INDEX('Eingabe Meldungen'!$C$2:$C$492,LARGE(('Eingabe Meldungen'!$A$2:$A$492=$B$202)*(ROW('Eingabe Meldungen'!$A$2:$A$492)-1),COUNTIF('Eingabe Meldungen'!$A$2:$A$492,$B$202)+1-ROW('Eingabe Meldungen'!A2)))),"",INDEX('Eingabe Meldungen'!$C$2:$C$492,LARGE(('Eingabe Meldungen'!$A$2:$A$492=$B$202)*(ROW('Eingabe Meldungen'!$A$2:$A$492)-1),COUNTIF('Eingabe Meldungen'!$A$2:$A$492,$B$202)+1-ROW('Eingabe Meldungen'!A2))))</f>
        <v>Nake</v>
      </c>
      <c r="C205" s="316" t="str">
        <f t="array" ref="C205">IF(ISERROR(INDEX('Eingabe Meldungen'!$D$2:$D$492,LARGE(('Eingabe Meldungen'!$A$2:$A$492=$B$202)*(ROW('Eingabe Meldungen'!$A$2:$A$492)-1),COUNTIF('Eingabe Meldungen'!$A$2:$A$492,$B$202)+1-ROW('Eingabe Meldungen'!A2)))),"",INDEX('Eingabe Meldungen'!$D$2:$D$492,LARGE(('Eingabe Meldungen'!$A$2:$A$492=$B$202)*(ROW('Eingabe Meldungen'!$A$2:$A$492)-1),COUNTIF('Eingabe Meldungen'!$A$2:$A$492,$B$202)+1-ROW('Eingabe Meldungen'!A2))))</f>
        <v>Antonia</v>
      </c>
      <c r="D205" s="341">
        <f t="array" ref="D205">IF(B205&lt;&gt;"",INDEX('Eingabe Meldungen'!$C$2:$H$492,MATCH(B205&amp;C205,'Eingabe Meldungen'!$C$2:$C$492&amp;'Eingabe Meldungen'!$D$2:$D$492,0),6),"")</f>
        <v>2006</v>
      </c>
      <c r="E205" s="382" t="str">
        <f t="array" ref="E205">IF(B205&lt;&gt;"",INDEX('Eingabe Meldungen'!$C$2:$H$492,MATCH(B205&amp;C205,'Eingabe Meldungen'!$C$2:$C$492&amp;'Eingabe Meldungen'!$D$2:$D$492,0),4),"")</f>
        <v>-</v>
      </c>
      <c r="F205" s="353" t="s">
        <v>553</v>
      </c>
      <c r="G205" s="333">
        <v>1</v>
      </c>
      <c r="H205" s="343" t="str">
        <f t="array" ref="H205">IF(B205&lt;&gt;"",INDEX('Eingabe Meldungen'!$C$2:$J$492,MATCH(B205&amp;C205,'Eingabe Meldungen'!$C$2:$C$492&amp;'Eingabe Meldungen'!$D$2:$D$492,0),8),"")</f>
        <v>Heidelberger Ruderklub</v>
      </c>
      <c r="J205" s="332"/>
      <c r="K205" s="332"/>
      <c r="L205" s="332">
        <v>7</v>
      </c>
      <c r="M205" s="332"/>
      <c r="N205" s="332"/>
      <c r="O205" s="332"/>
      <c r="P205" s="332"/>
      <c r="Q205" s="332"/>
      <c r="R205" s="332"/>
      <c r="S205" s="332"/>
      <c r="T205" s="332"/>
      <c r="U205" s="332"/>
      <c r="V205" s="332"/>
      <c r="W205" s="332"/>
      <c r="X205" s="332"/>
      <c r="Y205" s="332"/>
      <c r="Z205" s="332"/>
      <c r="AA205" s="332"/>
      <c r="AB205" s="332"/>
      <c r="AC205" s="332"/>
      <c r="AD205" s="332"/>
      <c r="AE205" s="332"/>
      <c r="AF205" s="332"/>
      <c r="AG205" s="332"/>
      <c r="AH205" s="332"/>
      <c r="AI205" s="332"/>
      <c r="AJ205" s="333"/>
      <c r="AK205" s="333"/>
      <c r="AL205" s="333"/>
      <c r="AM205" s="333"/>
    </row>
    <row r="206" spans="2:39" s="316" customFormat="1" ht="26.25" customHeight="1" x14ac:dyDescent="0.2">
      <c r="B206" s="340" t="str">
        <f t="array" ref="B206">IF(ISERROR(INDEX('Eingabe Meldungen'!$C$2:$C$492,LARGE(('Eingabe Meldungen'!$A$2:$A$492=$B$202)*(ROW('Eingabe Meldungen'!$A$2:$A$492)-1),COUNTIF('Eingabe Meldungen'!$A$2:$A$492,$B$202)+1-ROW('Eingabe Meldungen'!A3)))),"",INDEX('Eingabe Meldungen'!$C$2:$C$492,LARGE(('Eingabe Meldungen'!$A$2:$A$492=$B$202)*(ROW('Eingabe Meldungen'!$A$2:$A$492)-1),COUNTIF('Eingabe Meldungen'!$A$2:$A$492,$B$202)+1-ROW('Eingabe Meldungen'!A3))))</f>
        <v>Holländer</v>
      </c>
      <c r="C206" s="316" t="str">
        <f t="array" ref="C206">IF(ISERROR(INDEX('Eingabe Meldungen'!$D$2:$D$492,LARGE(('Eingabe Meldungen'!$A$2:$A$492=$B$202)*(ROW('Eingabe Meldungen'!$A$2:$A$492)-1),COUNTIF('Eingabe Meldungen'!$A$2:$A$492,$B$202)+1-ROW('Eingabe Meldungen'!A3)))),"",INDEX('Eingabe Meldungen'!$D$2:$D$492,LARGE(('Eingabe Meldungen'!$A$2:$A$492=$B$202)*(ROW('Eingabe Meldungen'!$A$2:$A$492)-1),COUNTIF('Eingabe Meldungen'!$A$2:$A$492,$B$202)+1-ROW('Eingabe Meldungen'!A3))))</f>
        <v>Elisa</v>
      </c>
      <c r="D206" s="341">
        <f t="array" ref="D206">IF(B206&lt;&gt;"",INDEX('Eingabe Meldungen'!$C$2:$H$492,MATCH(B206&amp;C206,'Eingabe Meldungen'!$C$2:$C$492&amp;'Eingabe Meldungen'!$D$2:$D$492,0),6),"")</f>
        <v>2006</v>
      </c>
      <c r="E206" s="382" t="str">
        <f t="array" ref="E206">IF(B206&lt;&gt;"",INDEX('Eingabe Meldungen'!$C$2:$H$492,MATCH(B206&amp;C206,'Eingabe Meldungen'!$C$2:$C$492&amp;'Eingabe Meldungen'!$D$2:$D$492,0),4),"")</f>
        <v>-</v>
      </c>
      <c r="F206" s="353" t="s">
        <v>559</v>
      </c>
      <c r="G206" s="333">
        <v>7</v>
      </c>
      <c r="H206" s="343" t="str">
        <f t="array" ref="H206">IF(B206&lt;&gt;"",INDEX('Eingabe Meldungen'!$C$2:$J$492,MATCH(B206&amp;C206,'Eingabe Meldungen'!$C$2:$C$492&amp;'Eingabe Meldungen'!$D$2:$D$492,0),8),"")</f>
        <v>Rudergesellschaft Heidelberg</v>
      </c>
      <c r="J206" s="332"/>
      <c r="K206" s="332"/>
      <c r="L206" s="332"/>
      <c r="M206" s="332"/>
      <c r="N206" s="332"/>
      <c r="O206" s="332"/>
      <c r="P206" s="332"/>
      <c r="Q206" s="332"/>
      <c r="R206" s="332"/>
      <c r="S206" s="332"/>
      <c r="T206" s="332"/>
      <c r="U206" s="332"/>
      <c r="V206" s="332"/>
      <c r="W206" s="332"/>
      <c r="X206" s="332"/>
      <c r="Y206" s="332"/>
      <c r="Z206" s="332"/>
      <c r="AA206" s="332"/>
      <c r="AB206" s="332"/>
      <c r="AC206" s="332"/>
      <c r="AD206" s="332"/>
      <c r="AE206" s="332"/>
      <c r="AF206" s="332"/>
      <c r="AG206" s="332"/>
      <c r="AH206" s="332"/>
      <c r="AI206" s="332"/>
      <c r="AJ206" s="333"/>
      <c r="AK206" s="333"/>
      <c r="AL206" s="333"/>
      <c r="AM206" s="333"/>
    </row>
    <row r="207" spans="2:39" s="316" customFormat="1" ht="26.25" customHeight="1" x14ac:dyDescent="0.2">
      <c r="B207" s="340" t="str">
        <f t="array" ref="B207">IF(ISERROR(INDEX('Eingabe Meldungen'!$C$2:$C$492,LARGE(('Eingabe Meldungen'!$A$2:$A$492=$B$202)*(ROW('Eingabe Meldungen'!$A$2:$A$492)-1),COUNTIF('Eingabe Meldungen'!$A$2:$A$492,$B$202)+1-ROW('Eingabe Meldungen'!A4)))),"",INDEX('Eingabe Meldungen'!$C$2:$C$492,LARGE(('Eingabe Meldungen'!$A$2:$A$492=$B$202)*(ROW('Eingabe Meldungen'!$A$2:$A$492)-1),COUNTIF('Eingabe Meldungen'!$A$2:$A$492,$B$202)+1-ROW('Eingabe Meldungen'!A4))))</f>
        <v>Heterle</v>
      </c>
      <c r="C207" s="316" t="str">
        <f t="array" ref="C207">IF(ISERROR(INDEX('Eingabe Meldungen'!$D$2:$D$492,LARGE(('Eingabe Meldungen'!$A$2:$A$492=$B$202)*(ROW('Eingabe Meldungen'!$A$2:$A$492)-1),COUNTIF('Eingabe Meldungen'!$A$2:$A$492,$B$202)+1-ROW('Eingabe Meldungen'!A4)))),"",INDEX('Eingabe Meldungen'!$D$2:$D$492,LARGE(('Eingabe Meldungen'!$A$2:$A$492=$B$202)*(ROW('Eingabe Meldungen'!$A$2:$A$492)-1),COUNTIF('Eingabe Meldungen'!$A$2:$A$492,$B$202)+1-ROW('Eingabe Meldungen'!A4))))</f>
        <v>Emilie</v>
      </c>
      <c r="D207" s="341">
        <f t="array" ref="D207">IF(B207&lt;&gt;"",INDEX('Eingabe Meldungen'!$C$2:$H$492,MATCH(B207&amp;C207,'Eingabe Meldungen'!$C$2:$C$492&amp;'Eingabe Meldungen'!$D$2:$D$492,0),6),"")</f>
        <v>2006</v>
      </c>
      <c r="E207" s="382" t="str">
        <f t="array" ref="E207">IF(B207&lt;&gt;"",INDEX('Eingabe Meldungen'!$C$2:$H$492,MATCH(B207&amp;C207,'Eingabe Meldungen'!$C$2:$C$492&amp;'Eingabe Meldungen'!$D$2:$D$492,0),4),"")</f>
        <v>-</v>
      </c>
      <c r="F207" s="353" t="s">
        <v>561</v>
      </c>
      <c r="G207" s="333">
        <v>9</v>
      </c>
      <c r="H207" s="343" t="str">
        <f t="array" ref="H207">IF(B207&lt;&gt;"",INDEX('Eingabe Meldungen'!$C$2:$J$492,MATCH(B207&amp;C207,'Eingabe Meldungen'!$C$2:$C$492&amp;'Eingabe Meldungen'!$D$2:$D$492,0),8),"")</f>
        <v>Rudergesellschaft Heidelberg</v>
      </c>
      <c r="J207" s="332"/>
      <c r="K207" s="332"/>
      <c r="L207" s="332"/>
      <c r="M207" s="332"/>
      <c r="N207" s="332"/>
      <c r="O207" s="332"/>
      <c r="P207" s="332"/>
      <c r="Q207" s="332"/>
      <c r="R207" s="332"/>
      <c r="S207" s="332"/>
      <c r="T207" s="332"/>
      <c r="U207" s="332"/>
      <c r="V207" s="332"/>
      <c r="W207" s="332"/>
      <c r="X207" s="332"/>
      <c r="Y207" s="332"/>
      <c r="Z207" s="332"/>
      <c r="AA207" s="332"/>
      <c r="AB207" s="332"/>
      <c r="AC207" s="332"/>
      <c r="AD207" s="332"/>
      <c r="AE207" s="332"/>
      <c r="AF207" s="332"/>
      <c r="AG207" s="332"/>
      <c r="AH207" s="332"/>
      <c r="AI207" s="332"/>
      <c r="AJ207" s="333"/>
      <c r="AK207" s="333"/>
      <c r="AL207" s="333"/>
      <c r="AM207" s="333"/>
    </row>
    <row r="208" spans="2:39" s="316" customFormat="1" ht="26.25" customHeight="1" x14ac:dyDescent="0.2">
      <c r="B208" s="340" t="str">
        <f t="array" ref="B208">IF(ISERROR(INDEX('Eingabe Meldungen'!$C$2:$C$492,LARGE(('Eingabe Meldungen'!$A$2:$A$492=$B$202)*(ROW('Eingabe Meldungen'!$A$2:$A$492)-1),COUNTIF('Eingabe Meldungen'!$A$2:$A$492,$B$202)+1-ROW('Eingabe Meldungen'!A5)))),"",INDEX('Eingabe Meldungen'!$C$2:$C$492,LARGE(('Eingabe Meldungen'!$A$2:$A$492=$B$202)*(ROW('Eingabe Meldungen'!$A$2:$A$492)-1),COUNTIF('Eingabe Meldungen'!$A$2:$A$492,$B$202)+1-ROW('Eingabe Meldungen'!A5))))</f>
        <v>Stirner</v>
      </c>
      <c r="C208" s="316" t="str">
        <f t="array" ref="C208">IF(ISERROR(INDEX('Eingabe Meldungen'!$D$2:$D$492,LARGE(('Eingabe Meldungen'!$A$2:$A$492=$B$202)*(ROW('Eingabe Meldungen'!$A$2:$A$492)-1),COUNTIF('Eingabe Meldungen'!$A$2:$A$492,$B$202)+1-ROW('Eingabe Meldungen'!A5)))),"",INDEX('Eingabe Meldungen'!$D$2:$D$492,LARGE(('Eingabe Meldungen'!$A$2:$A$492=$B$202)*(ROW('Eingabe Meldungen'!$A$2:$A$492)-1),COUNTIF('Eingabe Meldungen'!$A$2:$A$492,$B$202)+1-ROW('Eingabe Meldungen'!A5))))</f>
        <v>Emilie</v>
      </c>
      <c r="D208" s="341">
        <f t="array" ref="D208">IF(B208&lt;&gt;"",INDEX('Eingabe Meldungen'!$C$2:$H$492,MATCH(B208&amp;C208,'Eingabe Meldungen'!$C$2:$C$492&amp;'Eingabe Meldungen'!$D$2:$D$492,0),6),"")</f>
        <v>2006</v>
      </c>
      <c r="E208" s="382" t="str">
        <f t="array" ref="E208">IF(B208&lt;&gt;"",INDEX('Eingabe Meldungen'!$C$2:$H$492,MATCH(B208&amp;C208,'Eingabe Meldungen'!$C$2:$C$492&amp;'Eingabe Meldungen'!$D$2:$D$492,0),4),"")</f>
        <v>-</v>
      </c>
      <c r="F208" s="353" t="s">
        <v>556</v>
      </c>
      <c r="G208" s="333">
        <v>4</v>
      </c>
      <c r="H208" s="343" t="str">
        <f t="array" ref="H208">IF(B208&lt;&gt;"",INDEX('Eingabe Meldungen'!$C$2:$J$492,MATCH(B208&amp;C208,'Eingabe Meldungen'!$C$2:$C$492&amp;'Eingabe Meldungen'!$D$2:$D$492,0),8),"")</f>
        <v>Marbacher Ruderverein</v>
      </c>
      <c r="J208" s="332"/>
      <c r="K208" s="332"/>
      <c r="L208" s="332"/>
      <c r="M208" s="332"/>
      <c r="N208" s="332"/>
      <c r="O208" s="332">
        <v>2</v>
      </c>
      <c r="P208" s="332"/>
      <c r="Q208" s="332"/>
      <c r="R208" s="332"/>
      <c r="S208" s="332"/>
      <c r="T208" s="332"/>
      <c r="U208" s="332"/>
      <c r="V208" s="332"/>
      <c r="W208" s="332"/>
      <c r="X208" s="332"/>
      <c r="Y208" s="332"/>
      <c r="Z208" s="332"/>
      <c r="AA208" s="332"/>
      <c r="AB208" s="332"/>
      <c r="AC208" s="332"/>
      <c r="AD208" s="332"/>
      <c r="AE208" s="332"/>
      <c r="AF208" s="332"/>
      <c r="AG208" s="332"/>
      <c r="AH208" s="332"/>
      <c r="AI208" s="332"/>
      <c r="AJ208" s="333"/>
      <c r="AK208" s="333"/>
      <c r="AL208" s="333"/>
      <c r="AM208" s="333"/>
    </row>
    <row r="209" spans="2:39" s="316" customFormat="1" ht="26.25" customHeight="1" x14ac:dyDescent="0.2">
      <c r="B209" s="340" t="str">
        <f t="array" ref="B209">IF(ISERROR(INDEX('Eingabe Meldungen'!$C$2:$C$492,LARGE(('Eingabe Meldungen'!$A$2:$A$492=$B$202)*(ROW('Eingabe Meldungen'!$A$2:$A$492)-1),COUNTIF('Eingabe Meldungen'!$A$2:$A$492,$B$202)+1-ROW('Eingabe Meldungen'!A6)))),"",INDEX('Eingabe Meldungen'!$C$2:$C$492,LARGE(('Eingabe Meldungen'!$A$2:$A$492=$B$202)*(ROW('Eingabe Meldungen'!$A$2:$A$492)-1),COUNTIF('Eingabe Meldungen'!$A$2:$A$492,$B$202)+1-ROW('Eingabe Meldungen'!A6))))</f>
        <v>Michel</v>
      </c>
      <c r="C209" s="316" t="str">
        <f t="array" ref="C209">IF(ISERROR(INDEX('Eingabe Meldungen'!$D$2:$D$492,LARGE(('Eingabe Meldungen'!$A$2:$A$492=$B$202)*(ROW('Eingabe Meldungen'!$A$2:$A$492)-1),COUNTIF('Eingabe Meldungen'!$A$2:$A$492,$B$202)+1-ROW('Eingabe Meldungen'!A6)))),"",INDEX('Eingabe Meldungen'!$D$2:$D$492,LARGE(('Eingabe Meldungen'!$A$2:$A$492=$B$202)*(ROW('Eingabe Meldungen'!$A$2:$A$492)-1),COUNTIF('Eingabe Meldungen'!$A$2:$A$492,$B$202)+1-ROW('Eingabe Meldungen'!A6))))</f>
        <v>Lene</v>
      </c>
      <c r="D209" s="341">
        <f t="array" ref="D209">IF(B209&lt;&gt;"",INDEX('Eingabe Meldungen'!$C$2:$H$492,MATCH(B209&amp;C209,'Eingabe Meldungen'!$C$2:$C$492&amp;'Eingabe Meldungen'!$D$2:$D$492,0),6),"")</f>
        <v>2006</v>
      </c>
      <c r="E209" s="382" t="str">
        <f t="array" ref="E209">IF(B209&lt;&gt;"",INDEX('Eingabe Meldungen'!$C$2:$H$492,MATCH(B209&amp;C209,'Eingabe Meldungen'!$C$2:$C$492&amp;'Eingabe Meldungen'!$D$2:$D$492,0),4),"")</f>
        <v>-</v>
      </c>
      <c r="F209" s="353" t="s">
        <v>558</v>
      </c>
      <c r="G209" s="333">
        <v>6</v>
      </c>
      <c r="H209" s="343" t="str">
        <f t="array" ref="H209">IF(B209&lt;&gt;"",INDEX('Eingabe Meldungen'!$C$2:$J$492,MATCH(B209&amp;C209,'Eingabe Meldungen'!$C$2:$C$492&amp;'Eingabe Meldungen'!$D$2:$D$492,0),8),"")</f>
        <v>Rudergesellschaft Heidelberg</v>
      </c>
      <c r="J209" s="332"/>
      <c r="K209" s="332"/>
      <c r="L209" s="332"/>
      <c r="M209" s="332"/>
      <c r="N209" s="332"/>
      <c r="O209" s="332"/>
      <c r="P209" s="332"/>
      <c r="Q209" s="332"/>
      <c r="R209" s="332"/>
      <c r="S209" s="332"/>
      <c r="T209" s="332"/>
      <c r="U209" s="332"/>
      <c r="V209" s="332"/>
      <c r="W209" s="332"/>
      <c r="X209" s="332"/>
      <c r="Y209" s="332"/>
      <c r="Z209" s="332"/>
      <c r="AA209" s="332"/>
      <c r="AB209" s="332"/>
      <c r="AC209" s="332"/>
      <c r="AD209" s="332"/>
      <c r="AE209" s="332"/>
      <c r="AF209" s="332"/>
      <c r="AG209" s="332"/>
      <c r="AH209" s="332"/>
      <c r="AI209" s="332"/>
      <c r="AJ209" s="333"/>
      <c r="AK209" s="333"/>
      <c r="AL209" s="333"/>
      <c r="AM209" s="333"/>
    </row>
    <row r="210" spans="2:39" s="316" customFormat="1" ht="26.25" customHeight="1" x14ac:dyDescent="0.2">
      <c r="B210" s="340" t="str">
        <f t="array" ref="B210">IF(ISERROR(INDEX('Eingabe Meldungen'!$C$2:$C$492,LARGE(('Eingabe Meldungen'!$A$2:$A$492=$B$202)*(ROW('Eingabe Meldungen'!$A$2:$A$492)-1),COUNTIF('Eingabe Meldungen'!$A$2:$A$492,$B$202)+1-ROW('Eingabe Meldungen'!A7)))),"",INDEX('Eingabe Meldungen'!$C$2:$C$492,LARGE(('Eingabe Meldungen'!$A$2:$A$492=$B$202)*(ROW('Eingabe Meldungen'!$A$2:$A$492)-1),COUNTIF('Eingabe Meldungen'!$A$2:$A$492,$B$202)+1-ROW('Eingabe Meldungen'!A7))))</f>
        <v>Mayer</v>
      </c>
      <c r="C210" s="316" t="str">
        <f t="array" ref="C210">IF(ISERROR(INDEX('Eingabe Meldungen'!$D$2:$D$492,LARGE(('Eingabe Meldungen'!$A$2:$A$492=$B$202)*(ROW('Eingabe Meldungen'!$A$2:$A$492)-1),COUNTIF('Eingabe Meldungen'!$A$2:$A$492,$B$202)+1-ROW('Eingabe Meldungen'!A7)))),"",INDEX('Eingabe Meldungen'!$D$2:$D$492,LARGE(('Eingabe Meldungen'!$A$2:$A$492=$B$202)*(ROW('Eingabe Meldungen'!$A$2:$A$492)-1),COUNTIF('Eingabe Meldungen'!$A$2:$A$492,$B$202)+1-ROW('Eingabe Meldungen'!A7))))</f>
        <v>Lilly</v>
      </c>
      <c r="D210" s="341">
        <f t="array" ref="D210">IF(B210&lt;&gt;"",INDEX('Eingabe Meldungen'!$C$2:$H$492,MATCH(B210&amp;C210,'Eingabe Meldungen'!$C$2:$C$492&amp;'Eingabe Meldungen'!$D$2:$D$492,0),6),"")</f>
        <v>2006</v>
      </c>
      <c r="E210" s="382" t="str">
        <f t="array" ref="E210">IF(B210&lt;&gt;"",INDEX('Eingabe Meldungen'!$C$2:$H$492,MATCH(B210&amp;C210,'Eingabe Meldungen'!$C$2:$C$492&amp;'Eingabe Meldungen'!$D$2:$D$492,0),4),"")</f>
        <v>-</v>
      </c>
      <c r="F210" s="353" t="s">
        <v>557</v>
      </c>
      <c r="G210" s="333">
        <v>5</v>
      </c>
      <c r="H210" s="343" t="str">
        <f t="array" ref="H210">IF(B210&lt;&gt;"",INDEX('Eingabe Meldungen'!$C$2:$J$492,MATCH(B210&amp;C210,'Eingabe Meldungen'!$C$2:$C$492&amp;'Eingabe Meldungen'!$D$2:$D$492,0),8),"")</f>
        <v>RC Nürtingen</v>
      </c>
      <c r="J210" s="332"/>
      <c r="K210" s="332"/>
      <c r="L210" s="332"/>
      <c r="M210" s="332">
        <v>1</v>
      </c>
      <c r="N210" s="332"/>
      <c r="O210" s="332"/>
      <c r="P210" s="332"/>
      <c r="Q210" s="332"/>
      <c r="R210" s="332"/>
      <c r="S210" s="332"/>
      <c r="T210" s="332"/>
      <c r="U210" s="332"/>
      <c r="V210" s="332"/>
      <c r="W210" s="332"/>
      <c r="X210" s="332"/>
      <c r="Y210" s="332"/>
      <c r="Z210" s="332"/>
      <c r="AA210" s="332"/>
      <c r="AB210" s="332"/>
      <c r="AC210" s="332"/>
      <c r="AD210" s="332"/>
      <c r="AE210" s="332"/>
      <c r="AF210" s="332"/>
      <c r="AG210" s="332"/>
      <c r="AH210" s="332"/>
      <c r="AI210" s="332"/>
      <c r="AJ210" s="333"/>
      <c r="AK210" s="333"/>
      <c r="AL210" s="333"/>
      <c r="AM210" s="333"/>
    </row>
    <row r="211" spans="2:39" s="316" customFormat="1" ht="26.25" customHeight="1" x14ac:dyDescent="0.2">
      <c r="B211" s="340" t="str">
        <f t="array" ref="B211">IF(ISERROR(INDEX('Eingabe Meldungen'!$C$2:$C$492,LARGE(('Eingabe Meldungen'!$A$2:$A$492=$B$202)*(ROW('Eingabe Meldungen'!$A$2:$A$492)-1),COUNTIF('Eingabe Meldungen'!$A$2:$A$492,$B$202)+1-ROW('Eingabe Meldungen'!A8)))),"",INDEX('Eingabe Meldungen'!$C$2:$C$492,LARGE(('Eingabe Meldungen'!$A$2:$A$492=$B$202)*(ROW('Eingabe Meldungen'!$A$2:$A$492)-1),COUNTIF('Eingabe Meldungen'!$A$2:$A$492,$B$202)+1-ROW('Eingabe Meldungen'!A8))))</f>
        <v>Oppold</v>
      </c>
      <c r="C211" s="316" t="str">
        <f t="array" ref="C211">IF(ISERROR(INDEX('Eingabe Meldungen'!$D$2:$D$492,LARGE(('Eingabe Meldungen'!$A$2:$A$492=$B$202)*(ROW('Eingabe Meldungen'!$A$2:$A$492)-1),COUNTIF('Eingabe Meldungen'!$A$2:$A$492,$B$202)+1-ROW('Eingabe Meldungen'!A8)))),"",INDEX('Eingabe Meldungen'!$D$2:$D$492,LARGE(('Eingabe Meldungen'!$A$2:$A$492=$B$202)*(ROW('Eingabe Meldungen'!$A$2:$A$492)-1),COUNTIF('Eingabe Meldungen'!$A$2:$A$492,$B$202)+1-ROW('Eingabe Meldungen'!A8))))</f>
        <v>Marlene</v>
      </c>
      <c r="D211" s="341">
        <f t="array" ref="D211">IF(B211&lt;&gt;"",INDEX('Eingabe Meldungen'!$C$2:$H$492,MATCH(B211&amp;C211,'Eingabe Meldungen'!$C$2:$C$492&amp;'Eingabe Meldungen'!$D$2:$D$492,0),6),"")</f>
        <v>2006</v>
      </c>
      <c r="E211" s="382" t="str">
        <f t="array" ref="E211">IF(B211&lt;&gt;"",INDEX('Eingabe Meldungen'!$C$2:$H$492,MATCH(B211&amp;C211,'Eingabe Meldungen'!$C$2:$C$492&amp;'Eingabe Meldungen'!$D$2:$D$492,0),4),"")</f>
        <v>-</v>
      </c>
      <c r="F211" s="353" t="s">
        <v>555</v>
      </c>
      <c r="G211" s="333">
        <v>3</v>
      </c>
      <c r="H211" s="343" t="str">
        <f t="array" ref="H211">IF(B211&lt;&gt;"",INDEX('Eingabe Meldungen'!$C$2:$J$492,MATCH(B211&amp;C211,'Eingabe Meldungen'!$C$2:$C$492&amp;'Eingabe Meldungen'!$D$2:$D$492,0),8),"")</f>
        <v>Stuttgart-Cannstatter RC</v>
      </c>
      <c r="J211" s="332"/>
      <c r="K211" s="332"/>
      <c r="L211" s="332"/>
      <c r="M211" s="332"/>
      <c r="N211" s="332"/>
      <c r="O211" s="332"/>
      <c r="P211" s="332"/>
      <c r="Q211" s="332"/>
      <c r="R211" s="332"/>
      <c r="S211" s="332"/>
      <c r="T211" s="332">
        <v>3</v>
      </c>
      <c r="U211" s="332"/>
      <c r="V211" s="332"/>
      <c r="W211" s="332"/>
      <c r="X211" s="332"/>
      <c r="Y211" s="332"/>
      <c r="Z211" s="332"/>
      <c r="AA211" s="332"/>
      <c r="AB211" s="332"/>
      <c r="AC211" s="332"/>
      <c r="AD211" s="332"/>
      <c r="AE211" s="332"/>
      <c r="AF211" s="332"/>
      <c r="AG211" s="332"/>
      <c r="AH211" s="332"/>
      <c r="AI211" s="332"/>
      <c r="AJ211" s="333"/>
      <c r="AK211" s="333"/>
      <c r="AL211" s="333"/>
      <c r="AM211" s="333"/>
    </row>
    <row r="212" spans="2:39" s="316" customFormat="1" ht="26.25" customHeight="1" x14ac:dyDescent="0.2">
      <c r="B212" s="340"/>
      <c r="D212" s="341"/>
      <c r="E212" s="382"/>
      <c r="F212" s="353"/>
      <c r="G212" s="333"/>
      <c r="H212" s="343"/>
      <c r="J212" s="332"/>
      <c r="K212" s="332"/>
      <c r="L212" s="332"/>
      <c r="M212" s="332"/>
      <c r="N212" s="332"/>
      <c r="O212" s="332"/>
      <c r="P212" s="332"/>
      <c r="Q212" s="332"/>
      <c r="R212" s="332"/>
      <c r="S212" s="332"/>
      <c r="T212" s="332"/>
      <c r="U212" s="332"/>
      <c r="V212" s="332"/>
      <c r="W212" s="332"/>
      <c r="X212" s="332"/>
      <c r="Y212" s="332"/>
      <c r="Z212" s="332"/>
      <c r="AA212" s="332"/>
      <c r="AB212" s="332"/>
      <c r="AC212" s="332"/>
      <c r="AD212" s="332"/>
      <c r="AE212" s="332"/>
      <c r="AF212" s="332"/>
      <c r="AG212" s="332"/>
      <c r="AH212" s="332"/>
      <c r="AI212" s="332"/>
      <c r="AJ212" s="333"/>
      <c r="AK212" s="333"/>
      <c r="AL212" s="333"/>
      <c r="AM212" s="333"/>
    </row>
    <row r="213" spans="2:39" s="316" customFormat="1" ht="26.25" customHeight="1" x14ac:dyDescent="0.2">
      <c r="B213" s="340" t="str">
        <f t="array" ref="B213">IF(ISERROR(INDEX('Eingabe Meldungen'!$C$2:$C$492,LARGE(('Eingabe Meldungen'!$A$2:$A$492=$B$202)*(ROW('Eingabe Meldungen'!$A$2:$A$492)-1),COUNTIF('Eingabe Meldungen'!$A$2:$A$492,$B$202)+1-ROW('Eingabe Meldungen'!A10)))),"",INDEX('Eingabe Meldungen'!$C$2:$C$492,LARGE(('Eingabe Meldungen'!$A$2:$A$492=$B$202)*(ROW('Eingabe Meldungen'!$A$2:$A$492)-1),COUNTIF('Eingabe Meldungen'!$A$2:$A$492,$B$202)+1-ROW('Eingabe Meldungen'!A10))))</f>
        <v>Gürth</v>
      </c>
      <c r="C213" s="316" t="str">
        <f t="array" ref="C213">IF(ISERROR(INDEX('Eingabe Meldungen'!$D$2:$D$492,LARGE(('Eingabe Meldungen'!$A$2:$A$492=$B$202)*(ROW('Eingabe Meldungen'!$A$2:$A$492)-1),COUNTIF('Eingabe Meldungen'!$A$2:$A$492,$B$202)+1-ROW('Eingabe Meldungen'!A10)))),"",INDEX('Eingabe Meldungen'!$D$2:$D$492,LARGE(('Eingabe Meldungen'!$A$2:$A$492=$B$202)*(ROW('Eingabe Meldungen'!$A$2:$A$492)-1),COUNTIF('Eingabe Meldungen'!$A$2:$A$492,$B$202)+1-ROW('Eingabe Meldungen'!A10))))</f>
        <v>Mona</v>
      </c>
      <c r="D213" s="341">
        <f t="array" ref="D213">IF(B213&lt;&gt;"",INDEX('Eingabe Meldungen'!$C$2:$H$492,MATCH(B213&amp;C213,'Eingabe Meldungen'!$C$2:$C$492&amp;'Eingabe Meldungen'!$D$2:$D$492,0),6),"")</f>
        <v>2006</v>
      </c>
      <c r="E213" s="382" t="str">
        <f t="array" ref="E213">IF(B213&lt;&gt;"",INDEX('Eingabe Meldungen'!$C$2:$H$492,MATCH(B213&amp;C213,'Eingabe Meldungen'!$C$2:$C$492&amp;'Eingabe Meldungen'!$D$2:$D$492,0),4),"")</f>
        <v>-</v>
      </c>
      <c r="F213" s="353" t="s">
        <v>560</v>
      </c>
      <c r="G213" s="333">
        <v>8</v>
      </c>
      <c r="H213" s="343" t="str">
        <f t="array" ref="H213">IF(B213&lt;&gt;"",INDEX('Eingabe Meldungen'!$C$2:$J$492,MATCH(B213&amp;C213,'Eingabe Meldungen'!$C$2:$C$492&amp;'Eingabe Meldungen'!$D$2:$D$492,0),8),"")</f>
        <v>Rudergesellschaft Heidelberg</v>
      </c>
      <c r="J213" s="332"/>
      <c r="K213" s="332"/>
      <c r="L213" s="332"/>
      <c r="M213" s="332"/>
      <c r="N213" s="332"/>
      <c r="O213" s="332"/>
      <c r="P213" s="332"/>
      <c r="Q213" s="332"/>
      <c r="R213" s="332"/>
      <c r="S213" s="332"/>
      <c r="T213" s="332"/>
      <c r="U213" s="332"/>
      <c r="V213" s="332"/>
      <c r="W213" s="332"/>
      <c r="X213" s="332"/>
      <c r="Y213" s="332"/>
      <c r="Z213" s="332"/>
      <c r="AA213" s="332"/>
      <c r="AB213" s="332"/>
      <c r="AC213" s="332"/>
      <c r="AD213" s="332"/>
      <c r="AE213" s="332"/>
      <c r="AF213" s="332"/>
      <c r="AG213" s="332"/>
      <c r="AH213" s="332"/>
      <c r="AI213" s="332"/>
      <c r="AJ213" s="333"/>
      <c r="AK213" s="333"/>
      <c r="AL213" s="333"/>
      <c r="AM213" s="333"/>
    </row>
    <row r="214" spans="2:39" s="316" customFormat="1" ht="26.25" customHeight="1" x14ac:dyDescent="0.2">
      <c r="B214" s="340" t="str">
        <f t="array" ref="B214">IF(ISERROR(INDEX('Eingabe Meldungen'!$C$2:$C$492,LARGE(('Eingabe Meldungen'!$A$2:$A$492=$B$202)*(ROW('Eingabe Meldungen'!$A$2:$A$492)-1),COUNTIF('Eingabe Meldungen'!$A$2:$A$492,$B$202)+1-ROW('Eingabe Meldungen'!A11)))),"",INDEX('Eingabe Meldungen'!$C$2:$C$492,LARGE(('Eingabe Meldungen'!$A$2:$A$492=$B$202)*(ROW('Eingabe Meldungen'!$A$2:$A$492)-1),COUNTIF('Eingabe Meldungen'!$A$2:$A$492,$B$202)+1-ROW('Eingabe Meldungen'!A11))))</f>
        <v/>
      </c>
      <c r="C214" s="316" t="str">
        <f t="array" ref="C214">IF(ISERROR(INDEX('Eingabe Meldungen'!$D$2:$D$492,LARGE(('Eingabe Meldungen'!$A$2:$A$492=$B$202)*(ROW('Eingabe Meldungen'!$A$2:$A$492)-1),COUNTIF('Eingabe Meldungen'!$A$2:$A$492,$B$202)+1-ROW('Eingabe Meldungen'!A11)))),"",INDEX('Eingabe Meldungen'!$D$2:$D$492,LARGE(('Eingabe Meldungen'!$A$2:$A$492=$B$202)*(ROW('Eingabe Meldungen'!$A$2:$A$492)-1),COUNTIF('Eingabe Meldungen'!$A$2:$A$492,$B$202)+1-ROW('Eingabe Meldungen'!A11))))</f>
        <v/>
      </c>
      <c r="D214" s="341" t="str">
        <f t="array" ref="D214">IF(B214&lt;&gt;"",INDEX('Eingabe Meldungen'!$C$2:$H$492,MATCH(B214&amp;C214,'Eingabe Meldungen'!$C$2:$C$492&amp;'Eingabe Meldungen'!$D$2:$D$492,0),6),"")</f>
        <v/>
      </c>
      <c r="E214" s="382" t="str">
        <f t="array" ref="E214">IF(B214&lt;&gt;"",INDEX('Eingabe Meldungen'!$C$2:$H$492,MATCH(B214&amp;C214,'Eingabe Meldungen'!$C$2:$C$492&amp;'Eingabe Meldungen'!$D$2:$D$492,0),4),"")</f>
        <v/>
      </c>
      <c r="F214" s="353" t="e">
        <f>IF(VLOOKUP(B214,Rennlisten!$B$131:$H$140,6,FALSE)=0,"",VLOOKUP(B214,Rennlisten!$B$131:$H$140,6,FALSE))</f>
        <v>#N/A</v>
      </c>
      <c r="G214" s="333" t="e">
        <f t="shared" ref="G214:G218" si="27">RANK(F214,$F$204:$F$218,1)</f>
        <v>#N/A</v>
      </c>
      <c r="H214" s="343" t="str">
        <f t="array" ref="H214">IF(B214&lt;&gt;"",INDEX('Eingabe Meldungen'!$C$2:$J$492,MATCH(B214&amp;C214,'Eingabe Meldungen'!$C$2:$C$492&amp;'Eingabe Meldungen'!$D$2:$D$492,0),8),"")</f>
        <v/>
      </c>
      <c r="J214" s="332"/>
      <c r="K214" s="332"/>
      <c r="L214" s="332"/>
      <c r="M214" s="332"/>
      <c r="N214" s="332"/>
      <c r="O214" s="332"/>
      <c r="P214" s="332"/>
      <c r="Q214" s="332"/>
      <c r="R214" s="332"/>
      <c r="S214" s="332"/>
      <c r="T214" s="332"/>
      <c r="U214" s="332"/>
      <c r="V214" s="332"/>
      <c r="W214" s="332"/>
      <c r="X214" s="332"/>
      <c r="Y214" s="332"/>
      <c r="Z214" s="332"/>
      <c r="AA214" s="332"/>
      <c r="AB214" s="332"/>
      <c r="AC214" s="332"/>
      <c r="AD214" s="332"/>
      <c r="AE214" s="332"/>
      <c r="AF214" s="332"/>
      <c r="AG214" s="332"/>
      <c r="AH214" s="332"/>
      <c r="AI214" s="332"/>
      <c r="AJ214" s="333"/>
      <c r="AK214" s="333"/>
      <c r="AL214" s="333"/>
      <c r="AM214" s="333"/>
    </row>
    <row r="215" spans="2:39" s="316" customFormat="1" ht="26.25" customHeight="1" x14ac:dyDescent="0.2">
      <c r="B215" s="340" t="str">
        <f t="array" ref="B215">IF(ISERROR(INDEX('Eingabe Meldungen'!$C$2:$C$492,LARGE(('Eingabe Meldungen'!$A$2:$A$492=$B$202)*(ROW('Eingabe Meldungen'!$A$2:$A$492)-1),COUNTIF('Eingabe Meldungen'!$A$2:$A$492,$B$202)+1-ROW('Eingabe Meldungen'!A12)))),"",INDEX('Eingabe Meldungen'!$C$2:$C$492,LARGE(('Eingabe Meldungen'!$A$2:$A$492=$B$202)*(ROW('Eingabe Meldungen'!$A$2:$A$492)-1),COUNTIF('Eingabe Meldungen'!$A$2:$A$492,$B$202)+1-ROW('Eingabe Meldungen'!A12))))</f>
        <v/>
      </c>
      <c r="C215" s="316" t="str">
        <f t="array" ref="C215">IF(ISERROR(INDEX('Eingabe Meldungen'!$D$2:$D$492,LARGE(('Eingabe Meldungen'!$A$2:$A$492=$B$202)*(ROW('Eingabe Meldungen'!$A$2:$A$492)-1),COUNTIF('Eingabe Meldungen'!$A$2:$A$492,$B$202)+1-ROW('Eingabe Meldungen'!A12)))),"",INDEX('Eingabe Meldungen'!$D$2:$D$492,LARGE(('Eingabe Meldungen'!$A$2:$A$492=$B$202)*(ROW('Eingabe Meldungen'!$A$2:$A$492)-1),COUNTIF('Eingabe Meldungen'!$A$2:$A$492,$B$202)+1-ROW('Eingabe Meldungen'!A12))))</f>
        <v/>
      </c>
      <c r="D215" s="341" t="str">
        <f t="array" ref="D215">IF(B215&lt;&gt;"",INDEX('Eingabe Meldungen'!$C$2:$H$492,MATCH(B215&amp;C215,'Eingabe Meldungen'!$C$2:$C$492&amp;'Eingabe Meldungen'!$D$2:$D$492,0),6),"")</f>
        <v/>
      </c>
      <c r="E215" s="382" t="str">
        <f t="array" ref="E215">IF(B215&lt;&gt;"",INDEX('Eingabe Meldungen'!$C$2:$H$492,MATCH(B215&amp;C215,'Eingabe Meldungen'!$C$2:$C$492&amp;'Eingabe Meldungen'!$D$2:$D$492,0),4),"")</f>
        <v/>
      </c>
      <c r="F215" s="353" t="e">
        <f>IF(VLOOKUP(B215,Rennlisten!$B$131:$H$140,6,FALSE)=0,"",VLOOKUP(B215,Rennlisten!$B$131:$H$140,6,FALSE))</f>
        <v>#N/A</v>
      </c>
      <c r="G215" s="333" t="e">
        <f t="shared" si="27"/>
        <v>#N/A</v>
      </c>
      <c r="H215" s="343" t="str">
        <f t="array" ref="H215">IF(B215&lt;&gt;"",INDEX('Eingabe Meldungen'!$C$2:$J$492,MATCH(B215&amp;C215,'Eingabe Meldungen'!$C$2:$C$492&amp;'Eingabe Meldungen'!$D$2:$D$492,0),8),"")</f>
        <v/>
      </c>
      <c r="J215" s="332"/>
      <c r="K215" s="332"/>
      <c r="L215" s="332"/>
      <c r="M215" s="332"/>
      <c r="N215" s="332"/>
      <c r="O215" s="332"/>
      <c r="P215" s="332"/>
      <c r="Q215" s="332"/>
      <c r="R215" s="332"/>
      <c r="S215" s="332"/>
      <c r="T215" s="332"/>
      <c r="U215" s="332"/>
      <c r="V215" s="332"/>
      <c r="W215" s="332"/>
      <c r="X215" s="332"/>
      <c r="Y215" s="332"/>
      <c r="Z215" s="332"/>
      <c r="AA215" s="332"/>
      <c r="AB215" s="332"/>
      <c r="AC215" s="332"/>
      <c r="AD215" s="332"/>
      <c r="AE215" s="332"/>
      <c r="AF215" s="332"/>
      <c r="AG215" s="332"/>
      <c r="AH215" s="332"/>
      <c r="AI215" s="332"/>
      <c r="AJ215" s="333"/>
      <c r="AK215" s="333"/>
      <c r="AL215" s="333"/>
      <c r="AM215" s="333"/>
    </row>
    <row r="216" spans="2:39" s="316" customFormat="1" ht="26.25" customHeight="1" x14ac:dyDescent="0.2">
      <c r="B216" s="340" t="str">
        <f t="array" ref="B216">IF(ISERROR(INDEX('Eingabe Meldungen'!$C$2:$C$492,LARGE(('Eingabe Meldungen'!$A$2:$A$492=$B$202)*(ROW('Eingabe Meldungen'!$A$2:$A$492)-1),COUNTIF('Eingabe Meldungen'!$A$2:$A$492,$B$202)+1-ROW('Eingabe Meldungen'!A13)))),"",INDEX('Eingabe Meldungen'!$C$2:$C$492,LARGE(('Eingabe Meldungen'!$A$2:$A$492=$B$202)*(ROW('Eingabe Meldungen'!$A$2:$A$492)-1),COUNTIF('Eingabe Meldungen'!$A$2:$A$492,$B$202)+1-ROW('Eingabe Meldungen'!A13))))</f>
        <v/>
      </c>
      <c r="C216" s="316" t="str">
        <f t="array" ref="C216">IF(ISERROR(INDEX('Eingabe Meldungen'!$D$2:$D$492,LARGE(('Eingabe Meldungen'!$A$2:$A$492=$B$202)*(ROW('Eingabe Meldungen'!$A$2:$A$492)-1),COUNTIF('Eingabe Meldungen'!$A$2:$A$492,$B$202)+1-ROW('Eingabe Meldungen'!A13)))),"",INDEX('Eingabe Meldungen'!$D$2:$D$492,LARGE(('Eingabe Meldungen'!$A$2:$A$492=$B$202)*(ROW('Eingabe Meldungen'!$A$2:$A$492)-1),COUNTIF('Eingabe Meldungen'!$A$2:$A$492,$B$202)+1-ROW('Eingabe Meldungen'!A13))))</f>
        <v/>
      </c>
      <c r="D216" s="341" t="str">
        <f t="array" ref="D216">IF(B216&lt;&gt;"",INDEX('Eingabe Meldungen'!$C$2:$H$492,MATCH(B216&amp;C216,'Eingabe Meldungen'!$C$2:$C$492&amp;'Eingabe Meldungen'!$D$2:$D$492,0),6),"")</f>
        <v/>
      </c>
      <c r="E216" s="382" t="str">
        <f t="array" ref="E216">IF(B216&lt;&gt;"",INDEX('Eingabe Meldungen'!$C$2:$H$492,MATCH(B216&amp;C216,'Eingabe Meldungen'!$C$2:$C$492&amp;'Eingabe Meldungen'!$D$2:$D$492,0),4),"")</f>
        <v/>
      </c>
      <c r="F216" s="353" t="e">
        <f>IF(VLOOKUP(B216,Rennlisten!$B$131:$H$140,6,FALSE)=0,"",VLOOKUP(B216,Rennlisten!$B$131:$H$140,6,FALSE))</f>
        <v>#N/A</v>
      </c>
      <c r="G216" s="333" t="e">
        <f t="shared" si="27"/>
        <v>#N/A</v>
      </c>
      <c r="H216" s="343" t="str">
        <f t="array" ref="H216">IF(B216&lt;&gt;"",INDEX('Eingabe Meldungen'!$C$2:$J$492,MATCH(B216&amp;C216,'Eingabe Meldungen'!$C$2:$C$492&amp;'Eingabe Meldungen'!$D$2:$D$492,0),8),"")</f>
        <v/>
      </c>
      <c r="J216" s="332"/>
      <c r="K216" s="332"/>
      <c r="L216" s="332"/>
      <c r="M216" s="332"/>
      <c r="N216" s="332"/>
      <c r="O216" s="332"/>
      <c r="P216" s="332"/>
      <c r="Q216" s="332"/>
      <c r="R216" s="332"/>
      <c r="S216" s="332"/>
      <c r="T216" s="332"/>
      <c r="U216" s="332"/>
      <c r="V216" s="332"/>
      <c r="W216" s="332"/>
      <c r="X216" s="332"/>
      <c r="Y216" s="332"/>
      <c r="Z216" s="332"/>
      <c r="AA216" s="332"/>
      <c r="AB216" s="332"/>
      <c r="AC216" s="332"/>
      <c r="AD216" s="332"/>
      <c r="AE216" s="332"/>
      <c r="AF216" s="332"/>
      <c r="AG216" s="332"/>
      <c r="AH216" s="332"/>
      <c r="AI216" s="332"/>
      <c r="AJ216" s="333"/>
      <c r="AK216" s="333"/>
      <c r="AL216" s="333"/>
      <c r="AM216" s="333"/>
    </row>
    <row r="217" spans="2:39" s="316" customFormat="1" ht="26.25" customHeight="1" x14ac:dyDescent="0.2">
      <c r="B217" s="340" t="str">
        <f t="array" ref="B217">IF(ISERROR(INDEX('Eingabe Meldungen'!$C$2:$C$492,LARGE(('Eingabe Meldungen'!$A$2:$A$492=$B$202)*(ROW('Eingabe Meldungen'!$A$2:$A$492)-1),COUNTIF('Eingabe Meldungen'!$A$2:$A$492,$B$202)+1-ROW('Eingabe Meldungen'!A14)))),"",INDEX('Eingabe Meldungen'!$C$2:$C$492,LARGE(('Eingabe Meldungen'!$A$2:$A$492=$B$202)*(ROW('Eingabe Meldungen'!$A$2:$A$492)-1),COUNTIF('Eingabe Meldungen'!$A$2:$A$492,$B$202)+1-ROW('Eingabe Meldungen'!A14))))</f>
        <v/>
      </c>
      <c r="C217" s="316" t="str">
        <f t="array" ref="C217">IF(ISERROR(INDEX('Eingabe Meldungen'!$D$2:$D$492,LARGE(('Eingabe Meldungen'!$A$2:$A$492=$B$202)*(ROW('Eingabe Meldungen'!$A$2:$A$492)-1),COUNTIF('Eingabe Meldungen'!$A$2:$A$492,$B$202)+1-ROW('Eingabe Meldungen'!A14)))),"",INDEX('Eingabe Meldungen'!$D$2:$D$492,LARGE(('Eingabe Meldungen'!$A$2:$A$492=$B$202)*(ROW('Eingabe Meldungen'!$A$2:$A$492)-1),COUNTIF('Eingabe Meldungen'!$A$2:$A$492,$B$202)+1-ROW('Eingabe Meldungen'!A14))))</f>
        <v/>
      </c>
      <c r="D217" s="341" t="str">
        <f t="array" ref="D217">IF(B217&lt;&gt;"",INDEX('Eingabe Meldungen'!$C$2:$H$492,MATCH(B217&amp;C217,'Eingabe Meldungen'!$C$2:$C$492&amp;'Eingabe Meldungen'!$D$2:$D$492,0),6),"")</f>
        <v/>
      </c>
      <c r="E217" s="382" t="str">
        <f t="array" ref="E217">IF(B217&lt;&gt;"",INDEX('Eingabe Meldungen'!$C$2:$H$492,MATCH(B217&amp;C217,'Eingabe Meldungen'!$C$2:$C$492&amp;'Eingabe Meldungen'!$D$2:$D$492,0),4),"")</f>
        <v/>
      </c>
      <c r="F217" s="353" t="e">
        <f>IF(VLOOKUP(B217,Rennlisten!$B$131:$H$140,6,FALSE)=0,"",VLOOKUP(B217,Rennlisten!$B$131:$H$140,6,FALSE))</f>
        <v>#N/A</v>
      </c>
      <c r="G217" s="333" t="e">
        <f t="shared" si="27"/>
        <v>#N/A</v>
      </c>
      <c r="H217" s="343" t="str">
        <f t="array" ref="H217">IF(B217&lt;&gt;"",INDEX('Eingabe Meldungen'!$C$2:$J$492,MATCH(B217&amp;C217,'Eingabe Meldungen'!$C$2:$C$492&amp;'Eingabe Meldungen'!$D$2:$D$492,0),8),"")</f>
        <v/>
      </c>
      <c r="J217" s="332"/>
      <c r="K217" s="332"/>
      <c r="L217" s="332"/>
      <c r="M217" s="332"/>
      <c r="N217" s="332"/>
      <c r="O217" s="332"/>
      <c r="P217" s="332"/>
      <c r="Q217" s="332"/>
      <c r="R217" s="332"/>
      <c r="S217" s="332"/>
      <c r="T217" s="332"/>
      <c r="U217" s="332"/>
      <c r="V217" s="332"/>
      <c r="W217" s="332"/>
      <c r="X217" s="332"/>
      <c r="Y217" s="332"/>
      <c r="Z217" s="332"/>
      <c r="AA217" s="332"/>
      <c r="AB217" s="332"/>
      <c r="AC217" s="332"/>
      <c r="AD217" s="332"/>
      <c r="AE217" s="332"/>
      <c r="AF217" s="332"/>
      <c r="AG217" s="332"/>
      <c r="AH217" s="332"/>
      <c r="AI217" s="332"/>
      <c r="AJ217" s="333"/>
      <c r="AK217" s="333"/>
      <c r="AL217" s="333"/>
      <c r="AM217" s="333"/>
    </row>
    <row r="218" spans="2:39" s="316" customFormat="1" ht="26.25" customHeight="1" x14ac:dyDescent="0.2">
      <c r="B218" s="340" t="str">
        <f t="array" ref="B218">IF(ISERROR(INDEX('Eingabe Meldungen'!$C$2:$C$492,LARGE(('Eingabe Meldungen'!$A$2:$A$492=$B$202)*(ROW('Eingabe Meldungen'!$A$2:$A$492)-1),COUNTIF('Eingabe Meldungen'!$A$2:$A$492,$B$202)+1-ROW('Eingabe Meldungen'!A15)))),"",INDEX('Eingabe Meldungen'!$C$2:$C$492,LARGE(('Eingabe Meldungen'!$A$2:$A$492=$B$202)*(ROW('Eingabe Meldungen'!$A$2:$A$492)-1),COUNTIF('Eingabe Meldungen'!$A$2:$A$492,$B$202)+1-ROW('Eingabe Meldungen'!A15))))</f>
        <v/>
      </c>
      <c r="C218" s="316" t="str">
        <f t="array" ref="C218">IF(ISERROR(INDEX('Eingabe Meldungen'!$D$2:$D$492,LARGE(('Eingabe Meldungen'!$A$2:$A$492=$B$202)*(ROW('Eingabe Meldungen'!$A$2:$A$492)-1),COUNTIF('Eingabe Meldungen'!$A$2:$A$492,$B$202)+1-ROW('Eingabe Meldungen'!A15)))),"",INDEX('Eingabe Meldungen'!$D$2:$D$492,LARGE(('Eingabe Meldungen'!$A$2:$A$492=$B$202)*(ROW('Eingabe Meldungen'!$A$2:$A$492)-1),COUNTIF('Eingabe Meldungen'!$A$2:$A$492,$B$202)+1-ROW('Eingabe Meldungen'!A15))))</f>
        <v/>
      </c>
      <c r="D218" s="341" t="str">
        <f t="array" ref="D218">IF(B218&lt;&gt;"",INDEX('Eingabe Meldungen'!$C$2:$H$492,MATCH(B218&amp;C218,'Eingabe Meldungen'!$C$2:$C$492&amp;'Eingabe Meldungen'!$D$2:$D$492,0),6),"")</f>
        <v/>
      </c>
      <c r="E218" s="382" t="str">
        <f t="array" ref="E218">IF(B218&lt;&gt;"",INDEX('Eingabe Meldungen'!$C$2:$H$492,MATCH(B218&amp;C218,'Eingabe Meldungen'!$C$2:$C$492&amp;'Eingabe Meldungen'!$D$2:$D$492,0),4),"")</f>
        <v/>
      </c>
      <c r="F218" s="353" t="e">
        <f>IF(VLOOKUP(B218,Rennlisten!$B$131:$H$140,6,FALSE)=0,"",VLOOKUP(B218,Rennlisten!$B$131:$H$140,6,FALSE))</f>
        <v>#N/A</v>
      </c>
      <c r="G218" s="333" t="e">
        <f t="shared" si="27"/>
        <v>#N/A</v>
      </c>
      <c r="H218" s="343" t="str">
        <f t="array" ref="H218">IF(B218&lt;&gt;"",INDEX('Eingabe Meldungen'!$C$2:$J$492,MATCH(B218&amp;C218,'Eingabe Meldungen'!$C$2:$C$492&amp;'Eingabe Meldungen'!$D$2:$D$492,0),8),"")</f>
        <v/>
      </c>
      <c r="J218" s="332"/>
      <c r="K218" s="332"/>
      <c r="L218" s="332"/>
      <c r="M218" s="332"/>
      <c r="N218" s="332"/>
      <c r="O218" s="332"/>
      <c r="P218" s="332"/>
      <c r="Q218" s="332"/>
      <c r="R218" s="332"/>
      <c r="S218" s="332"/>
      <c r="T218" s="332"/>
      <c r="U218" s="332"/>
      <c r="V218" s="332"/>
      <c r="W218" s="332"/>
      <c r="X218" s="332"/>
      <c r="Y218" s="332"/>
      <c r="Z218" s="332"/>
      <c r="AA218" s="332"/>
      <c r="AB218" s="332"/>
      <c r="AC218" s="332"/>
      <c r="AD218" s="332"/>
      <c r="AE218" s="332"/>
      <c r="AF218" s="332"/>
      <c r="AG218" s="332"/>
      <c r="AH218" s="332"/>
      <c r="AI218" s="332"/>
      <c r="AJ218" s="333"/>
      <c r="AK218" s="333"/>
      <c r="AL218" s="333"/>
      <c r="AM218" s="333"/>
    </row>
    <row r="219" spans="2:39" s="316" customFormat="1" ht="26.25" customHeight="1" thickBot="1" x14ac:dyDescent="0.25">
      <c r="E219" s="352"/>
      <c r="F219" s="333"/>
      <c r="G219" s="333"/>
      <c r="J219" s="333"/>
      <c r="K219" s="333"/>
      <c r="L219" s="333"/>
      <c r="M219" s="333"/>
      <c r="N219" s="333"/>
      <c r="O219" s="333"/>
      <c r="P219" s="333"/>
      <c r="Q219" s="333"/>
      <c r="R219" s="333"/>
      <c r="S219" s="333"/>
      <c r="T219" s="333"/>
      <c r="U219" s="333"/>
      <c r="V219" s="333"/>
      <c r="W219" s="333"/>
      <c r="X219" s="333"/>
      <c r="Y219" s="333"/>
      <c r="Z219" s="333"/>
      <c r="AA219" s="333"/>
      <c r="AB219" s="333"/>
      <c r="AC219" s="333"/>
      <c r="AD219" s="333"/>
      <c r="AE219" s="333"/>
      <c r="AF219" s="333"/>
      <c r="AG219" s="333"/>
      <c r="AH219" s="333"/>
      <c r="AI219" s="333"/>
      <c r="AJ219" s="333"/>
      <c r="AK219" s="333"/>
      <c r="AL219" s="333"/>
      <c r="AM219" s="333"/>
    </row>
    <row r="220" spans="2:39" s="316" customFormat="1" ht="26.25" customHeight="1" x14ac:dyDescent="0.2">
      <c r="B220" s="326">
        <v>9</v>
      </c>
      <c r="C220" s="327" t="str">
        <f>VLOOKUP(B220,Ausschreibung!$B$5:$I$35,2,FALSE)</f>
        <v>Ergocup</v>
      </c>
      <c r="D220" s="328">
        <f>VLOOKUP(B220,Ausschreibung!$B$5:$I$35,3,FALSE)</f>
        <v>0.52499999999999991</v>
      </c>
      <c r="E220" s="327" t="str">
        <f>VLOOKUP(B220,Ausschreibung!$B$5:$I$35,4,FALSE)</f>
        <v>Jungen U15</v>
      </c>
      <c r="F220" s="329" t="str">
        <f>VLOOKUP(B220,Ausschreibung!$B$5:$I$35,5,FALSE)</f>
        <v>Lgw. bis 55 kg</v>
      </c>
      <c r="G220" s="330">
        <f>VLOOKUP(B220,Ausschreibung!$B$5:$I$35,6,FALSE)</f>
        <v>14</v>
      </c>
      <c r="H220" s="331" t="str">
        <f>VLOOKUP(B220,Ausschreibung!$B$5:$I$35,8,FALSE)</f>
        <v>1000 m</v>
      </c>
      <c r="J220" s="332"/>
      <c r="K220" s="332"/>
      <c r="L220" s="332"/>
      <c r="M220" s="332"/>
      <c r="N220" s="332"/>
      <c r="O220" s="332"/>
      <c r="P220" s="332"/>
      <c r="Q220" s="332"/>
      <c r="R220" s="332"/>
      <c r="S220" s="332"/>
      <c r="T220" s="332"/>
      <c r="U220" s="332"/>
      <c r="V220" s="332"/>
      <c r="W220" s="332"/>
      <c r="X220" s="332"/>
      <c r="Y220" s="332"/>
      <c r="Z220" s="332"/>
      <c r="AA220" s="332"/>
      <c r="AB220" s="332"/>
      <c r="AC220" s="332"/>
      <c r="AD220" s="332"/>
      <c r="AE220" s="332"/>
      <c r="AF220" s="332"/>
      <c r="AG220" s="332"/>
      <c r="AH220" s="332"/>
      <c r="AI220" s="332"/>
      <c r="AJ220" s="333"/>
      <c r="AK220" s="333"/>
      <c r="AL220" s="333"/>
      <c r="AM220" s="333"/>
    </row>
    <row r="221" spans="2:39" s="316" customFormat="1" ht="26.25" customHeight="1" x14ac:dyDescent="0.2">
      <c r="B221" s="334" t="s">
        <v>1</v>
      </c>
      <c r="C221" s="335" t="s">
        <v>2</v>
      </c>
      <c r="D221" s="336" t="s">
        <v>49</v>
      </c>
      <c r="E221" s="381" t="s">
        <v>16</v>
      </c>
      <c r="F221" s="337" t="s">
        <v>50</v>
      </c>
      <c r="G221" s="338" t="s">
        <v>51</v>
      </c>
      <c r="H221" s="339" t="s">
        <v>17</v>
      </c>
      <c r="J221" s="332"/>
      <c r="K221" s="332"/>
      <c r="L221" s="332"/>
      <c r="M221" s="332"/>
      <c r="N221" s="332"/>
      <c r="O221" s="332"/>
      <c r="P221" s="332"/>
      <c r="Q221" s="332"/>
      <c r="R221" s="332"/>
      <c r="S221" s="332"/>
      <c r="T221" s="332"/>
      <c r="U221" s="332"/>
      <c r="V221" s="332"/>
      <c r="W221" s="332"/>
      <c r="X221" s="332"/>
      <c r="Y221" s="332"/>
      <c r="Z221" s="332"/>
      <c r="AA221" s="332"/>
      <c r="AB221" s="332"/>
      <c r="AC221" s="332"/>
      <c r="AD221" s="332"/>
      <c r="AE221" s="332"/>
      <c r="AF221" s="332"/>
      <c r="AG221" s="332"/>
      <c r="AH221" s="332"/>
      <c r="AI221" s="332"/>
      <c r="AJ221" s="333"/>
      <c r="AK221" s="333"/>
      <c r="AL221" s="333"/>
      <c r="AM221" s="333"/>
    </row>
    <row r="222" spans="2:39" s="316" customFormat="1" ht="26.25" customHeight="1" x14ac:dyDescent="0.2">
      <c r="B222" s="340" t="str">
        <f t="array" ref="B222">IF(ISERROR(INDEX('Eingabe Meldungen'!$C$2:$C$492,LARGE(('Eingabe Meldungen'!$A$2:$A$492=$B$220)*(ROW('Eingabe Meldungen'!$A$2:$A$492)-1),COUNTIF('Eingabe Meldungen'!$A$2:$A$492,$B$220)+1-ROW('Eingabe Meldungen'!A1)))),"",INDEX('Eingabe Meldungen'!$C$2:$C$492,LARGE(('Eingabe Meldungen'!$A$2:$A$492=$B$220)*(ROW('Eingabe Meldungen'!$A$2:$A$492)-1),COUNTIF('Eingabe Meldungen'!$A$2:$A$492,$B$220)+1-ROW('Eingabe Meldungen'!A1))))</f>
        <v>Fischer</v>
      </c>
      <c r="C222" s="316" t="str">
        <f t="array" ref="C222">IF(ISERROR(INDEX('Eingabe Meldungen'!$D$2:$D$492,LARGE(('Eingabe Meldungen'!$A$2:$A$492=$B$220)*(ROW('Eingabe Meldungen'!$A$2:$A$492)-1),COUNTIF('Eingabe Meldungen'!$A$2:$A$492,$B$220)+1-ROW('Eingabe Meldungen'!A1)))),"",INDEX('Eingabe Meldungen'!$D$2:$D$492,LARGE(('Eingabe Meldungen'!$A$2:$A$492=$B$220)*(ROW('Eingabe Meldungen'!$A$2:$A$492)-1),COUNTIF('Eingabe Meldungen'!$A$2:$A$492,$B$220)+1-ROW('Eingabe Meldungen'!A1))))</f>
        <v>Amatus</v>
      </c>
      <c r="D222" s="341">
        <f t="array" ref="D222">IF(B222&lt;&gt;"",INDEX('Eingabe Meldungen'!$C$2:$H$492,MATCH(B222&amp;C222,'Eingabe Meldungen'!$C$2:$C$492&amp;'Eingabe Meldungen'!$D$2:$D$492,0),6),"")</f>
        <v>2006</v>
      </c>
      <c r="E222" s="382" t="str">
        <f t="array" ref="E222">IF(B222&lt;&gt;"",INDEX('Eingabe Meldungen'!$C$2:$H$492,MATCH(B222&amp;C222,'Eingabe Meldungen'!$C$2:$C$492&amp;'Eingabe Meldungen'!$D$2:$D$492,0),4),"")</f>
        <v>Lgw. bis 55 kg</v>
      </c>
      <c r="F222" s="353" t="s">
        <v>563</v>
      </c>
      <c r="G222" s="333">
        <v>2</v>
      </c>
      <c r="H222" s="343" t="str">
        <f t="array" ref="H222">IF(B222&lt;&gt;"",INDEX('Eingabe Meldungen'!$C$2:$J$492,MATCH(B222&amp;C222,'Eingabe Meldungen'!$C$2:$C$492&amp;'Eingabe Meldungen'!$D$2:$D$492,0),8),"")</f>
        <v>RV Waldsee</v>
      </c>
      <c r="J222" s="332"/>
      <c r="K222" s="332"/>
      <c r="L222" s="332"/>
      <c r="M222" s="332"/>
      <c r="N222" s="332"/>
      <c r="O222" s="332"/>
      <c r="P222" s="332"/>
      <c r="Q222" s="332"/>
      <c r="R222" s="332"/>
      <c r="S222" s="332"/>
      <c r="T222" s="332"/>
      <c r="U222" s="332"/>
      <c r="V222" s="332"/>
      <c r="W222" s="332"/>
      <c r="X222" s="332"/>
      <c r="Y222" s="332"/>
      <c r="Z222" s="332"/>
      <c r="AA222" s="332"/>
      <c r="AB222" s="332"/>
      <c r="AC222" s="332"/>
      <c r="AD222" s="332"/>
      <c r="AE222" s="332"/>
      <c r="AF222" s="332"/>
      <c r="AG222" s="332"/>
      <c r="AH222" s="332"/>
      <c r="AI222" s="332"/>
      <c r="AJ222" s="333"/>
      <c r="AK222" s="333"/>
      <c r="AL222" s="333"/>
      <c r="AM222" s="333"/>
    </row>
    <row r="223" spans="2:39" s="316" customFormat="1" ht="26.25" customHeight="1" x14ac:dyDescent="0.2">
      <c r="B223" s="340" t="str">
        <f t="array" ref="B223">IF(ISERROR(INDEX('Eingabe Meldungen'!$C$2:$C$492,LARGE(('Eingabe Meldungen'!$A$2:$A$492=$B$220)*(ROW('Eingabe Meldungen'!$A$2:$A$492)-1),COUNTIF('Eingabe Meldungen'!$A$2:$A$492,$B$220)+1-ROW('Eingabe Meldungen'!A2)))),"",INDEX('Eingabe Meldungen'!$C$2:$C$492,LARGE(('Eingabe Meldungen'!$A$2:$A$492=$B$220)*(ROW('Eingabe Meldungen'!$A$2:$A$492)-1),COUNTIF('Eingabe Meldungen'!$A$2:$A$492,$B$220)+1-ROW('Eingabe Meldungen'!A2))))</f>
        <v>Podbicanin</v>
      </c>
      <c r="C223" s="316" t="str">
        <f t="array" ref="C223">IF(ISERROR(INDEX('Eingabe Meldungen'!$D$2:$D$492,LARGE(('Eingabe Meldungen'!$A$2:$A$492=$B$220)*(ROW('Eingabe Meldungen'!$A$2:$A$492)-1),COUNTIF('Eingabe Meldungen'!$A$2:$A$492,$B$220)+1-ROW('Eingabe Meldungen'!A2)))),"",INDEX('Eingabe Meldungen'!$D$2:$D$492,LARGE(('Eingabe Meldungen'!$A$2:$A$492=$B$220)*(ROW('Eingabe Meldungen'!$A$2:$A$492)-1),COUNTIF('Eingabe Meldungen'!$A$2:$A$492,$B$220)+1-ROW('Eingabe Meldungen'!A2))))</f>
        <v>Ben</v>
      </c>
      <c r="D223" s="341">
        <f t="array" ref="D223">IF(B223&lt;&gt;"",INDEX('Eingabe Meldungen'!$C$2:$H$492,MATCH(B223&amp;C223,'Eingabe Meldungen'!$C$2:$C$492&amp;'Eingabe Meldungen'!$D$2:$D$492,0),6),"")</f>
        <v>2006</v>
      </c>
      <c r="E223" s="382" t="str">
        <f t="array" ref="E223">IF(B223&lt;&gt;"",INDEX('Eingabe Meldungen'!$C$2:$H$492,MATCH(B223&amp;C223,'Eingabe Meldungen'!$C$2:$C$492&amp;'Eingabe Meldungen'!$D$2:$D$492,0),4),"")</f>
        <v>Lgw. bis 55 kg</v>
      </c>
      <c r="F223" s="353" t="s">
        <v>565</v>
      </c>
      <c r="G223" s="333">
        <v>5</v>
      </c>
      <c r="H223" s="343" t="str">
        <f t="array" ref="H223">IF(B223&lt;&gt;"",INDEX('Eingabe Meldungen'!$C$2:$J$492,MATCH(B223&amp;C223,'Eingabe Meldungen'!$C$2:$C$492&amp;'Eingabe Meldungen'!$D$2:$D$492,0),8),"")</f>
        <v>Mannheimer RV "Amicitia"</v>
      </c>
      <c r="J223" s="332"/>
      <c r="K223" s="332"/>
      <c r="L223" s="332"/>
      <c r="M223" s="332"/>
      <c r="N223" s="332"/>
      <c r="O223" s="332"/>
      <c r="P223" s="332">
        <v>2</v>
      </c>
      <c r="Q223" s="332"/>
      <c r="R223" s="332"/>
      <c r="S223" s="332"/>
      <c r="T223" s="332"/>
      <c r="U223" s="332"/>
      <c r="V223" s="332"/>
      <c r="W223" s="332"/>
      <c r="X223" s="332"/>
      <c r="Y223" s="332"/>
      <c r="Z223" s="332"/>
      <c r="AA223" s="332"/>
      <c r="AB223" s="332"/>
      <c r="AC223" s="332"/>
      <c r="AD223" s="332"/>
      <c r="AE223" s="332"/>
      <c r="AF223" s="332"/>
      <c r="AG223" s="332"/>
      <c r="AH223" s="332"/>
      <c r="AI223" s="332"/>
      <c r="AJ223" s="333"/>
      <c r="AK223" s="333"/>
      <c r="AL223" s="333"/>
      <c r="AM223" s="333"/>
    </row>
    <row r="224" spans="2:39" s="316" customFormat="1" ht="26.25" customHeight="1" x14ac:dyDescent="0.2">
      <c r="B224" s="340"/>
      <c r="D224" s="341"/>
      <c r="E224" s="382"/>
      <c r="F224" s="353"/>
      <c r="G224" s="333"/>
      <c r="H224" s="343"/>
      <c r="J224" s="332"/>
      <c r="K224" s="332"/>
      <c r="L224" s="332"/>
      <c r="M224" s="332"/>
      <c r="N224" s="332"/>
      <c r="O224" s="332"/>
      <c r="P224" s="332"/>
      <c r="Q224" s="332"/>
      <c r="R224" s="332"/>
      <c r="S224" s="332"/>
      <c r="T224" s="332"/>
      <c r="U224" s="332"/>
      <c r="V224" s="332"/>
      <c r="W224" s="332"/>
      <c r="X224" s="332"/>
      <c r="Y224" s="332"/>
      <c r="Z224" s="332"/>
      <c r="AA224" s="332"/>
      <c r="AB224" s="332"/>
      <c r="AC224" s="332"/>
      <c r="AD224" s="332"/>
      <c r="AE224" s="332"/>
      <c r="AF224" s="332"/>
      <c r="AG224" s="332"/>
      <c r="AH224" s="332"/>
      <c r="AI224" s="332"/>
      <c r="AJ224" s="333"/>
      <c r="AK224" s="333"/>
      <c r="AL224" s="333"/>
      <c r="AM224" s="333"/>
    </row>
    <row r="225" spans="2:39" s="316" customFormat="1" ht="26.25" customHeight="1" x14ac:dyDescent="0.2">
      <c r="B225" s="340" t="str">
        <f t="array" ref="B225">IF(ISERROR(INDEX('Eingabe Meldungen'!$C$2:$C$492,LARGE(('Eingabe Meldungen'!$A$2:$A$492=$B$220)*(ROW('Eingabe Meldungen'!$A$2:$A$492)-1),COUNTIF('Eingabe Meldungen'!$A$2:$A$492,$B$220)+1-ROW('Eingabe Meldungen'!A4)))),"",INDEX('Eingabe Meldungen'!$C$2:$C$492,LARGE(('Eingabe Meldungen'!$A$2:$A$492=$B$220)*(ROW('Eingabe Meldungen'!$A$2:$A$492)-1),COUNTIF('Eingabe Meldungen'!$A$2:$A$492,$B$220)+1-ROW('Eingabe Meldungen'!A4))))</f>
        <v>Walz</v>
      </c>
      <c r="C225" s="316" t="str">
        <f t="array" ref="C225">IF(ISERROR(INDEX('Eingabe Meldungen'!$D$2:$D$492,LARGE(('Eingabe Meldungen'!$A$2:$A$492=$B$220)*(ROW('Eingabe Meldungen'!$A$2:$A$492)-1),COUNTIF('Eingabe Meldungen'!$A$2:$A$492,$B$220)+1-ROW('Eingabe Meldungen'!A4)))),"",INDEX('Eingabe Meldungen'!$D$2:$D$492,LARGE(('Eingabe Meldungen'!$A$2:$A$492=$B$220)*(ROW('Eingabe Meldungen'!$A$2:$A$492)-1),COUNTIF('Eingabe Meldungen'!$A$2:$A$492,$B$220)+1-ROW('Eingabe Meldungen'!A4))))</f>
        <v>Levi</v>
      </c>
      <c r="D225" s="341">
        <f t="array" ref="D225">IF(B225&lt;&gt;"",INDEX('Eingabe Meldungen'!$C$2:$H$492,MATCH(B225&amp;C225,'Eingabe Meldungen'!$C$2:$C$492&amp;'Eingabe Meldungen'!$D$2:$D$492,0),6),"")</f>
        <v>2006</v>
      </c>
      <c r="E225" s="382" t="str">
        <f t="array" ref="E225">IF(B225&lt;&gt;"",INDEX('Eingabe Meldungen'!$C$2:$H$492,MATCH(B225&amp;C225,'Eingabe Meldungen'!$C$2:$C$492&amp;'Eingabe Meldungen'!$D$2:$D$492,0),4),"")</f>
        <v>Lgw. bis 55 kg</v>
      </c>
      <c r="F225" s="353" t="s">
        <v>566</v>
      </c>
      <c r="G225" s="333">
        <v>6</v>
      </c>
      <c r="H225" s="343" t="str">
        <f t="array" ref="H225">IF(B225&lt;&gt;"",INDEX('Eingabe Meldungen'!$C$2:$J$492,MATCH(B225&amp;C225,'Eingabe Meldungen'!$C$2:$C$492&amp;'Eingabe Meldungen'!$D$2:$D$492,0),8),"")</f>
        <v>RC Nürtingen</v>
      </c>
      <c r="J225" s="332"/>
      <c r="K225" s="332"/>
      <c r="L225" s="332"/>
      <c r="M225" s="332">
        <v>1</v>
      </c>
      <c r="N225" s="332"/>
      <c r="O225" s="332"/>
      <c r="P225" s="332"/>
      <c r="Q225" s="332"/>
      <c r="R225" s="332"/>
      <c r="S225" s="332"/>
      <c r="T225" s="332"/>
      <c r="U225" s="332"/>
      <c r="V225" s="332"/>
      <c r="W225" s="332"/>
      <c r="X225" s="332"/>
      <c r="Y225" s="332"/>
      <c r="Z225" s="332"/>
      <c r="AA225" s="332"/>
      <c r="AB225" s="332"/>
      <c r="AC225" s="332"/>
      <c r="AD225" s="332"/>
      <c r="AE225" s="332"/>
      <c r="AF225" s="332"/>
      <c r="AG225" s="332"/>
      <c r="AH225" s="332"/>
      <c r="AI225" s="332"/>
      <c r="AJ225" s="333"/>
      <c r="AK225" s="333"/>
      <c r="AL225" s="333"/>
      <c r="AM225" s="333"/>
    </row>
    <row r="226" spans="2:39" s="316" customFormat="1" ht="26.25" customHeight="1" x14ac:dyDescent="0.2">
      <c r="B226" s="340" t="str">
        <f t="array" ref="B226">IF(ISERROR(INDEX('Eingabe Meldungen'!$C$2:$C$492,LARGE(('Eingabe Meldungen'!$A$2:$A$492=$B$220)*(ROW('Eingabe Meldungen'!$A$2:$A$492)-1),COUNTIF('Eingabe Meldungen'!$A$2:$A$492,$B$220)+1-ROW('Eingabe Meldungen'!A5)))),"",INDEX('Eingabe Meldungen'!$C$2:$C$492,LARGE(('Eingabe Meldungen'!$A$2:$A$492=$B$220)*(ROW('Eingabe Meldungen'!$A$2:$A$492)-1),COUNTIF('Eingabe Meldungen'!$A$2:$A$492,$B$220)+1-ROW('Eingabe Meldungen'!A5))))</f>
        <v>Gehring</v>
      </c>
      <c r="C226" s="316" t="str">
        <f t="array" ref="C226">IF(ISERROR(INDEX('Eingabe Meldungen'!$D$2:$D$492,LARGE(('Eingabe Meldungen'!$A$2:$A$492=$B$220)*(ROW('Eingabe Meldungen'!$A$2:$A$492)-1),COUNTIF('Eingabe Meldungen'!$A$2:$A$492,$B$220)+1-ROW('Eingabe Meldungen'!A5)))),"",INDEX('Eingabe Meldungen'!$D$2:$D$492,LARGE(('Eingabe Meldungen'!$A$2:$A$492=$B$220)*(ROW('Eingabe Meldungen'!$A$2:$A$492)-1),COUNTIF('Eingabe Meldungen'!$A$2:$A$492,$B$220)+1-ROW('Eingabe Meldungen'!A5))))</f>
        <v>Max</v>
      </c>
      <c r="D226" s="341">
        <f t="array" ref="D226">IF(B226&lt;&gt;"",INDEX('Eingabe Meldungen'!$C$2:$H$492,MATCH(B226&amp;C226,'Eingabe Meldungen'!$C$2:$C$492&amp;'Eingabe Meldungen'!$D$2:$D$492,0),6),"")</f>
        <v>2006</v>
      </c>
      <c r="E226" s="382" t="str">
        <f t="array" ref="E226">IF(B226&lt;&gt;"",INDEX('Eingabe Meldungen'!$C$2:$H$492,MATCH(B226&amp;C226,'Eingabe Meldungen'!$C$2:$C$492&amp;'Eingabe Meldungen'!$D$2:$D$492,0),4),"")</f>
        <v>Lgw. bis 55 kg</v>
      </c>
      <c r="F226" s="353" t="s">
        <v>562</v>
      </c>
      <c r="G226" s="333">
        <v>1</v>
      </c>
      <c r="H226" s="343" t="str">
        <f t="array" ref="H226">IF(B226&lt;&gt;"",INDEX('Eingabe Meldungen'!$C$2:$J$492,MATCH(B226&amp;C226,'Eingabe Meldungen'!$C$2:$C$492&amp;'Eingabe Meldungen'!$D$2:$D$492,0),8),"")</f>
        <v>Mannheimer RV "Amicitia"</v>
      </c>
      <c r="J226" s="332"/>
      <c r="K226" s="332"/>
      <c r="L226" s="332"/>
      <c r="M226" s="332"/>
      <c r="N226" s="332"/>
      <c r="O226" s="332"/>
      <c r="P226" s="332">
        <v>7</v>
      </c>
      <c r="Q226" s="332"/>
      <c r="R226" s="332"/>
      <c r="S226" s="332"/>
      <c r="T226" s="332"/>
      <c r="U226" s="332"/>
      <c r="V226" s="332"/>
      <c r="W226" s="332"/>
      <c r="X226" s="332"/>
      <c r="Y226" s="332"/>
      <c r="Z226" s="332"/>
      <c r="AA226" s="332"/>
      <c r="AB226" s="332"/>
      <c r="AC226" s="332"/>
      <c r="AD226" s="332"/>
      <c r="AE226" s="332"/>
      <c r="AF226" s="332"/>
      <c r="AG226" s="332"/>
      <c r="AH226" s="332"/>
      <c r="AI226" s="332"/>
      <c r="AJ226" s="333"/>
      <c r="AK226" s="333"/>
      <c r="AL226" s="333"/>
      <c r="AM226" s="333"/>
    </row>
    <row r="227" spans="2:39" s="316" customFormat="1" ht="26.1" customHeight="1" x14ac:dyDescent="0.2">
      <c r="B227" s="340" t="str">
        <f t="array" ref="B227">IF(ISERROR(INDEX('Eingabe Meldungen'!$C$2:$C$492,LARGE(('Eingabe Meldungen'!$A$2:$A$492=$B$220)*(ROW('Eingabe Meldungen'!$A$2:$A$492)-1),COUNTIF('Eingabe Meldungen'!$A$2:$A$492,$B$220)+1-ROW('Eingabe Meldungen'!A6)))),"",INDEX('Eingabe Meldungen'!$C$2:$C$492,LARGE(('Eingabe Meldungen'!$A$2:$A$492=$B$220)*(ROW('Eingabe Meldungen'!$A$2:$A$492)-1),COUNTIF('Eingabe Meldungen'!$A$2:$A$492,$B$220)+1-ROW('Eingabe Meldungen'!A6))))</f>
        <v>Kappler</v>
      </c>
      <c r="C227" s="316" t="str">
        <f t="array" ref="C227">IF(ISERROR(INDEX('Eingabe Meldungen'!$D$2:$D$492,LARGE(('Eingabe Meldungen'!$A$2:$A$492=$B$220)*(ROW('Eingabe Meldungen'!$A$2:$A$492)-1),COUNTIF('Eingabe Meldungen'!$A$2:$A$492,$B$220)+1-ROW('Eingabe Meldungen'!A6)))),"",INDEX('Eingabe Meldungen'!$D$2:$D$492,LARGE(('Eingabe Meldungen'!$A$2:$A$492=$B$220)*(ROW('Eingabe Meldungen'!$A$2:$A$492)-1),COUNTIF('Eingabe Meldungen'!$A$2:$A$492,$B$220)+1-ROW('Eingabe Meldungen'!A6))))</f>
        <v>Max</v>
      </c>
      <c r="D227" s="341">
        <f t="array" ref="D227">IF(B227&lt;&gt;"",INDEX('Eingabe Meldungen'!$C$2:$H$492,MATCH(B227&amp;C227,'Eingabe Meldungen'!$C$2:$C$492&amp;'Eingabe Meldungen'!$D$2:$D$492,0),6),"")</f>
        <v>2006</v>
      </c>
      <c r="E227" s="382" t="str">
        <f t="array" ref="E227">IF(B227&lt;&gt;"",INDEX('Eingabe Meldungen'!$C$2:$H$492,MATCH(B227&amp;C227,'Eingabe Meldungen'!$C$2:$C$492&amp;'Eingabe Meldungen'!$D$2:$D$492,0),4),"")</f>
        <v>Lgw. bis 55 kg</v>
      </c>
      <c r="F227" s="353" t="s">
        <v>564</v>
      </c>
      <c r="G227" s="333">
        <v>3</v>
      </c>
      <c r="H227" s="343" t="str">
        <f t="array" ref="H227">IF(B227&lt;&gt;"",INDEX('Eingabe Meldungen'!$C$2:$J$492,MATCH(B227&amp;C227,'Eingabe Meldungen'!$C$2:$C$492&amp;'Eingabe Meldungen'!$D$2:$D$492,0),8),"")</f>
        <v>Mannheimer RV "Amicitia"</v>
      </c>
      <c r="J227" s="332"/>
      <c r="K227" s="332"/>
      <c r="L227" s="332"/>
      <c r="M227" s="332"/>
      <c r="N227" s="332"/>
      <c r="O227" s="332"/>
      <c r="P227" s="332">
        <v>5</v>
      </c>
      <c r="Q227" s="332"/>
      <c r="R227" s="332"/>
      <c r="S227" s="332"/>
      <c r="T227" s="332"/>
      <c r="U227" s="332"/>
      <c r="V227" s="332"/>
      <c r="W227" s="332"/>
      <c r="X227" s="332"/>
      <c r="Y227" s="332"/>
      <c r="Z227" s="332"/>
      <c r="AA227" s="332"/>
      <c r="AB227" s="332"/>
      <c r="AC227" s="332"/>
      <c r="AD227" s="332"/>
      <c r="AE227" s="332"/>
      <c r="AF227" s="332"/>
      <c r="AG227" s="332"/>
      <c r="AH227" s="332"/>
      <c r="AI227" s="332"/>
      <c r="AJ227" s="333"/>
      <c r="AK227" s="333"/>
      <c r="AL227" s="333"/>
      <c r="AM227" s="333"/>
    </row>
    <row r="228" spans="2:39" s="316" customFormat="1" ht="26.1" customHeight="1" x14ac:dyDescent="0.2">
      <c r="B228" s="340"/>
      <c r="D228" s="341"/>
      <c r="E228" s="382"/>
      <c r="F228" s="353"/>
      <c r="G228" s="333"/>
      <c r="H228" s="343"/>
      <c r="J228" s="332"/>
      <c r="K228" s="332"/>
      <c r="L228" s="332"/>
      <c r="M228" s="332"/>
      <c r="N228" s="332"/>
      <c r="O228" s="332"/>
      <c r="P228" s="332"/>
      <c r="Q228" s="332"/>
      <c r="R228" s="332"/>
      <c r="S228" s="332"/>
      <c r="T228" s="332"/>
      <c r="U228" s="332"/>
      <c r="V228" s="332"/>
      <c r="W228" s="332"/>
      <c r="X228" s="332"/>
      <c r="Y228" s="332"/>
      <c r="Z228" s="332"/>
      <c r="AA228" s="332"/>
      <c r="AB228" s="332"/>
      <c r="AC228" s="332"/>
      <c r="AD228" s="332"/>
      <c r="AE228" s="332"/>
      <c r="AF228" s="332"/>
      <c r="AG228" s="332"/>
      <c r="AH228" s="332"/>
      <c r="AI228" s="332"/>
      <c r="AJ228" s="333"/>
      <c r="AK228" s="333"/>
      <c r="AL228" s="333"/>
      <c r="AM228" s="333"/>
    </row>
    <row r="229" spans="2:39" s="316" customFormat="1" ht="26.1" customHeight="1" x14ac:dyDescent="0.2">
      <c r="B229" s="340" t="str">
        <f t="array" ref="B229">IF(ISERROR(INDEX('Eingabe Meldungen'!$C$2:$C$492,LARGE(('Eingabe Meldungen'!$A$2:$A$492=$B$220)*(ROW('Eingabe Meldungen'!$A$2:$A$492)-1),COUNTIF('Eingabe Meldungen'!$A$2:$A$492,$B$220)+1-ROW('Eingabe Meldungen'!A8)))),"",INDEX('Eingabe Meldungen'!$C$2:$C$492,LARGE(('Eingabe Meldungen'!$A$2:$A$492=$B$220)*(ROW('Eingabe Meldungen'!$A$2:$A$492)-1),COUNTIF('Eingabe Meldungen'!$A$2:$A$492,$B$220)+1-ROW('Eingabe Meldungen'!A8))))</f>
        <v>Kontusch</v>
      </c>
      <c r="C229" s="316" t="str">
        <f t="array" ref="C229">IF(ISERROR(INDEX('Eingabe Meldungen'!$D$2:$D$492,LARGE(('Eingabe Meldungen'!$A$2:$A$492=$B$220)*(ROW('Eingabe Meldungen'!$A$2:$A$492)-1),COUNTIF('Eingabe Meldungen'!$A$2:$A$492,$B$220)+1-ROW('Eingabe Meldungen'!A8)))),"",INDEX('Eingabe Meldungen'!$D$2:$D$492,LARGE(('Eingabe Meldungen'!$A$2:$A$492=$B$220)*(ROW('Eingabe Meldungen'!$A$2:$A$492)-1),COUNTIF('Eingabe Meldungen'!$A$2:$A$492,$B$220)+1-ROW('Eingabe Meldungen'!A8))))</f>
        <v>Niklas</v>
      </c>
      <c r="D229" s="341">
        <f t="array" ref="D229">IF(B229&lt;&gt;"",INDEX('Eingabe Meldungen'!$C$2:$H$492,MATCH(B229&amp;C229,'Eingabe Meldungen'!$C$2:$C$492&amp;'Eingabe Meldungen'!$D$2:$D$492,0),6),"")</f>
        <v>2006</v>
      </c>
      <c r="E229" s="382" t="str">
        <f t="array" ref="E229">IF(B229&lt;&gt;"",INDEX('Eingabe Meldungen'!$C$2:$H$492,MATCH(B229&amp;C229,'Eingabe Meldungen'!$C$2:$C$492&amp;'Eingabe Meldungen'!$D$2:$D$492,0),4),"")</f>
        <v>Lgw. bis 55 kg</v>
      </c>
      <c r="F229" s="353" t="s">
        <v>567</v>
      </c>
      <c r="G229" s="333">
        <v>4</v>
      </c>
      <c r="H229" s="343" t="str">
        <f t="array" ref="H229">IF(B229&lt;&gt;"",INDEX('Eingabe Meldungen'!$C$2:$J$492,MATCH(B229&amp;C229,'Eingabe Meldungen'!$C$2:$C$492&amp;'Eingabe Meldungen'!$D$2:$D$492,0),8),"")</f>
        <v>HRG Schwaben</v>
      </c>
      <c r="J229" s="332"/>
      <c r="K229" s="332"/>
      <c r="L229" s="332"/>
      <c r="M229" s="332"/>
      <c r="N229" s="332"/>
      <c r="O229" s="332"/>
      <c r="P229" s="332"/>
      <c r="Q229" s="332">
        <v>3</v>
      </c>
      <c r="R229" s="332"/>
      <c r="S229" s="332"/>
      <c r="T229" s="332"/>
      <c r="U229" s="332"/>
      <c r="V229" s="332"/>
      <c r="W229" s="332"/>
      <c r="X229" s="332"/>
      <c r="Y229" s="332"/>
      <c r="Z229" s="332"/>
      <c r="AA229" s="332"/>
      <c r="AB229" s="332"/>
      <c r="AC229" s="332"/>
      <c r="AD229" s="332"/>
      <c r="AE229" s="332"/>
      <c r="AF229" s="332"/>
      <c r="AG229" s="332"/>
      <c r="AH229" s="332"/>
      <c r="AI229" s="332"/>
      <c r="AJ229" s="333"/>
      <c r="AK229" s="333"/>
      <c r="AL229" s="333"/>
      <c r="AM229" s="333"/>
    </row>
    <row r="230" spans="2:39" s="316" customFormat="1" ht="26.1" customHeight="1" x14ac:dyDescent="0.2">
      <c r="B230" s="340"/>
      <c r="D230" s="341"/>
      <c r="E230" s="382"/>
      <c r="F230" s="353"/>
      <c r="G230" s="333"/>
      <c r="H230" s="343"/>
      <c r="J230" s="332"/>
      <c r="K230" s="332"/>
      <c r="L230" s="332"/>
      <c r="M230" s="332"/>
      <c r="N230" s="332"/>
      <c r="O230" s="332"/>
      <c r="P230" s="332"/>
      <c r="Q230" s="332"/>
      <c r="R230" s="332"/>
      <c r="S230" s="332"/>
      <c r="T230" s="332"/>
      <c r="U230" s="332"/>
      <c r="V230" s="332"/>
      <c r="W230" s="332"/>
      <c r="X230" s="332"/>
      <c r="Y230" s="332"/>
      <c r="Z230" s="332"/>
      <c r="AA230" s="332"/>
      <c r="AB230" s="332"/>
      <c r="AC230" s="332"/>
      <c r="AD230" s="332"/>
      <c r="AE230" s="332"/>
      <c r="AF230" s="332"/>
      <c r="AG230" s="332"/>
      <c r="AH230" s="332"/>
      <c r="AI230" s="332"/>
      <c r="AJ230" s="333"/>
      <c r="AK230" s="333"/>
      <c r="AL230" s="333"/>
      <c r="AM230" s="333"/>
    </row>
    <row r="231" spans="2:39" s="316" customFormat="1" ht="26.1" customHeight="1" x14ac:dyDescent="0.2">
      <c r="B231" s="340" t="str">
        <f t="array" ref="B231">IF(ISERROR(INDEX('Eingabe Meldungen'!$C$2:$C$492,LARGE(('Eingabe Meldungen'!$A$2:$A$492=$B$220)*(ROW('Eingabe Meldungen'!$A$2:$A$492)-1),COUNTIF('Eingabe Meldungen'!$A$2:$A$492,$B$220)+1-ROW('Eingabe Meldungen'!A10)))),"",INDEX('Eingabe Meldungen'!$C$2:$C$492,LARGE(('Eingabe Meldungen'!$A$2:$A$492=$B$220)*(ROW('Eingabe Meldungen'!$A$2:$A$492)-1),COUNTIF('Eingabe Meldungen'!$A$2:$A$492,$B$220)+1-ROW('Eingabe Meldungen'!A10))))</f>
        <v>Heß</v>
      </c>
      <c r="C231" s="316" t="str">
        <f t="array" ref="C231">IF(ISERROR(INDEX('Eingabe Meldungen'!$D$2:$D$492,LARGE(('Eingabe Meldungen'!$A$2:$A$492=$B$220)*(ROW('Eingabe Meldungen'!$A$2:$A$492)-1),COUNTIF('Eingabe Meldungen'!$A$2:$A$492,$B$220)+1-ROW('Eingabe Meldungen'!A10)))),"",INDEX('Eingabe Meldungen'!$D$2:$D$492,LARGE(('Eingabe Meldungen'!$A$2:$A$492=$B$220)*(ROW('Eingabe Meldungen'!$A$2:$A$492)-1),COUNTIF('Eingabe Meldungen'!$A$2:$A$492,$B$220)+1-ROW('Eingabe Meldungen'!A10))))</f>
        <v>Philipp</v>
      </c>
      <c r="D231" s="341">
        <f t="array" ref="D231">IF(B231&lt;&gt;"",INDEX('Eingabe Meldungen'!$C$2:$H$492,MATCH(B231&amp;C231,'Eingabe Meldungen'!$C$2:$C$492&amp;'Eingabe Meldungen'!$D$2:$D$492,0),6),"")</f>
        <v>2006</v>
      </c>
      <c r="E231" s="382" t="str">
        <f t="array" ref="E231">IF(B231&lt;&gt;"",INDEX('Eingabe Meldungen'!$C$2:$H$492,MATCH(B231&amp;C231,'Eingabe Meldungen'!$C$2:$C$492&amp;'Eingabe Meldungen'!$D$2:$D$492,0),4),"")</f>
        <v>Lgw. bis 55 kg</v>
      </c>
      <c r="F231" s="353" t="s">
        <v>568</v>
      </c>
      <c r="G231" s="333">
        <v>8</v>
      </c>
      <c r="H231" s="343" t="str">
        <f t="array" ref="H231">IF(B231&lt;&gt;"",INDEX('Eingabe Meldungen'!$C$2:$J$492,MATCH(B231&amp;C231,'Eingabe Meldungen'!$C$2:$C$492&amp;'Eingabe Meldungen'!$D$2:$D$492,0),8),"")</f>
        <v>RC Nürtingen</v>
      </c>
      <c r="J231" s="332"/>
      <c r="K231" s="332"/>
      <c r="L231" s="332"/>
      <c r="M231" s="332"/>
      <c r="N231" s="332"/>
      <c r="O231" s="332"/>
      <c r="P231" s="332"/>
      <c r="Q231" s="332"/>
      <c r="R231" s="332"/>
      <c r="S231" s="332"/>
      <c r="T231" s="332"/>
      <c r="U231" s="332"/>
      <c r="V231" s="332"/>
      <c r="W231" s="332"/>
      <c r="X231" s="332"/>
      <c r="Y231" s="332"/>
      <c r="Z231" s="332"/>
      <c r="AA231" s="332"/>
      <c r="AB231" s="332"/>
      <c r="AC231" s="332"/>
      <c r="AD231" s="332"/>
      <c r="AE231" s="332"/>
      <c r="AF231" s="332"/>
      <c r="AG231" s="332"/>
      <c r="AH231" s="332"/>
      <c r="AI231" s="332"/>
      <c r="AJ231" s="333"/>
      <c r="AK231" s="333"/>
      <c r="AL231" s="333"/>
      <c r="AM231" s="333"/>
    </row>
    <row r="232" spans="2:39" s="316" customFormat="1" ht="26.1" customHeight="1" x14ac:dyDescent="0.2">
      <c r="B232" s="340"/>
      <c r="D232" s="341"/>
      <c r="E232" s="382"/>
      <c r="F232" s="353"/>
      <c r="G232" s="333"/>
      <c r="H232" s="343"/>
      <c r="J232" s="332"/>
      <c r="K232" s="332"/>
      <c r="L232" s="332"/>
      <c r="M232" s="332"/>
      <c r="N232" s="332"/>
      <c r="O232" s="332"/>
      <c r="P232" s="332"/>
      <c r="Q232" s="332"/>
      <c r="R232" s="332"/>
      <c r="S232" s="332"/>
      <c r="T232" s="332"/>
      <c r="U232" s="332"/>
      <c r="V232" s="332"/>
      <c r="W232" s="332"/>
      <c r="X232" s="332"/>
      <c r="Y232" s="332"/>
      <c r="Z232" s="332"/>
      <c r="AA232" s="332"/>
      <c r="AB232" s="332"/>
      <c r="AC232" s="332"/>
      <c r="AD232" s="332"/>
      <c r="AE232" s="332"/>
      <c r="AF232" s="332"/>
      <c r="AG232" s="332"/>
      <c r="AH232" s="332"/>
      <c r="AI232" s="332"/>
      <c r="AJ232" s="333"/>
      <c r="AK232" s="333"/>
      <c r="AL232" s="333"/>
      <c r="AM232" s="333"/>
    </row>
    <row r="233" spans="2:39" s="316" customFormat="1" ht="26.1" customHeight="1" x14ac:dyDescent="0.2">
      <c r="B233" s="340" t="str">
        <f t="array" ref="B233">IF(ISERROR(INDEX('Eingabe Meldungen'!$C$2:$C$492,LARGE(('Eingabe Meldungen'!$A$2:$A$492=$B$220)*(ROW('Eingabe Meldungen'!$A$2:$A$492)-1),COUNTIF('Eingabe Meldungen'!$A$2:$A$492,$B$220)+1-ROW('Eingabe Meldungen'!A12)))),"",INDEX('Eingabe Meldungen'!$C$2:$C$492,LARGE(('Eingabe Meldungen'!$A$2:$A$492=$B$220)*(ROW('Eingabe Meldungen'!$A$2:$A$492)-1),COUNTIF('Eingabe Meldungen'!$A$2:$A$492,$B$220)+1-ROW('Eingabe Meldungen'!A12))))</f>
        <v>Wöppel</v>
      </c>
      <c r="C233" s="316" t="str">
        <f t="array" ref="C233">IF(ISERROR(INDEX('Eingabe Meldungen'!$D$2:$D$492,LARGE(('Eingabe Meldungen'!$A$2:$A$492=$B$220)*(ROW('Eingabe Meldungen'!$A$2:$A$492)-1),COUNTIF('Eingabe Meldungen'!$A$2:$A$492,$B$220)+1-ROW('Eingabe Meldungen'!A12)))),"",INDEX('Eingabe Meldungen'!$D$2:$D$492,LARGE(('Eingabe Meldungen'!$A$2:$A$492=$B$220)*(ROW('Eingabe Meldungen'!$A$2:$A$492)-1),COUNTIF('Eingabe Meldungen'!$A$2:$A$492,$B$220)+1-ROW('Eingabe Meldungen'!A12))))</f>
        <v>Marius</v>
      </c>
      <c r="D233" s="341">
        <f t="array" ref="D233">IF(B233&lt;&gt;"",INDEX('Eingabe Meldungen'!$C$2:$H$492,MATCH(B233&amp;C233,'Eingabe Meldungen'!$C$2:$C$492&amp;'Eingabe Meldungen'!$D$2:$D$492,0),6),"")</f>
        <v>2006</v>
      </c>
      <c r="E233" s="382" t="str">
        <f t="array" ref="E233">IF(B233&lt;&gt;"",INDEX('Eingabe Meldungen'!$C$2:$H$492,MATCH(B233&amp;C233,'Eingabe Meldungen'!$C$2:$C$492&amp;'Eingabe Meldungen'!$D$2:$D$492,0),4),"")</f>
        <v>Lgw. bis 55 kg</v>
      </c>
      <c r="F233" s="353" t="s">
        <v>569</v>
      </c>
      <c r="G233" s="333">
        <v>7</v>
      </c>
      <c r="H233" s="343" t="str">
        <f t="array" ref="H233">IF(B233&lt;&gt;"",INDEX('Eingabe Meldungen'!$C$2:$J$492,MATCH(B233&amp;C233,'Eingabe Meldungen'!$C$2:$C$492&amp;'Eingabe Meldungen'!$D$2:$D$492,0),8),"")</f>
        <v xml:space="preserve">WSV Schifferclub Neckarrems </v>
      </c>
      <c r="J233" s="332"/>
      <c r="K233" s="332"/>
      <c r="L233" s="332"/>
      <c r="M233" s="332"/>
      <c r="N233" s="332"/>
      <c r="O233" s="332"/>
      <c r="P233" s="332"/>
      <c r="Q233" s="332"/>
      <c r="R233" s="332"/>
      <c r="S233" s="332"/>
      <c r="T233" s="332"/>
      <c r="U233" s="332"/>
      <c r="V233" s="332"/>
      <c r="W233" s="332"/>
      <c r="X233" s="332"/>
      <c r="Y233" s="332"/>
      <c r="Z233" s="332"/>
      <c r="AA233" s="332"/>
      <c r="AB233" s="332"/>
      <c r="AC233" s="332"/>
      <c r="AD233" s="332"/>
      <c r="AE233" s="332"/>
      <c r="AF233" s="332"/>
      <c r="AG233" s="332"/>
      <c r="AH233" s="332"/>
      <c r="AI233" s="332"/>
      <c r="AJ233" s="333"/>
      <c r="AK233" s="333"/>
      <c r="AL233" s="333"/>
      <c r="AM233" s="333"/>
    </row>
    <row r="234" spans="2:39" s="316" customFormat="1" ht="26.1" customHeight="1" x14ac:dyDescent="0.2">
      <c r="B234" s="340" t="str">
        <f t="array" ref="B234">IF(ISERROR(INDEX('Eingabe Meldungen'!$C$2:$C$492,LARGE(('Eingabe Meldungen'!$A$2:$A$492=$B$220)*(ROW('Eingabe Meldungen'!$A$2:$A$492)-1),COUNTIF('Eingabe Meldungen'!$A$2:$A$492,$B$220)+1-ROW('Eingabe Meldungen'!A13)))),"",INDEX('Eingabe Meldungen'!$C$2:$C$492,LARGE(('Eingabe Meldungen'!$A$2:$A$492=$B$220)*(ROW('Eingabe Meldungen'!$A$2:$A$492)-1),COUNTIF('Eingabe Meldungen'!$A$2:$A$492,$B$220)+1-ROW('Eingabe Meldungen'!A13))))</f>
        <v/>
      </c>
      <c r="C234" s="316" t="str">
        <f t="array" ref="C234">IF(ISERROR(INDEX('Eingabe Meldungen'!$D$2:$D$492,LARGE(('Eingabe Meldungen'!$A$2:$A$492=$B$220)*(ROW('Eingabe Meldungen'!$A$2:$A$492)-1),COUNTIF('Eingabe Meldungen'!$A$2:$A$492,$B$220)+1-ROW('Eingabe Meldungen'!A13)))),"",INDEX('Eingabe Meldungen'!$D$2:$D$492,LARGE(('Eingabe Meldungen'!$A$2:$A$492=$B$220)*(ROW('Eingabe Meldungen'!$A$2:$A$492)-1),COUNTIF('Eingabe Meldungen'!$A$2:$A$492,$B$220)+1-ROW('Eingabe Meldungen'!A13))))</f>
        <v/>
      </c>
      <c r="D234" s="341" t="str">
        <f t="array" ref="D234">IF(B234&lt;&gt;"",INDEX('Eingabe Meldungen'!$C$2:$H$492,MATCH(B234&amp;C234,'Eingabe Meldungen'!$C$2:$C$492&amp;'Eingabe Meldungen'!$D$2:$D$492,0),6),"")</f>
        <v/>
      </c>
      <c r="E234" s="382" t="str">
        <f t="array" ref="E234">IF(B234&lt;&gt;"",INDEX('Eingabe Meldungen'!$C$2:$H$492,MATCH(B234&amp;C234,'Eingabe Meldungen'!$C$2:$C$492&amp;'Eingabe Meldungen'!$D$2:$D$492,0),4),"")</f>
        <v/>
      </c>
      <c r="F234" s="353"/>
      <c r="G234" s="333" t="e">
        <f t="shared" ref="G234:G236" si="28">RANK(F234,$F$222:$F$236,1)</f>
        <v>#N/A</v>
      </c>
      <c r="H234" s="343" t="str">
        <f t="array" ref="H234">IF(B234&lt;&gt;"",INDEX('Eingabe Meldungen'!$C$2:$J$492,MATCH(B234&amp;C234,'Eingabe Meldungen'!$C$2:$C$492&amp;'Eingabe Meldungen'!$D$2:$D$492,0),8),"")</f>
        <v/>
      </c>
      <c r="J234" s="332"/>
      <c r="K234" s="332"/>
      <c r="L234" s="332"/>
      <c r="M234" s="332"/>
      <c r="N234" s="332"/>
      <c r="O234" s="332"/>
      <c r="P234" s="332"/>
      <c r="Q234" s="332"/>
      <c r="R234" s="332"/>
      <c r="S234" s="332"/>
      <c r="T234" s="332"/>
      <c r="U234" s="332"/>
      <c r="V234" s="332"/>
      <c r="W234" s="332"/>
      <c r="X234" s="332"/>
      <c r="Y234" s="332"/>
      <c r="Z234" s="332"/>
      <c r="AA234" s="332"/>
      <c r="AB234" s="332"/>
      <c r="AC234" s="332"/>
      <c r="AD234" s="332"/>
      <c r="AE234" s="332"/>
      <c r="AF234" s="332"/>
      <c r="AG234" s="332"/>
      <c r="AH234" s="332"/>
      <c r="AI234" s="332"/>
      <c r="AJ234" s="333"/>
      <c r="AK234" s="333"/>
      <c r="AL234" s="333"/>
      <c r="AM234" s="333"/>
    </row>
    <row r="235" spans="2:39" s="316" customFormat="1" ht="26.1" customHeight="1" x14ac:dyDescent="0.2">
      <c r="B235" s="340" t="str">
        <f t="array" ref="B235">IF(ISERROR(INDEX('Eingabe Meldungen'!$C$2:$C$492,LARGE(('Eingabe Meldungen'!$A$2:$A$492=$B$220)*(ROW('Eingabe Meldungen'!$A$2:$A$492)-1),COUNTIF('Eingabe Meldungen'!$A$2:$A$492,$B$220)+1-ROW('Eingabe Meldungen'!A14)))),"",INDEX('Eingabe Meldungen'!$C$2:$C$492,LARGE(('Eingabe Meldungen'!$A$2:$A$492=$B$220)*(ROW('Eingabe Meldungen'!$A$2:$A$492)-1),COUNTIF('Eingabe Meldungen'!$A$2:$A$492,$B$220)+1-ROW('Eingabe Meldungen'!A14))))</f>
        <v/>
      </c>
      <c r="C235" s="316" t="str">
        <f t="array" ref="C235">IF(ISERROR(INDEX('Eingabe Meldungen'!$D$2:$D$492,LARGE(('Eingabe Meldungen'!$A$2:$A$492=$B$220)*(ROW('Eingabe Meldungen'!$A$2:$A$492)-1),COUNTIF('Eingabe Meldungen'!$A$2:$A$492,$B$220)+1-ROW('Eingabe Meldungen'!A14)))),"",INDEX('Eingabe Meldungen'!$D$2:$D$492,LARGE(('Eingabe Meldungen'!$A$2:$A$492=$B$220)*(ROW('Eingabe Meldungen'!$A$2:$A$492)-1),COUNTIF('Eingabe Meldungen'!$A$2:$A$492,$B$220)+1-ROW('Eingabe Meldungen'!A14))))</f>
        <v/>
      </c>
      <c r="D235" s="341" t="str">
        <f t="array" ref="D235">IF(B235&lt;&gt;"",INDEX('Eingabe Meldungen'!$C$2:$H$492,MATCH(B235&amp;C235,'Eingabe Meldungen'!$C$2:$C$492&amp;'Eingabe Meldungen'!$D$2:$D$492,0),6),"")</f>
        <v/>
      </c>
      <c r="E235" s="382" t="str">
        <f t="array" ref="E235">IF(B235&lt;&gt;"",INDEX('Eingabe Meldungen'!$C$2:$H$492,MATCH(B235&amp;C235,'Eingabe Meldungen'!$C$2:$C$492&amp;'Eingabe Meldungen'!$D$2:$D$492,0),4),"")</f>
        <v/>
      </c>
      <c r="F235" s="353"/>
      <c r="G235" s="333" t="e">
        <f t="shared" si="28"/>
        <v>#N/A</v>
      </c>
      <c r="H235" s="343" t="str">
        <f t="array" ref="H235">IF(B235&lt;&gt;"",INDEX('Eingabe Meldungen'!$C$2:$J$492,MATCH(B235&amp;C235,'Eingabe Meldungen'!$C$2:$C$492&amp;'Eingabe Meldungen'!$D$2:$D$492,0),8),"")</f>
        <v/>
      </c>
      <c r="J235" s="332"/>
      <c r="K235" s="332"/>
      <c r="L235" s="332"/>
      <c r="M235" s="332"/>
      <c r="N235" s="332"/>
      <c r="O235" s="332"/>
      <c r="P235" s="332"/>
      <c r="Q235" s="332"/>
      <c r="R235" s="332"/>
      <c r="S235" s="332"/>
      <c r="T235" s="332"/>
      <c r="U235" s="332"/>
      <c r="V235" s="332"/>
      <c r="W235" s="332"/>
      <c r="X235" s="332"/>
      <c r="Y235" s="332"/>
      <c r="Z235" s="332"/>
      <c r="AA235" s="332"/>
      <c r="AB235" s="332"/>
      <c r="AC235" s="332"/>
      <c r="AD235" s="332"/>
      <c r="AE235" s="332"/>
      <c r="AF235" s="332"/>
      <c r="AG235" s="332"/>
      <c r="AH235" s="332"/>
      <c r="AI235" s="332"/>
      <c r="AJ235" s="333"/>
      <c r="AK235" s="333"/>
      <c r="AL235" s="333"/>
      <c r="AM235" s="333"/>
    </row>
    <row r="236" spans="2:39" s="316" customFormat="1" ht="26.1" customHeight="1" x14ac:dyDescent="0.2">
      <c r="B236" s="340" t="str">
        <f t="array" ref="B236">IF(ISERROR(INDEX('Eingabe Meldungen'!$C$2:$C$492,LARGE(('Eingabe Meldungen'!$A$2:$A$492=$B$220)*(ROW('Eingabe Meldungen'!$A$2:$A$492)-1),COUNTIF('Eingabe Meldungen'!$A$2:$A$492,$B$220)+1-ROW('Eingabe Meldungen'!A15)))),"",INDEX('Eingabe Meldungen'!$C$2:$C$492,LARGE(('Eingabe Meldungen'!$A$2:$A$492=$B$220)*(ROW('Eingabe Meldungen'!$A$2:$A$492)-1),COUNTIF('Eingabe Meldungen'!$A$2:$A$492,$B$220)+1-ROW('Eingabe Meldungen'!A15))))</f>
        <v/>
      </c>
      <c r="C236" s="316" t="str">
        <f t="array" ref="C236">IF(ISERROR(INDEX('Eingabe Meldungen'!$D$2:$D$492,LARGE(('Eingabe Meldungen'!$A$2:$A$492=$B$220)*(ROW('Eingabe Meldungen'!$A$2:$A$492)-1),COUNTIF('Eingabe Meldungen'!$A$2:$A$492,$B$220)+1-ROW('Eingabe Meldungen'!A15)))),"",INDEX('Eingabe Meldungen'!$D$2:$D$492,LARGE(('Eingabe Meldungen'!$A$2:$A$492=$B$220)*(ROW('Eingabe Meldungen'!$A$2:$A$492)-1),COUNTIF('Eingabe Meldungen'!$A$2:$A$492,$B$220)+1-ROW('Eingabe Meldungen'!A15))))</f>
        <v/>
      </c>
      <c r="D236" s="341" t="str">
        <f t="array" ref="D236">IF(B236&lt;&gt;"",INDEX('Eingabe Meldungen'!$C$2:$H$492,MATCH(B236&amp;C236,'Eingabe Meldungen'!$C$2:$C$492&amp;'Eingabe Meldungen'!$D$2:$D$492,0),6),"")</f>
        <v/>
      </c>
      <c r="E236" s="382" t="str">
        <f t="array" ref="E236">IF(B236&lt;&gt;"",INDEX('Eingabe Meldungen'!$C$2:$H$492,MATCH(B236&amp;C236,'Eingabe Meldungen'!$C$2:$C$492&amp;'Eingabe Meldungen'!$D$2:$D$492,0),4),"")</f>
        <v/>
      </c>
      <c r="F236" s="353"/>
      <c r="G236" s="333" t="e">
        <f t="shared" si="28"/>
        <v>#N/A</v>
      </c>
      <c r="H236" s="343" t="str">
        <f t="array" ref="H236">IF(B236&lt;&gt;"",INDEX('Eingabe Meldungen'!$C$2:$J$492,MATCH(B236&amp;C236,'Eingabe Meldungen'!$C$2:$C$492&amp;'Eingabe Meldungen'!$D$2:$D$492,0),8),"")</f>
        <v/>
      </c>
      <c r="J236" s="332"/>
      <c r="K236" s="332"/>
      <c r="L236" s="332"/>
      <c r="M236" s="332"/>
      <c r="N236" s="332"/>
      <c r="O236" s="332"/>
      <c r="P236" s="332"/>
      <c r="Q236" s="332"/>
      <c r="R236" s="332"/>
      <c r="S236" s="332"/>
      <c r="T236" s="332"/>
      <c r="U236" s="332"/>
      <c r="V236" s="332"/>
      <c r="W236" s="332"/>
      <c r="X236" s="332"/>
      <c r="Y236" s="332"/>
      <c r="Z236" s="332"/>
      <c r="AA236" s="332"/>
      <c r="AB236" s="332"/>
      <c r="AC236" s="332"/>
      <c r="AD236" s="332"/>
      <c r="AE236" s="332"/>
      <c r="AF236" s="332"/>
      <c r="AG236" s="332"/>
      <c r="AH236" s="332"/>
      <c r="AI236" s="332"/>
      <c r="AJ236" s="333"/>
      <c r="AK236" s="333"/>
      <c r="AL236" s="333"/>
      <c r="AM236" s="333"/>
    </row>
    <row r="237" spans="2:39" s="316" customFormat="1" ht="26.25" customHeight="1" thickBot="1" x14ac:dyDescent="0.25">
      <c r="E237" s="352"/>
      <c r="F237" s="333"/>
      <c r="G237" s="333"/>
      <c r="J237" s="333"/>
      <c r="K237" s="333"/>
      <c r="L237" s="333"/>
      <c r="M237" s="333"/>
      <c r="N237" s="333"/>
      <c r="O237" s="333"/>
      <c r="P237" s="333"/>
      <c r="Q237" s="333"/>
      <c r="R237" s="333"/>
      <c r="S237" s="333"/>
      <c r="T237" s="333"/>
      <c r="U237" s="333"/>
      <c r="V237" s="333"/>
      <c r="W237" s="333"/>
      <c r="X237" s="333"/>
      <c r="Y237" s="333"/>
      <c r="Z237" s="333"/>
      <c r="AA237" s="333"/>
      <c r="AB237" s="333"/>
      <c r="AC237" s="333"/>
      <c r="AD237" s="333"/>
      <c r="AE237" s="333"/>
      <c r="AF237" s="333"/>
      <c r="AG237" s="333"/>
      <c r="AH237" s="333"/>
      <c r="AI237" s="333"/>
      <c r="AJ237" s="333"/>
      <c r="AK237" s="333"/>
      <c r="AL237" s="333"/>
      <c r="AM237" s="333"/>
    </row>
    <row r="238" spans="2:39" s="316" customFormat="1" ht="26.25" customHeight="1" x14ac:dyDescent="0.2">
      <c r="B238" s="326">
        <v>10</v>
      </c>
      <c r="C238" s="327" t="str">
        <f>VLOOKUP(B238,Ausschreibung!$B$5:$I$35,2,FALSE)</f>
        <v>Ergocup</v>
      </c>
      <c r="D238" s="328">
        <f>VLOOKUP(B238,Ausschreibung!$B$5:$I$35,3,FALSE)</f>
        <v>0.53611111111111098</v>
      </c>
      <c r="E238" s="327" t="str">
        <f>VLOOKUP(B238,Ausschreibung!$B$5:$I$35,4,FALSE)</f>
        <v>Jungen U15</v>
      </c>
      <c r="F238" s="329" t="str">
        <f>VLOOKUP(B238,Ausschreibung!$B$5:$I$35,5,FALSE)</f>
        <v>-</v>
      </c>
      <c r="G238" s="330">
        <f>VLOOKUP(B238,Ausschreibung!$B$5:$I$35,6,FALSE)</f>
        <v>14</v>
      </c>
      <c r="H238" s="331" t="str">
        <f>VLOOKUP(B238,Ausschreibung!$B$5:$I$35,8,FALSE)</f>
        <v>1000 m</v>
      </c>
      <c r="J238" s="332"/>
      <c r="K238" s="332"/>
      <c r="L238" s="332"/>
      <c r="M238" s="332"/>
      <c r="N238" s="332"/>
      <c r="O238" s="332"/>
      <c r="P238" s="332"/>
      <c r="Q238" s="332"/>
      <c r="R238" s="332"/>
      <c r="S238" s="332"/>
      <c r="T238" s="332"/>
      <c r="U238" s="332"/>
      <c r="V238" s="332"/>
      <c r="W238" s="332"/>
      <c r="X238" s="332"/>
      <c r="Y238" s="332"/>
      <c r="Z238" s="332"/>
      <c r="AA238" s="332"/>
      <c r="AB238" s="332"/>
      <c r="AC238" s="332"/>
      <c r="AD238" s="332"/>
      <c r="AE238" s="332"/>
      <c r="AF238" s="332"/>
      <c r="AG238" s="332"/>
      <c r="AH238" s="332"/>
      <c r="AI238" s="332"/>
      <c r="AJ238" s="333"/>
      <c r="AK238" s="333"/>
      <c r="AL238" s="333"/>
      <c r="AM238" s="333"/>
    </row>
    <row r="239" spans="2:39" s="316" customFormat="1" ht="26.25" customHeight="1" x14ac:dyDescent="0.2">
      <c r="B239" s="334" t="s">
        <v>1</v>
      </c>
      <c r="C239" s="335" t="s">
        <v>2</v>
      </c>
      <c r="D239" s="336" t="s">
        <v>49</v>
      </c>
      <c r="E239" s="381" t="s">
        <v>16</v>
      </c>
      <c r="F239" s="337" t="s">
        <v>50</v>
      </c>
      <c r="G239" s="338" t="s">
        <v>51</v>
      </c>
      <c r="H239" s="339" t="s">
        <v>17</v>
      </c>
      <c r="J239" s="332"/>
      <c r="K239" s="332"/>
      <c r="L239" s="332"/>
      <c r="M239" s="332"/>
      <c r="N239" s="332"/>
      <c r="O239" s="332"/>
      <c r="P239" s="332"/>
      <c r="Q239" s="332"/>
      <c r="R239" s="332"/>
      <c r="S239" s="332"/>
      <c r="T239" s="332"/>
      <c r="U239" s="332"/>
      <c r="V239" s="332"/>
      <c r="W239" s="332"/>
      <c r="X239" s="332"/>
      <c r="Y239" s="332"/>
      <c r="Z239" s="332"/>
      <c r="AA239" s="332"/>
      <c r="AB239" s="332"/>
      <c r="AC239" s="332"/>
      <c r="AD239" s="332"/>
      <c r="AE239" s="332"/>
      <c r="AF239" s="332"/>
      <c r="AG239" s="332"/>
      <c r="AH239" s="332"/>
      <c r="AI239" s="332"/>
      <c r="AJ239" s="333"/>
      <c r="AK239" s="333"/>
      <c r="AL239" s="333"/>
      <c r="AM239" s="333"/>
    </row>
    <row r="240" spans="2:39" s="316" customFormat="1" ht="26.25" customHeight="1" x14ac:dyDescent="0.2">
      <c r="B240" s="340" t="str">
        <f t="array" ref="B240">IF(ISERROR(INDEX('Eingabe Meldungen'!$C$2:$C$492,LARGE(('Eingabe Meldungen'!$A$2:$A$492=$B$238)*(ROW('Eingabe Meldungen'!$A$2:$A$492)-1),COUNTIF('Eingabe Meldungen'!$A$2:$A$492,$B$238)+1-ROW('Eingabe Meldungen'!A1)))),"",INDEX('Eingabe Meldungen'!$C$2:$C$492,LARGE(('Eingabe Meldungen'!$A$2:$A$492=$B$238)*(ROW('Eingabe Meldungen'!$A$2:$A$492)-1),COUNTIF('Eingabe Meldungen'!$A$2:$A$492,$B$238)+1-ROW('Eingabe Meldungen'!A1))))</f>
        <v>Herrmann</v>
      </c>
      <c r="C240" s="316" t="str">
        <f t="array" ref="C240">IF(ISERROR(INDEX('Eingabe Meldungen'!$D$2:$D$492,LARGE(('Eingabe Meldungen'!$A$2:$A$492=$B$238)*(ROW('Eingabe Meldungen'!$A$2:$A$492)-1),COUNTIF('Eingabe Meldungen'!$A$2:$A$492,$B$238)+1-ROW('Eingabe Meldungen'!A1)))),"",INDEX('Eingabe Meldungen'!$D$2:$D$492,LARGE(('Eingabe Meldungen'!$A$2:$A$492=$B$238)*(ROW('Eingabe Meldungen'!$A$2:$A$492)-1),COUNTIF('Eingabe Meldungen'!$A$2:$A$492,$B$238)+1-ROW('Eingabe Meldungen'!A1))))</f>
        <v>Alexander</v>
      </c>
      <c r="D240" s="341">
        <f t="array" ref="D240">IF(B240&lt;&gt;"",INDEX('Eingabe Meldungen'!$C$2:$H$492,MATCH(B240&amp;C240,'Eingabe Meldungen'!$C$2:$C$492&amp;'Eingabe Meldungen'!$D$2:$D$492,0),6),"")</f>
        <v>2006</v>
      </c>
      <c r="E240" s="382" t="str">
        <f t="array" ref="E240">IF(B240&lt;&gt;"",INDEX('Eingabe Meldungen'!$C$2:$H$492,MATCH(B240&amp;C240,'Eingabe Meldungen'!$C$2:$C$492&amp;'Eingabe Meldungen'!$D$2:$D$492,0),4),"")</f>
        <v>-</v>
      </c>
      <c r="F240" s="353" t="s">
        <v>574</v>
      </c>
      <c r="G240" s="333">
        <v>9</v>
      </c>
      <c r="H240" s="343" t="str">
        <f t="array" ref="H240">IF(B240&lt;&gt;"",INDEX('Eingabe Meldungen'!$C$2:$J$492,MATCH(B240&amp;C240,'Eingabe Meldungen'!$C$2:$C$492&amp;'Eingabe Meldungen'!$D$2:$D$492,0),8),"")</f>
        <v>RV Waldsee</v>
      </c>
      <c r="J240" s="332"/>
      <c r="K240" s="332"/>
      <c r="L240" s="332"/>
      <c r="M240" s="332"/>
      <c r="N240" s="332"/>
      <c r="O240" s="332"/>
      <c r="P240" s="332"/>
      <c r="Q240" s="332"/>
      <c r="R240" s="332"/>
      <c r="S240" s="332"/>
      <c r="T240" s="332"/>
      <c r="U240" s="332"/>
      <c r="V240" s="332"/>
      <c r="W240" s="332"/>
      <c r="X240" s="332"/>
      <c r="Y240" s="332"/>
      <c r="Z240" s="332"/>
      <c r="AA240" s="332"/>
      <c r="AB240" s="332"/>
      <c r="AC240" s="332"/>
      <c r="AD240" s="332"/>
      <c r="AE240" s="332"/>
      <c r="AF240" s="332"/>
      <c r="AG240" s="332"/>
      <c r="AH240" s="332"/>
      <c r="AI240" s="332"/>
      <c r="AJ240" s="333"/>
      <c r="AK240" s="333"/>
      <c r="AL240" s="333"/>
      <c r="AM240" s="333"/>
    </row>
    <row r="241" spans="2:39" s="316" customFormat="1" ht="26.25" customHeight="1" x14ac:dyDescent="0.2">
      <c r="B241" s="340" t="str">
        <f t="array" ref="B241">IF(ISERROR(INDEX('Eingabe Meldungen'!$C$2:$C$492,LARGE(('Eingabe Meldungen'!$A$2:$A$492=$B$238)*(ROW('Eingabe Meldungen'!$A$2:$A$492)-1),COUNTIF('Eingabe Meldungen'!$A$2:$A$492,$B$238)+1-ROW('Eingabe Meldungen'!A2)))),"",INDEX('Eingabe Meldungen'!$C$2:$C$492,LARGE(('Eingabe Meldungen'!$A$2:$A$492=$B$238)*(ROW('Eingabe Meldungen'!$A$2:$A$492)-1),COUNTIF('Eingabe Meldungen'!$A$2:$A$492,$B$238)+1-ROW('Eingabe Meldungen'!A2))))</f>
        <v>von Watzdorf</v>
      </c>
      <c r="C241" s="316" t="str">
        <f t="array" ref="C241">IF(ISERROR(INDEX('Eingabe Meldungen'!$D$2:$D$492,LARGE(('Eingabe Meldungen'!$A$2:$A$492=$B$238)*(ROW('Eingabe Meldungen'!$A$2:$A$492)-1),COUNTIF('Eingabe Meldungen'!$A$2:$A$492,$B$238)+1-ROW('Eingabe Meldungen'!A2)))),"",INDEX('Eingabe Meldungen'!$D$2:$D$492,LARGE(('Eingabe Meldungen'!$A$2:$A$492=$B$238)*(ROW('Eingabe Meldungen'!$A$2:$A$492)-1),COUNTIF('Eingabe Meldungen'!$A$2:$A$492,$B$238)+1-ROW('Eingabe Meldungen'!A2))))</f>
        <v>Carl</v>
      </c>
      <c r="D241" s="341">
        <f t="array" ref="D241">IF(B241&lt;&gt;"",INDEX('Eingabe Meldungen'!$C$2:$H$492,MATCH(B241&amp;C241,'Eingabe Meldungen'!$C$2:$C$492&amp;'Eingabe Meldungen'!$D$2:$D$492,0),6),"")</f>
        <v>2006</v>
      </c>
      <c r="E241" s="382" t="str">
        <f t="array" ref="E241">IF(B241&lt;&gt;"",INDEX('Eingabe Meldungen'!$C$2:$H$492,MATCH(B241&amp;C241,'Eingabe Meldungen'!$C$2:$C$492&amp;'Eingabe Meldungen'!$D$2:$D$492,0),4),"")</f>
        <v>-</v>
      </c>
      <c r="F241" s="353" t="s">
        <v>570</v>
      </c>
      <c r="G241" s="333">
        <v>1</v>
      </c>
      <c r="H241" s="343" t="str">
        <f t="array" ref="H241">IF(B241&lt;&gt;"",INDEX('Eingabe Meldungen'!$C$2:$J$492,MATCH(B241&amp;C241,'Eingabe Meldungen'!$C$2:$C$492&amp;'Eingabe Meldungen'!$D$2:$D$492,0),8),"")</f>
        <v>Mannheimer RV "Amicitia"</v>
      </c>
      <c r="J241" s="332"/>
      <c r="K241" s="332"/>
      <c r="L241" s="332"/>
      <c r="M241" s="332"/>
      <c r="N241" s="332"/>
      <c r="O241" s="332"/>
      <c r="P241" s="332">
        <v>7</v>
      </c>
      <c r="Q241" s="332"/>
      <c r="R241" s="332"/>
      <c r="S241" s="332"/>
      <c r="T241" s="332"/>
      <c r="U241" s="332"/>
      <c r="V241" s="332"/>
      <c r="W241" s="332"/>
      <c r="X241" s="332"/>
      <c r="Y241" s="332"/>
      <c r="Z241" s="332"/>
      <c r="AA241" s="332"/>
      <c r="AB241" s="332"/>
      <c r="AC241" s="332"/>
      <c r="AD241" s="332"/>
      <c r="AE241" s="332"/>
      <c r="AF241" s="332"/>
      <c r="AG241" s="332"/>
      <c r="AH241" s="332"/>
      <c r="AI241" s="332"/>
      <c r="AJ241" s="333"/>
      <c r="AK241" s="333"/>
      <c r="AL241" s="333"/>
      <c r="AM241" s="333"/>
    </row>
    <row r="242" spans="2:39" s="316" customFormat="1" ht="26.25" customHeight="1" x14ac:dyDescent="0.2">
      <c r="B242" s="340" t="str">
        <f t="array" ref="B242">IF(ISERROR(INDEX('Eingabe Meldungen'!$C$2:$C$492,LARGE(('Eingabe Meldungen'!$A$2:$A$492=$B$238)*(ROW('Eingabe Meldungen'!$A$2:$A$492)-1),COUNTIF('Eingabe Meldungen'!$A$2:$A$492,$B$238)+1-ROW('Eingabe Meldungen'!A3)))),"",INDEX('Eingabe Meldungen'!$C$2:$C$492,LARGE(('Eingabe Meldungen'!$A$2:$A$492=$B$238)*(ROW('Eingabe Meldungen'!$A$2:$A$492)-1),COUNTIF('Eingabe Meldungen'!$A$2:$A$492,$B$238)+1-ROW('Eingabe Meldungen'!A3))))</f>
        <v>Kalmbach</v>
      </c>
      <c r="C242" s="316" t="str">
        <f t="array" ref="C242">IF(ISERROR(INDEX('Eingabe Meldungen'!$D$2:$D$492,LARGE(('Eingabe Meldungen'!$A$2:$A$492=$B$238)*(ROW('Eingabe Meldungen'!$A$2:$A$492)-1),COUNTIF('Eingabe Meldungen'!$A$2:$A$492,$B$238)+1-ROW('Eingabe Meldungen'!A3)))),"",INDEX('Eingabe Meldungen'!$D$2:$D$492,LARGE(('Eingabe Meldungen'!$A$2:$A$492=$B$238)*(ROW('Eingabe Meldungen'!$A$2:$A$492)-1),COUNTIF('Eingabe Meldungen'!$A$2:$A$492,$B$238)+1-ROW('Eingabe Meldungen'!A3))))</f>
        <v>Henning</v>
      </c>
      <c r="D242" s="341">
        <f t="array" ref="D242">IF(B242&lt;&gt;"",INDEX('Eingabe Meldungen'!$C$2:$H$492,MATCH(B242&amp;C242,'Eingabe Meldungen'!$C$2:$C$492&amp;'Eingabe Meldungen'!$D$2:$D$492,0),6),"")</f>
        <v>2006</v>
      </c>
      <c r="E242" s="382" t="str">
        <f t="array" ref="E242">IF(B242&lt;&gt;"",INDEX('Eingabe Meldungen'!$C$2:$H$492,MATCH(B242&amp;C242,'Eingabe Meldungen'!$C$2:$C$492&amp;'Eingabe Meldungen'!$D$2:$D$492,0),4),"")</f>
        <v>-</v>
      </c>
      <c r="F242" s="353" t="s">
        <v>571</v>
      </c>
      <c r="G242" s="333">
        <v>5</v>
      </c>
      <c r="H242" s="343" t="str">
        <f t="array" ref="H242">IF(B242&lt;&gt;"",INDEX('Eingabe Meldungen'!$C$2:$J$492,MATCH(B242&amp;C242,'Eingabe Meldungen'!$C$2:$C$492&amp;'Eingabe Meldungen'!$D$2:$D$492,0),8),"")</f>
        <v>Stuttgart-Cannstatter RC</v>
      </c>
      <c r="J242" s="332"/>
      <c r="K242" s="332"/>
      <c r="L242" s="332"/>
      <c r="M242" s="332"/>
      <c r="N242" s="332"/>
      <c r="O242" s="332"/>
      <c r="P242" s="332"/>
      <c r="Q242" s="332"/>
      <c r="R242" s="332"/>
      <c r="S242" s="332"/>
      <c r="T242" s="332">
        <v>1</v>
      </c>
      <c r="U242" s="332"/>
      <c r="V242" s="332"/>
      <c r="W242" s="332"/>
      <c r="X242" s="332"/>
      <c r="Y242" s="332"/>
      <c r="Z242" s="332"/>
      <c r="AA242" s="332"/>
      <c r="AB242" s="332"/>
      <c r="AC242" s="332"/>
      <c r="AD242" s="332"/>
      <c r="AE242" s="332"/>
      <c r="AF242" s="332"/>
      <c r="AG242" s="332"/>
      <c r="AH242" s="332"/>
      <c r="AI242" s="332"/>
      <c r="AJ242" s="333"/>
      <c r="AK242" s="333"/>
      <c r="AL242" s="333"/>
      <c r="AM242" s="333"/>
    </row>
    <row r="243" spans="2:39" s="316" customFormat="1" ht="26.25" customHeight="1" x14ac:dyDescent="0.2">
      <c r="B243" s="340" t="str">
        <f t="array" ref="B243">IF(ISERROR(INDEX('Eingabe Meldungen'!$C$2:$C$492,LARGE(('Eingabe Meldungen'!$A$2:$A$492=$B$238)*(ROW('Eingabe Meldungen'!$A$2:$A$492)-1),COUNTIF('Eingabe Meldungen'!$A$2:$A$492,$B$238)+1-ROW('Eingabe Meldungen'!A4)))),"",INDEX('Eingabe Meldungen'!$C$2:$C$492,LARGE(('Eingabe Meldungen'!$A$2:$A$492=$B$238)*(ROW('Eingabe Meldungen'!$A$2:$A$492)-1),COUNTIF('Eingabe Meldungen'!$A$2:$A$492,$B$238)+1-ROW('Eingabe Meldungen'!A4))))</f>
        <v>Jarad</v>
      </c>
      <c r="C243" s="316" t="str">
        <f t="array" ref="C243">IF(ISERROR(INDEX('Eingabe Meldungen'!$D$2:$D$492,LARGE(('Eingabe Meldungen'!$A$2:$A$492=$B$238)*(ROW('Eingabe Meldungen'!$A$2:$A$492)-1),COUNTIF('Eingabe Meldungen'!$A$2:$A$492,$B$238)+1-ROW('Eingabe Meldungen'!A4)))),"",INDEX('Eingabe Meldungen'!$D$2:$D$492,LARGE(('Eingabe Meldungen'!$A$2:$A$492=$B$238)*(ROW('Eingabe Meldungen'!$A$2:$A$492)-1),COUNTIF('Eingabe Meldungen'!$A$2:$A$492,$B$238)+1-ROW('Eingabe Meldungen'!A4))))</f>
        <v>Huzaifa</v>
      </c>
      <c r="D243" s="341">
        <f t="array" ref="D243">IF(B243&lt;&gt;"",INDEX('Eingabe Meldungen'!$C$2:$H$492,MATCH(B243&amp;C243,'Eingabe Meldungen'!$C$2:$C$492&amp;'Eingabe Meldungen'!$D$2:$D$492,0),6),"")</f>
        <v>2006</v>
      </c>
      <c r="E243" s="382" t="str">
        <f t="array" ref="E243">IF(B243&lt;&gt;"",INDEX('Eingabe Meldungen'!$C$2:$H$492,MATCH(B243&amp;C243,'Eingabe Meldungen'!$C$2:$C$492&amp;'Eingabe Meldungen'!$D$2:$D$492,0),4),"")</f>
        <v>-</v>
      </c>
      <c r="F243" s="353" t="s">
        <v>575</v>
      </c>
      <c r="G243" s="333">
        <v>10</v>
      </c>
      <c r="H243" s="343" t="str">
        <f t="array" ref="H243">IF(B243&lt;&gt;"",INDEX('Eingabe Meldungen'!$C$2:$J$492,MATCH(B243&amp;C243,'Eingabe Meldungen'!$C$2:$C$492&amp;'Eingabe Meldungen'!$D$2:$D$492,0),8),"")</f>
        <v>Schweinfurter Ruder-Club Franken</v>
      </c>
      <c r="J243" s="332"/>
      <c r="K243" s="332"/>
      <c r="L243" s="332"/>
      <c r="M243" s="332"/>
      <c r="N243" s="332"/>
      <c r="O243" s="332"/>
      <c r="P243" s="332"/>
      <c r="Q243" s="332"/>
      <c r="R243" s="332"/>
      <c r="S243" s="332"/>
      <c r="T243" s="332"/>
      <c r="U243" s="332"/>
      <c r="V243" s="332"/>
      <c r="W243" s="332"/>
      <c r="X243" s="332"/>
      <c r="Y243" s="332"/>
      <c r="Z243" s="332"/>
      <c r="AA243" s="332"/>
      <c r="AB243" s="332"/>
      <c r="AC243" s="332"/>
      <c r="AD243" s="332"/>
      <c r="AE243" s="332"/>
      <c r="AF243" s="332"/>
      <c r="AG243" s="332"/>
      <c r="AH243" s="332"/>
      <c r="AI243" s="332"/>
      <c r="AJ243" s="333"/>
      <c r="AK243" s="333"/>
      <c r="AL243" s="333"/>
      <c r="AM243" s="333"/>
    </row>
    <row r="244" spans="2:39" s="316" customFormat="1" ht="26.25" customHeight="1" x14ac:dyDescent="0.2">
      <c r="B244" s="340" t="str">
        <f t="array" ref="B244">IF(ISERROR(INDEX('Eingabe Meldungen'!$C$2:$C$492,LARGE(('Eingabe Meldungen'!$A$2:$A$492=$B$238)*(ROW('Eingabe Meldungen'!$A$2:$A$492)-1),COUNTIF('Eingabe Meldungen'!$A$2:$A$492,$B$238)+1-ROW('Eingabe Meldungen'!A5)))),"",INDEX('Eingabe Meldungen'!$C$2:$C$492,LARGE(('Eingabe Meldungen'!$A$2:$A$492=$B$238)*(ROW('Eingabe Meldungen'!$A$2:$A$492)-1),COUNTIF('Eingabe Meldungen'!$A$2:$A$492,$B$238)+1-ROW('Eingabe Meldungen'!A5))))</f>
        <v>Engel</v>
      </c>
      <c r="C244" s="316" t="str">
        <f t="array" ref="C244">IF(ISERROR(INDEX('Eingabe Meldungen'!$D$2:$D$492,LARGE(('Eingabe Meldungen'!$A$2:$A$492=$B$238)*(ROW('Eingabe Meldungen'!$A$2:$A$492)-1),COUNTIF('Eingabe Meldungen'!$A$2:$A$492,$B$238)+1-ROW('Eingabe Meldungen'!A5)))),"",INDEX('Eingabe Meldungen'!$D$2:$D$492,LARGE(('Eingabe Meldungen'!$A$2:$A$492=$B$238)*(ROW('Eingabe Meldungen'!$A$2:$A$492)-1),COUNTIF('Eingabe Meldungen'!$A$2:$A$492,$B$238)+1-ROW('Eingabe Meldungen'!A5))))</f>
        <v>Julian</v>
      </c>
      <c r="D244" s="341">
        <f t="array" ref="D244">IF(B244&lt;&gt;"",INDEX('Eingabe Meldungen'!$C$2:$H$492,MATCH(B244&amp;C244,'Eingabe Meldungen'!$C$2:$C$492&amp;'Eingabe Meldungen'!$D$2:$D$492,0),6),"")</f>
        <v>2006</v>
      </c>
      <c r="E244" s="382" t="str">
        <f t="array" ref="E244">IF(B244&lt;&gt;"",INDEX('Eingabe Meldungen'!$C$2:$H$492,MATCH(B244&amp;C244,'Eingabe Meldungen'!$C$2:$C$492&amp;'Eingabe Meldungen'!$D$2:$D$492,0),4),"")</f>
        <v>-</v>
      </c>
      <c r="F244" s="353" t="s">
        <v>573</v>
      </c>
      <c r="G244" s="333">
        <v>7</v>
      </c>
      <c r="H244" s="343" t="str">
        <f t="array" ref="H244">IF(B244&lt;&gt;"",INDEX('Eingabe Meldungen'!$C$2:$J$492,MATCH(B244&amp;C244,'Eingabe Meldungen'!$C$2:$C$492&amp;'Eingabe Meldungen'!$D$2:$D$492,0),8),"")</f>
        <v>RC Nürtingen</v>
      </c>
      <c r="J244" s="332"/>
      <c r="K244" s="332"/>
      <c r="L244" s="332"/>
      <c r="M244" s="332"/>
      <c r="N244" s="332"/>
      <c r="O244" s="332"/>
      <c r="P244" s="332"/>
      <c r="Q244" s="332"/>
      <c r="R244" s="332"/>
      <c r="S244" s="332"/>
      <c r="T244" s="332"/>
      <c r="U244" s="332"/>
      <c r="V244" s="332"/>
      <c r="W244" s="332"/>
      <c r="X244" s="332"/>
      <c r="Y244" s="332"/>
      <c r="Z244" s="332"/>
      <c r="AA244" s="332"/>
      <c r="AB244" s="332"/>
      <c r="AC244" s="332"/>
      <c r="AD244" s="332"/>
      <c r="AE244" s="332"/>
      <c r="AF244" s="332"/>
      <c r="AG244" s="332"/>
      <c r="AH244" s="332"/>
      <c r="AI244" s="332"/>
      <c r="AJ244" s="333"/>
      <c r="AK244" s="333"/>
      <c r="AL244" s="333"/>
      <c r="AM244" s="333"/>
    </row>
    <row r="245" spans="2:39" s="316" customFormat="1" ht="26.25" customHeight="1" x14ac:dyDescent="0.2">
      <c r="B245" s="340" t="str">
        <f t="array" ref="B245">IF(ISERROR(INDEX('Eingabe Meldungen'!$C$2:$C$492,LARGE(('Eingabe Meldungen'!$A$2:$A$492=$B$238)*(ROW('Eingabe Meldungen'!$A$2:$A$492)-1),COUNTIF('Eingabe Meldungen'!$A$2:$A$492,$B$238)+1-ROW('Eingabe Meldungen'!A6)))),"",INDEX('Eingabe Meldungen'!$C$2:$C$492,LARGE(('Eingabe Meldungen'!$A$2:$A$492=$B$238)*(ROW('Eingabe Meldungen'!$A$2:$A$492)-1),COUNTIF('Eingabe Meldungen'!$A$2:$A$492,$B$238)+1-ROW('Eingabe Meldungen'!A6))))</f>
        <v>Melcher</v>
      </c>
      <c r="C245" s="316" t="str">
        <f t="array" ref="C245">IF(ISERROR(INDEX('Eingabe Meldungen'!$D$2:$D$492,LARGE(('Eingabe Meldungen'!$A$2:$A$492=$B$238)*(ROW('Eingabe Meldungen'!$A$2:$A$492)-1),COUNTIF('Eingabe Meldungen'!$A$2:$A$492,$B$238)+1-ROW('Eingabe Meldungen'!A6)))),"",INDEX('Eingabe Meldungen'!$D$2:$D$492,LARGE(('Eingabe Meldungen'!$A$2:$A$492=$B$238)*(ROW('Eingabe Meldungen'!$A$2:$A$492)-1),COUNTIF('Eingabe Meldungen'!$A$2:$A$492,$B$238)+1-ROW('Eingabe Meldungen'!A6))))</f>
        <v>Max</v>
      </c>
      <c r="D245" s="341">
        <f t="array" ref="D245">IF(B245&lt;&gt;"",INDEX('Eingabe Meldungen'!$C$2:$H$492,MATCH(B245&amp;C245,'Eingabe Meldungen'!$C$2:$C$492&amp;'Eingabe Meldungen'!$D$2:$D$492,0),6),"")</f>
        <v>2006</v>
      </c>
      <c r="E245" s="382" t="str">
        <f t="array" ref="E245">IF(B245&lt;&gt;"",INDEX('Eingabe Meldungen'!$C$2:$H$492,MATCH(B245&amp;C245,'Eingabe Meldungen'!$C$2:$C$492&amp;'Eingabe Meldungen'!$D$2:$D$492,0),4),"")</f>
        <v>-</v>
      </c>
      <c r="F245" s="353" t="s">
        <v>572</v>
      </c>
      <c r="G245" s="333">
        <v>6</v>
      </c>
      <c r="H245" s="343" t="str">
        <f t="array" ref="H245">IF(B245&lt;&gt;"",INDEX('Eingabe Meldungen'!$C$2:$J$492,MATCH(B245&amp;C245,'Eingabe Meldungen'!$C$2:$C$492&amp;'Eingabe Meldungen'!$D$2:$D$492,0),8),"")</f>
        <v>RC Nürtingen</v>
      </c>
      <c r="J245" s="332"/>
      <c r="K245" s="332"/>
      <c r="L245" s="332"/>
      <c r="M245" s="332"/>
      <c r="N245" s="332"/>
      <c r="O245" s="332"/>
      <c r="P245" s="332"/>
      <c r="Q245" s="332"/>
      <c r="R245" s="332"/>
      <c r="S245" s="332"/>
      <c r="T245" s="332"/>
      <c r="U245" s="332"/>
      <c r="V245" s="332"/>
      <c r="W245" s="332"/>
      <c r="X245" s="332"/>
      <c r="Y245" s="332"/>
      <c r="Z245" s="332"/>
      <c r="AA245" s="332"/>
      <c r="AB245" s="332"/>
      <c r="AC245" s="332"/>
      <c r="AD245" s="332"/>
      <c r="AE245" s="332"/>
      <c r="AF245" s="332"/>
      <c r="AG245" s="332"/>
      <c r="AH245" s="332"/>
      <c r="AI245" s="332"/>
      <c r="AJ245" s="333"/>
      <c r="AK245" s="333"/>
      <c r="AL245" s="333"/>
      <c r="AM245" s="333"/>
    </row>
    <row r="246" spans="2:39" s="316" customFormat="1" ht="26.25" customHeight="1" x14ac:dyDescent="0.2">
      <c r="B246" s="340" t="str">
        <f t="array" ref="B246">IF(ISERROR(INDEX('Eingabe Meldungen'!$C$2:$C$492,LARGE(('Eingabe Meldungen'!$A$2:$A$492=$B$238)*(ROW('Eingabe Meldungen'!$A$2:$A$492)-1),COUNTIF('Eingabe Meldungen'!$A$2:$A$492,$B$238)+1-ROW('Eingabe Meldungen'!A7)))),"",INDEX('Eingabe Meldungen'!$C$2:$C$492,LARGE(('Eingabe Meldungen'!$A$2:$A$492=$B$238)*(ROW('Eingabe Meldungen'!$A$2:$A$492)-1),COUNTIF('Eingabe Meldungen'!$A$2:$A$492,$B$238)+1-ROW('Eingabe Meldungen'!A7))))</f>
        <v>Hildebrand</v>
      </c>
      <c r="C246" s="316" t="str">
        <f t="array" ref="C246">IF(ISERROR(INDEX('Eingabe Meldungen'!$D$2:$D$492,LARGE(('Eingabe Meldungen'!$A$2:$A$492=$B$238)*(ROW('Eingabe Meldungen'!$A$2:$A$492)-1),COUNTIF('Eingabe Meldungen'!$A$2:$A$492,$B$238)+1-ROW('Eingabe Meldungen'!A7)))),"",INDEX('Eingabe Meldungen'!$D$2:$D$492,LARGE(('Eingabe Meldungen'!$A$2:$A$492=$B$238)*(ROW('Eingabe Meldungen'!$A$2:$A$492)-1),COUNTIF('Eingabe Meldungen'!$A$2:$A$492,$B$238)+1-ROW('Eingabe Meldungen'!A7))))</f>
        <v>Nico</v>
      </c>
      <c r="D246" s="341">
        <f t="array" ref="D246">IF(B246&lt;&gt;"",INDEX('Eingabe Meldungen'!$C$2:$H$492,MATCH(B246&amp;C246,'Eingabe Meldungen'!$C$2:$C$492&amp;'Eingabe Meldungen'!$D$2:$D$492,0),6),"")</f>
        <v>2006</v>
      </c>
      <c r="E246" s="382" t="str">
        <f t="array" ref="E246">IF(B246&lt;&gt;"",INDEX('Eingabe Meldungen'!$C$2:$H$492,MATCH(B246&amp;C246,'Eingabe Meldungen'!$C$2:$C$492&amp;'Eingabe Meldungen'!$D$2:$D$492,0),4),"")</f>
        <v>-</v>
      </c>
      <c r="F246" s="353" t="s">
        <v>579</v>
      </c>
      <c r="G246" s="333">
        <v>8</v>
      </c>
      <c r="H246" s="343" t="str">
        <f t="array" ref="H246">IF(B246&lt;&gt;"",INDEX('Eingabe Meldungen'!$C$2:$J$492,MATCH(B246&amp;C246,'Eingabe Meldungen'!$C$2:$C$492&amp;'Eingabe Meldungen'!$D$2:$D$492,0),8),"")</f>
        <v>RV Waldsee</v>
      </c>
      <c r="J246" s="332"/>
      <c r="K246" s="332"/>
      <c r="L246" s="332"/>
      <c r="M246" s="332"/>
      <c r="N246" s="332"/>
      <c r="O246" s="332"/>
      <c r="P246" s="332"/>
      <c r="Q246" s="332"/>
      <c r="R246" s="332"/>
      <c r="S246" s="332"/>
      <c r="T246" s="332"/>
      <c r="U246" s="332"/>
      <c r="V246" s="332"/>
      <c r="W246" s="332"/>
      <c r="X246" s="332"/>
      <c r="Y246" s="332"/>
      <c r="Z246" s="332"/>
      <c r="AA246" s="332"/>
      <c r="AB246" s="332"/>
      <c r="AC246" s="332"/>
      <c r="AD246" s="332"/>
      <c r="AE246" s="332"/>
      <c r="AF246" s="332"/>
      <c r="AG246" s="332"/>
      <c r="AH246" s="332"/>
      <c r="AI246" s="332"/>
      <c r="AJ246" s="333"/>
      <c r="AK246" s="333"/>
      <c r="AL246" s="333"/>
      <c r="AM246" s="333"/>
    </row>
    <row r="247" spans="2:39" s="316" customFormat="1" ht="26.25" customHeight="1" x14ac:dyDescent="0.2">
      <c r="B247" s="340" t="str">
        <f t="array" ref="B247">IF(ISERROR(INDEX('Eingabe Meldungen'!$C$2:$C$492,LARGE(('Eingabe Meldungen'!$A$2:$A$492=$B$238)*(ROW('Eingabe Meldungen'!$A$2:$A$492)-1),COUNTIF('Eingabe Meldungen'!$A$2:$A$492,$B$238)+1-ROW('Eingabe Meldungen'!A8)))),"",INDEX('Eingabe Meldungen'!$C$2:$C$492,LARGE(('Eingabe Meldungen'!$A$2:$A$492=$B$238)*(ROW('Eingabe Meldungen'!$A$2:$A$492)-1),COUNTIF('Eingabe Meldungen'!$A$2:$A$492,$B$238)+1-ROW('Eingabe Meldungen'!A8))))</f>
        <v>Gute</v>
      </c>
      <c r="C247" s="316" t="str">
        <f t="array" ref="C247">IF(ISERROR(INDEX('Eingabe Meldungen'!$D$2:$D$492,LARGE(('Eingabe Meldungen'!$A$2:$A$492=$B$238)*(ROW('Eingabe Meldungen'!$A$2:$A$492)-1),COUNTIF('Eingabe Meldungen'!$A$2:$A$492,$B$238)+1-ROW('Eingabe Meldungen'!A8)))),"",INDEX('Eingabe Meldungen'!$D$2:$D$492,LARGE(('Eingabe Meldungen'!$A$2:$A$492=$B$238)*(ROW('Eingabe Meldungen'!$A$2:$A$492)-1),COUNTIF('Eingabe Meldungen'!$A$2:$A$492,$B$238)+1-ROW('Eingabe Meldungen'!A8))))</f>
        <v>Oskar</v>
      </c>
      <c r="D247" s="341">
        <f t="array" ref="D247">IF(B247&lt;&gt;"",INDEX('Eingabe Meldungen'!$C$2:$H$492,MATCH(B247&amp;C247,'Eingabe Meldungen'!$C$2:$C$492&amp;'Eingabe Meldungen'!$D$2:$D$492,0),6),"")</f>
        <v>2006</v>
      </c>
      <c r="E247" s="382" t="str">
        <f t="array" ref="E247">IF(B247&lt;&gt;"",INDEX('Eingabe Meldungen'!$C$2:$H$492,MATCH(B247&amp;C247,'Eingabe Meldungen'!$C$2:$C$492&amp;'Eingabe Meldungen'!$D$2:$D$492,0),4),"")</f>
        <v>-</v>
      </c>
      <c r="F247" s="353" t="s">
        <v>580</v>
      </c>
      <c r="G247" s="333">
        <v>11</v>
      </c>
      <c r="H247" s="343" t="str">
        <f t="array" ref="H247">IF(B247&lt;&gt;"",INDEX('Eingabe Meldungen'!$C$2:$J$492,MATCH(B247&amp;C247,'Eingabe Meldungen'!$C$2:$C$492&amp;'Eingabe Meldungen'!$D$2:$D$492,0),8),"")</f>
        <v>Rudergesellschaft Heidelberg</v>
      </c>
      <c r="J247" s="332"/>
      <c r="K247" s="332"/>
      <c r="L247" s="332"/>
      <c r="M247" s="332"/>
      <c r="N247" s="332"/>
      <c r="O247" s="332"/>
      <c r="P247" s="332"/>
      <c r="Q247" s="332"/>
      <c r="R247" s="332"/>
      <c r="S247" s="332"/>
      <c r="T247" s="332"/>
      <c r="U247" s="332"/>
      <c r="V247" s="332"/>
      <c r="W247" s="332"/>
      <c r="X247" s="332"/>
      <c r="Y247" s="332"/>
      <c r="Z247" s="332"/>
      <c r="AA247" s="332"/>
      <c r="AB247" s="332"/>
      <c r="AC247" s="332"/>
      <c r="AD247" s="332"/>
      <c r="AE247" s="332"/>
      <c r="AF247" s="332"/>
      <c r="AG247" s="332"/>
      <c r="AH247" s="332"/>
      <c r="AI247" s="332"/>
      <c r="AJ247" s="333"/>
      <c r="AK247" s="333"/>
      <c r="AL247" s="333"/>
      <c r="AM247" s="333"/>
    </row>
    <row r="248" spans="2:39" s="316" customFormat="1" ht="26.25" customHeight="1" x14ac:dyDescent="0.2">
      <c r="B248" s="340" t="str">
        <f t="array" ref="B248">IF(ISERROR(INDEX('Eingabe Meldungen'!$C$2:$C$492,LARGE(('Eingabe Meldungen'!$A$2:$A$492=$B$238)*(ROW('Eingabe Meldungen'!$A$2:$A$492)-1),COUNTIF('Eingabe Meldungen'!$A$2:$A$492,$B$238)+1-ROW('Eingabe Meldungen'!A9)))),"",INDEX('Eingabe Meldungen'!$C$2:$C$492,LARGE(('Eingabe Meldungen'!$A$2:$A$492=$B$238)*(ROW('Eingabe Meldungen'!$A$2:$A$492)-1),COUNTIF('Eingabe Meldungen'!$A$2:$A$492,$B$238)+1-ROW('Eingabe Meldungen'!A9))))</f>
        <v>Gering</v>
      </c>
      <c r="C248" s="316" t="str">
        <f t="array" ref="C248">IF(ISERROR(INDEX('Eingabe Meldungen'!$D$2:$D$492,LARGE(('Eingabe Meldungen'!$A$2:$A$492=$B$238)*(ROW('Eingabe Meldungen'!$A$2:$A$492)-1),COUNTIF('Eingabe Meldungen'!$A$2:$A$492,$B$238)+1-ROW('Eingabe Meldungen'!A9)))),"",INDEX('Eingabe Meldungen'!$D$2:$D$492,LARGE(('Eingabe Meldungen'!$A$2:$A$492=$B$238)*(ROW('Eingabe Meldungen'!$A$2:$A$492)-1),COUNTIF('Eingabe Meldungen'!$A$2:$A$492,$B$238)+1-ROW('Eingabe Meldungen'!A9))))</f>
        <v>Simon</v>
      </c>
      <c r="D248" s="341">
        <f t="array" ref="D248">IF(B248&lt;&gt;"",INDEX('Eingabe Meldungen'!$C$2:$H$492,MATCH(B248&amp;C248,'Eingabe Meldungen'!$C$2:$C$492&amp;'Eingabe Meldungen'!$D$2:$D$492,0),6),"")</f>
        <v>2006</v>
      </c>
      <c r="E248" s="382" t="str">
        <f t="array" ref="E248">IF(B248&lt;&gt;"",INDEX('Eingabe Meldungen'!$C$2:$H$492,MATCH(B248&amp;C248,'Eingabe Meldungen'!$C$2:$C$492&amp;'Eingabe Meldungen'!$D$2:$D$492,0),4),"")</f>
        <v>-</v>
      </c>
      <c r="F248" s="353" t="s">
        <v>576</v>
      </c>
      <c r="G248" s="333">
        <v>2</v>
      </c>
      <c r="H248" s="343" t="str">
        <f t="array" ref="H248">IF(B248&lt;&gt;"",INDEX('Eingabe Meldungen'!$C$2:$J$492,MATCH(B248&amp;C248,'Eingabe Meldungen'!$C$2:$C$492&amp;'Eingabe Meldungen'!$D$2:$D$492,0),8),"")</f>
        <v>Marbacher Ruderverein</v>
      </c>
      <c r="J248" s="332"/>
      <c r="K248" s="332"/>
      <c r="L248" s="332"/>
      <c r="M248" s="332"/>
      <c r="N248" s="332"/>
      <c r="O248" s="332">
        <v>5</v>
      </c>
      <c r="P248" s="332"/>
      <c r="Q248" s="332"/>
      <c r="R248" s="332"/>
      <c r="S248" s="332"/>
      <c r="T248" s="332"/>
      <c r="U248" s="332"/>
      <c r="V248" s="332"/>
      <c r="W248" s="332"/>
      <c r="X248" s="332"/>
      <c r="Y248" s="332"/>
      <c r="Z248" s="332"/>
      <c r="AA248" s="332"/>
      <c r="AB248" s="332"/>
      <c r="AC248" s="332"/>
      <c r="AD248" s="332"/>
      <c r="AE248" s="332"/>
      <c r="AF248" s="332"/>
      <c r="AG248" s="332"/>
      <c r="AH248" s="332"/>
      <c r="AI248" s="332"/>
      <c r="AJ248" s="333"/>
      <c r="AK248" s="333"/>
      <c r="AL248" s="333"/>
      <c r="AM248" s="333"/>
    </row>
    <row r="249" spans="2:39" s="316" customFormat="1" ht="26.25" customHeight="1" x14ac:dyDescent="0.2">
      <c r="B249" s="340" t="str">
        <f t="array" ref="B249">IF(ISERROR(INDEX('Eingabe Meldungen'!$C$2:$C$492,LARGE(('Eingabe Meldungen'!$A$2:$A$492=$B$238)*(ROW('Eingabe Meldungen'!$A$2:$A$492)-1),COUNTIF('Eingabe Meldungen'!$A$2:$A$492,$B$238)+1-ROW('Eingabe Meldungen'!A10)))),"",INDEX('Eingabe Meldungen'!$C$2:$C$492,LARGE(('Eingabe Meldungen'!$A$2:$A$492=$B$238)*(ROW('Eingabe Meldungen'!$A$2:$A$492)-1),COUNTIF('Eingabe Meldungen'!$A$2:$A$492,$B$238)+1-ROW('Eingabe Meldungen'!A10))))</f>
        <v>Gläser</v>
      </c>
      <c r="C249" s="316" t="str">
        <f t="array" ref="C249">IF(ISERROR(INDEX('Eingabe Meldungen'!$D$2:$D$492,LARGE(('Eingabe Meldungen'!$A$2:$A$492=$B$238)*(ROW('Eingabe Meldungen'!$A$2:$A$492)-1),COUNTIF('Eingabe Meldungen'!$A$2:$A$492,$B$238)+1-ROW('Eingabe Meldungen'!A10)))),"",INDEX('Eingabe Meldungen'!$D$2:$D$492,LARGE(('Eingabe Meldungen'!$A$2:$A$492=$B$238)*(ROW('Eingabe Meldungen'!$A$2:$A$492)-1),COUNTIF('Eingabe Meldungen'!$A$2:$A$492,$B$238)+1-ROW('Eingabe Meldungen'!A10))))</f>
        <v>Simon</v>
      </c>
      <c r="D249" s="341">
        <f t="array" ref="D249">IF(B249&lt;&gt;"",INDEX('Eingabe Meldungen'!$C$2:$H$492,MATCH(B249&amp;C249,'Eingabe Meldungen'!$C$2:$C$492&amp;'Eingabe Meldungen'!$D$2:$D$492,0),6),"")</f>
        <v>2006</v>
      </c>
      <c r="E249" s="382" t="str">
        <f t="array" ref="E249">IF(B249&lt;&gt;"",INDEX('Eingabe Meldungen'!$C$2:$H$492,MATCH(B249&amp;C249,'Eingabe Meldungen'!$C$2:$C$492&amp;'Eingabe Meldungen'!$D$2:$D$492,0),4),"")</f>
        <v>-</v>
      </c>
      <c r="F249" s="353" t="s">
        <v>578</v>
      </c>
      <c r="G249" s="333">
        <v>4</v>
      </c>
      <c r="H249" s="343" t="str">
        <f t="array" ref="H249">IF(B249&lt;&gt;"",INDEX('Eingabe Meldungen'!$C$2:$J$492,MATCH(B249&amp;C249,'Eingabe Meldungen'!$C$2:$C$492&amp;'Eingabe Meldungen'!$D$2:$D$492,0),8),"")</f>
        <v>Mannheimer RV "Amicitia"</v>
      </c>
      <c r="J249" s="332"/>
      <c r="K249" s="332"/>
      <c r="L249" s="332"/>
      <c r="M249" s="332"/>
      <c r="N249" s="332"/>
      <c r="O249" s="332"/>
      <c r="P249" s="332">
        <v>2</v>
      </c>
      <c r="Q249" s="332"/>
      <c r="R249" s="332"/>
      <c r="S249" s="332"/>
      <c r="T249" s="332"/>
      <c r="U249" s="332"/>
      <c r="V249" s="332"/>
      <c r="W249" s="332"/>
      <c r="X249" s="332"/>
      <c r="Y249" s="332"/>
      <c r="Z249" s="332"/>
      <c r="AA249" s="332"/>
      <c r="AB249" s="332"/>
      <c r="AC249" s="332"/>
      <c r="AD249" s="332"/>
      <c r="AE249" s="332"/>
      <c r="AF249" s="332"/>
      <c r="AG249" s="332"/>
      <c r="AH249" s="332"/>
      <c r="AI249" s="332"/>
      <c r="AJ249" s="333"/>
      <c r="AK249" s="333"/>
      <c r="AL249" s="333"/>
      <c r="AM249" s="333"/>
    </row>
    <row r="250" spans="2:39" s="316" customFormat="1" ht="26.25" customHeight="1" x14ac:dyDescent="0.2">
      <c r="B250" s="340" t="str">
        <f t="array" ref="B250">IF(ISERROR(INDEX('Eingabe Meldungen'!$C$2:$C$492,LARGE(('Eingabe Meldungen'!$A$2:$A$492=$B$238)*(ROW('Eingabe Meldungen'!$A$2:$A$492)-1),COUNTIF('Eingabe Meldungen'!$A$2:$A$492,$B$238)+1-ROW('Eingabe Meldungen'!A11)))),"",INDEX('Eingabe Meldungen'!$C$2:$C$492,LARGE(('Eingabe Meldungen'!$A$2:$A$492=$B$238)*(ROW('Eingabe Meldungen'!$A$2:$A$492)-1),COUNTIF('Eingabe Meldungen'!$A$2:$A$492,$B$238)+1-ROW('Eingabe Meldungen'!A11))))</f>
        <v>Kokes</v>
      </c>
      <c r="C250" s="316" t="str">
        <f t="array" ref="C250">IF(ISERROR(INDEX('Eingabe Meldungen'!$D$2:$D$492,LARGE(('Eingabe Meldungen'!$A$2:$A$492=$B$238)*(ROW('Eingabe Meldungen'!$A$2:$A$492)-1),COUNTIF('Eingabe Meldungen'!$A$2:$A$492,$B$238)+1-ROW('Eingabe Meldungen'!A11)))),"",INDEX('Eingabe Meldungen'!$D$2:$D$492,LARGE(('Eingabe Meldungen'!$A$2:$A$492=$B$238)*(ROW('Eingabe Meldungen'!$A$2:$A$492)-1),COUNTIF('Eingabe Meldungen'!$A$2:$A$492,$B$238)+1-ROW('Eingabe Meldungen'!A11))))</f>
        <v>Tim</v>
      </c>
      <c r="D250" s="341">
        <f t="array" ref="D250">IF(B250&lt;&gt;"",INDEX('Eingabe Meldungen'!$C$2:$H$492,MATCH(B250&amp;C250,'Eingabe Meldungen'!$C$2:$C$492&amp;'Eingabe Meldungen'!$D$2:$D$492,0),6),"")</f>
        <v>2006</v>
      </c>
      <c r="E250" s="382" t="str">
        <f t="array" ref="E250">IF(B250&lt;&gt;"",INDEX('Eingabe Meldungen'!$C$2:$H$492,MATCH(B250&amp;C250,'Eingabe Meldungen'!$C$2:$C$492&amp;'Eingabe Meldungen'!$D$2:$D$492,0),4),"")</f>
        <v>-</v>
      </c>
      <c r="F250" s="353" t="s">
        <v>581</v>
      </c>
      <c r="G250" s="333">
        <v>12</v>
      </c>
      <c r="H250" s="343" t="str">
        <f t="array" ref="H250">IF(B250&lt;&gt;"",INDEX('Eingabe Meldungen'!$C$2:$J$492,MATCH(B250&amp;C250,'Eingabe Meldungen'!$C$2:$C$492&amp;'Eingabe Meldungen'!$D$2:$D$492,0),8),"")</f>
        <v>Heidelberger Ruderklub</v>
      </c>
      <c r="J250" s="332"/>
      <c r="K250" s="332"/>
      <c r="L250" s="332"/>
      <c r="M250" s="332"/>
      <c r="N250" s="332"/>
      <c r="O250" s="332"/>
      <c r="P250" s="332"/>
      <c r="Q250" s="332"/>
      <c r="R250" s="332"/>
      <c r="S250" s="332"/>
      <c r="T250" s="332"/>
      <c r="U250" s="332"/>
      <c r="V250" s="332"/>
      <c r="W250" s="332"/>
      <c r="X250" s="332"/>
      <c r="Y250" s="332"/>
      <c r="Z250" s="332"/>
      <c r="AA250" s="332"/>
      <c r="AB250" s="332"/>
      <c r="AC250" s="332"/>
      <c r="AD250" s="332"/>
      <c r="AE250" s="332"/>
      <c r="AF250" s="332"/>
      <c r="AG250" s="332"/>
      <c r="AH250" s="332"/>
      <c r="AI250" s="332"/>
      <c r="AJ250" s="333"/>
      <c r="AK250" s="333"/>
      <c r="AL250" s="333"/>
      <c r="AM250" s="333"/>
    </row>
    <row r="251" spans="2:39" s="316" customFormat="1" ht="26.25" customHeight="1" x14ac:dyDescent="0.2">
      <c r="B251" s="340"/>
      <c r="D251" s="341"/>
      <c r="E251" s="382"/>
      <c r="F251" s="353"/>
      <c r="G251" s="333"/>
      <c r="H251" s="343"/>
      <c r="J251" s="332"/>
      <c r="K251" s="332"/>
      <c r="L251" s="332"/>
      <c r="M251" s="332"/>
      <c r="N251" s="332"/>
      <c r="O251" s="332"/>
      <c r="P251" s="332"/>
      <c r="Q251" s="332"/>
      <c r="R251" s="332"/>
      <c r="S251" s="332"/>
      <c r="T251" s="332"/>
      <c r="U251" s="332"/>
      <c r="V251" s="332"/>
      <c r="W251" s="332"/>
      <c r="X251" s="332"/>
      <c r="Y251" s="332"/>
      <c r="Z251" s="332"/>
      <c r="AA251" s="332"/>
      <c r="AB251" s="332"/>
      <c r="AC251" s="332"/>
      <c r="AD251" s="332"/>
      <c r="AE251" s="332"/>
      <c r="AF251" s="332"/>
      <c r="AG251" s="332"/>
      <c r="AH251" s="332"/>
      <c r="AI251" s="332"/>
      <c r="AJ251" s="333"/>
      <c r="AK251" s="333"/>
      <c r="AL251" s="333"/>
      <c r="AM251" s="333"/>
    </row>
    <row r="252" spans="2:39" s="316" customFormat="1" ht="26.25" customHeight="1" x14ac:dyDescent="0.2">
      <c r="B252" s="340" t="str">
        <f t="array" ref="B252">IF(ISERROR(INDEX('Eingabe Meldungen'!$C$2:$C$492,LARGE(('Eingabe Meldungen'!$A$2:$A$492=$B$238)*(ROW('Eingabe Meldungen'!$A$2:$A$492)-1),COUNTIF('Eingabe Meldungen'!$A$2:$A$492,$B$238)+1-ROW('Eingabe Meldungen'!A13)))),"",INDEX('Eingabe Meldungen'!$C$2:$C$492,LARGE(('Eingabe Meldungen'!$A$2:$A$492=$B$238)*(ROW('Eingabe Meldungen'!$A$2:$A$492)-1),COUNTIF('Eingabe Meldungen'!$A$2:$A$492,$B$238)+1-ROW('Eingabe Meldungen'!A13))))</f>
        <v>Theurer</v>
      </c>
      <c r="C252" s="316" t="str">
        <f t="array" ref="C252">IF(ISERROR(INDEX('Eingabe Meldungen'!$D$2:$D$492,LARGE(('Eingabe Meldungen'!$A$2:$A$492=$B$238)*(ROW('Eingabe Meldungen'!$A$2:$A$492)-1),COUNTIF('Eingabe Meldungen'!$A$2:$A$492,$B$238)+1-ROW('Eingabe Meldungen'!A13)))),"",INDEX('Eingabe Meldungen'!$D$2:$D$492,LARGE(('Eingabe Meldungen'!$A$2:$A$492=$B$238)*(ROW('Eingabe Meldungen'!$A$2:$A$492)-1),COUNTIF('Eingabe Meldungen'!$A$2:$A$492,$B$238)+1-ROW('Eingabe Meldungen'!A13))))</f>
        <v>Moritz</v>
      </c>
      <c r="D252" s="341">
        <f t="array" ref="D252">IF(B252&lt;&gt;"",INDEX('Eingabe Meldungen'!$C$2:$H$492,MATCH(B252&amp;C252,'Eingabe Meldungen'!$C$2:$C$492&amp;'Eingabe Meldungen'!$D$2:$D$492,0),6),"")</f>
        <v>2006</v>
      </c>
      <c r="E252" s="382" t="str">
        <f t="array" ref="E252">IF(B252&lt;&gt;"",INDEX('Eingabe Meldungen'!$C$2:$H$492,MATCH(B252&amp;C252,'Eingabe Meldungen'!$C$2:$C$492&amp;'Eingabe Meldungen'!$D$2:$D$492,0),4),"")</f>
        <v>-</v>
      </c>
      <c r="F252" s="353" t="s">
        <v>577</v>
      </c>
      <c r="G252" s="333">
        <v>3</v>
      </c>
      <c r="H252" s="343" t="str">
        <f t="array" ref="H252">IF(B252&lt;&gt;"",INDEX('Eingabe Meldungen'!$C$2:$J$492,MATCH(B252&amp;C252,'Eingabe Meldungen'!$C$2:$C$492&amp;'Eingabe Meldungen'!$D$2:$D$492,0),8),"")</f>
        <v xml:space="preserve">WSV Schifferclub Neckarrems </v>
      </c>
      <c r="J252" s="332"/>
      <c r="K252" s="332"/>
      <c r="L252" s="332"/>
      <c r="M252" s="332"/>
      <c r="N252" s="332"/>
      <c r="O252" s="332"/>
      <c r="P252" s="332"/>
      <c r="Q252" s="332"/>
      <c r="R252" s="332">
        <v>3</v>
      </c>
      <c r="S252" s="332"/>
      <c r="T252" s="332"/>
      <c r="U252" s="332"/>
      <c r="V252" s="332"/>
      <c r="W252" s="332"/>
      <c r="X252" s="332"/>
      <c r="Y252" s="332"/>
      <c r="Z252" s="332"/>
      <c r="AA252" s="332"/>
      <c r="AB252" s="332"/>
      <c r="AC252" s="332"/>
      <c r="AD252" s="332"/>
      <c r="AE252" s="332"/>
      <c r="AF252" s="332"/>
      <c r="AG252" s="332"/>
      <c r="AH252" s="332"/>
      <c r="AI252" s="332"/>
      <c r="AJ252" s="333"/>
      <c r="AK252" s="333"/>
      <c r="AL252" s="333"/>
      <c r="AM252" s="333"/>
    </row>
    <row r="253" spans="2:39" s="316" customFormat="1" ht="26.25" customHeight="1" x14ac:dyDescent="0.2">
      <c r="B253" s="340" t="str">
        <f t="array" ref="B253">IF(ISERROR(INDEX('Eingabe Meldungen'!$C$2:$C$492,LARGE(('Eingabe Meldungen'!$A$2:$A$492=$B$238)*(ROW('Eingabe Meldungen'!$A$2:$A$492)-1),COUNTIF('Eingabe Meldungen'!$A$2:$A$492,$B$238)+1-ROW('Eingabe Meldungen'!A14)))),"",INDEX('Eingabe Meldungen'!$C$2:$C$492,LARGE(('Eingabe Meldungen'!$A$2:$A$492=$B$238)*(ROW('Eingabe Meldungen'!$A$2:$A$492)-1),COUNTIF('Eingabe Meldungen'!$A$2:$A$492,$B$238)+1-ROW('Eingabe Meldungen'!A14))))</f>
        <v/>
      </c>
      <c r="C253" s="316" t="str">
        <f t="array" ref="C253">IF(ISERROR(INDEX('Eingabe Meldungen'!$D$2:$D$492,LARGE(('Eingabe Meldungen'!$A$2:$A$492=$B$238)*(ROW('Eingabe Meldungen'!$A$2:$A$492)-1),COUNTIF('Eingabe Meldungen'!$A$2:$A$492,$B$238)+1-ROW('Eingabe Meldungen'!A14)))),"",INDEX('Eingabe Meldungen'!$D$2:$D$492,LARGE(('Eingabe Meldungen'!$A$2:$A$492=$B$238)*(ROW('Eingabe Meldungen'!$A$2:$A$492)-1),COUNTIF('Eingabe Meldungen'!$A$2:$A$492,$B$238)+1-ROW('Eingabe Meldungen'!A14))))</f>
        <v/>
      </c>
      <c r="D253" s="341" t="str">
        <f t="array" ref="D253">IF(B253&lt;&gt;"",INDEX('Eingabe Meldungen'!$C$2:$H$492,MATCH(B253&amp;C253,'Eingabe Meldungen'!$C$2:$C$492&amp;'Eingabe Meldungen'!$D$2:$D$492,0),6),"")</f>
        <v/>
      </c>
      <c r="E253" s="382" t="str">
        <f t="array" ref="E253">IF(B253&lt;&gt;"",INDEX('Eingabe Meldungen'!$C$2:$H$492,MATCH(B253&amp;C253,'Eingabe Meldungen'!$C$2:$C$492&amp;'Eingabe Meldungen'!$D$2:$D$492,0),4),"")</f>
        <v/>
      </c>
      <c r="F253" s="353" t="e">
        <f>IF(VLOOKUP(B253,Rennlisten!$B$167:$H$182,6,FALSE)=0,"",VLOOKUP(B253,Rennlisten!$B$167:$H$182,6,FALSE))</f>
        <v>#N/A</v>
      </c>
      <c r="G253" s="333" t="e">
        <f t="shared" ref="G253:G254" si="29">RANK(F253,$F$240:$F$254,1)</f>
        <v>#N/A</v>
      </c>
      <c r="H253" s="343" t="str">
        <f t="array" ref="H253">IF(B253&lt;&gt;"",INDEX('Eingabe Meldungen'!$C$2:$J$492,MATCH(B253&amp;C253,'Eingabe Meldungen'!$C$2:$C$492&amp;'Eingabe Meldungen'!$D$2:$D$492,0),8),"")</f>
        <v/>
      </c>
      <c r="J253" s="332"/>
      <c r="K253" s="332"/>
      <c r="L253" s="332"/>
      <c r="M253" s="332"/>
      <c r="N253" s="332"/>
      <c r="O253" s="332"/>
      <c r="P253" s="332"/>
      <c r="Q253" s="332"/>
      <c r="R253" s="332"/>
      <c r="S253" s="332"/>
      <c r="T253" s="332"/>
      <c r="U253" s="332"/>
      <c r="V253" s="332"/>
      <c r="W253" s="332"/>
      <c r="X253" s="332"/>
      <c r="Y253" s="332"/>
      <c r="Z253" s="332"/>
      <c r="AA253" s="332"/>
      <c r="AB253" s="332"/>
      <c r="AC253" s="332"/>
      <c r="AD253" s="332"/>
      <c r="AE253" s="332"/>
      <c r="AF253" s="332"/>
      <c r="AG253" s="332"/>
      <c r="AH253" s="332"/>
      <c r="AI253" s="332"/>
      <c r="AJ253" s="333"/>
      <c r="AK253" s="333"/>
      <c r="AL253" s="333"/>
      <c r="AM253" s="333"/>
    </row>
    <row r="254" spans="2:39" s="316" customFormat="1" ht="26.25" customHeight="1" x14ac:dyDescent="0.2">
      <c r="B254" s="340" t="str">
        <f t="array" ref="B254">IF(ISERROR(INDEX('Eingabe Meldungen'!$C$2:$C$492,LARGE(('Eingabe Meldungen'!$A$2:$A$492=$B$238)*(ROW('Eingabe Meldungen'!$A$2:$A$492)-1),COUNTIF('Eingabe Meldungen'!$A$2:$A$492,$B$238)+1-ROW('Eingabe Meldungen'!A15)))),"",INDEX('Eingabe Meldungen'!$C$2:$C$492,LARGE(('Eingabe Meldungen'!$A$2:$A$492=$B$238)*(ROW('Eingabe Meldungen'!$A$2:$A$492)-1),COUNTIF('Eingabe Meldungen'!$A$2:$A$492,$B$238)+1-ROW('Eingabe Meldungen'!A15))))</f>
        <v/>
      </c>
      <c r="C254" s="316" t="str">
        <f t="array" ref="C254">IF(ISERROR(INDEX('Eingabe Meldungen'!$D$2:$D$492,LARGE(('Eingabe Meldungen'!$A$2:$A$492=$B$238)*(ROW('Eingabe Meldungen'!$A$2:$A$492)-1),COUNTIF('Eingabe Meldungen'!$A$2:$A$492,$B$238)+1-ROW('Eingabe Meldungen'!A15)))),"",INDEX('Eingabe Meldungen'!$D$2:$D$492,LARGE(('Eingabe Meldungen'!$A$2:$A$492=$B$238)*(ROW('Eingabe Meldungen'!$A$2:$A$492)-1),COUNTIF('Eingabe Meldungen'!$A$2:$A$492,$B$238)+1-ROW('Eingabe Meldungen'!A15))))</f>
        <v/>
      </c>
      <c r="D254" s="341" t="str">
        <f t="array" ref="D254">IF(B254&lt;&gt;"",INDEX('Eingabe Meldungen'!$C$2:$H$492,MATCH(B254&amp;C254,'Eingabe Meldungen'!$C$2:$C$492&amp;'Eingabe Meldungen'!$D$2:$D$492,0),6),"")</f>
        <v/>
      </c>
      <c r="E254" s="382" t="str">
        <f t="array" ref="E254">IF(B254&lt;&gt;"",INDEX('Eingabe Meldungen'!$C$2:$H$492,MATCH(B254&amp;C254,'Eingabe Meldungen'!$C$2:$C$492&amp;'Eingabe Meldungen'!$D$2:$D$492,0),4),"")</f>
        <v/>
      </c>
      <c r="F254" s="353" t="e">
        <f>IF(VLOOKUP(B254,Rennlisten!$B$167:$H$182,6,FALSE)=0,"",VLOOKUP(B254,Rennlisten!$B$167:$H$182,6,FALSE))</f>
        <v>#N/A</v>
      </c>
      <c r="G254" s="333" t="e">
        <f t="shared" si="29"/>
        <v>#N/A</v>
      </c>
      <c r="H254" s="343" t="str">
        <f t="array" ref="H254">IF(B254&lt;&gt;"",INDEX('Eingabe Meldungen'!$C$2:$J$492,MATCH(B254&amp;C254,'Eingabe Meldungen'!$C$2:$C$492&amp;'Eingabe Meldungen'!$D$2:$D$492,0),8),"")</f>
        <v/>
      </c>
      <c r="J254" s="332"/>
      <c r="K254" s="332"/>
      <c r="L254" s="332"/>
      <c r="M254" s="332"/>
      <c r="N254" s="332"/>
      <c r="O254" s="332"/>
      <c r="P254" s="332"/>
      <c r="Q254" s="332"/>
      <c r="R254" s="332"/>
      <c r="S254" s="332"/>
      <c r="T254" s="332"/>
      <c r="U254" s="332"/>
      <c r="V254" s="332"/>
      <c r="W254" s="332"/>
      <c r="X254" s="332"/>
      <c r="Y254" s="332"/>
      <c r="Z254" s="332"/>
      <c r="AA254" s="332"/>
      <c r="AB254" s="332"/>
      <c r="AC254" s="332"/>
      <c r="AD254" s="332"/>
      <c r="AE254" s="332"/>
      <c r="AF254" s="332"/>
      <c r="AG254" s="332"/>
      <c r="AH254" s="332"/>
      <c r="AI254" s="332"/>
      <c r="AJ254" s="333"/>
      <c r="AK254" s="333"/>
      <c r="AL254" s="333"/>
      <c r="AM254" s="333"/>
    </row>
    <row r="255" spans="2:39" s="316" customFormat="1" ht="26.25" customHeight="1" thickBot="1" x14ac:dyDescent="0.25">
      <c r="E255" s="352"/>
      <c r="F255" s="333"/>
      <c r="G255" s="333"/>
      <c r="J255" s="333"/>
      <c r="K255" s="333"/>
      <c r="L255" s="333"/>
      <c r="M255" s="333"/>
      <c r="N255" s="333"/>
      <c r="O255" s="333"/>
      <c r="P255" s="333"/>
      <c r="Q255" s="333"/>
      <c r="R255" s="333"/>
      <c r="S255" s="333"/>
      <c r="T255" s="333"/>
      <c r="U255" s="333"/>
      <c r="V255" s="333"/>
      <c r="W255" s="333"/>
      <c r="X255" s="333"/>
      <c r="Y255" s="333"/>
      <c r="Z255" s="333"/>
      <c r="AA255" s="333"/>
      <c r="AB255" s="333"/>
      <c r="AC255" s="333"/>
      <c r="AD255" s="333"/>
      <c r="AE255" s="333"/>
      <c r="AF255" s="333"/>
      <c r="AG255" s="333"/>
      <c r="AH255" s="333"/>
      <c r="AI255" s="333"/>
      <c r="AJ255" s="333"/>
      <c r="AK255" s="333"/>
      <c r="AL255" s="333"/>
      <c r="AM255" s="333"/>
    </row>
    <row r="256" spans="2:39" s="316" customFormat="1" ht="26.25" customHeight="1" x14ac:dyDescent="0.2">
      <c r="B256" s="326">
        <v>11</v>
      </c>
      <c r="C256" s="327" t="str">
        <f>VLOOKUP(B256,Ausschreibung!$B$5:$I$35,2,FALSE)</f>
        <v>Ergocup</v>
      </c>
      <c r="D256" s="328">
        <f>VLOOKUP(B256,Ausschreibung!$B$5:$I$35,3,FALSE)</f>
        <v>0.56805555555555542</v>
      </c>
      <c r="E256" s="327" t="str">
        <f>VLOOKUP(B256,Ausschreibung!$B$5:$I$35,4,FALSE)</f>
        <v>Juniorinnen B U17</v>
      </c>
      <c r="F256" s="329" t="str">
        <f>VLOOKUP(B256,Ausschreibung!$B$5:$I$35,5,FALSE)</f>
        <v>Lgw. bis 57,5kg</v>
      </c>
      <c r="G256" s="330" t="str">
        <f>VLOOKUP(B256,Ausschreibung!$B$5:$I$35,6,FALSE)</f>
        <v>15-16</v>
      </c>
      <c r="H256" s="331" t="str">
        <f>VLOOKUP(B256,Ausschreibung!$B$5:$I$35,8,FALSE)</f>
        <v>1500 m</v>
      </c>
      <c r="J256" s="332"/>
      <c r="K256" s="332"/>
      <c r="L256" s="332"/>
      <c r="M256" s="332"/>
      <c r="N256" s="332"/>
      <c r="O256" s="332"/>
      <c r="P256" s="332"/>
      <c r="Q256" s="332"/>
      <c r="R256" s="332"/>
      <c r="S256" s="332"/>
      <c r="T256" s="332"/>
      <c r="U256" s="332"/>
      <c r="V256" s="332"/>
      <c r="W256" s="332"/>
      <c r="X256" s="332"/>
      <c r="Y256" s="332"/>
      <c r="Z256" s="332"/>
      <c r="AA256" s="332"/>
      <c r="AB256" s="332"/>
      <c r="AC256" s="332"/>
      <c r="AD256" s="332"/>
      <c r="AE256" s="332"/>
      <c r="AF256" s="332"/>
      <c r="AG256" s="332"/>
      <c r="AH256" s="332"/>
      <c r="AI256" s="332"/>
      <c r="AJ256" s="333"/>
      <c r="AK256" s="333"/>
      <c r="AL256" s="333"/>
      <c r="AM256" s="333"/>
    </row>
    <row r="257" spans="2:39" s="316" customFormat="1" ht="26.25" customHeight="1" x14ac:dyDescent="0.2">
      <c r="B257" s="334" t="s">
        <v>1</v>
      </c>
      <c r="C257" s="335" t="s">
        <v>2</v>
      </c>
      <c r="D257" s="336" t="s">
        <v>49</v>
      </c>
      <c r="E257" s="381" t="s">
        <v>16</v>
      </c>
      <c r="F257" s="337" t="s">
        <v>50</v>
      </c>
      <c r="G257" s="338" t="s">
        <v>51</v>
      </c>
      <c r="H257" s="339" t="s">
        <v>17</v>
      </c>
      <c r="J257" s="332"/>
      <c r="K257" s="332"/>
      <c r="L257" s="332"/>
      <c r="M257" s="332"/>
      <c r="N257" s="332"/>
      <c r="O257" s="332"/>
      <c r="P257" s="332"/>
      <c r="Q257" s="332"/>
      <c r="R257" s="332"/>
      <c r="S257" s="332"/>
      <c r="T257" s="332"/>
      <c r="U257" s="332"/>
      <c r="V257" s="332"/>
      <c r="W257" s="332"/>
      <c r="X257" s="332"/>
      <c r="Y257" s="332"/>
      <c r="Z257" s="332"/>
      <c r="AA257" s="332"/>
      <c r="AB257" s="332"/>
      <c r="AC257" s="332"/>
      <c r="AD257" s="332"/>
      <c r="AE257" s="332"/>
      <c r="AF257" s="332"/>
      <c r="AG257" s="332"/>
      <c r="AH257" s="332"/>
      <c r="AI257" s="332"/>
      <c r="AJ257" s="333"/>
      <c r="AK257" s="333"/>
      <c r="AL257" s="333"/>
      <c r="AM257" s="333"/>
    </row>
    <row r="258" spans="2:39" s="316" customFormat="1" ht="26.25" customHeight="1" x14ac:dyDescent="0.2">
      <c r="B258" s="340" t="str">
        <f t="array" ref="B258">IF(ISERROR(INDEX('Eingabe Meldungen'!$C$2:$C$492,LARGE(('Eingabe Meldungen'!$A$2:$A$492=$B$256)*(ROW('Eingabe Meldungen'!$A$2:$A$492)-1),COUNTIF('Eingabe Meldungen'!$A$2:$A$492,$B$256)+1-ROW('Eingabe Meldungen'!A1)))),"",INDEX('Eingabe Meldungen'!$C$2:$C$492,LARGE(('Eingabe Meldungen'!$A$2:$A$492=$B$256)*(ROW('Eingabe Meldungen'!$A$2:$A$492)-1),COUNTIF('Eingabe Meldungen'!$A$2:$A$492,$B$256)+1-ROW('Eingabe Meldungen'!A1))))</f>
        <v>Abendschein</v>
      </c>
      <c r="C258" s="316" t="str">
        <f t="array" ref="C258">IF(ISERROR(INDEX('Eingabe Meldungen'!$D$2:$D$492,LARGE(('Eingabe Meldungen'!$A$2:$A$492=$B$256)*(ROW('Eingabe Meldungen'!$A$2:$A$492)-1),COUNTIF('Eingabe Meldungen'!$A$2:$A$492,$B$256)+1-ROW('Eingabe Meldungen'!A1)))),"",INDEX('Eingabe Meldungen'!$D$2:$D$492,LARGE(('Eingabe Meldungen'!$A$2:$A$492=$B$256)*(ROW('Eingabe Meldungen'!$A$2:$A$492)-1),COUNTIF('Eingabe Meldungen'!$A$2:$A$492,$B$256)+1-ROW('Eingabe Meldungen'!A1))))</f>
        <v>Amrei</v>
      </c>
      <c r="D258" s="341">
        <f t="array" ref="D258">IF(B258&lt;&gt;"",INDEX('Eingabe Meldungen'!$C$2:$H$492,MATCH(B258&amp;C258,'Eingabe Meldungen'!$C$2:$C$492&amp;'Eingabe Meldungen'!$D$2:$D$492,0),6),"")</f>
        <v>2004</v>
      </c>
      <c r="E258" s="382" t="str">
        <f t="array" ref="E258">IF(B258&lt;&gt;"",INDEX('Eingabe Meldungen'!$C$2:$H$492,MATCH(B258&amp;C258,'Eingabe Meldungen'!$C$2:$C$492&amp;'Eingabe Meldungen'!$D$2:$D$492,0),4),"")</f>
        <v>Lgw. bis 57,5kg</v>
      </c>
      <c r="F258" s="353" t="s">
        <v>585</v>
      </c>
      <c r="G258" s="333" t="e">
        <f>RANK(F258,$F$258:$F$267,1)</f>
        <v>#VALUE!</v>
      </c>
      <c r="H258" s="343" t="str">
        <f t="array" ref="H258">IF(B258&lt;&gt;"",INDEX('Eingabe Meldungen'!$C$2:$J$492,MATCH(B258&amp;C258,'Eingabe Meldungen'!$C$2:$C$492&amp;'Eingabe Meldungen'!$D$2:$D$492,0),8),"")</f>
        <v>Stuttgart-Cannstatter RC</v>
      </c>
      <c r="J258" s="332"/>
      <c r="K258" s="332"/>
      <c r="L258" s="332"/>
      <c r="M258" s="332"/>
      <c r="N258" s="332"/>
      <c r="O258" s="332"/>
      <c r="P258" s="332"/>
      <c r="Q258" s="332"/>
      <c r="R258" s="332"/>
      <c r="S258" s="332"/>
      <c r="T258" s="332"/>
      <c r="U258" s="332"/>
      <c r="V258" s="332"/>
      <c r="W258" s="332"/>
      <c r="X258" s="332"/>
      <c r="Y258" s="332"/>
      <c r="Z258" s="332"/>
      <c r="AA258" s="332"/>
      <c r="AB258" s="332"/>
      <c r="AC258" s="332"/>
      <c r="AD258" s="332"/>
      <c r="AE258" s="332"/>
      <c r="AF258" s="332"/>
      <c r="AG258" s="332"/>
      <c r="AH258" s="332"/>
      <c r="AI258" s="332"/>
      <c r="AJ258" s="333"/>
      <c r="AK258" s="333"/>
      <c r="AL258" s="333"/>
      <c r="AM258" s="333"/>
    </row>
    <row r="259" spans="2:39" s="316" customFormat="1" ht="26.25" customHeight="1" x14ac:dyDescent="0.2">
      <c r="B259" s="340"/>
      <c r="D259" s="341"/>
      <c r="E259" s="382"/>
      <c r="F259" s="353"/>
      <c r="G259" s="333"/>
      <c r="H259" s="343"/>
      <c r="J259" s="332"/>
      <c r="K259" s="332"/>
      <c r="L259" s="332"/>
      <c r="M259" s="332"/>
      <c r="N259" s="332"/>
      <c r="O259" s="332"/>
      <c r="P259" s="332"/>
      <c r="Q259" s="332"/>
      <c r="R259" s="332"/>
      <c r="S259" s="332"/>
      <c r="T259" s="332"/>
      <c r="U259" s="332"/>
      <c r="V259" s="332"/>
      <c r="W259" s="332"/>
      <c r="X259" s="332"/>
      <c r="Y259" s="332"/>
      <c r="Z259" s="332"/>
      <c r="AA259" s="332"/>
      <c r="AB259" s="332"/>
      <c r="AC259" s="332"/>
      <c r="AD259" s="332"/>
      <c r="AE259" s="332"/>
      <c r="AF259" s="332"/>
      <c r="AG259" s="332"/>
      <c r="AH259" s="332"/>
      <c r="AI259" s="332"/>
      <c r="AJ259" s="333"/>
      <c r="AK259" s="333"/>
      <c r="AL259" s="333"/>
      <c r="AM259" s="333"/>
    </row>
    <row r="260" spans="2:39" s="316" customFormat="1" ht="26.25" customHeight="1" x14ac:dyDescent="0.2">
      <c r="B260" s="340" t="str">
        <f t="array" ref="B260">IF(ISERROR(INDEX('Eingabe Meldungen'!$C$2:$C$492,LARGE(('Eingabe Meldungen'!$A$2:$A$492=$B$256)*(ROW('Eingabe Meldungen'!$A$2:$A$492)-1),COUNTIF('Eingabe Meldungen'!$A$2:$A$492,$B$256)+1-ROW('Eingabe Meldungen'!A3)))),"",INDEX('Eingabe Meldungen'!$C$2:$C$492,LARGE(('Eingabe Meldungen'!$A$2:$A$492=$B$256)*(ROW('Eingabe Meldungen'!$A$2:$A$492)-1),COUNTIF('Eingabe Meldungen'!$A$2:$A$492,$B$256)+1-ROW('Eingabe Meldungen'!A3))))</f>
        <v>Basilowski</v>
      </c>
      <c r="C260" s="316" t="str">
        <f t="array" ref="C260">IF(ISERROR(INDEX('Eingabe Meldungen'!$D$2:$D$492,LARGE(('Eingabe Meldungen'!$A$2:$A$492=$B$256)*(ROW('Eingabe Meldungen'!$A$2:$A$492)-1),COUNTIF('Eingabe Meldungen'!$A$2:$A$492,$B$256)+1-ROW('Eingabe Meldungen'!A3)))),"",INDEX('Eingabe Meldungen'!$D$2:$D$492,LARGE(('Eingabe Meldungen'!$A$2:$A$492=$B$256)*(ROW('Eingabe Meldungen'!$A$2:$A$492)-1),COUNTIF('Eingabe Meldungen'!$A$2:$A$492,$B$256)+1-ROW('Eingabe Meldungen'!A3))))</f>
        <v>Lea</v>
      </c>
      <c r="D260" s="341">
        <f t="array" ref="D260">IF(B260&lt;&gt;"",INDEX('Eingabe Meldungen'!$C$2:$H$492,MATCH(B260&amp;C260,'Eingabe Meldungen'!$C$2:$C$492&amp;'Eingabe Meldungen'!$D$2:$D$492,0),6),"")</f>
        <v>2004</v>
      </c>
      <c r="E260" s="382" t="str">
        <f t="array" ref="E260">IF(B260&lt;&gt;"",INDEX('Eingabe Meldungen'!$C$2:$H$492,MATCH(B260&amp;C260,'Eingabe Meldungen'!$C$2:$C$492&amp;'Eingabe Meldungen'!$D$2:$D$492,0),4),"")</f>
        <v>Lgw. bis 57,5kg</v>
      </c>
      <c r="F260" s="353" t="s">
        <v>584</v>
      </c>
      <c r="G260" s="333">
        <v>3</v>
      </c>
      <c r="H260" s="343" t="str">
        <f t="array" ref="H260">IF(B260&lt;&gt;"",INDEX('Eingabe Meldungen'!$C$2:$J$492,MATCH(B260&amp;C260,'Eingabe Meldungen'!$C$2:$C$492&amp;'Eingabe Meldungen'!$D$2:$D$492,0),8),"")</f>
        <v>Marbacher Ruderverein</v>
      </c>
      <c r="J260" s="332"/>
      <c r="K260" s="332"/>
      <c r="L260" s="332"/>
      <c r="M260" s="332"/>
      <c r="N260" s="332"/>
      <c r="O260" s="332">
        <v>3</v>
      </c>
      <c r="P260" s="332"/>
      <c r="Q260" s="332"/>
      <c r="R260" s="332"/>
      <c r="S260" s="332"/>
      <c r="T260" s="332"/>
      <c r="U260" s="332"/>
      <c r="V260" s="332"/>
      <c r="W260" s="332"/>
      <c r="X260" s="332"/>
      <c r="Y260" s="332"/>
      <c r="Z260" s="332"/>
      <c r="AA260" s="332"/>
      <c r="AB260" s="332"/>
      <c r="AC260" s="332"/>
      <c r="AD260" s="332"/>
      <c r="AE260" s="332"/>
      <c r="AF260" s="332"/>
      <c r="AG260" s="332"/>
      <c r="AH260" s="332"/>
      <c r="AI260" s="332"/>
      <c r="AJ260" s="333"/>
      <c r="AK260" s="333"/>
      <c r="AL260" s="333"/>
      <c r="AM260" s="333"/>
    </row>
    <row r="261" spans="2:39" s="316" customFormat="1" ht="26.25" customHeight="1" x14ac:dyDescent="0.2">
      <c r="B261" s="340" t="str">
        <f t="array" ref="B261">IF(ISERROR(INDEX('Eingabe Meldungen'!$C$2:$C$492,LARGE(('Eingabe Meldungen'!$A$2:$A$492=$B$256)*(ROW('Eingabe Meldungen'!$A$2:$A$492)-1),COUNTIF('Eingabe Meldungen'!$A$2:$A$492,$B$256)+1-ROW('Eingabe Meldungen'!A4)))),"",INDEX('Eingabe Meldungen'!$C$2:$C$492,LARGE(('Eingabe Meldungen'!$A$2:$A$492=$B$256)*(ROW('Eingabe Meldungen'!$A$2:$A$492)-1),COUNTIF('Eingabe Meldungen'!$A$2:$A$492,$B$256)+1-ROW('Eingabe Meldungen'!A4))))</f>
        <v>Scheffold</v>
      </c>
      <c r="C261" s="316" t="str">
        <f t="array" ref="C261">IF(ISERROR(INDEX('Eingabe Meldungen'!$D$2:$D$492,LARGE(('Eingabe Meldungen'!$A$2:$A$492=$B$256)*(ROW('Eingabe Meldungen'!$A$2:$A$492)-1),COUNTIF('Eingabe Meldungen'!$A$2:$A$492,$B$256)+1-ROW('Eingabe Meldungen'!A4)))),"",INDEX('Eingabe Meldungen'!$D$2:$D$492,LARGE(('Eingabe Meldungen'!$A$2:$A$492=$B$256)*(ROW('Eingabe Meldungen'!$A$2:$A$492)-1),COUNTIF('Eingabe Meldungen'!$A$2:$A$492,$B$256)+1-ROW('Eingabe Meldungen'!A4))))</f>
        <v>Sina</v>
      </c>
      <c r="D261" s="341">
        <f t="array" ref="D261">IF(B261&lt;&gt;"",INDEX('Eingabe Meldungen'!$C$2:$H$492,MATCH(B261&amp;C261,'Eingabe Meldungen'!$C$2:$C$492&amp;'Eingabe Meldungen'!$D$2:$D$492,0),6),"")</f>
        <v>2004</v>
      </c>
      <c r="E261" s="382" t="str">
        <f t="array" ref="E261">IF(B261&lt;&gt;"",INDEX('Eingabe Meldungen'!$C$2:$H$492,MATCH(B261&amp;C261,'Eingabe Meldungen'!$C$2:$C$492&amp;'Eingabe Meldungen'!$D$2:$D$492,0),4),"")</f>
        <v>Lgw. bis 57,5kg</v>
      </c>
      <c r="F261" s="353" t="s">
        <v>582</v>
      </c>
      <c r="G261" s="333">
        <v>1</v>
      </c>
      <c r="H261" s="343" t="str">
        <f t="array" ref="H261">IF(B261&lt;&gt;"",INDEX('Eingabe Meldungen'!$C$2:$J$492,MATCH(B261&amp;C261,'Eingabe Meldungen'!$C$2:$C$492&amp;'Eingabe Meldungen'!$D$2:$D$492,0),8),"")</f>
        <v>RV Waldsee</v>
      </c>
      <c r="J261" s="332"/>
      <c r="K261" s="332"/>
      <c r="L261" s="332"/>
      <c r="M261" s="332"/>
      <c r="N261" s="332"/>
      <c r="O261" s="332"/>
      <c r="P261" s="332"/>
      <c r="Q261" s="332"/>
      <c r="R261" s="332"/>
      <c r="S261" s="332">
        <v>7</v>
      </c>
      <c r="T261" s="332"/>
      <c r="U261" s="332"/>
      <c r="V261" s="332"/>
      <c r="W261" s="332"/>
      <c r="X261" s="332"/>
      <c r="Y261" s="332"/>
      <c r="Z261" s="332"/>
      <c r="AA261" s="332"/>
      <c r="AB261" s="332"/>
      <c r="AC261" s="332"/>
      <c r="AD261" s="332"/>
      <c r="AE261" s="332"/>
      <c r="AF261" s="332"/>
      <c r="AG261" s="332"/>
      <c r="AH261" s="332"/>
      <c r="AI261" s="332"/>
      <c r="AJ261" s="333"/>
      <c r="AK261" s="333"/>
      <c r="AL261" s="333"/>
      <c r="AM261" s="333"/>
    </row>
    <row r="262" spans="2:39" s="316" customFormat="1" ht="26.25" customHeight="1" x14ac:dyDescent="0.2">
      <c r="J262" s="332"/>
      <c r="K262" s="332"/>
      <c r="L262" s="332"/>
      <c r="M262" s="332"/>
      <c r="N262" s="332"/>
      <c r="O262" s="332"/>
      <c r="P262" s="332"/>
      <c r="Q262" s="332"/>
      <c r="R262" s="332"/>
      <c r="S262" s="332"/>
      <c r="T262" s="332"/>
      <c r="U262" s="332"/>
      <c r="V262" s="332"/>
      <c r="W262" s="332"/>
      <c r="X262" s="332"/>
      <c r="Y262" s="332"/>
      <c r="Z262" s="332"/>
      <c r="AA262" s="332"/>
      <c r="AB262" s="332"/>
      <c r="AC262" s="332"/>
      <c r="AD262" s="332"/>
      <c r="AE262" s="332"/>
      <c r="AF262" s="332"/>
      <c r="AG262" s="332"/>
      <c r="AH262" s="332"/>
      <c r="AI262" s="332"/>
      <c r="AJ262" s="333"/>
      <c r="AK262" s="333"/>
      <c r="AL262" s="333"/>
      <c r="AM262" s="333"/>
    </row>
    <row r="263" spans="2:39" s="316" customFormat="1" ht="26.25" customHeight="1" x14ac:dyDescent="0.2">
      <c r="B263" s="340" t="str">
        <f t="array" ref="B263">IF(ISERROR(INDEX('Eingabe Meldungen'!$C$2:$C$492,LARGE(('Eingabe Meldungen'!$A$2:$A$492=$B$256)*(ROW('Eingabe Meldungen'!$A$2:$A$492)-1),COUNTIF('Eingabe Meldungen'!$A$2:$A$492,$B$256)+1-ROW('Eingabe Meldungen'!A6)))),"",INDEX('Eingabe Meldungen'!$C$2:$C$492,LARGE(('Eingabe Meldungen'!$A$2:$A$492=$B$256)*(ROW('Eingabe Meldungen'!$A$2:$A$492)-1),COUNTIF('Eingabe Meldungen'!$A$2:$A$492,$B$256)+1-ROW('Eingabe Meldungen'!A6))))</f>
        <v>Hümpfner</v>
      </c>
      <c r="C263" s="316" t="str">
        <f t="array" ref="C263">IF(ISERROR(INDEX('Eingabe Meldungen'!$D$2:$D$492,LARGE(('Eingabe Meldungen'!$A$2:$A$492=$B$256)*(ROW('Eingabe Meldungen'!$A$2:$A$492)-1),COUNTIF('Eingabe Meldungen'!$A$2:$A$492,$B$256)+1-ROW('Eingabe Meldungen'!A6)))),"",INDEX('Eingabe Meldungen'!$D$2:$D$492,LARGE(('Eingabe Meldungen'!$A$2:$A$492=$B$256)*(ROW('Eingabe Meldungen'!$A$2:$A$492)-1),COUNTIF('Eingabe Meldungen'!$A$2:$A$492,$B$256)+1-ROW('Eingabe Meldungen'!A6))))</f>
        <v>Jara</v>
      </c>
      <c r="D263" s="341">
        <f t="array" ref="D263">IF(B263&lt;&gt;"",INDEX('Eingabe Meldungen'!$C$2:$H$492,MATCH(B263&amp;C263,'Eingabe Meldungen'!$C$2:$C$492&amp;'Eingabe Meldungen'!$D$2:$D$492,0),6),"")</f>
        <v>2005</v>
      </c>
      <c r="E263" s="382" t="str">
        <f t="array" ref="E263">IF(B263&lt;&gt;"",INDEX('Eingabe Meldungen'!$C$2:$H$492,MATCH(B263&amp;C263,'Eingabe Meldungen'!$C$2:$C$492&amp;'Eingabe Meldungen'!$D$2:$D$492,0),4),"")</f>
        <v>Lgw. bis 57,5kg</v>
      </c>
      <c r="F263" s="353" t="s">
        <v>582</v>
      </c>
      <c r="G263" s="333">
        <v>1</v>
      </c>
      <c r="H263" s="343" t="str">
        <f t="array" ref="H263">IF(B263&lt;&gt;"",INDEX('Eingabe Meldungen'!$C$2:$J$492,MATCH(B263&amp;C263,'Eingabe Meldungen'!$C$2:$C$492&amp;'Eingabe Meldungen'!$D$2:$D$492,0),8),"")</f>
        <v>RC Nürtingen</v>
      </c>
      <c r="J263" s="332"/>
      <c r="K263" s="332"/>
      <c r="L263" s="332"/>
      <c r="M263" s="332">
        <v>7</v>
      </c>
      <c r="N263" s="332"/>
      <c r="O263" s="332"/>
      <c r="P263" s="332"/>
      <c r="Q263" s="332"/>
      <c r="R263" s="332"/>
      <c r="S263" s="332"/>
      <c r="T263" s="332"/>
      <c r="U263" s="332"/>
      <c r="V263" s="332"/>
      <c r="W263" s="332"/>
      <c r="X263" s="332"/>
      <c r="Y263" s="332"/>
      <c r="Z263" s="332"/>
      <c r="AA263" s="332"/>
      <c r="AB263" s="332"/>
      <c r="AC263" s="332"/>
      <c r="AD263" s="332"/>
      <c r="AE263" s="332"/>
      <c r="AF263" s="332"/>
      <c r="AG263" s="332"/>
      <c r="AH263" s="332"/>
      <c r="AI263" s="332"/>
      <c r="AJ263" s="333"/>
      <c r="AK263" s="333"/>
      <c r="AL263" s="333"/>
      <c r="AM263" s="333"/>
    </row>
    <row r="264" spans="2:39" s="316" customFormat="1" ht="26.25" customHeight="1" x14ac:dyDescent="0.2">
      <c r="B264" s="340"/>
      <c r="D264" s="341"/>
      <c r="E264" s="382"/>
      <c r="F264" s="353"/>
      <c r="G264" s="333"/>
      <c r="H264" s="343"/>
      <c r="J264" s="332"/>
      <c r="K264" s="332"/>
      <c r="L264" s="332"/>
      <c r="M264" s="332"/>
      <c r="N264" s="332"/>
      <c r="O264" s="332"/>
      <c r="P264" s="332"/>
      <c r="Q264" s="332"/>
      <c r="R264" s="332"/>
      <c r="S264" s="332"/>
      <c r="T264" s="332"/>
      <c r="U264" s="332"/>
      <c r="V264" s="332"/>
      <c r="W264" s="332"/>
      <c r="X264" s="332"/>
      <c r="Y264" s="332"/>
      <c r="Z264" s="332"/>
      <c r="AA264" s="332"/>
      <c r="AB264" s="332"/>
      <c r="AC264" s="332"/>
      <c r="AD264" s="332"/>
      <c r="AE264" s="332"/>
      <c r="AF264" s="332"/>
      <c r="AG264" s="332"/>
      <c r="AH264" s="332"/>
      <c r="AI264" s="332"/>
      <c r="AJ264" s="333"/>
      <c r="AK264" s="333"/>
      <c r="AL264" s="333"/>
      <c r="AM264" s="333"/>
    </row>
    <row r="265" spans="2:39" s="316" customFormat="1" ht="26.25" customHeight="1" x14ac:dyDescent="0.2">
      <c r="B265" s="340" t="str">
        <f t="array" ref="B265">IF(ISERROR(INDEX('Eingabe Meldungen'!$C$2:$C$492,LARGE(('Eingabe Meldungen'!$A$2:$A$492=$B$256)*(ROW('Eingabe Meldungen'!$A$2:$A$492)-1),COUNTIF('Eingabe Meldungen'!$A$2:$A$492,$B$256)+1-ROW('Eingabe Meldungen'!A8)))),"",INDEX('Eingabe Meldungen'!$C$2:$C$492,LARGE(('Eingabe Meldungen'!$A$2:$A$492=$B$256)*(ROW('Eingabe Meldungen'!$A$2:$A$492)-1),COUNTIF('Eingabe Meldungen'!$A$2:$A$492,$B$256)+1-ROW('Eingabe Meldungen'!A8))))</f>
        <v>Vogt</v>
      </c>
      <c r="C265" s="316" t="str">
        <f t="array" ref="C265">IF(ISERROR(INDEX('Eingabe Meldungen'!$D$2:$D$492,LARGE(('Eingabe Meldungen'!$A$2:$A$492=$B$256)*(ROW('Eingabe Meldungen'!$A$2:$A$492)-1),COUNTIF('Eingabe Meldungen'!$A$2:$A$492,$B$256)+1-ROW('Eingabe Meldungen'!A8)))),"",INDEX('Eingabe Meldungen'!$D$2:$D$492,LARGE(('Eingabe Meldungen'!$A$2:$A$492=$B$256)*(ROW('Eingabe Meldungen'!$A$2:$A$492)-1),COUNTIF('Eingabe Meldungen'!$A$2:$A$492,$B$256)+1-ROW('Eingabe Meldungen'!A8))))</f>
        <v>Thea</v>
      </c>
      <c r="D265" s="341">
        <f t="array" ref="D265">IF(B265&lt;&gt;"",INDEX('Eingabe Meldungen'!$C$2:$H$492,MATCH(B265&amp;C265,'Eingabe Meldungen'!$C$2:$C$492&amp;'Eingabe Meldungen'!$D$2:$D$492,0),6),"")</f>
        <v>2005</v>
      </c>
      <c r="E265" s="382" t="str">
        <f t="array" ref="E265">IF(B265&lt;&gt;"",INDEX('Eingabe Meldungen'!$C$2:$H$492,MATCH(B265&amp;C265,'Eingabe Meldungen'!$C$2:$C$492&amp;'Eingabe Meldungen'!$D$2:$D$492,0),4),"")</f>
        <v>Lgw. bis 57,5kg</v>
      </c>
      <c r="F265" s="353" t="s">
        <v>583</v>
      </c>
      <c r="G265" s="333">
        <v>2</v>
      </c>
      <c r="H265" s="343" t="str">
        <f t="array" ref="H265">IF(B265&lt;&gt;"",INDEX('Eingabe Meldungen'!$C$2:$J$492,MATCH(B265&amp;C265,'Eingabe Meldungen'!$C$2:$C$492&amp;'Eingabe Meldungen'!$D$2:$D$492,0),8),"")</f>
        <v>HRG Schwaben</v>
      </c>
      <c r="J265" s="332"/>
      <c r="K265" s="332"/>
      <c r="L265" s="332"/>
      <c r="M265" s="332"/>
      <c r="N265" s="332"/>
      <c r="O265" s="332"/>
      <c r="P265" s="332"/>
      <c r="Q265" s="332">
        <v>5</v>
      </c>
      <c r="R265" s="332"/>
      <c r="S265" s="332"/>
      <c r="T265" s="332"/>
      <c r="U265" s="332"/>
      <c r="V265" s="332"/>
      <c r="W265" s="332"/>
      <c r="X265" s="332"/>
      <c r="Y265" s="332"/>
      <c r="Z265" s="332"/>
      <c r="AA265" s="332"/>
      <c r="AB265" s="332"/>
      <c r="AC265" s="332"/>
      <c r="AD265" s="332"/>
      <c r="AE265" s="332"/>
      <c r="AF265" s="332"/>
      <c r="AG265" s="332"/>
      <c r="AH265" s="332"/>
      <c r="AI265" s="332"/>
      <c r="AJ265" s="333"/>
      <c r="AK265" s="333"/>
      <c r="AL265" s="333"/>
      <c r="AM265" s="333"/>
    </row>
    <row r="266" spans="2:39" s="316" customFormat="1" ht="26.25" customHeight="1" x14ac:dyDescent="0.2">
      <c r="B266" s="340" t="str">
        <f t="array" ref="B266">IF(ISERROR(INDEX('Eingabe Meldungen'!$C$2:$C$492,LARGE(('Eingabe Meldungen'!$A$2:$A$492=$B$256)*(ROW('Eingabe Meldungen'!$A$2:$A$492)-1),COUNTIF('Eingabe Meldungen'!$A$2:$A$492,$B$256)+1-ROW('Eingabe Meldungen'!A9)))),"",INDEX('Eingabe Meldungen'!$C$2:$C$492,LARGE(('Eingabe Meldungen'!$A$2:$A$492=$B$256)*(ROW('Eingabe Meldungen'!$A$2:$A$492)-1),COUNTIF('Eingabe Meldungen'!$A$2:$A$492,$B$256)+1-ROW('Eingabe Meldungen'!A9))))</f>
        <v/>
      </c>
      <c r="C266" s="316" t="str">
        <f t="array" ref="C266">IF(ISERROR(INDEX('Eingabe Meldungen'!$D$2:$D$492,LARGE(('Eingabe Meldungen'!$A$2:$A$492=$B$256)*(ROW('Eingabe Meldungen'!$A$2:$A$492)-1),COUNTIF('Eingabe Meldungen'!$A$2:$A$492,$B$256)+1-ROW('Eingabe Meldungen'!A9)))),"",INDEX('Eingabe Meldungen'!$D$2:$D$492,LARGE(('Eingabe Meldungen'!$A$2:$A$492=$B$256)*(ROW('Eingabe Meldungen'!$A$2:$A$492)-1),COUNTIF('Eingabe Meldungen'!$A$2:$A$492,$B$256)+1-ROW('Eingabe Meldungen'!A9))))</f>
        <v/>
      </c>
      <c r="D266" s="341" t="str">
        <f t="array" ref="D266">IF(B266&lt;&gt;"",INDEX('Eingabe Meldungen'!$C$2:$H$492,MATCH(B266&amp;C266,'Eingabe Meldungen'!$C$2:$C$492&amp;'Eingabe Meldungen'!$D$2:$D$492,0),6),"")</f>
        <v/>
      </c>
      <c r="E266" s="382" t="str">
        <f t="array" ref="E266">IF(B266&lt;&gt;"",INDEX('Eingabe Meldungen'!$C$2:$H$492,MATCH(B266&amp;C266,'Eingabe Meldungen'!$C$2:$C$492&amp;'Eingabe Meldungen'!$D$2:$D$492,0),4),"")</f>
        <v/>
      </c>
      <c r="F266" s="353" t="str">
        <f>IF(VLOOKUP(B266,Rennlisten!$B$190:$H$199,6,FALSE)=0,"",VLOOKUP(B266,Rennlisten!$B$190:$H$199,6,FALSE))</f>
        <v/>
      </c>
      <c r="G266" s="333" t="e">
        <f t="shared" ref="G266:G267" si="30">RANK(F266,$F$258:$F$267,1)</f>
        <v>#VALUE!</v>
      </c>
      <c r="H266" s="343" t="str">
        <f t="array" ref="H266">IF(B266&lt;&gt;"",INDEX('Eingabe Meldungen'!$C$2:$J$492,MATCH(B266&amp;C266,'Eingabe Meldungen'!$C$2:$C$492&amp;'Eingabe Meldungen'!$D$2:$D$492,0),8),"")</f>
        <v/>
      </c>
      <c r="J266" s="332"/>
      <c r="K266" s="332"/>
      <c r="L266" s="332"/>
      <c r="M266" s="332"/>
      <c r="N266" s="332"/>
      <c r="O266" s="332"/>
      <c r="P266" s="332"/>
      <c r="Q266" s="332"/>
      <c r="R266" s="332"/>
      <c r="S266" s="332"/>
      <c r="T266" s="332"/>
      <c r="U266" s="332"/>
      <c r="V266" s="332"/>
      <c r="W266" s="332"/>
      <c r="X266" s="332"/>
      <c r="Y266" s="332"/>
      <c r="Z266" s="332"/>
      <c r="AA266" s="332"/>
      <c r="AB266" s="332"/>
      <c r="AC266" s="332"/>
      <c r="AD266" s="332"/>
      <c r="AE266" s="332"/>
      <c r="AF266" s="332"/>
      <c r="AG266" s="332"/>
      <c r="AH266" s="332"/>
      <c r="AI266" s="332"/>
      <c r="AJ266" s="333"/>
      <c r="AK266" s="333"/>
      <c r="AL266" s="333"/>
      <c r="AM266" s="333"/>
    </row>
    <row r="267" spans="2:39" s="316" customFormat="1" ht="26.25" customHeight="1" x14ac:dyDescent="0.2">
      <c r="B267" s="340" t="str">
        <f t="array" ref="B267">IF(ISERROR(INDEX('Eingabe Meldungen'!$C$2:$C$492,LARGE(('Eingabe Meldungen'!$A$2:$A$492=$B$256)*(ROW('Eingabe Meldungen'!$A$2:$A$492)-1),COUNTIF('Eingabe Meldungen'!$A$2:$A$492,$B$256)+1-ROW('Eingabe Meldungen'!A10)))),"",INDEX('Eingabe Meldungen'!$C$2:$C$492,LARGE(('Eingabe Meldungen'!$A$2:$A$492=$B$256)*(ROW('Eingabe Meldungen'!$A$2:$A$492)-1),COUNTIF('Eingabe Meldungen'!$A$2:$A$492,$B$256)+1-ROW('Eingabe Meldungen'!A10))))</f>
        <v/>
      </c>
      <c r="C267" s="316" t="str">
        <f t="array" ref="C267">IF(ISERROR(INDEX('Eingabe Meldungen'!$D$2:$D$492,LARGE(('Eingabe Meldungen'!$A$2:$A$492=$B$256)*(ROW('Eingabe Meldungen'!$A$2:$A$492)-1),COUNTIF('Eingabe Meldungen'!$A$2:$A$492,$B$256)+1-ROW('Eingabe Meldungen'!A10)))),"",INDEX('Eingabe Meldungen'!$D$2:$D$492,LARGE(('Eingabe Meldungen'!$A$2:$A$492=$B$256)*(ROW('Eingabe Meldungen'!$A$2:$A$492)-1),COUNTIF('Eingabe Meldungen'!$A$2:$A$492,$B$256)+1-ROW('Eingabe Meldungen'!A10))))</f>
        <v/>
      </c>
      <c r="D267" s="341" t="str">
        <f t="array" ref="D267">IF(B267&lt;&gt;"",INDEX('Eingabe Meldungen'!$C$2:$H$492,MATCH(B267&amp;C267,'Eingabe Meldungen'!$C$2:$C$492&amp;'Eingabe Meldungen'!$D$2:$D$492,0),6),"")</f>
        <v/>
      </c>
      <c r="E267" s="382" t="str">
        <f t="array" ref="E267">IF(B267&lt;&gt;"",INDEX('Eingabe Meldungen'!$C$2:$H$492,MATCH(B267&amp;C267,'Eingabe Meldungen'!$C$2:$C$492&amp;'Eingabe Meldungen'!$D$2:$D$492,0),4),"")</f>
        <v/>
      </c>
      <c r="F267" s="353" t="str">
        <f>IF(VLOOKUP(B267,Rennlisten!$B$190:$H$199,6,FALSE)=0,"",VLOOKUP(B267,Rennlisten!$B$190:$H$199,6,FALSE))</f>
        <v/>
      </c>
      <c r="G267" s="333" t="e">
        <f t="shared" si="30"/>
        <v>#VALUE!</v>
      </c>
      <c r="H267" s="343" t="str">
        <f t="array" ref="H267">IF(B267&lt;&gt;"",INDEX('Eingabe Meldungen'!$C$2:$J$492,MATCH(B267&amp;C267,'Eingabe Meldungen'!$C$2:$C$492&amp;'Eingabe Meldungen'!$D$2:$D$492,0),8),"")</f>
        <v/>
      </c>
      <c r="J267" s="332"/>
      <c r="K267" s="332"/>
      <c r="L267" s="332"/>
      <c r="M267" s="332"/>
      <c r="N267" s="332"/>
      <c r="O267" s="332"/>
      <c r="P267" s="332"/>
      <c r="Q267" s="332"/>
      <c r="R267" s="332"/>
      <c r="S267" s="332"/>
      <c r="T267" s="332"/>
      <c r="U267" s="332"/>
      <c r="V267" s="332"/>
      <c r="W267" s="332"/>
      <c r="X267" s="332"/>
      <c r="Y267" s="332"/>
      <c r="Z267" s="332"/>
      <c r="AA267" s="332"/>
      <c r="AB267" s="332"/>
      <c r="AC267" s="332"/>
      <c r="AD267" s="332"/>
      <c r="AE267" s="332"/>
      <c r="AF267" s="332"/>
      <c r="AG267" s="332"/>
      <c r="AH267" s="332"/>
      <c r="AI267" s="332"/>
      <c r="AJ267" s="333"/>
      <c r="AK267" s="333"/>
      <c r="AL267" s="333"/>
      <c r="AM267" s="333"/>
    </row>
    <row r="268" spans="2:39" s="316" customFormat="1" ht="26.25" customHeight="1" thickBot="1" x14ac:dyDescent="0.25">
      <c r="E268" s="352"/>
      <c r="F268" s="333"/>
      <c r="G268" s="333"/>
      <c r="J268" s="333"/>
      <c r="K268" s="333"/>
      <c r="L268" s="333"/>
      <c r="M268" s="333"/>
      <c r="N268" s="333"/>
      <c r="O268" s="333"/>
      <c r="P268" s="333"/>
      <c r="Q268" s="333"/>
      <c r="R268" s="333"/>
      <c r="S268" s="333"/>
      <c r="T268" s="333"/>
      <c r="U268" s="333"/>
      <c r="V268" s="333"/>
      <c r="W268" s="333"/>
      <c r="X268" s="333"/>
      <c r="Y268" s="333"/>
      <c r="Z268" s="333"/>
      <c r="AA268" s="333"/>
      <c r="AB268" s="333"/>
      <c r="AC268" s="333"/>
      <c r="AD268" s="333"/>
      <c r="AE268" s="333"/>
      <c r="AF268" s="333"/>
      <c r="AG268" s="333"/>
      <c r="AH268" s="333"/>
      <c r="AI268" s="333"/>
      <c r="AJ268" s="333"/>
      <c r="AK268" s="333"/>
      <c r="AL268" s="333"/>
      <c r="AM268" s="333"/>
    </row>
    <row r="269" spans="2:39" s="316" customFormat="1" ht="26.25" customHeight="1" x14ac:dyDescent="0.2">
      <c r="B269" s="326">
        <v>12</v>
      </c>
      <c r="C269" s="327" t="str">
        <f>VLOOKUP(B269,Ausschreibung!$B$5:$I$35,2,FALSE)</f>
        <v>Ergocup</v>
      </c>
      <c r="D269" s="328">
        <f>VLOOKUP(B269,Ausschreibung!$B$5:$I$35,3,FALSE)</f>
        <v>0.57638888888888873</v>
      </c>
      <c r="E269" s="327" t="str">
        <f>VLOOKUP(B269,Ausschreibung!$B$5:$I$35,4,FALSE)</f>
        <v>Juniorinnen B U17</v>
      </c>
      <c r="F269" s="329" t="str">
        <f>VLOOKUP(B269,Ausschreibung!$B$5:$I$35,5,FALSE)</f>
        <v>-</v>
      </c>
      <c r="G269" s="330" t="str">
        <f>VLOOKUP(B269,Ausschreibung!$B$5:$I$35,6,FALSE)</f>
        <v>15-16</v>
      </c>
      <c r="H269" s="331" t="str">
        <f>VLOOKUP(B269,Ausschreibung!$B$5:$I$35,8,FALSE)</f>
        <v>1500 m</v>
      </c>
      <c r="J269" s="332"/>
      <c r="K269" s="332"/>
      <c r="L269" s="332"/>
      <c r="M269" s="332"/>
      <c r="N269" s="332"/>
      <c r="O269" s="332"/>
      <c r="P269" s="332"/>
      <c r="Q269" s="332"/>
      <c r="R269" s="332"/>
      <c r="S269" s="332"/>
      <c r="T269" s="332"/>
      <c r="U269" s="332"/>
      <c r="V269" s="332"/>
      <c r="W269" s="332"/>
      <c r="X269" s="332"/>
      <c r="Y269" s="332"/>
      <c r="Z269" s="332"/>
      <c r="AA269" s="332"/>
      <c r="AB269" s="332"/>
      <c r="AC269" s="332"/>
      <c r="AD269" s="332"/>
      <c r="AE269" s="332"/>
      <c r="AF269" s="332"/>
      <c r="AG269" s="332"/>
      <c r="AH269" s="332"/>
      <c r="AI269" s="332"/>
      <c r="AJ269" s="333"/>
      <c r="AK269" s="333"/>
      <c r="AL269" s="333"/>
      <c r="AM269" s="333"/>
    </row>
    <row r="270" spans="2:39" s="316" customFormat="1" ht="26.25" customHeight="1" x14ac:dyDescent="0.2">
      <c r="B270" s="334" t="s">
        <v>1</v>
      </c>
      <c r="C270" s="335" t="s">
        <v>2</v>
      </c>
      <c r="D270" s="336" t="s">
        <v>49</v>
      </c>
      <c r="E270" s="381" t="s">
        <v>16</v>
      </c>
      <c r="F270" s="337" t="s">
        <v>50</v>
      </c>
      <c r="G270" s="338" t="s">
        <v>51</v>
      </c>
      <c r="H270" s="339" t="s">
        <v>17</v>
      </c>
      <c r="J270" s="332"/>
      <c r="K270" s="332"/>
      <c r="L270" s="332"/>
      <c r="M270" s="332"/>
      <c r="N270" s="332"/>
      <c r="O270" s="332"/>
      <c r="P270" s="332"/>
      <c r="Q270" s="332"/>
      <c r="R270" s="332"/>
      <c r="S270" s="332"/>
      <c r="T270" s="332"/>
      <c r="U270" s="332"/>
      <c r="V270" s="332"/>
      <c r="W270" s="332"/>
      <c r="X270" s="332"/>
      <c r="Y270" s="332"/>
      <c r="Z270" s="332"/>
      <c r="AA270" s="332"/>
      <c r="AB270" s="332"/>
      <c r="AC270" s="332"/>
      <c r="AD270" s="332"/>
      <c r="AE270" s="332"/>
      <c r="AF270" s="332"/>
      <c r="AG270" s="332"/>
      <c r="AH270" s="332"/>
      <c r="AI270" s="332"/>
      <c r="AJ270" s="333"/>
      <c r="AK270" s="333"/>
      <c r="AL270" s="333"/>
      <c r="AM270" s="333"/>
    </row>
    <row r="271" spans="2:39" s="316" customFormat="1" ht="26.25" customHeight="1" x14ac:dyDescent="0.2">
      <c r="B271" s="340" t="str">
        <f t="array" ref="B271">IF(ISERROR(INDEX('Eingabe Meldungen'!$C$2:$C$492,LARGE(('Eingabe Meldungen'!$A$2:$A$492=$B$269)*(ROW('Eingabe Meldungen'!$A$2:$A$492)-1),COUNTIF('Eingabe Meldungen'!$A$2:$A$492,$B$269)+1-ROW('Eingabe Meldungen'!A1)))),"",INDEX('Eingabe Meldungen'!$C$2:$C$492,LARGE(('Eingabe Meldungen'!$A$2:$A$492=$B$269)*(ROW('Eingabe Meldungen'!$A$2:$A$492)-1),COUNTIF('Eingabe Meldungen'!$A$2:$A$492,$B$269)+1-ROW('Eingabe Meldungen'!A1))))</f>
        <v>Bitz</v>
      </c>
      <c r="C271" s="316" t="str">
        <f t="array" ref="C271">IF(ISERROR(INDEX('Eingabe Meldungen'!$D$2:$D$492,LARGE(('Eingabe Meldungen'!$A$2:$A$492=$B$269)*(ROW('Eingabe Meldungen'!$A$2:$A$492)-1),COUNTIF('Eingabe Meldungen'!$A$2:$A$492,$B$269)+1-ROW('Eingabe Meldungen'!A1)))),"",INDEX('Eingabe Meldungen'!$D$2:$D$492,LARGE(('Eingabe Meldungen'!$A$2:$A$492=$B$269)*(ROW('Eingabe Meldungen'!$A$2:$A$492)-1),COUNTIF('Eingabe Meldungen'!$A$2:$A$492,$B$269)+1-ROW('Eingabe Meldungen'!A1))))</f>
        <v>Amelie</v>
      </c>
      <c r="D271" s="341">
        <f t="array" ref="D271">IF(B271&lt;&gt;"",INDEX('Eingabe Meldungen'!$C$2:$H$492,MATCH(B271&amp;C271,'Eingabe Meldungen'!$C$2:$C$492&amp;'Eingabe Meldungen'!$D$2:$D$492,0),6),"")</f>
        <v>2004</v>
      </c>
      <c r="E271" s="382" t="str">
        <f t="array" ref="E271">IF(B271&lt;&gt;"",INDEX('Eingabe Meldungen'!$C$2:$H$492,MATCH(B271&amp;C271,'Eingabe Meldungen'!$C$2:$C$492&amp;'Eingabe Meldungen'!$D$2:$D$492,0),4),"")</f>
        <v>-</v>
      </c>
      <c r="F271" s="353" t="s">
        <v>589</v>
      </c>
      <c r="G271" s="333">
        <v>6</v>
      </c>
      <c r="H271" s="343" t="str">
        <f t="array" ref="H271">IF(B271&lt;&gt;"",INDEX('Eingabe Meldungen'!$C$2:$J$492,MATCH(B271&amp;C271,'Eingabe Meldungen'!$C$2:$C$492&amp;'Eingabe Meldungen'!$D$2:$D$492,0),8),"")</f>
        <v>Marbacher Ruderverein</v>
      </c>
      <c r="J271" s="332"/>
      <c r="K271" s="332"/>
      <c r="L271" s="332"/>
      <c r="M271" s="332"/>
      <c r="N271" s="332"/>
      <c r="O271" s="332"/>
      <c r="P271" s="332"/>
      <c r="Q271" s="332"/>
      <c r="R271" s="332"/>
      <c r="S271" s="332"/>
      <c r="T271" s="332"/>
      <c r="U271" s="332"/>
      <c r="V271" s="332"/>
      <c r="W271" s="332"/>
      <c r="X271" s="332"/>
      <c r="Y271" s="332"/>
      <c r="Z271" s="332"/>
      <c r="AA271" s="332"/>
      <c r="AB271" s="332"/>
      <c r="AC271" s="332"/>
      <c r="AD271" s="332"/>
      <c r="AE271" s="332"/>
      <c r="AF271" s="332"/>
      <c r="AG271" s="332"/>
      <c r="AH271" s="332"/>
      <c r="AI271" s="332"/>
      <c r="AJ271" s="333"/>
      <c r="AK271" s="333"/>
      <c r="AL271" s="333"/>
      <c r="AM271" s="333"/>
    </row>
    <row r="272" spans="2:39" s="316" customFormat="1" ht="26.25" customHeight="1" x14ac:dyDescent="0.2">
      <c r="B272" s="340" t="str">
        <f t="array" ref="B272">IF(ISERROR(INDEX('Eingabe Meldungen'!$C$2:$C$492,LARGE(('Eingabe Meldungen'!$A$2:$A$492=$B$269)*(ROW('Eingabe Meldungen'!$A$2:$A$492)-1),COUNTIF('Eingabe Meldungen'!$A$2:$A$492,$B$269)+1-ROW('Eingabe Meldungen'!A2)))),"",INDEX('Eingabe Meldungen'!$C$2:$C$492,LARGE(('Eingabe Meldungen'!$A$2:$A$492=$B$269)*(ROW('Eingabe Meldungen'!$A$2:$A$492)-1),COUNTIF('Eingabe Meldungen'!$A$2:$A$492,$B$269)+1-ROW('Eingabe Meldungen'!A2))))</f>
        <v>Nüchter</v>
      </c>
      <c r="C272" s="316" t="str">
        <f t="array" ref="C272">IF(ISERROR(INDEX('Eingabe Meldungen'!$D$2:$D$492,LARGE(('Eingabe Meldungen'!$A$2:$A$492=$B$269)*(ROW('Eingabe Meldungen'!$A$2:$A$492)-1),COUNTIF('Eingabe Meldungen'!$A$2:$A$492,$B$269)+1-ROW('Eingabe Meldungen'!A2)))),"",INDEX('Eingabe Meldungen'!$D$2:$D$492,LARGE(('Eingabe Meldungen'!$A$2:$A$492=$B$269)*(ROW('Eingabe Meldungen'!$A$2:$A$492)-1),COUNTIF('Eingabe Meldungen'!$A$2:$A$492,$B$269)+1-ROW('Eingabe Meldungen'!A2))))</f>
        <v>Fine-Marie</v>
      </c>
      <c r="D272" s="341">
        <f t="array" ref="D272">IF(B272&lt;&gt;"",INDEX('Eingabe Meldungen'!$C$2:$H$492,MATCH(B272&amp;C272,'Eingabe Meldungen'!$C$2:$C$492&amp;'Eingabe Meldungen'!$D$2:$D$492,0),6),"")</f>
        <v>2004</v>
      </c>
      <c r="E272" s="382" t="str">
        <f t="array" ref="E272">IF(B272&lt;&gt;"",INDEX('Eingabe Meldungen'!$C$2:$H$492,MATCH(B272&amp;C272,'Eingabe Meldungen'!$C$2:$C$492&amp;'Eingabe Meldungen'!$D$2:$D$492,0),4),"")</f>
        <v>-</v>
      </c>
      <c r="F272" s="353" t="s">
        <v>590</v>
      </c>
      <c r="G272" s="333">
        <v>7</v>
      </c>
      <c r="H272" s="343" t="str">
        <f t="array" ref="H272">IF(B272&lt;&gt;"",INDEX('Eingabe Meldungen'!$C$2:$J$492,MATCH(B272&amp;C272,'Eingabe Meldungen'!$C$2:$C$492&amp;'Eingabe Meldungen'!$D$2:$D$492,0),8),"")</f>
        <v>Schweinfurter Ruder-Club Franken</v>
      </c>
      <c r="J272" s="332"/>
      <c r="K272" s="332"/>
      <c r="L272" s="332"/>
      <c r="M272" s="332"/>
      <c r="N272" s="332"/>
      <c r="O272" s="332"/>
      <c r="P272" s="332"/>
      <c r="Q272" s="332"/>
      <c r="R272" s="332"/>
      <c r="S272" s="332"/>
      <c r="T272" s="332"/>
      <c r="U272" s="332"/>
      <c r="V272" s="332"/>
      <c r="W272" s="332"/>
      <c r="X272" s="332"/>
      <c r="Y272" s="332"/>
      <c r="Z272" s="332"/>
      <c r="AA272" s="332"/>
      <c r="AB272" s="332"/>
      <c r="AC272" s="332"/>
      <c r="AD272" s="332"/>
      <c r="AE272" s="332"/>
      <c r="AF272" s="332"/>
      <c r="AG272" s="332"/>
      <c r="AH272" s="332"/>
      <c r="AI272" s="332"/>
      <c r="AJ272" s="333"/>
      <c r="AK272" s="333"/>
      <c r="AL272" s="333"/>
      <c r="AM272" s="333"/>
    </row>
    <row r="273" spans="2:39" s="316" customFormat="1" ht="26.25" customHeight="1" x14ac:dyDescent="0.2">
      <c r="B273" s="340" t="str">
        <f t="array" ref="B273">IF(ISERROR(INDEX('Eingabe Meldungen'!$C$2:$C$492,LARGE(('Eingabe Meldungen'!$A$2:$A$492=$B$269)*(ROW('Eingabe Meldungen'!$A$2:$A$492)-1),COUNTIF('Eingabe Meldungen'!$A$2:$A$492,$B$269)+1-ROW('Eingabe Meldungen'!A3)))),"",INDEX('Eingabe Meldungen'!$C$2:$C$492,LARGE(('Eingabe Meldungen'!$A$2:$A$492=$B$269)*(ROW('Eingabe Meldungen'!$A$2:$A$492)-1),COUNTIF('Eingabe Meldungen'!$A$2:$A$492,$B$269)+1-ROW('Eingabe Meldungen'!A3))))</f>
        <v>Schmidt</v>
      </c>
      <c r="C273" s="316" t="str">
        <f t="array" ref="C273">IF(ISERROR(INDEX('Eingabe Meldungen'!$D$2:$D$492,LARGE(('Eingabe Meldungen'!$A$2:$A$492=$B$269)*(ROW('Eingabe Meldungen'!$A$2:$A$492)-1),COUNTIF('Eingabe Meldungen'!$A$2:$A$492,$B$269)+1-ROW('Eingabe Meldungen'!A3)))),"",INDEX('Eingabe Meldungen'!$D$2:$D$492,LARGE(('Eingabe Meldungen'!$A$2:$A$492=$B$269)*(ROW('Eingabe Meldungen'!$A$2:$A$492)-1),COUNTIF('Eingabe Meldungen'!$A$2:$A$492,$B$269)+1-ROW('Eingabe Meldungen'!A3))))</f>
        <v>Johanna</v>
      </c>
      <c r="D273" s="341">
        <f t="array" ref="D273">IF(B273&lt;&gt;"",INDEX('Eingabe Meldungen'!$C$2:$H$492,MATCH(B273&amp;C273,'Eingabe Meldungen'!$C$2:$C$492&amp;'Eingabe Meldungen'!$D$2:$D$492,0),6),"")</f>
        <v>2004</v>
      </c>
      <c r="E273" s="382" t="str">
        <f t="array" ref="E273">IF(B273&lt;&gt;"",INDEX('Eingabe Meldungen'!$C$2:$H$492,MATCH(B273&amp;C273,'Eingabe Meldungen'!$C$2:$C$492&amp;'Eingabe Meldungen'!$D$2:$D$492,0),4),"")</f>
        <v>-</v>
      </c>
      <c r="F273" s="353" t="s">
        <v>591</v>
      </c>
      <c r="G273" s="333">
        <v>8</v>
      </c>
      <c r="H273" s="343" t="str">
        <f t="array" ref="H273">IF(B273&lt;&gt;"",INDEX('Eingabe Meldungen'!$C$2:$J$492,MATCH(B273&amp;C273,'Eingabe Meldungen'!$C$2:$C$492&amp;'Eingabe Meldungen'!$D$2:$D$492,0),8),"")</f>
        <v>Marbacher Ruderverein</v>
      </c>
      <c r="J273" s="332"/>
      <c r="K273" s="332"/>
      <c r="L273" s="332"/>
      <c r="M273" s="332"/>
      <c r="N273" s="332"/>
      <c r="O273" s="332"/>
      <c r="P273" s="332"/>
      <c r="Q273" s="332"/>
      <c r="R273" s="332"/>
      <c r="S273" s="332"/>
      <c r="T273" s="332"/>
      <c r="U273" s="332"/>
      <c r="V273" s="332"/>
      <c r="W273" s="332"/>
      <c r="X273" s="332"/>
      <c r="Y273" s="332"/>
      <c r="Z273" s="332"/>
      <c r="AA273" s="332"/>
      <c r="AB273" s="332"/>
      <c r="AC273" s="332"/>
      <c r="AD273" s="332"/>
      <c r="AE273" s="332"/>
      <c r="AF273" s="332"/>
      <c r="AG273" s="332"/>
      <c r="AH273" s="332"/>
      <c r="AI273" s="332"/>
      <c r="AJ273" s="333"/>
      <c r="AK273" s="333"/>
      <c r="AL273" s="333"/>
      <c r="AM273" s="333"/>
    </row>
    <row r="274" spans="2:39" s="316" customFormat="1" ht="26.25" customHeight="1" x14ac:dyDescent="0.2">
      <c r="B274" s="340" t="str">
        <f t="array" ref="B274">IF(ISERROR(INDEX('Eingabe Meldungen'!$C$2:$C$492,LARGE(('Eingabe Meldungen'!$A$2:$A$492=$B$269)*(ROW('Eingabe Meldungen'!$A$2:$A$492)-1),COUNTIF('Eingabe Meldungen'!$A$2:$A$492,$B$269)+1-ROW('Eingabe Meldungen'!A4)))),"",INDEX('Eingabe Meldungen'!$C$2:$C$492,LARGE(('Eingabe Meldungen'!$A$2:$A$492=$B$269)*(ROW('Eingabe Meldungen'!$A$2:$A$492)-1),COUNTIF('Eingabe Meldungen'!$A$2:$A$492,$B$269)+1-ROW('Eingabe Meldungen'!A4))))</f>
        <v>Juschka</v>
      </c>
      <c r="C274" s="316" t="str">
        <f t="array" ref="C274">IF(ISERROR(INDEX('Eingabe Meldungen'!$D$2:$D$492,LARGE(('Eingabe Meldungen'!$A$2:$A$492=$B$269)*(ROW('Eingabe Meldungen'!$A$2:$A$492)-1),COUNTIF('Eingabe Meldungen'!$A$2:$A$492,$B$269)+1-ROW('Eingabe Meldungen'!A4)))),"",INDEX('Eingabe Meldungen'!$D$2:$D$492,LARGE(('Eingabe Meldungen'!$A$2:$A$492=$B$269)*(ROW('Eingabe Meldungen'!$A$2:$A$492)-1),COUNTIF('Eingabe Meldungen'!$A$2:$A$492,$B$269)+1-ROW('Eingabe Meldungen'!A4))))</f>
        <v>Kathrin</v>
      </c>
      <c r="D274" s="341">
        <f t="array" ref="D274">IF(B274&lt;&gt;"",INDEX('Eingabe Meldungen'!$C$2:$H$492,MATCH(B274&amp;C274,'Eingabe Meldungen'!$C$2:$C$492&amp;'Eingabe Meldungen'!$D$2:$D$492,0),6),"")</f>
        <v>2004</v>
      </c>
      <c r="E274" s="382" t="str">
        <f t="array" ref="E274">IF(B274&lt;&gt;"",INDEX('Eingabe Meldungen'!$C$2:$H$492,MATCH(B274&amp;C274,'Eingabe Meldungen'!$C$2:$C$492&amp;'Eingabe Meldungen'!$D$2:$D$492,0),4),"")</f>
        <v>-</v>
      </c>
      <c r="F274" s="353" t="s">
        <v>587</v>
      </c>
      <c r="G274" s="333">
        <v>3</v>
      </c>
      <c r="H274" s="343" t="str">
        <f t="array" ref="H274">IF(B274&lt;&gt;"",INDEX('Eingabe Meldungen'!$C$2:$J$492,MATCH(B274&amp;C274,'Eingabe Meldungen'!$C$2:$C$492&amp;'Eingabe Meldungen'!$D$2:$D$492,0),8),"")</f>
        <v>RG Eberbach</v>
      </c>
      <c r="J274" s="332"/>
      <c r="K274" s="332"/>
      <c r="L274" s="332"/>
      <c r="M274" s="332"/>
      <c r="N274" s="332"/>
      <c r="O274" s="332"/>
      <c r="P274" s="332"/>
      <c r="Q274" s="332"/>
      <c r="R274" s="332"/>
      <c r="S274" s="332"/>
      <c r="T274" s="332"/>
      <c r="U274" s="332">
        <v>3</v>
      </c>
      <c r="V274" s="332"/>
      <c r="W274" s="332"/>
      <c r="X274" s="332"/>
      <c r="Y274" s="332"/>
      <c r="Z274" s="332"/>
      <c r="AA274" s="332"/>
      <c r="AB274" s="332"/>
      <c r="AC274" s="332"/>
      <c r="AD274" s="332"/>
      <c r="AE274" s="332"/>
      <c r="AF274" s="332"/>
      <c r="AG274" s="332"/>
      <c r="AH274" s="332"/>
      <c r="AI274" s="332"/>
      <c r="AJ274" s="333"/>
      <c r="AK274" s="333"/>
      <c r="AL274" s="333"/>
      <c r="AM274" s="333"/>
    </row>
    <row r="275" spans="2:39" s="316" customFormat="1" ht="26.25" customHeight="1" x14ac:dyDescent="0.2">
      <c r="B275" s="340" t="str">
        <f t="array" ref="B275">IF(ISERROR(INDEX('Eingabe Meldungen'!$C$2:$C$492,LARGE(('Eingabe Meldungen'!$A$2:$A$492=$B$269)*(ROW('Eingabe Meldungen'!$A$2:$A$492)-1),COUNTIF('Eingabe Meldungen'!$A$2:$A$492,$B$269)+1-ROW('Eingabe Meldungen'!A5)))),"",INDEX('Eingabe Meldungen'!$C$2:$C$492,LARGE(('Eingabe Meldungen'!$A$2:$A$492=$B$269)*(ROW('Eingabe Meldungen'!$A$2:$A$492)-1),COUNTIF('Eingabe Meldungen'!$A$2:$A$492,$B$269)+1-ROW('Eingabe Meldungen'!A5))))</f>
        <v>Hentschel</v>
      </c>
      <c r="C275" s="316" t="str">
        <f t="array" ref="C275">IF(ISERROR(INDEX('Eingabe Meldungen'!$D$2:$D$492,LARGE(('Eingabe Meldungen'!$A$2:$A$492=$B$269)*(ROW('Eingabe Meldungen'!$A$2:$A$492)-1),COUNTIF('Eingabe Meldungen'!$A$2:$A$492,$B$269)+1-ROW('Eingabe Meldungen'!A5)))),"",INDEX('Eingabe Meldungen'!$D$2:$D$492,LARGE(('Eingabe Meldungen'!$A$2:$A$492=$B$269)*(ROW('Eingabe Meldungen'!$A$2:$A$492)-1),COUNTIF('Eingabe Meldungen'!$A$2:$A$492,$B$269)+1-ROW('Eingabe Meldungen'!A5))))</f>
        <v>Lina</v>
      </c>
      <c r="D275" s="341">
        <f t="array" ref="D275">IF(B275&lt;&gt;"",INDEX('Eingabe Meldungen'!$C$2:$H$492,MATCH(B275&amp;C275,'Eingabe Meldungen'!$C$2:$C$492&amp;'Eingabe Meldungen'!$D$2:$D$492,0),6),"")</f>
        <v>2004</v>
      </c>
      <c r="E275" s="382" t="str">
        <f t="array" ref="E275">IF(B275&lt;&gt;"",INDEX('Eingabe Meldungen'!$C$2:$H$492,MATCH(B275&amp;C275,'Eingabe Meldungen'!$C$2:$C$492&amp;'Eingabe Meldungen'!$D$2:$D$492,0),4),"")</f>
        <v>-</v>
      </c>
      <c r="F275" s="353" t="s">
        <v>588</v>
      </c>
      <c r="G275" s="333">
        <v>4</v>
      </c>
      <c r="H275" s="343" t="str">
        <f t="array" ref="H275">IF(B275&lt;&gt;"",INDEX('Eingabe Meldungen'!$C$2:$J$492,MATCH(B275&amp;C275,'Eingabe Meldungen'!$C$2:$C$492&amp;'Eingabe Meldungen'!$D$2:$D$492,0),8),"")</f>
        <v>Marbacher Ruderverein</v>
      </c>
      <c r="J275" s="332"/>
      <c r="K275" s="332"/>
      <c r="L275" s="332"/>
      <c r="M275" s="332"/>
      <c r="N275" s="332"/>
      <c r="O275" s="332">
        <v>2</v>
      </c>
      <c r="P275" s="332"/>
      <c r="Q275" s="332"/>
      <c r="R275" s="332"/>
      <c r="S275" s="332"/>
      <c r="T275" s="332"/>
      <c r="U275" s="332"/>
      <c r="V275" s="332"/>
      <c r="W275" s="332"/>
      <c r="X275" s="332"/>
      <c r="Y275" s="332"/>
      <c r="Z275" s="332"/>
      <c r="AA275" s="332"/>
      <c r="AB275" s="332"/>
      <c r="AC275" s="332"/>
      <c r="AD275" s="332"/>
      <c r="AE275" s="332"/>
      <c r="AF275" s="332"/>
      <c r="AG275" s="332"/>
      <c r="AH275" s="332"/>
      <c r="AI275" s="332"/>
      <c r="AJ275" s="333"/>
      <c r="AK275" s="333"/>
      <c r="AL275" s="333"/>
      <c r="AM275" s="333"/>
    </row>
    <row r="276" spans="2:39" s="316" customFormat="1" ht="26.25" customHeight="1" x14ac:dyDescent="0.2">
      <c r="B276" s="340" t="str">
        <f t="array" ref="B276">IF(ISERROR(INDEX('Eingabe Meldungen'!$C$2:$C$492,LARGE(('Eingabe Meldungen'!$A$2:$A$492=$B$269)*(ROW('Eingabe Meldungen'!$A$2:$A$492)-1),COUNTIF('Eingabe Meldungen'!$A$2:$A$492,$B$269)+1-ROW('Eingabe Meldungen'!A6)))),"",INDEX('Eingabe Meldungen'!$C$2:$C$492,LARGE(('Eingabe Meldungen'!$A$2:$A$492=$B$269)*(ROW('Eingabe Meldungen'!$A$2:$A$492)-1),COUNTIF('Eingabe Meldungen'!$A$2:$A$492,$B$269)+1-ROW('Eingabe Meldungen'!A6))))</f>
        <v>Grün</v>
      </c>
      <c r="C276" s="316" t="str">
        <f t="array" ref="C276">IF(ISERROR(INDEX('Eingabe Meldungen'!$D$2:$D$492,LARGE(('Eingabe Meldungen'!$A$2:$A$492=$B$269)*(ROW('Eingabe Meldungen'!$A$2:$A$492)-1),COUNTIF('Eingabe Meldungen'!$A$2:$A$492,$B$269)+1-ROW('Eingabe Meldungen'!A6)))),"",INDEX('Eingabe Meldungen'!$D$2:$D$492,LARGE(('Eingabe Meldungen'!$A$2:$A$492=$B$269)*(ROW('Eingabe Meldungen'!$A$2:$A$492)-1),COUNTIF('Eingabe Meldungen'!$A$2:$A$492,$B$269)+1-ROW('Eingabe Meldungen'!A6))))</f>
        <v>Maya</v>
      </c>
      <c r="D276" s="341">
        <f t="array" ref="D276">IF(B276&lt;&gt;"",INDEX('Eingabe Meldungen'!$C$2:$H$492,MATCH(B276&amp;C276,'Eingabe Meldungen'!$C$2:$C$492&amp;'Eingabe Meldungen'!$D$2:$D$492,0),6),"")</f>
        <v>2004</v>
      </c>
      <c r="E276" s="382" t="str">
        <f t="array" ref="E276">IF(B276&lt;&gt;"",INDEX('Eingabe Meldungen'!$C$2:$H$492,MATCH(B276&amp;C276,'Eingabe Meldungen'!$C$2:$C$492&amp;'Eingabe Meldungen'!$D$2:$D$492,0),4),"")</f>
        <v>-</v>
      </c>
      <c r="F276" s="353" t="s">
        <v>586</v>
      </c>
      <c r="G276" s="333">
        <v>2</v>
      </c>
      <c r="H276" s="343" t="str">
        <f t="array" ref="H276">IF(B276&lt;&gt;"",INDEX('Eingabe Meldungen'!$C$2:$J$492,MATCH(B276&amp;C276,'Eingabe Meldungen'!$C$2:$C$492&amp;'Eingabe Meldungen'!$D$2:$D$492,0),8),"")</f>
        <v>HRG Schwaben</v>
      </c>
      <c r="J276" s="332"/>
      <c r="K276" s="332"/>
      <c r="L276" s="332"/>
      <c r="M276" s="332"/>
      <c r="N276" s="332"/>
      <c r="O276" s="332"/>
      <c r="P276" s="332"/>
      <c r="Q276" s="332">
        <v>5</v>
      </c>
      <c r="R276" s="332"/>
      <c r="S276" s="332"/>
      <c r="T276" s="332"/>
      <c r="U276" s="332"/>
      <c r="V276" s="332"/>
      <c r="W276" s="332"/>
      <c r="X276" s="332"/>
      <c r="Y276" s="332"/>
      <c r="Z276" s="332"/>
      <c r="AA276" s="332"/>
      <c r="AB276" s="332"/>
      <c r="AC276" s="332"/>
      <c r="AD276" s="332"/>
      <c r="AE276" s="332"/>
      <c r="AF276" s="332"/>
      <c r="AG276" s="332"/>
      <c r="AH276" s="332"/>
      <c r="AI276" s="332"/>
      <c r="AJ276" s="333"/>
      <c r="AK276" s="333"/>
      <c r="AL276" s="333"/>
      <c r="AM276" s="333"/>
    </row>
    <row r="277" spans="2:39" s="316" customFormat="1" ht="26.25" customHeight="1" x14ac:dyDescent="0.2">
      <c r="B277" s="340"/>
      <c r="D277" s="341"/>
      <c r="E277" s="382"/>
      <c r="F277" s="353"/>
      <c r="G277" s="333"/>
      <c r="H277" s="343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3"/>
      <c r="AK277" s="333"/>
      <c r="AL277" s="333"/>
      <c r="AM277" s="333"/>
    </row>
    <row r="278" spans="2:39" s="316" customFormat="1" ht="26.25" customHeight="1" x14ac:dyDescent="0.2">
      <c r="B278" s="340" t="str">
        <f t="array" ref="B278">IF(ISERROR(INDEX('Eingabe Meldungen'!$C$2:$C$492,LARGE(('Eingabe Meldungen'!$A$2:$A$492=$B$269)*(ROW('Eingabe Meldungen'!$A$2:$A$492)-1),COUNTIF('Eingabe Meldungen'!$A$2:$A$492,$B$269)+1-ROW('Eingabe Meldungen'!A8)))),"",INDEX('Eingabe Meldungen'!$C$2:$C$492,LARGE(('Eingabe Meldungen'!$A$2:$A$492=$B$269)*(ROW('Eingabe Meldungen'!$A$2:$A$492)-1),COUNTIF('Eingabe Meldungen'!$A$2:$A$492,$B$269)+1-ROW('Eingabe Meldungen'!A8))))</f>
        <v>Berner</v>
      </c>
      <c r="C278" s="316" t="str">
        <f t="array" ref="C278">IF(ISERROR(INDEX('Eingabe Meldungen'!$D$2:$D$492,LARGE(('Eingabe Meldungen'!$A$2:$A$492=$B$269)*(ROW('Eingabe Meldungen'!$A$2:$A$492)-1),COUNTIF('Eingabe Meldungen'!$A$2:$A$492,$B$269)+1-ROW('Eingabe Meldungen'!A8)))),"",INDEX('Eingabe Meldungen'!$D$2:$D$492,LARGE(('Eingabe Meldungen'!$A$2:$A$492=$B$269)*(ROW('Eingabe Meldungen'!$A$2:$A$492)-1),COUNTIF('Eingabe Meldungen'!$A$2:$A$492,$B$269)+1-ROW('Eingabe Meldungen'!A8))))</f>
        <v>Sandra</v>
      </c>
      <c r="D278" s="341">
        <f t="array" ref="D278">IF(B278&lt;&gt;"",INDEX('Eingabe Meldungen'!$C$2:$H$492,MATCH(B278&amp;C278,'Eingabe Meldungen'!$C$2:$C$492&amp;'Eingabe Meldungen'!$D$2:$D$492,0),6),"")</f>
        <v>2004</v>
      </c>
      <c r="E278" s="382" t="str">
        <f t="array" ref="E278">IF(B278&lt;&gt;"",INDEX('Eingabe Meldungen'!$C$2:$H$492,MATCH(B278&amp;C278,'Eingabe Meldungen'!$C$2:$C$492&amp;'Eingabe Meldungen'!$D$2:$D$492,0),4),"")</f>
        <v>-</v>
      </c>
      <c r="F278" s="353" t="s">
        <v>592</v>
      </c>
      <c r="G278" s="333">
        <v>1</v>
      </c>
      <c r="H278" s="343" t="str">
        <f t="array" ref="H278">IF(B278&lt;&gt;"",INDEX('Eingabe Meldungen'!$C$2:$J$492,MATCH(B278&amp;C278,'Eingabe Meldungen'!$C$2:$C$492&amp;'Eingabe Meldungen'!$D$2:$D$492,0),8),"")</f>
        <v>RG Eberbach</v>
      </c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>
        <v>7</v>
      </c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3"/>
      <c r="AK278" s="333"/>
      <c r="AL278" s="333"/>
      <c r="AM278" s="333"/>
    </row>
    <row r="279" spans="2:39" s="316" customFormat="1" ht="26.25" customHeight="1" x14ac:dyDescent="0.2">
      <c r="B279" s="340" t="str">
        <f t="array" ref="B279">IF(ISERROR(INDEX('Eingabe Meldungen'!$C$2:$C$492,LARGE(('Eingabe Meldungen'!$A$2:$A$492=$B$269)*(ROW('Eingabe Meldungen'!$A$2:$A$492)-1),COUNTIF('Eingabe Meldungen'!$A$2:$A$492,$B$269)+1-ROW('Eingabe Meldungen'!A9)))),"",INDEX('Eingabe Meldungen'!$C$2:$C$492,LARGE(('Eingabe Meldungen'!$A$2:$A$492=$B$269)*(ROW('Eingabe Meldungen'!$A$2:$A$492)-1),COUNTIF('Eingabe Meldungen'!$A$2:$A$492,$B$269)+1-ROW('Eingabe Meldungen'!A9))))</f>
        <v>Nothelfer</v>
      </c>
      <c r="C279" s="316" t="str">
        <f t="array" ref="C279">IF(ISERROR(INDEX('Eingabe Meldungen'!$D$2:$D$492,LARGE(('Eingabe Meldungen'!$A$2:$A$492=$B$269)*(ROW('Eingabe Meldungen'!$A$2:$A$492)-1),COUNTIF('Eingabe Meldungen'!$A$2:$A$492,$B$269)+1-ROW('Eingabe Meldungen'!A9)))),"",INDEX('Eingabe Meldungen'!$D$2:$D$492,LARGE(('Eingabe Meldungen'!$A$2:$A$492=$B$269)*(ROW('Eingabe Meldungen'!$A$2:$A$492)-1),COUNTIF('Eingabe Meldungen'!$A$2:$A$492,$B$269)+1-ROW('Eingabe Meldungen'!A9))))</f>
        <v>Alisa</v>
      </c>
      <c r="D279" s="341">
        <f t="array" ref="D279">IF(B279&lt;&gt;"",INDEX('Eingabe Meldungen'!$C$2:$H$492,MATCH(B279&amp;C279,'Eingabe Meldungen'!$C$2:$C$492&amp;'Eingabe Meldungen'!$D$2:$D$492,0),6),"")</f>
        <v>2005</v>
      </c>
      <c r="E279" s="382" t="str">
        <f t="array" ref="E279">IF(B279&lt;&gt;"",INDEX('Eingabe Meldungen'!$C$2:$H$492,MATCH(B279&amp;C279,'Eingabe Meldungen'!$C$2:$C$492&amp;'Eingabe Meldungen'!$D$2:$D$492,0),4),"")</f>
        <v>-</v>
      </c>
      <c r="F279" s="353" t="s">
        <v>594</v>
      </c>
      <c r="G279" s="333">
        <v>9</v>
      </c>
      <c r="H279" s="343" t="str">
        <f t="array" ref="H279">IF(B279&lt;&gt;"",INDEX('Eingabe Meldungen'!$C$2:$J$492,MATCH(B279&amp;C279,'Eingabe Meldungen'!$C$2:$C$492&amp;'Eingabe Meldungen'!$D$2:$D$492,0),8),"")</f>
        <v>RV Waldsee</v>
      </c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3"/>
      <c r="AK279" s="333"/>
      <c r="AL279" s="333"/>
      <c r="AM279" s="333"/>
    </row>
    <row r="280" spans="2:39" s="316" customFormat="1" ht="26.25" customHeight="1" x14ac:dyDescent="0.2">
      <c r="B280" s="340" t="str">
        <f t="array" ref="B280">IF(ISERROR(INDEX('Eingabe Meldungen'!$C$2:$C$492,LARGE(('Eingabe Meldungen'!$A$2:$A$492=$B$269)*(ROW('Eingabe Meldungen'!$A$2:$A$492)-1),COUNTIF('Eingabe Meldungen'!$A$2:$A$492,$B$269)+1-ROW('Eingabe Meldungen'!A10)))),"",INDEX('Eingabe Meldungen'!$C$2:$C$492,LARGE(('Eingabe Meldungen'!$A$2:$A$492=$B$269)*(ROW('Eingabe Meldungen'!$A$2:$A$492)-1),COUNTIF('Eingabe Meldungen'!$A$2:$A$492,$B$269)+1-ROW('Eingabe Meldungen'!A10))))</f>
        <v>Snyman</v>
      </c>
      <c r="C280" s="316" t="str">
        <f t="array" ref="C280">IF(ISERROR(INDEX('Eingabe Meldungen'!$D$2:$D$492,LARGE(('Eingabe Meldungen'!$A$2:$A$492=$B$269)*(ROW('Eingabe Meldungen'!$A$2:$A$492)-1),COUNTIF('Eingabe Meldungen'!$A$2:$A$492,$B$269)+1-ROW('Eingabe Meldungen'!A10)))),"",INDEX('Eingabe Meldungen'!$D$2:$D$492,LARGE(('Eingabe Meldungen'!$A$2:$A$492=$B$269)*(ROW('Eingabe Meldungen'!$A$2:$A$492)-1),COUNTIF('Eingabe Meldungen'!$A$2:$A$492,$B$269)+1-ROW('Eingabe Meldungen'!A10))))</f>
        <v>Meaghan</v>
      </c>
      <c r="D280" s="341">
        <f t="array" ref="D280">IF(B280&lt;&gt;"",INDEX('Eingabe Meldungen'!$C$2:$H$492,MATCH(B280&amp;C280,'Eingabe Meldungen'!$C$2:$C$492&amp;'Eingabe Meldungen'!$D$2:$D$492,0),6),"")</f>
        <v>2005</v>
      </c>
      <c r="E280" s="382" t="str">
        <f t="array" ref="E280">IF(B280&lt;&gt;"",INDEX('Eingabe Meldungen'!$C$2:$H$492,MATCH(B280&amp;C280,'Eingabe Meldungen'!$C$2:$C$492&amp;'Eingabe Meldungen'!$D$2:$D$492,0),4),"")</f>
        <v>-</v>
      </c>
      <c r="F280" s="353" t="s">
        <v>595</v>
      </c>
      <c r="G280" s="333">
        <v>10</v>
      </c>
      <c r="H280" s="343" t="str">
        <f t="array" ref="H280">IF(B280&lt;&gt;"",INDEX('Eingabe Meldungen'!$C$2:$J$492,MATCH(B280&amp;C280,'Eingabe Meldungen'!$C$2:$C$492&amp;'Eingabe Meldungen'!$D$2:$D$492,0),8),"")</f>
        <v>RG Eberbach</v>
      </c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3"/>
      <c r="AK280" s="333"/>
      <c r="AL280" s="333"/>
      <c r="AM280" s="333"/>
    </row>
    <row r="281" spans="2:39" s="316" customFormat="1" ht="26.25" customHeight="1" x14ac:dyDescent="0.2">
      <c r="B281" s="340" t="str">
        <f t="array" ref="B281">IF(ISERROR(INDEX('Eingabe Meldungen'!$C$2:$C$492,LARGE(('Eingabe Meldungen'!$A$2:$A$492=$B$269)*(ROW('Eingabe Meldungen'!$A$2:$A$492)-1),COUNTIF('Eingabe Meldungen'!$A$2:$A$492,$B$269)+1-ROW('Eingabe Meldungen'!A11)))),"",INDEX('Eingabe Meldungen'!$C$2:$C$492,LARGE(('Eingabe Meldungen'!$A$2:$A$492=$B$269)*(ROW('Eingabe Meldungen'!$A$2:$A$492)-1),COUNTIF('Eingabe Meldungen'!$A$2:$A$492,$B$269)+1-ROW('Eingabe Meldungen'!A11))))</f>
        <v>Gerbershagen</v>
      </c>
      <c r="C281" s="316" t="str">
        <f t="array" ref="C281">IF(ISERROR(INDEX('Eingabe Meldungen'!$D$2:$D$492,LARGE(('Eingabe Meldungen'!$A$2:$A$492=$B$269)*(ROW('Eingabe Meldungen'!$A$2:$A$492)-1),COUNTIF('Eingabe Meldungen'!$A$2:$A$492,$B$269)+1-ROW('Eingabe Meldungen'!A11)))),"",INDEX('Eingabe Meldungen'!$D$2:$D$492,LARGE(('Eingabe Meldungen'!$A$2:$A$492=$B$269)*(ROW('Eingabe Meldungen'!$A$2:$A$492)-1),COUNTIF('Eingabe Meldungen'!$A$2:$A$492,$B$269)+1-ROW('Eingabe Meldungen'!A11))))</f>
        <v>Mira</v>
      </c>
      <c r="D281" s="341">
        <f t="array" ref="D281">IF(B281&lt;&gt;"",INDEX('Eingabe Meldungen'!$C$2:$H$492,MATCH(B281&amp;C281,'Eingabe Meldungen'!$C$2:$C$492&amp;'Eingabe Meldungen'!$D$2:$D$492,0),6),"")</f>
        <v>2005</v>
      </c>
      <c r="E281" s="382" t="str">
        <f t="array" ref="E281">IF(B281&lt;&gt;"",INDEX('Eingabe Meldungen'!$C$2:$H$492,MATCH(B281&amp;C281,'Eingabe Meldungen'!$C$2:$C$492&amp;'Eingabe Meldungen'!$D$2:$D$492,0),4),"")</f>
        <v>-</v>
      </c>
      <c r="F281" s="353" t="s">
        <v>593</v>
      </c>
      <c r="G281" s="333">
        <v>5</v>
      </c>
      <c r="H281" s="343" t="str">
        <f t="array" ref="H281">IF(B281&lt;&gt;"",INDEX('Eingabe Meldungen'!$C$2:$J$492,MATCH(B281&amp;C281,'Eingabe Meldungen'!$C$2:$C$492&amp;'Eingabe Meldungen'!$D$2:$D$492,0),8),"")</f>
        <v>Marbacher Ruderverein</v>
      </c>
      <c r="J281" s="332"/>
      <c r="K281" s="332"/>
      <c r="L281" s="332"/>
      <c r="M281" s="332"/>
      <c r="N281" s="332"/>
      <c r="O281" s="332">
        <v>1</v>
      </c>
      <c r="P281" s="332"/>
      <c r="Q281" s="332"/>
      <c r="R281" s="332"/>
      <c r="S281" s="332"/>
      <c r="T281" s="332"/>
      <c r="U281" s="332"/>
      <c r="V281" s="332"/>
      <c r="W281" s="332"/>
      <c r="X281" s="332"/>
      <c r="Y281" s="332"/>
      <c r="Z281" s="332"/>
      <c r="AA281" s="332"/>
      <c r="AB281" s="332"/>
      <c r="AC281" s="332"/>
      <c r="AD281" s="332"/>
      <c r="AE281" s="332"/>
      <c r="AF281" s="332"/>
      <c r="AG281" s="332"/>
      <c r="AH281" s="332"/>
      <c r="AI281" s="332"/>
      <c r="AJ281" s="333"/>
      <c r="AK281" s="333"/>
      <c r="AL281" s="333"/>
      <c r="AM281" s="333"/>
    </row>
    <row r="282" spans="2:39" s="316" customFormat="1" ht="26.25" customHeight="1" x14ac:dyDescent="0.2">
      <c r="B282" s="340" t="str">
        <f t="array" ref="B282">IF(ISERROR(INDEX('Eingabe Meldungen'!$C$2:$C$492,LARGE(('Eingabe Meldungen'!$A$2:$A$492=$B$269)*(ROW('Eingabe Meldungen'!$A$2:$A$492)-1),COUNTIF('Eingabe Meldungen'!$A$2:$A$492,$B$269)+1-ROW('Eingabe Meldungen'!A12)))),"",INDEX('Eingabe Meldungen'!$C$2:$C$492,LARGE(('Eingabe Meldungen'!$A$2:$A$492=$B$269)*(ROW('Eingabe Meldungen'!$A$2:$A$492)-1),COUNTIF('Eingabe Meldungen'!$A$2:$A$492,$B$269)+1-ROW('Eingabe Meldungen'!A12))))</f>
        <v/>
      </c>
      <c r="C282" s="316" t="str">
        <f t="array" ref="C282">IF(ISERROR(INDEX('Eingabe Meldungen'!$D$2:$D$492,LARGE(('Eingabe Meldungen'!$A$2:$A$492=$B$269)*(ROW('Eingabe Meldungen'!$A$2:$A$492)-1),COUNTIF('Eingabe Meldungen'!$A$2:$A$492,$B$269)+1-ROW('Eingabe Meldungen'!A12)))),"",INDEX('Eingabe Meldungen'!$D$2:$D$492,LARGE(('Eingabe Meldungen'!$A$2:$A$492=$B$269)*(ROW('Eingabe Meldungen'!$A$2:$A$492)-1),COUNTIF('Eingabe Meldungen'!$A$2:$A$492,$B$269)+1-ROW('Eingabe Meldungen'!A12))))</f>
        <v/>
      </c>
      <c r="D282" s="341" t="str">
        <f t="array" ref="D282">IF(B282&lt;&gt;"",INDEX('Eingabe Meldungen'!$C$2:$H$492,MATCH(B282&amp;C282,'Eingabe Meldungen'!$C$2:$C$492&amp;'Eingabe Meldungen'!$D$2:$D$492,0),6),"")</f>
        <v/>
      </c>
      <c r="E282" s="382" t="str">
        <f t="array" ref="E282">IF(B282&lt;&gt;"",INDEX('Eingabe Meldungen'!$C$2:$H$492,MATCH(B282&amp;C282,'Eingabe Meldungen'!$C$2:$C$492&amp;'Eingabe Meldungen'!$D$2:$D$492,0),4),"")</f>
        <v/>
      </c>
      <c r="F282" s="353" t="str">
        <f>IF(VLOOKUP(B282,Rennlisten!$B$203:$H$222,6,FALSE)=0,"",VLOOKUP(B282,Rennlisten!$B$203:$H$222,6,FALSE))</f>
        <v/>
      </c>
      <c r="G282" s="333" t="e">
        <f t="shared" ref="G282:G286" si="31">RANK(F282,$F$271:$F$286,1)</f>
        <v>#VALUE!</v>
      </c>
      <c r="H282" s="343" t="str">
        <f t="array" ref="H282">IF(B282&lt;&gt;"",INDEX('Eingabe Meldungen'!$C$2:$J$492,MATCH(B282&amp;C282,'Eingabe Meldungen'!$C$2:$C$492&amp;'Eingabe Meldungen'!$D$2:$D$492,0),8),"")</f>
        <v/>
      </c>
      <c r="J282" s="332"/>
      <c r="K282" s="332"/>
      <c r="L282" s="332"/>
      <c r="M282" s="332"/>
      <c r="N282" s="332"/>
      <c r="O282" s="332"/>
      <c r="P282" s="332"/>
      <c r="Q282" s="332"/>
      <c r="R282" s="332"/>
      <c r="S282" s="332"/>
      <c r="T282" s="332"/>
      <c r="U282" s="332"/>
      <c r="V282" s="332"/>
      <c r="W282" s="332"/>
      <c r="X282" s="332"/>
      <c r="Y282" s="332"/>
      <c r="Z282" s="332"/>
      <c r="AA282" s="332"/>
      <c r="AB282" s="332"/>
      <c r="AC282" s="332"/>
      <c r="AD282" s="332"/>
      <c r="AE282" s="332"/>
      <c r="AF282" s="332"/>
      <c r="AG282" s="332"/>
      <c r="AH282" s="332"/>
      <c r="AI282" s="332"/>
      <c r="AJ282" s="333"/>
      <c r="AK282" s="333"/>
      <c r="AL282" s="333"/>
      <c r="AM282" s="333"/>
    </row>
    <row r="283" spans="2:39" s="316" customFormat="1" ht="26.25" customHeight="1" x14ac:dyDescent="0.2">
      <c r="B283" s="340" t="str">
        <f t="array" ref="B283">IF(ISERROR(INDEX('Eingabe Meldungen'!$C$2:$C$492,LARGE(('Eingabe Meldungen'!$A$2:$A$492=$B$269)*(ROW('Eingabe Meldungen'!$A$2:$A$492)-1),COUNTIF('Eingabe Meldungen'!$A$2:$A$492,$B$269)+1-ROW('Eingabe Meldungen'!A13)))),"",INDEX('Eingabe Meldungen'!$C$2:$C$492,LARGE(('Eingabe Meldungen'!$A$2:$A$492=$B$269)*(ROW('Eingabe Meldungen'!$A$2:$A$492)-1),COUNTIF('Eingabe Meldungen'!$A$2:$A$492,$B$269)+1-ROW('Eingabe Meldungen'!A13))))</f>
        <v/>
      </c>
      <c r="C283" s="316" t="str">
        <f t="array" ref="C283">IF(ISERROR(INDEX('Eingabe Meldungen'!$D$2:$D$492,LARGE(('Eingabe Meldungen'!$A$2:$A$492=$B$269)*(ROW('Eingabe Meldungen'!$A$2:$A$492)-1),COUNTIF('Eingabe Meldungen'!$A$2:$A$492,$B$269)+1-ROW('Eingabe Meldungen'!A13)))),"",INDEX('Eingabe Meldungen'!$D$2:$D$492,LARGE(('Eingabe Meldungen'!$A$2:$A$492=$B$269)*(ROW('Eingabe Meldungen'!$A$2:$A$492)-1),COUNTIF('Eingabe Meldungen'!$A$2:$A$492,$B$269)+1-ROW('Eingabe Meldungen'!A13))))</f>
        <v/>
      </c>
      <c r="D283" s="341" t="str">
        <f t="array" ref="D283">IF(B283&lt;&gt;"",INDEX('Eingabe Meldungen'!$C$2:$H$492,MATCH(B283&amp;C283,'Eingabe Meldungen'!$C$2:$C$492&amp;'Eingabe Meldungen'!$D$2:$D$492,0),6),"")</f>
        <v/>
      </c>
      <c r="E283" s="382" t="str">
        <f t="array" ref="E283">IF(B283&lt;&gt;"",INDEX('Eingabe Meldungen'!$C$2:$H$492,MATCH(B283&amp;C283,'Eingabe Meldungen'!$C$2:$C$492&amp;'Eingabe Meldungen'!$D$2:$D$492,0),4),"")</f>
        <v/>
      </c>
      <c r="F283" s="353" t="str">
        <f>IF(VLOOKUP(B283,Rennlisten!$B$203:$H$222,6,FALSE)=0,"",VLOOKUP(B283,Rennlisten!$B$203:$H$222,6,FALSE))</f>
        <v/>
      </c>
      <c r="G283" s="333" t="e">
        <f t="shared" si="31"/>
        <v>#VALUE!</v>
      </c>
      <c r="H283" s="343" t="str">
        <f t="array" ref="H283">IF(B283&lt;&gt;"",INDEX('Eingabe Meldungen'!$C$2:$J$492,MATCH(B283&amp;C283,'Eingabe Meldungen'!$C$2:$C$492&amp;'Eingabe Meldungen'!$D$2:$D$492,0),8),"")</f>
        <v/>
      </c>
      <c r="J283" s="332"/>
      <c r="K283" s="332"/>
      <c r="L283" s="332"/>
      <c r="M283" s="332"/>
      <c r="N283" s="332"/>
      <c r="O283" s="332"/>
      <c r="P283" s="332"/>
      <c r="Q283" s="332"/>
      <c r="R283" s="332"/>
      <c r="S283" s="332"/>
      <c r="T283" s="332"/>
      <c r="U283" s="332"/>
      <c r="V283" s="332"/>
      <c r="W283" s="332"/>
      <c r="X283" s="332"/>
      <c r="Y283" s="332"/>
      <c r="Z283" s="332"/>
      <c r="AA283" s="332"/>
      <c r="AB283" s="332"/>
      <c r="AC283" s="332"/>
      <c r="AD283" s="332"/>
      <c r="AE283" s="332"/>
      <c r="AF283" s="332"/>
      <c r="AG283" s="332"/>
      <c r="AH283" s="332"/>
      <c r="AI283" s="332"/>
      <c r="AJ283" s="333"/>
      <c r="AK283" s="333"/>
      <c r="AL283" s="333"/>
      <c r="AM283" s="333"/>
    </row>
    <row r="284" spans="2:39" s="316" customFormat="1" ht="26.25" customHeight="1" x14ac:dyDescent="0.2">
      <c r="B284" s="340" t="str">
        <f t="array" ref="B284">IF(ISERROR(INDEX('Eingabe Meldungen'!$C$2:$C$492,LARGE(('Eingabe Meldungen'!$A$2:$A$492=$B$269)*(ROW('Eingabe Meldungen'!$A$2:$A$492)-1),COUNTIF('Eingabe Meldungen'!$A$2:$A$492,$B$269)+1-ROW('Eingabe Meldungen'!A14)))),"",INDEX('Eingabe Meldungen'!$C$2:$C$492,LARGE(('Eingabe Meldungen'!$A$2:$A$492=$B$269)*(ROW('Eingabe Meldungen'!$A$2:$A$492)-1),COUNTIF('Eingabe Meldungen'!$A$2:$A$492,$B$269)+1-ROW('Eingabe Meldungen'!A14))))</f>
        <v/>
      </c>
      <c r="C284" s="316" t="str">
        <f t="array" ref="C284">IF(ISERROR(INDEX('Eingabe Meldungen'!$D$2:$D$492,LARGE(('Eingabe Meldungen'!$A$2:$A$492=$B$269)*(ROW('Eingabe Meldungen'!$A$2:$A$492)-1),COUNTIF('Eingabe Meldungen'!$A$2:$A$492,$B$269)+1-ROW('Eingabe Meldungen'!A14)))),"",INDEX('Eingabe Meldungen'!$D$2:$D$492,LARGE(('Eingabe Meldungen'!$A$2:$A$492=$B$269)*(ROW('Eingabe Meldungen'!$A$2:$A$492)-1),COUNTIF('Eingabe Meldungen'!$A$2:$A$492,$B$269)+1-ROW('Eingabe Meldungen'!A14))))</f>
        <v/>
      </c>
      <c r="D284" s="341" t="str">
        <f t="array" ref="D284">IF(B284&lt;&gt;"",INDEX('Eingabe Meldungen'!$C$2:$H$492,MATCH(B284&amp;C284,'Eingabe Meldungen'!$C$2:$C$492&amp;'Eingabe Meldungen'!$D$2:$D$492,0),6),"")</f>
        <v/>
      </c>
      <c r="E284" s="382" t="str">
        <f t="array" ref="E284">IF(B284&lt;&gt;"",INDEX('Eingabe Meldungen'!$C$2:$H$492,MATCH(B284&amp;C284,'Eingabe Meldungen'!$C$2:$C$492&amp;'Eingabe Meldungen'!$D$2:$D$492,0),4),"")</f>
        <v/>
      </c>
      <c r="F284" s="353" t="str">
        <f>IF(VLOOKUP(B284,Rennlisten!$B$203:$H$222,6,FALSE)=0,"",VLOOKUP(B284,Rennlisten!$B$203:$H$222,6,FALSE))</f>
        <v/>
      </c>
      <c r="G284" s="333" t="e">
        <f t="shared" si="31"/>
        <v>#VALUE!</v>
      </c>
      <c r="H284" s="343" t="str">
        <f t="array" ref="H284">IF(B284&lt;&gt;"",INDEX('Eingabe Meldungen'!$C$2:$J$492,MATCH(B284&amp;C284,'Eingabe Meldungen'!$C$2:$C$492&amp;'Eingabe Meldungen'!$D$2:$D$492,0),8),"")</f>
        <v/>
      </c>
      <c r="J284" s="332"/>
      <c r="K284" s="332"/>
      <c r="L284" s="332"/>
      <c r="M284" s="332"/>
      <c r="N284" s="332"/>
      <c r="O284" s="332"/>
      <c r="P284" s="332"/>
      <c r="Q284" s="332"/>
      <c r="R284" s="332"/>
      <c r="S284" s="332"/>
      <c r="T284" s="332"/>
      <c r="U284" s="332"/>
      <c r="V284" s="332"/>
      <c r="W284" s="332"/>
      <c r="X284" s="332"/>
      <c r="Y284" s="332"/>
      <c r="Z284" s="332"/>
      <c r="AA284" s="332"/>
      <c r="AB284" s="332"/>
      <c r="AC284" s="332"/>
      <c r="AD284" s="332"/>
      <c r="AE284" s="332"/>
      <c r="AF284" s="332"/>
      <c r="AG284" s="332"/>
      <c r="AH284" s="332"/>
      <c r="AI284" s="332"/>
      <c r="AJ284" s="333"/>
      <c r="AK284" s="333"/>
      <c r="AL284" s="333"/>
      <c r="AM284" s="333"/>
    </row>
    <row r="285" spans="2:39" s="316" customFormat="1" ht="26.25" customHeight="1" x14ac:dyDescent="0.2">
      <c r="B285" s="340" t="str">
        <f t="array" ref="B285">IF(ISERROR(INDEX('Eingabe Meldungen'!$C$2:$C$492,LARGE(('Eingabe Meldungen'!$A$2:$A$492=$B$269)*(ROW('Eingabe Meldungen'!$A$2:$A$492)-1),COUNTIF('Eingabe Meldungen'!$A$2:$A$492,$B$269)+1-ROW('Eingabe Meldungen'!A15)))),"",INDEX('Eingabe Meldungen'!$C$2:$C$492,LARGE(('Eingabe Meldungen'!$A$2:$A$492=$B$269)*(ROW('Eingabe Meldungen'!$A$2:$A$492)-1),COUNTIF('Eingabe Meldungen'!$A$2:$A$492,$B$269)+1-ROW('Eingabe Meldungen'!A15))))</f>
        <v/>
      </c>
      <c r="C285" s="316" t="str">
        <f t="array" ref="C285">IF(ISERROR(INDEX('Eingabe Meldungen'!$D$2:$D$492,LARGE(('Eingabe Meldungen'!$A$2:$A$492=$B$269)*(ROW('Eingabe Meldungen'!$A$2:$A$492)-1),COUNTIF('Eingabe Meldungen'!$A$2:$A$492,$B$269)+1-ROW('Eingabe Meldungen'!A15)))),"",INDEX('Eingabe Meldungen'!$D$2:$D$492,LARGE(('Eingabe Meldungen'!$A$2:$A$492=$B$269)*(ROW('Eingabe Meldungen'!$A$2:$A$492)-1),COUNTIF('Eingabe Meldungen'!$A$2:$A$492,$B$269)+1-ROW('Eingabe Meldungen'!A15))))</f>
        <v/>
      </c>
      <c r="D285" s="341" t="str">
        <f t="array" ref="D285">IF(B285&lt;&gt;"",INDEX('Eingabe Meldungen'!$C$2:$H$492,MATCH(B285&amp;C285,'Eingabe Meldungen'!$C$2:$C$492&amp;'Eingabe Meldungen'!$D$2:$D$492,0),6),"")</f>
        <v/>
      </c>
      <c r="E285" s="382" t="str">
        <f t="array" ref="E285">IF(B285&lt;&gt;"",INDEX('Eingabe Meldungen'!$C$2:$H$492,MATCH(B285&amp;C285,'Eingabe Meldungen'!$C$2:$C$492&amp;'Eingabe Meldungen'!$D$2:$D$492,0),4),"")</f>
        <v/>
      </c>
      <c r="F285" s="353" t="str">
        <f>IF(VLOOKUP(B285,Rennlisten!$B$203:$H$222,6,FALSE)=0,"",VLOOKUP(B285,Rennlisten!$B$203:$H$222,6,FALSE))</f>
        <v/>
      </c>
      <c r="G285" s="333" t="e">
        <f t="shared" si="31"/>
        <v>#VALUE!</v>
      </c>
      <c r="H285" s="343" t="str">
        <f t="array" ref="H285">IF(B285&lt;&gt;"",INDEX('Eingabe Meldungen'!$C$2:$J$492,MATCH(B285&amp;C285,'Eingabe Meldungen'!$C$2:$C$492&amp;'Eingabe Meldungen'!$D$2:$D$492,0),8),"")</f>
        <v/>
      </c>
      <c r="J285" s="332"/>
      <c r="K285" s="332"/>
      <c r="L285" s="332"/>
      <c r="M285" s="332"/>
      <c r="N285" s="332"/>
      <c r="O285" s="332"/>
      <c r="P285" s="332"/>
      <c r="Q285" s="332"/>
      <c r="R285" s="332"/>
      <c r="S285" s="332"/>
      <c r="T285" s="332"/>
      <c r="U285" s="332"/>
      <c r="V285" s="332"/>
      <c r="W285" s="332"/>
      <c r="X285" s="332"/>
      <c r="Y285" s="332"/>
      <c r="Z285" s="332"/>
      <c r="AA285" s="332"/>
      <c r="AB285" s="332"/>
      <c r="AC285" s="332"/>
      <c r="AD285" s="332"/>
      <c r="AE285" s="332"/>
      <c r="AF285" s="332"/>
      <c r="AG285" s="332"/>
      <c r="AH285" s="332"/>
      <c r="AI285" s="332"/>
      <c r="AJ285" s="333"/>
      <c r="AK285" s="333"/>
      <c r="AL285" s="333"/>
      <c r="AM285" s="333"/>
    </row>
    <row r="286" spans="2:39" s="316" customFormat="1" ht="26.25" customHeight="1" x14ac:dyDescent="0.2">
      <c r="B286" s="340" t="str">
        <f t="array" ref="B286">IF(ISERROR(INDEX('Eingabe Meldungen'!$C$2:$C$492,LARGE(('Eingabe Meldungen'!$A$2:$A$492=$B$269)*(ROW('Eingabe Meldungen'!$A$2:$A$492)-1),COUNTIF('Eingabe Meldungen'!$A$2:$A$492,$B$269)+1-ROW('Eingabe Meldungen'!A16)))),"",INDEX('Eingabe Meldungen'!$C$2:$C$492,LARGE(('Eingabe Meldungen'!$A$2:$A$492=$B$269)*(ROW('Eingabe Meldungen'!$A$2:$A$492)-1),COUNTIF('Eingabe Meldungen'!$A$2:$A$492,$B$269)+1-ROW('Eingabe Meldungen'!A16))))</f>
        <v/>
      </c>
      <c r="C286" s="316" t="str">
        <f t="array" ref="C286">IF(ISERROR(INDEX('Eingabe Meldungen'!$D$2:$D$492,LARGE(('Eingabe Meldungen'!$A$2:$A$492=$B$269)*(ROW('Eingabe Meldungen'!$A$2:$A$492)-1),COUNTIF('Eingabe Meldungen'!$A$2:$A$492,$B$269)+1-ROW('Eingabe Meldungen'!A16)))),"",INDEX('Eingabe Meldungen'!$D$2:$D$492,LARGE(('Eingabe Meldungen'!$A$2:$A$492=$B$269)*(ROW('Eingabe Meldungen'!$A$2:$A$492)-1),COUNTIF('Eingabe Meldungen'!$A$2:$A$492,$B$269)+1-ROW('Eingabe Meldungen'!A16))))</f>
        <v/>
      </c>
      <c r="D286" s="341" t="str">
        <f t="array" ref="D286">IF(B286&lt;&gt;"",INDEX('Eingabe Meldungen'!$C$2:$H$492,MATCH(B286&amp;C286,'Eingabe Meldungen'!$C$2:$C$492&amp;'Eingabe Meldungen'!$D$2:$D$492,0),6),"")</f>
        <v/>
      </c>
      <c r="E286" s="382" t="str">
        <f t="array" ref="E286">IF(B286&lt;&gt;"",INDEX('Eingabe Meldungen'!$C$2:$H$492,MATCH(B286&amp;C286,'Eingabe Meldungen'!$C$2:$C$492&amp;'Eingabe Meldungen'!$D$2:$D$492,0),4),"")</f>
        <v/>
      </c>
      <c r="F286" s="353" t="str">
        <f>IF(VLOOKUP(B286,Rennlisten!$B$203:$H$222,6,FALSE)=0,"",VLOOKUP(B286,Rennlisten!$B$203:$H$222,6,FALSE))</f>
        <v/>
      </c>
      <c r="G286" s="333" t="e">
        <f t="shared" si="31"/>
        <v>#VALUE!</v>
      </c>
      <c r="H286" s="343" t="str">
        <f t="array" ref="H286">IF(B286&lt;&gt;"",INDEX('Eingabe Meldungen'!$C$2:$J$492,MATCH(B286&amp;C286,'Eingabe Meldungen'!$C$2:$C$492&amp;'Eingabe Meldungen'!$D$2:$D$492,0),8),"")</f>
        <v/>
      </c>
      <c r="J286" s="332"/>
      <c r="K286" s="332"/>
      <c r="L286" s="332"/>
      <c r="M286" s="332"/>
      <c r="N286" s="332"/>
      <c r="O286" s="332"/>
      <c r="P286" s="332"/>
      <c r="Q286" s="332"/>
      <c r="R286" s="332"/>
      <c r="S286" s="332"/>
      <c r="T286" s="332"/>
      <c r="U286" s="332"/>
      <c r="V286" s="332"/>
      <c r="W286" s="332"/>
      <c r="X286" s="332"/>
      <c r="Y286" s="332"/>
      <c r="Z286" s="332"/>
      <c r="AA286" s="332"/>
      <c r="AB286" s="332"/>
      <c r="AC286" s="332"/>
      <c r="AD286" s="332"/>
      <c r="AE286" s="332"/>
      <c r="AF286" s="332"/>
      <c r="AG286" s="332"/>
      <c r="AH286" s="332"/>
      <c r="AI286" s="332"/>
      <c r="AJ286" s="333"/>
      <c r="AK286" s="333"/>
      <c r="AL286" s="333"/>
      <c r="AM286" s="333"/>
    </row>
    <row r="287" spans="2:39" s="316" customFormat="1" ht="26.25" customHeight="1" thickBot="1" x14ac:dyDescent="0.25">
      <c r="E287" s="352"/>
      <c r="F287" s="333"/>
      <c r="G287" s="333"/>
      <c r="J287" s="333"/>
      <c r="K287" s="333"/>
      <c r="L287" s="333"/>
      <c r="M287" s="333"/>
      <c r="N287" s="333"/>
      <c r="O287" s="333"/>
      <c r="P287" s="333"/>
      <c r="Q287" s="333"/>
      <c r="R287" s="333"/>
      <c r="S287" s="333"/>
      <c r="T287" s="333"/>
      <c r="U287" s="333"/>
      <c r="V287" s="333"/>
      <c r="W287" s="333"/>
      <c r="X287" s="333"/>
      <c r="Y287" s="333"/>
      <c r="Z287" s="333"/>
      <c r="AA287" s="333"/>
      <c r="AB287" s="333"/>
      <c r="AC287" s="333"/>
      <c r="AD287" s="333"/>
      <c r="AE287" s="333"/>
      <c r="AF287" s="333"/>
      <c r="AG287" s="333"/>
      <c r="AH287" s="333"/>
      <c r="AI287" s="333"/>
      <c r="AJ287" s="333"/>
      <c r="AK287" s="333"/>
      <c r="AL287" s="333"/>
      <c r="AM287" s="333"/>
    </row>
    <row r="288" spans="2:39" s="316" customFormat="1" ht="26.25" customHeight="1" x14ac:dyDescent="0.2">
      <c r="B288" s="326">
        <v>13</v>
      </c>
      <c r="C288" s="327" t="str">
        <f>VLOOKUP(B288,Ausschreibung!$B$5:$I$35,2,FALSE)</f>
        <v>Ergocup</v>
      </c>
      <c r="D288" s="328">
        <f>VLOOKUP(B288,Ausschreibung!$B$5:$I$35,3,FALSE)</f>
        <v>0.59305555555555545</v>
      </c>
      <c r="E288" s="327" t="str">
        <f>VLOOKUP(B288,Ausschreibung!$B$5:$I$35,4,FALSE)</f>
        <v>Junioren B U17</v>
      </c>
      <c r="F288" s="329" t="str">
        <f>VLOOKUP(B288,Ausschreibung!$B$5:$I$35,5,FALSE)</f>
        <v>Lgw. bis 67,5kg</v>
      </c>
      <c r="G288" s="330" t="str">
        <f>VLOOKUP(B288,Ausschreibung!$B$5:$I$35,6,FALSE)</f>
        <v>15-16</v>
      </c>
      <c r="H288" s="331" t="str">
        <f>VLOOKUP(B288,Ausschreibung!$B$5:$I$35,8,FALSE)</f>
        <v>1500 m</v>
      </c>
      <c r="J288" s="332"/>
      <c r="K288" s="332"/>
      <c r="L288" s="332"/>
      <c r="M288" s="332"/>
      <c r="N288" s="332"/>
      <c r="O288" s="332"/>
      <c r="P288" s="332"/>
      <c r="Q288" s="332"/>
      <c r="R288" s="332"/>
      <c r="S288" s="332"/>
      <c r="T288" s="332"/>
      <c r="U288" s="332"/>
      <c r="V288" s="332"/>
      <c r="W288" s="332"/>
      <c r="X288" s="332"/>
      <c r="Y288" s="332"/>
      <c r="Z288" s="332"/>
      <c r="AA288" s="332"/>
      <c r="AB288" s="332"/>
      <c r="AC288" s="332"/>
      <c r="AD288" s="332"/>
      <c r="AE288" s="332"/>
      <c r="AF288" s="332"/>
      <c r="AG288" s="332"/>
      <c r="AH288" s="332"/>
      <c r="AI288" s="332"/>
      <c r="AJ288" s="333"/>
      <c r="AK288" s="333"/>
      <c r="AL288" s="333"/>
      <c r="AM288" s="333"/>
    </row>
    <row r="289" spans="2:39" s="316" customFormat="1" ht="26.25" customHeight="1" x14ac:dyDescent="0.2">
      <c r="B289" s="334" t="s">
        <v>1</v>
      </c>
      <c r="C289" s="335" t="s">
        <v>2</v>
      </c>
      <c r="D289" s="336" t="s">
        <v>49</v>
      </c>
      <c r="E289" s="381" t="s">
        <v>16</v>
      </c>
      <c r="F289" s="337" t="s">
        <v>50</v>
      </c>
      <c r="G289" s="338" t="s">
        <v>51</v>
      </c>
      <c r="H289" s="339" t="s">
        <v>17</v>
      </c>
      <c r="J289" s="332"/>
      <c r="K289" s="332"/>
      <c r="L289" s="332"/>
      <c r="M289" s="332"/>
      <c r="N289" s="332"/>
      <c r="O289" s="332"/>
      <c r="P289" s="332"/>
      <c r="Q289" s="332"/>
      <c r="R289" s="332"/>
      <c r="S289" s="332"/>
      <c r="T289" s="332"/>
      <c r="U289" s="332"/>
      <c r="V289" s="332"/>
      <c r="W289" s="332"/>
      <c r="X289" s="332"/>
      <c r="Y289" s="332"/>
      <c r="Z289" s="332"/>
      <c r="AA289" s="332"/>
      <c r="AB289" s="332"/>
      <c r="AC289" s="332"/>
      <c r="AD289" s="332"/>
      <c r="AE289" s="332"/>
      <c r="AF289" s="332"/>
      <c r="AG289" s="332"/>
      <c r="AH289" s="332"/>
      <c r="AI289" s="332"/>
      <c r="AJ289" s="333"/>
      <c r="AK289" s="333"/>
      <c r="AL289" s="333"/>
      <c r="AM289" s="333"/>
    </row>
    <row r="290" spans="2:39" s="316" customFormat="1" ht="26.25" customHeight="1" x14ac:dyDescent="0.2">
      <c r="B290" s="340" t="str">
        <f t="array" ref="B290">IF(ISERROR(INDEX('Eingabe Meldungen'!$C$2:$C$492,LARGE(('Eingabe Meldungen'!$A$2:$A$492=$B$288)*(ROW('Eingabe Meldungen'!$A$2:$A$492)-1),COUNTIF('Eingabe Meldungen'!$A$2:$A$492,$B$288)+1-ROW('Eingabe Meldungen'!A1)))),"",INDEX('Eingabe Meldungen'!$C$2:$C$492,LARGE(('Eingabe Meldungen'!$A$2:$A$492=$B$288)*(ROW('Eingabe Meldungen'!$A$2:$A$492)-1),COUNTIF('Eingabe Meldungen'!$A$2:$A$492,$B$288)+1-ROW('Eingabe Meldungen'!A1))))</f>
        <v>Friebe</v>
      </c>
      <c r="C290" s="316" t="str">
        <f t="array" ref="C290">IF(ISERROR(INDEX('Eingabe Meldungen'!$D$2:$D$492,LARGE(('Eingabe Meldungen'!$A$2:$A$492=$B$288)*(ROW('Eingabe Meldungen'!$A$2:$A$492)-1),COUNTIF('Eingabe Meldungen'!$A$2:$A$492,$B$288)+1-ROW('Eingabe Meldungen'!A1)))),"",INDEX('Eingabe Meldungen'!$D$2:$D$492,LARGE(('Eingabe Meldungen'!$A$2:$A$492=$B$288)*(ROW('Eingabe Meldungen'!$A$2:$A$492)-1),COUNTIF('Eingabe Meldungen'!$A$2:$A$492,$B$288)+1-ROW('Eingabe Meldungen'!A1))))</f>
        <v>Bruno</v>
      </c>
      <c r="D290" s="341">
        <f t="array" ref="D290">IF(B290&lt;&gt;"",INDEX('Eingabe Meldungen'!$C$2:$H$492,MATCH(B290&amp;C290,'Eingabe Meldungen'!$C$2:$C$492&amp;'Eingabe Meldungen'!$D$2:$D$492,0),6),"")</f>
        <v>2004</v>
      </c>
      <c r="E290" s="382" t="str">
        <f t="array" ref="E290">IF(B290&lt;&gt;"",INDEX('Eingabe Meldungen'!$C$2:$H$492,MATCH(B290&amp;C290,'Eingabe Meldungen'!$C$2:$C$492&amp;'Eingabe Meldungen'!$D$2:$D$492,0),4),"")</f>
        <v>Lgw. bis 67,5kg</v>
      </c>
      <c r="F290" s="353" t="s">
        <v>597</v>
      </c>
      <c r="G290" s="333">
        <v>4</v>
      </c>
      <c r="H290" s="343" t="str">
        <f t="array" ref="H290">IF(B290&lt;&gt;"",INDEX('Eingabe Meldungen'!$C$2:$J$492,MATCH(B290&amp;C290,'Eingabe Meldungen'!$C$2:$C$492&amp;'Eingabe Meldungen'!$D$2:$D$492,0),8),"")</f>
        <v>RC Nürtingen</v>
      </c>
      <c r="J290" s="332"/>
      <c r="K290" s="332"/>
      <c r="L290" s="332"/>
      <c r="M290" s="332">
        <v>2</v>
      </c>
      <c r="N290" s="332"/>
      <c r="O290" s="332"/>
      <c r="P290" s="332"/>
      <c r="Q290" s="332"/>
      <c r="R290" s="332"/>
      <c r="S290" s="332"/>
      <c r="T290" s="332"/>
      <c r="U290" s="332"/>
      <c r="V290" s="332"/>
      <c r="W290" s="332"/>
      <c r="X290" s="332"/>
      <c r="Y290" s="332"/>
      <c r="Z290" s="332"/>
      <c r="AA290" s="332"/>
      <c r="AB290" s="332"/>
      <c r="AC290" s="332"/>
      <c r="AD290" s="332"/>
      <c r="AE290" s="332"/>
      <c r="AF290" s="332"/>
      <c r="AG290" s="332"/>
      <c r="AH290" s="332"/>
      <c r="AI290" s="332"/>
      <c r="AJ290" s="333"/>
      <c r="AK290" s="333"/>
      <c r="AL290" s="333"/>
      <c r="AM290" s="333"/>
    </row>
    <row r="291" spans="2:39" s="316" customFormat="1" ht="26.25" customHeight="1" x14ac:dyDescent="0.2">
      <c r="B291" s="340" t="str">
        <f t="array" ref="B291">IF(ISERROR(INDEX('Eingabe Meldungen'!$C$2:$C$492,LARGE(('Eingabe Meldungen'!$A$2:$A$492=$B$288)*(ROW('Eingabe Meldungen'!$A$2:$A$492)-1),COUNTIF('Eingabe Meldungen'!$A$2:$A$492,$B$288)+1-ROW('Eingabe Meldungen'!A2)))),"",INDEX('Eingabe Meldungen'!$C$2:$C$492,LARGE(('Eingabe Meldungen'!$A$2:$A$492=$B$288)*(ROW('Eingabe Meldungen'!$A$2:$A$492)-1),COUNTIF('Eingabe Meldungen'!$A$2:$A$492,$B$288)+1-ROW('Eingabe Meldungen'!A2))))</f>
        <v>Grünewald</v>
      </c>
      <c r="C291" s="316" t="str">
        <f t="array" ref="C291">IF(ISERROR(INDEX('Eingabe Meldungen'!$D$2:$D$492,LARGE(('Eingabe Meldungen'!$A$2:$A$492=$B$288)*(ROW('Eingabe Meldungen'!$A$2:$A$492)-1),COUNTIF('Eingabe Meldungen'!$A$2:$A$492,$B$288)+1-ROW('Eingabe Meldungen'!A2)))),"",INDEX('Eingabe Meldungen'!$D$2:$D$492,LARGE(('Eingabe Meldungen'!$A$2:$A$492=$B$288)*(ROW('Eingabe Meldungen'!$A$2:$A$492)-1),COUNTIF('Eingabe Meldungen'!$A$2:$A$492,$B$288)+1-ROW('Eingabe Meldungen'!A2))))</f>
        <v>Florian</v>
      </c>
      <c r="D291" s="341">
        <f t="array" ref="D291">IF(B291&lt;&gt;"",INDEX('Eingabe Meldungen'!$C$2:$H$492,MATCH(B291&amp;C291,'Eingabe Meldungen'!$C$2:$C$492&amp;'Eingabe Meldungen'!$D$2:$D$492,0),6),"")</f>
        <v>2004</v>
      </c>
      <c r="E291" s="382" t="str">
        <f t="array" ref="E291">IF(B291&lt;&gt;"",INDEX('Eingabe Meldungen'!$C$2:$H$492,MATCH(B291&amp;C291,'Eingabe Meldungen'!$C$2:$C$492&amp;'Eingabe Meldungen'!$D$2:$D$492,0),4),"")</f>
        <v>Lgw. bis 67,5kg</v>
      </c>
      <c r="F291" s="353" t="s">
        <v>600</v>
      </c>
      <c r="G291" s="333">
        <v>12</v>
      </c>
      <c r="H291" s="343" t="str">
        <f t="array" ref="H291">IF(B291&lt;&gt;"",INDEX('Eingabe Meldungen'!$C$2:$J$492,MATCH(B291&amp;C291,'Eingabe Meldungen'!$C$2:$C$492&amp;'Eingabe Meldungen'!$D$2:$D$492,0),8),"")</f>
        <v>Marbacher Ruderverein</v>
      </c>
      <c r="J291" s="332"/>
      <c r="K291" s="332"/>
      <c r="L291" s="332"/>
      <c r="M291" s="332"/>
      <c r="N291" s="332"/>
      <c r="O291" s="332"/>
      <c r="P291" s="332"/>
      <c r="Q291" s="332"/>
      <c r="R291" s="332"/>
      <c r="S291" s="332"/>
      <c r="T291" s="332"/>
      <c r="U291" s="332"/>
      <c r="V291" s="332"/>
      <c r="W291" s="332"/>
      <c r="X291" s="332"/>
      <c r="Y291" s="332"/>
      <c r="Z291" s="332"/>
      <c r="AA291" s="332"/>
      <c r="AB291" s="332"/>
      <c r="AC291" s="332"/>
      <c r="AD291" s="332"/>
      <c r="AE291" s="332"/>
      <c r="AF291" s="332"/>
      <c r="AG291" s="332"/>
      <c r="AH291" s="332"/>
      <c r="AI291" s="332"/>
      <c r="AJ291" s="333"/>
      <c r="AK291" s="333"/>
      <c r="AL291" s="333"/>
      <c r="AM291" s="333"/>
    </row>
    <row r="292" spans="2:39" s="316" customFormat="1" ht="26.25" customHeight="1" x14ac:dyDescent="0.2">
      <c r="B292" s="340" t="str">
        <f t="array" ref="B292">IF(ISERROR(INDEX('Eingabe Meldungen'!$C$2:$C$492,LARGE(('Eingabe Meldungen'!$A$2:$A$492=$B$288)*(ROW('Eingabe Meldungen'!$A$2:$A$492)-1),COUNTIF('Eingabe Meldungen'!$A$2:$A$492,$B$288)+1-ROW('Eingabe Meldungen'!A3)))),"",INDEX('Eingabe Meldungen'!$C$2:$C$492,LARGE(('Eingabe Meldungen'!$A$2:$A$492=$B$288)*(ROW('Eingabe Meldungen'!$A$2:$A$492)-1),COUNTIF('Eingabe Meldungen'!$A$2:$A$492,$B$288)+1-ROW('Eingabe Meldungen'!A3))))</f>
        <v>Swoboda</v>
      </c>
      <c r="C292" s="316" t="str">
        <f t="array" ref="C292">IF(ISERROR(INDEX('Eingabe Meldungen'!$D$2:$D$492,LARGE(('Eingabe Meldungen'!$A$2:$A$492=$B$288)*(ROW('Eingabe Meldungen'!$A$2:$A$492)-1),COUNTIF('Eingabe Meldungen'!$A$2:$A$492,$B$288)+1-ROW('Eingabe Meldungen'!A3)))),"",INDEX('Eingabe Meldungen'!$D$2:$D$492,LARGE(('Eingabe Meldungen'!$A$2:$A$492=$B$288)*(ROW('Eingabe Meldungen'!$A$2:$A$492)-1),COUNTIF('Eingabe Meldungen'!$A$2:$A$492,$B$288)+1-ROW('Eingabe Meldungen'!A3))))</f>
        <v>Luca</v>
      </c>
      <c r="D292" s="341">
        <f t="array" ref="D292">IF(B292&lt;&gt;"",INDEX('Eingabe Meldungen'!$C$2:$H$492,MATCH(B292&amp;C292,'Eingabe Meldungen'!$C$2:$C$492&amp;'Eingabe Meldungen'!$D$2:$D$492,0),6),"")</f>
        <v>2004</v>
      </c>
      <c r="E292" s="382" t="str">
        <f t="array" ref="E292">IF(B292&lt;&gt;"",INDEX('Eingabe Meldungen'!$C$2:$H$492,MATCH(B292&amp;C292,'Eingabe Meldungen'!$C$2:$C$492&amp;'Eingabe Meldungen'!$D$2:$D$492,0),4),"")</f>
        <v>Lgw. bis 67,5kg</v>
      </c>
      <c r="F292" s="353" t="s">
        <v>596</v>
      </c>
      <c r="G292" s="333">
        <v>1</v>
      </c>
      <c r="H292" s="343" t="str">
        <f t="array" ref="H292">IF(B292&lt;&gt;"",INDEX('Eingabe Meldungen'!$C$2:$J$492,MATCH(B292&amp;C292,'Eingabe Meldungen'!$C$2:$C$492&amp;'Eingabe Meldungen'!$D$2:$D$492,0),8),"")</f>
        <v>RC Nürtingen</v>
      </c>
      <c r="J292" s="332"/>
      <c r="K292" s="332"/>
      <c r="L292" s="332"/>
      <c r="M292" s="332">
        <v>7</v>
      </c>
      <c r="N292" s="332"/>
      <c r="O292" s="332"/>
      <c r="P292" s="332"/>
      <c r="Q292" s="332"/>
      <c r="R292" s="332"/>
      <c r="S292" s="332"/>
      <c r="T292" s="332"/>
      <c r="U292" s="332"/>
      <c r="V292" s="332"/>
      <c r="W292" s="332"/>
      <c r="X292" s="332"/>
      <c r="Y292" s="332"/>
      <c r="Z292" s="332"/>
      <c r="AA292" s="332"/>
      <c r="AB292" s="332"/>
      <c r="AC292" s="332"/>
      <c r="AD292" s="332"/>
      <c r="AE292" s="332"/>
      <c r="AF292" s="332"/>
      <c r="AG292" s="332"/>
      <c r="AH292" s="332"/>
      <c r="AI292" s="332"/>
      <c r="AJ292" s="333"/>
      <c r="AK292" s="333"/>
      <c r="AL292" s="333"/>
      <c r="AM292" s="333"/>
    </row>
    <row r="293" spans="2:39" s="316" customFormat="1" ht="26.25" customHeight="1" x14ac:dyDescent="0.2">
      <c r="B293" s="340" t="str">
        <f t="array" ref="B293">IF(ISERROR(INDEX('Eingabe Meldungen'!$C$2:$C$492,LARGE(('Eingabe Meldungen'!$A$2:$A$492=$B$288)*(ROW('Eingabe Meldungen'!$A$2:$A$492)-1),COUNTIF('Eingabe Meldungen'!$A$2:$A$492,$B$288)+1-ROW('Eingabe Meldungen'!A4)))),"",INDEX('Eingabe Meldungen'!$C$2:$C$492,LARGE(('Eingabe Meldungen'!$A$2:$A$492=$B$288)*(ROW('Eingabe Meldungen'!$A$2:$A$492)-1),COUNTIF('Eingabe Meldungen'!$A$2:$A$492,$B$288)+1-ROW('Eingabe Meldungen'!A4))))</f>
        <v>Schwarz</v>
      </c>
      <c r="C293" s="316" t="str">
        <f t="array" ref="C293">IF(ISERROR(INDEX('Eingabe Meldungen'!$D$2:$D$492,LARGE(('Eingabe Meldungen'!$A$2:$A$492=$B$288)*(ROW('Eingabe Meldungen'!$A$2:$A$492)-1),COUNTIF('Eingabe Meldungen'!$A$2:$A$492,$B$288)+1-ROW('Eingabe Meldungen'!A4)))),"",INDEX('Eingabe Meldungen'!$D$2:$D$492,LARGE(('Eingabe Meldungen'!$A$2:$A$492=$B$288)*(ROW('Eingabe Meldungen'!$A$2:$A$492)-1),COUNTIF('Eingabe Meldungen'!$A$2:$A$492,$B$288)+1-ROW('Eingabe Meldungen'!A4))))</f>
        <v>Max</v>
      </c>
      <c r="D293" s="341">
        <f t="array" ref="D293">IF(B293&lt;&gt;"",INDEX('Eingabe Meldungen'!$C$2:$H$492,MATCH(B293&amp;C293,'Eingabe Meldungen'!$C$2:$C$492&amp;'Eingabe Meldungen'!$D$2:$D$492,0),6),"")</f>
        <v>2004</v>
      </c>
      <c r="E293" s="382" t="str">
        <f t="array" ref="E293">IF(B293&lt;&gt;"",INDEX('Eingabe Meldungen'!$C$2:$H$492,MATCH(B293&amp;C293,'Eingabe Meldungen'!$C$2:$C$492&amp;'Eingabe Meldungen'!$D$2:$D$492,0),4),"")</f>
        <v>Lgw. bis 67,5kg</v>
      </c>
      <c r="F293" s="353" t="s">
        <v>599</v>
      </c>
      <c r="G293" s="333">
        <v>10</v>
      </c>
      <c r="H293" s="343" t="str">
        <f t="array" ref="H293">IF(B293&lt;&gt;"",INDEX('Eingabe Meldungen'!$C$2:$J$492,MATCH(B293&amp;C293,'Eingabe Meldungen'!$C$2:$C$492&amp;'Eingabe Meldungen'!$D$2:$D$492,0),8),"")</f>
        <v>RC Nürtingen</v>
      </c>
      <c r="J293" s="332"/>
      <c r="K293" s="332"/>
      <c r="L293" s="332"/>
      <c r="M293" s="332"/>
      <c r="N293" s="332"/>
      <c r="O293" s="332"/>
      <c r="P293" s="332"/>
      <c r="Q293" s="332"/>
      <c r="R293" s="332"/>
      <c r="S293" s="332"/>
      <c r="T293" s="332"/>
      <c r="U293" s="332"/>
      <c r="V293" s="332"/>
      <c r="W293" s="332"/>
      <c r="X293" s="332"/>
      <c r="Y293" s="332"/>
      <c r="Z293" s="332"/>
      <c r="AA293" s="332"/>
      <c r="AB293" s="332"/>
      <c r="AC293" s="332"/>
      <c r="AD293" s="332"/>
      <c r="AE293" s="332"/>
      <c r="AF293" s="332"/>
      <c r="AG293" s="332"/>
      <c r="AH293" s="332"/>
      <c r="AI293" s="332"/>
      <c r="AJ293" s="333"/>
      <c r="AK293" s="333"/>
      <c r="AL293" s="333"/>
      <c r="AM293" s="333"/>
    </row>
    <row r="294" spans="2:39" s="316" customFormat="1" ht="26.25" customHeight="1" x14ac:dyDescent="0.2">
      <c r="B294" s="340" t="str">
        <f t="array" ref="B294">IF(ISERROR(INDEX('Eingabe Meldungen'!$C$2:$C$492,LARGE(('Eingabe Meldungen'!$A$2:$A$492=$B$288)*(ROW('Eingabe Meldungen'!$A$2:$A$492)-1),COUNTIF('Eingabe Meldungen'!$A$2:$A$492,$B$288)+1-ROW('Eingabe Meldungen'!A5)))),"",INDEX('Eingabe Meldungen'!$C$2:$C$492,LARGE(('Eingabe Meldungen'!$A$2:$A$492=$B$288)*(ROW('Eingabe Meldungen'!$A$2:$A$492)-1),COUNTIF('Eingabe Meldungen'!$A$2:$A$492,$B$288)+1-ROW('Eingabe Meldungen'!A5))))</f>
        <v>Zahn</v>
      </c>
      <c r="C294" s="316" t="str">
        <f t="array" ref="C294">IF(ISERROR(INDEX('Eingabe Meldungen'!$D$2:$D$492,LARGE(('Eingabe Meldungen'!$A$2:$A$492=$B$288)*(ROW('Eingabe Meldungen'!$A$2:$A$492)-1),COUNTIF('Eingabe Meldungen'!$A$2:$A$492,$B$288)+1-ROW('Eingabe Meldungen'!A5)))),"",INDEX('Eingabe Meldungen'!$D$2:$D$492,LARGE(('Eingabe Meldungen'!$A$2:$A$492=$B$288)*(ROW('Eingabe Meldungen'!$A$2:$A$492)-1),COUNTIF('Eingabe Meldungen'!$A$2:$A$492,$B$288)+1-ROW('Eingabe Meldungen'!A5))))</f>
        <v>Simon</v>
      </c>
      <c r="D294" s="341">
        <f t="array" ref="D294">IF(B294&lt;&gt;"",INDEX('Eingabe Meldungen'!$C$2:$H$492,MATCH(B294&amp;C294,'Eingabe Meldungen'!$C$2:$C$492&amp;'Eingabe Meldungen'!$D$2:$D$492,0),6),"")</f>
        <v>2004</v>
      </c>
      <c r="E294" s="382" t="str">
        <f t="array" ref="E294">IF(B294&lt;&gt;"",INDEX('Eingabe Meldungen'!$C$2:$H$492,MATCH(B294&amp;C294,'Eingabe Meldungen'!$C$2:$C$492&amp;'Eingabe Meldungen'!$D$2:$D$492,0),4),"")</f>
        <v>Lgw. bis 67,5kg</v>
      </c>
      <c r="F294" s="353" t="s">
        <v>598</v>
      </c>
      <c r="G294" s="333">
        <v>5</v>
      </c>
      <c r="H294" s="343" t="str">
        <f t="array" ref="H294">IF(B294&lt;&gt;"",INDEX('Eingabe Meldungen'!$C$2:$J$492,MATCH(B294&amp;C294,'Eingabe Meldungen'!$C$2:$C$492&amp;'Eingabe Meldungen'!$D$2:$D$492,0),8),"")</f>
        <v>Marbacher Ruderverein</v>
      </c>
      <c r="J294" s="332"/>
      <c r="K294" s="332"/>
      <c r="L294" s="332"/>
      <c r="M294" s="332"/>
      <c r="N294" s="332"/>
      <c r="O294" s="332">
        <v>1</v>
      </c>
      <c r="P294" s="332"/>
      <c r="Q294" s="332"/>
      <c r="R294" s="332"/>
      <c r="S294" s="332"/>
      <c r="T294" s="332"/>
      <c r="U294" s="332"/>
      <c r="V294" s="332"/>
      <c r="W294" s="332"/>
      <c r="X294" s="332"/>
      <c r="Y294" s="332"/>
      <c r="Z294" s="332"/>
      <c r="AA294" s="332"/>
      <c r="AB294" s="332"/>
      <c r="AC294" s="332"/>
      <c r="AD294" s="332"/>
      <c r="AE294" s="332"/>
      <c r="AF294" s="332"/>
      <c r="AG294" s="332"/>
      <c r="AH294" s="332"/>
      <c r="AI294" s="332"/>
      <c r="AJ294" s="333"/>
      <c r="AK294" s="333"/>
      <c r="AL294" s="333"/>
      <c r="AM294" s="333"/>
    </row>
    <row r="295" spans="2:39" s="316" customFormat="1" ht="26.25" customHeight="1" x14ac:dyDescent="0.2">
      <c r="B295" s="340" t="str">
        <f t="array" ref="B295">IF(ISERROR(INDEX('Eingabe Meldungen'!$C$2:$C$492,LARGE(('Eingabe Meldungen'!$A$2:$A$492=$B$288)*(ROW('Eingabe Meldungen'!$A$2:$A$492)-1),COUNTIF('Eingabe Meldungen'!$A$2:$A$492,$B$288)+1-ROW('Eingabe Meldungen'!A6)))),"",INDEX('Eingabe Meldungen'!$C$2:$C$492,LARGE(('Eingabe Meldungen'!$A$2:$A$492=$B$288)*(ROW('Eingabe Meldungen'!$A$2:$A$492)-1),COUNTIF('Eingabe Meldungen'!$A$2:$A$492,$B$288)+1-ROW('Eingabe Meldungen'!A6))))</f>
        <v>Hodapp</v>
      </c>
      <c r="C295" s="316" t="str">
        <f t="array" ref="C295">IF(ISERROR(INDEX('Eingabe Meldungen'!$D$2:$D$492,LARGE(('Eingabe Meldungen'!$A$2:$A$492=$B$288)*(ROW('Eingabe Meldungen'!$A$2:$A$492)-1),COUNTIF('Eingabe Meldungen'!$A$2:$A$492,$B$288)+1-ROW('Eingabe Meldungen'!A6)))),"",INDEX('Eingabe Meldungen'!$D$2:$D$492,LARGE(('Eingabe Meldungen'!$A$2:$A$492=$B$288)*(ROW('Eingabe Meldungen'!$A$2:$A$492)-1),COUNTIF('Eingabe Meldungen'!$A$2:$A$492,$B$288)+1-ROW('Eingabe Meldungen'!A6))))</f>
        <v>Bjarne</v>
      </c>
      <c r="D295" s="341">
        <f t="array" ref="D295">IF(B295&lt;&gt;"",INDEX('Eingabe Meldungen'!$C$2:$H$492,MATCH(B295&amp;C295,'Eingabe Meldungen'!$C$2:$C$492&amp;'Eingabe Meldungen'!$D$2:$D$492,0),6),"")</f>
        <v>2005</v>
      </c>
      <c r="E295" s="382" t="str">
        <f t="array" ref="E295">IF(B295&lt;&gt;"",INDEX('Eingabe Meldungen'!$C$2:$H$492,MATCH(B295&amp;C295,'Eingabe Meldungen'!$C$2:$C$492&amp;'Eingabe Meldungen'!$D$2:$D$492,0),4),"")</f>
        <v>Lgw. bis 67,5kg</v>
      </c>
      <c r="F295" s="353" t="s">
        <v>601</v>
      </c>
      <c r="G295" s="333">
        <v>13</v>
      </c>
      <c r="H295" s="343" t="str">
        <f t="array" ref="H295">IF(B295&lt;&gt;"",INDEX('Eingabe Meldungen'!$C$2:$J$492,MATCH(B295&amp;C295,'Eingabe Meldungen'!$C$2:$C$492&amp;'Eingabe Meldungen'!$D$2:$D$492,0),8),"")</f>
        <v>RC Nürtingen</v>
      </c>
      <c r="J295" s="332"/>
      <c r="K295" s="332"/>
      <c r="L295" s="332"/>
      <c r="M295" s="332"/>
      <c r="N295" s="332"/>
      <c r="O295" s="332"/>
      <c r="P295" s="332"/>
      <c r="Q295" s="332"/>
      <c r="R295" s="332"/>
      <c r="S295" s="332"/>
      <c r="T295" s="332"/>
      <c r="U295" s="332"/>
      <c r="V295" s="332"/>
      <c r="W295" s="332"/>
      <c r="X295" s="332"/>
      <c r="Y295" s="332"/>
      <c r="Z295" s="332"/>
      <c r="AA295" s="332"/>
      <c r="AB295" s="332"/>
      <c r="AC295" s="332"/>
      <c r="AD295" s="332"/>
      <c r="AE295" s="332"/>
      <c r="AF295" s="332"/>
      <c r="AG295" s="332"/>
      <c r="AH295" s="332"/>
      <c r="AI295" s="332"/>
      <c r="AJ295" s="333"/>
      <c r="AK295" s="333"/>
      <c r="AL295" s="333"/>
      <c r="AM295" s="333"/>
    </row>
    <row r="296" spans="2:39" s="316" customFormat="1" ht="26.25" customHeight="1" x14ac:dyDescent="0.2">
      <c r="B296" s="340" t="str">
        <f t="array" ref="B296">IF(ISERROR(INDEX('Eingabe Meldungen'!$C$2:$C$492,LARGE(('Eingabe Meldungen'!$A$2:$A$492=$B$288)*(ROW('Eingabe Meldungen'!$A$2:$A$492)-1),COUNTIF('Eingabe Meldungen'!$A$2:$A$492,$B$288)+1-ROW('Eingabe Meldungen'!A7)))),"",INDEX('Eingabe Meldungen'!$C$2:$C$492,LARGE(('Eingabe Meldungen'!$A$2:$A$492=$B$288)*(ROW('Eingabe Meldungen'!$A$2:$A$492)-1),COUNTIF('Eingabe Meldungen'!$A$2:$A$492,$B$288)+1-ROW('Eingabe Meldungen'!A7))))</f>
        <v>Höring</v>
      </c>
      <c r="C296" s="316" t="str">
        <f t="array" ref="C296">IF(ISERROR(INDEX('Eingabe Meldungen'!$D$2:$D$492,LARGE(('Eingabe Meldungen'!$A$2:$A$492=$B$288)*(ROW('Eingabe Meldungen'!$A$2:$A$492)-1),COUNTIF('Eingabe Meldungen'!$A$2:$A$492,$B$288)+1-ROW('Eingabe Meldungen'!A7)))),"",INDEX('Eingabe Meldungen'!$D$2:$D$492,LARGE(('Eingabe Meldungen'!$A$2:$A$492=$B$288)*(ROW('Eingabe Meldungen'!$A$2:$A$492)-1),COUNTIF('Eingabe Meldungen'!$A$2:$A$492,$B$288)+1-ROW('Eingabe Meldungen'!A7))))</f>
        <v>Clemens</v>
      </c>
      <c r="D296" s="341">
        <f t="array" ref="D296">IF(B296&lt;&gt;"",INDEX('Eingabe Meldungen'!$C$2:$H$492,MATCH(B296&amp;C296,'Eingabe Meldungen'!$C$2:$C$492&amp;'Eingabe Meldungen'!$D$2:$D$492,0),6),"")</f>
        <v>2005</v>
      </c>
      <c r="E296" s="382" t="str">
        <f t="array" ref="E296">IF(B296&lt;&gt;"",INDEX('Eingabe Meldungen'!$C$2:$H$492,MATCH(B296&amp;C296,'Eingabe Meldungen'!$C$2:$C$492&amp;'Eingabe Meldungen'!$D$2:$D$492,0),4),"")</f>
        <v>Lgw. bis 67,5kg</v>
      </c>
      <c r="F296" s="353" t="s">
        <v>603</v>
      </c>
      <c r="G296" s="333">
        <v>18</v>
      </c>
      <c r="H296" s="343" t="str">
        <f t="array" ref="H296">IF(B296&lt;&gt;"",INDEX('Eingabe Meldungen'!$C$2:$J$492,MATCH(B296&amp;C296,'Eingabe Meldungen'!$C$2:$C$492&amp;'Eingabe Meldungen'!$D$2:$D$492,0),8),"")</f>
        <v>RC Nürtingen</v>
      </c>
      <c r="J296" s="332"/>
      <c r="K296" s="332"/>
      <c r="L296" s="332"/>
      <c r="M296" s="332"/>
      <c r="N296" s="332"/>
      <c r="O296" s="332"/>
      <c r="P296" s="332"/>
      <c r="Q296" s="332"/>
      <c r="R296" s="332"/>
      <c r="S296" s="332"/>
      <c r="T296" s="332"/>
      <c r="U296" s="332"/>
      <c r="V296" s="332"/>
      <c r="W296" s="332"/>
      <c r="X296" s="332"/>
      <c r="Y296" s="332"/>
      <c r="Z296" s="332"/>
      <c r="AA296" s="332"/>
      <c r="AB296" s="332"/>
      <c r="AC296" s="332"/>
      <c r="AD296" s="332"/>
      <c r="AE296" s="332"/>
      <c r="AF296" s="332"/>
      <c r="AG296" s="332"/>
      <c r="AH296" s="332"/>
      <c r="AI296" s="332"/>
      <c r="AJ296" s="333"/>
      <c r="AK296" s="333"/>
      <c r="AL296" s="333"/>
      <c r="AM296" s="333"/>
    </row>
    <row r="297" spans="2:39" s="316" customFormat="1" ht="26.25" customHeight="1" x14ac:dyDescent="0.2">
      <c r="B297" s="340"/>
      <c r="D297" s="341"/>
      <c r="E297" s="382"/>
      <c r="F297" s="353"/>
      <c r="G297" s="333"/>
      <c r="H297" s="343"/>
      <c r="J297" s="332"/>
      <c r="K297" s="332"/>
      <c r="L297" s="332"/>
      <c r="M297" s="332"/>
      <c r="N297" s="332"/>
      <c r="O297" s="332"/>
      <c r="P297" s="332"/>
      <c r="Q297" s="332"/>
      <c r="R297" s="332"/>
      <c r="S297" s="332"/>
      <c r="T297" s="332"/>
      <c r="U297" s="332"/>
      <c r="V297" s="332"/>
      <c r="W297" s="332"/>
      <c r="X297" s="332"/>
      <c r="Y297" s="332"/>
      <c r="Z297" s="332"/>
      <c r="AA297" s="332"/>
      <c r="AB297" s="332"/>
      <c r="AC297" s="332"/>
      <c r="AD297" s="332"/>
      <c r="AE297" s="332"/>
      <c r="AF297" s="332"/>
      <c r="AG297" s="332"/>
      <c r="AH297" s="332"/>
      <c r="AI297" s="332"/>
      <c r="AJ297" s="333"/>
      <c r="AK297" s="333"/>
      <c r="AL297" s="333"/>
      <c r="AM297" s="333"/>
    </row>
    <row r="298" spans="2:39" s="316" customFormat="1" ht="26.25" customHeight="1" x14ac:dyDescent="0.2">
      <c r="B298" s="340" t="str">
        <f t="array" ref="B298">IF(ISERROR(INDEX('Eingabe Meldungen'!$C$2:$C$492,LARGE(('Eingabe Meldungen'!$A$2:$A$492=$B$288)*(ROW('Eingabe Meldungen'!$A$2:$A$492)-1),COUNTIF('Eingabe Meldungen'!$A$2:$A$492,$B$288)+1-ROW('Eingabe Meldungen'!A9)))),"",INDEX('Eingabe Meldungen'!$C$2:$C$492,LARGE(('Eingabe Meldungen'!$A$2:$A$492=$B$288)*(ROW('Eingabe Meldungen'!$A$2:$A$492)-1),COUNTIF('Eingabe Meldungen'!$A$2:$A$492,$B$288)+1-ROW('Eingabe Meldungen'!A9))))</f>
        <v>Wolf</v>
      </c>
      <c r="C298" s="316" t="str">
        <f t="array" ref="C298">IF(ISERROR(INDEX('Eingabe Meldungen'!$D$2:$D$492,LARGE(('Eingabe Meldungen'!$A$2:$A$492=$B$288)*(ROW('Eingabe Meldungen'!$A$2:$A$492)-1),COUNTIF('Eingabe Meldungen'!$A$2:$A$492,$B$288)+1-ROW('Eingabe Meldungen'!A9)))),"",INDEX('Eingabe Meldungen'!$D$2:$D$492,LARGE(('Eingabe Meldungen'!$A$2:$A$492=$B$288)*(ROW('Eingabe Meldungen'!$A$2:$A$492)-1),COUNTIF('Eingabe Meldungen'!$A$2:$A$492,$B$288)+1-ROW('Eingabe Meldungen'!A9))))</f>
        <v>Enno</v>
      </c>
      <c r="D298" s="341">
        <f t="array" ref="D298">IF(B298&lt;&gt;"",INDEX('Eingabe Meldungen'!$C$2:$H$492,MATCH(B298&amp;C298,'Eingabe Meldungen'!$C$2:$C$492&amp;'Eingabe Meldungen'!$D$2:$D$492,0),6),"")</f>
        <v>2005</v>
      </c>
      <c r="E298" s="382" t="str">
        <f t="array" ref="E298">IF(B298&lt;&gt;"",INDEX('Eingabe Meldungen'!$C$2:$H$492,MATCH(B298&amp;C298,'Eingabe Meldungen'!$C$2:$C$492&amp;'Eingabe Meldungen'!$D$2:$D$492,0),4),"")</f>
        <v>Lgw. bis 67,5kg</v>
      </c>
      <c r="F298" s="353" t="s">
        <v>602</v>
      </c>
      <c r="G298" s="333">
        <v>16</v>
      </c>
      <c r="H298" s="343" t="str">
        <f t="array" ref="H298">IF(B298&lt;&gt;"",INDEX('Eingabe Meldungen'!$C$2:$J$492,MATCH(B298&amp;C298,'Eingabe Meldungen'!$C$2:$C$492&amp;'Eingabe Meldungen'!$D$2:$D$492,0),8),"")</f>
        <v>HRG Schwaben</v>
      </c>
      <c r="J298" s="332"/>
      <c r="K298" s="332"/>
      <c r="L298" s="332"/>
      <c r="M298" s="332"/>
      <c r="N298" s="332"/>
      <c r="O298" s="332"/>
      <c r="P298" s="332"/>
      <c r="Q298" s="332"/>
      <c r="R298" s="332"/>
      <c r="S298" s="332"/>
      <c r="T298" s="332"/>
      <c r="U298" s="332"/>
      <c r="V298" s="332"/>
      <c r="W298" s="332"/>
      <c r="X298" s="332"/>
      <c r="Y298" s="332"/>
      <c r="Z298" s="332"/>
      <c r="AA298" s="332"/>
      <c r="AB298" s="332"/>
      <c r="AC298" s="332"/>
      <c r="AD298" s="332"/>
      <c r="AE298" s="332"/>
      <c r="AF298" s="332"/>
      <c r="AG298" s="332"/>
      <c r="AH298" s="332"/>
      <c r="AI298" s="332"/>
      <c r="AJ298" s="333"/>
      <c r="AK298" s="333"/>
      <c r="AL298" s="333"/>
      <c r="AM298" s="333"/>
    </row>
    <row r="299" spans="2:39" s="316" customFormat="1" ht="26.25" customHeight="1" x14ac:dyDescent="0.2">
      <c r="B299" s="340" t="str">
        <f t="array" ref="B299">IF(ISERROR(INDEX('Eingabe Meldungen'!$C$2:$C$492,LARGE(('Eingabe Meldungen'!$A$2:$A$492=$B$288)*(ROW('Eingabe Meldungen'!$A$2:$A$492)-1),COUNTIF('Eingabe Meldungen'!$A$2:$A$492,$B$288)+1-ROW('Eingabe Meldungen'!A10)))),"",INDEX('Eingabe Meldungen'!$C$2:$C$492,LARGE(('Eingabe Meldungen'!$A$2:$A$492=$B$288)*(ROW('Eingabe Meldungen'!$A$2:$A$492)-1),COUNTIF('Eingabe Meldungen'!$A$2:$A$492,$B$288)+1-ROW('Eingabe Meldungen'!A10))))</f>
        <v>Fouque</v>
      </c>
      <c r="C299" s="316" t="str">
        <f t="array" ref="C299">IF(ISERROR(INDEX('Eingabe Meldungen'!$D$2:$D$492,LARGE(('Eingabe Meldungen'!$A$2:$A$492=$B$288)*(ROW('Eingabe Meldungen'!$A$2:$A$492)-1),COUNTIF('Eingabe Meldungen'!$A$2:$A$492,$B$288)+1-ROW('Eingabe Meldungen'!A10)))),"",INDEX('Eingabe Meldungen'!$D$2:$D$492,LARGE(('Eingabe Meldungen'!$A$2:$A$492=$B$288)*(ROW('Eingabe Meldungen'!$A$2:$A$492)-1),COUNTIF('Eingabe Meldungen'!$A$2:$A$492,$B$288)+1-ROW('Eingabe Meldungen'!A10))))</f>
        <v>Finn</v>
      </c>
      <c r="D299" s="341">
        <f t="array" ref="D299">IF(B299&lt;&gt;"",INDEX('Eingabe Meldungen'!$C$2:$H$492,MATCH(B299&amp;C299,'Eingabe Meldungen'!$C$2:$C$492&amp;'Eingabe Meldungen'!$D$2:$D$492,0),6),"")</f>
        <v>2005</v>
      </c>
      <c r="E299" s="382" t="str">
        <f t="array" ref="E299">IF(B299&lt;&gt;"",INDEX('Eingabe Meldungen'!$C$2:$H$492,MATCH(B299&amp;C299,'Eingabe Meldungen'!$C$2:$C$492&amp;'Eingabe Meldungen'!$D$2:$D$492,0),4),"")</f>
        <v>Lgw. bis 67,5kg</v>
      </c>
      <c r="F299" s="353" t="s">
        <v>604</v>
      </c>
      <c r="G299" s="333">
        <v>19</v>
      </c>
      <c r="H299" s="343" t="str">
        <f t="array" ref="H299">IF(B299&lt;&gt;"",INDEX('Eingabe Meldungen'!$C$2:$J$492,MATCH(B299&amp;C299,'Eingabe Meldungen'!$C$2:$C$492&amp;'Eingabe Meldungen'!$D$2:$D$492,0),8),"")</f>
        <v>RC Nürtingen</v>
      </c>
      <c r="J299" s="332"/>
      <c r="K299" s="332"/>
      <c r="L299" s="332"/>
      <c r="M299" s="332"/>
      <c r="N299" s="332"/>
      <c r="O299" s="332"/>
      <c r="P299" s="332"/>
      <c r="Q299" s="332"/>
      <c r="R299" s="332"/>
      <c r="S299" s="332"/>
      <c r="T299" s="332"/>
      <c r="U299" s="332"/>
      <c r="V299" s="332"/>
      <c r="W299" s="332"/>
      <c r="X299" s="332"/>
      <c r="Y299" s="332"/>
      <c r="Z299" s="332"/>
      <c r="AA299" s="332"/>
      <c r="AB299" s="332"/>
      <c r="AC299" s="332"/>
      <c r="AD299" s="332"/>
      <c r="AE299" s="332"/>
      <c r="AF299" s="332"/>
      <c r="AG299" s="332"/>
      <c r="AH299" s="332"/>
      <c r="AI299" s="332"/>
      <c r="AJ299" s="333"/>
      <c r="AK299" s="333"/>
      <c r="AL299" s="333"/>
      <c r="AM299" s="333"/>
    </row>
    <row r="300" spans="2:39" s="316" customFormat="1" ht="26.25" customHeight="1" x14ac:dyDescent="0.2">
      <c r="B300" s="340"/>
      <c r="D300" s="341"/>
      <c r="E300" s="382"/>
      <c r="F300" s="353"/>
      <c r="G300" s="333"/>
      <c r="H300" s="343"/>
      <c r="J300" s="332"/>
      <c r="K300" s="332"/>
      <c r="L300" s="332"/>
      <c r="M300" s="332"/>
      <c r="N300" s="332"/>
      <c r="O300" s="332"/>
      <c r="P300" s="332"/>
      <c r="Q300" s="332"/>
      <c r="R300" s="332"/>
      <c r="S300" s="332"/>
      <c r="T300" s="332"/>
      <c r="U300" s="332"/>
      <c r="V300" s="332"/>
      <c r="W300" s="332"/>
      <c r="X300" s="332"/>
      <c r="Y300" s="332"/>
      <c r="Z300" s="332"/>
      <c r="AA300" s="332"/>
      <c r="AB300" s="332"/>
      <c r="AC300" s="332"/>
      <c r="AD300" s="332"/>
      <c r="AE300" s="332"/>
      <c r="AF300" s="332"/>
      <c r="AG300" s="332"/>
      <c r="AH300" s="332"/>
      <c r="AI300" s="332"/>
      <c r="AJ300" s="333"/>
      <c r="AK300" s="333"/>
      <c r="AL300" s="333"/>
      <c r="AM300" s="333"/>
    </row>
    <row r="301" spans="2:39" s="316" customFormat="1" ht="26.25" customHeight="1" x14ac:dyDescent="0.2">
      <c r="B301" s="340" t="str">
        <f t="array" ref="B301">IF(ISERROR(INDEX('Eingabe Meldungen'!$C$2:$C$492,LARGE(('Eingabe Meldungen'!$A$2:$A$492=$B$288)*(ROW('Eingabe Meldungen'!$A$2:$A$492)-1),COUNTIF('Eingabe Meldungen'!$A$2:$A$492,$B$288)+1-ROW('Eingabe Meldungen'!A12)))),"",INDEX('Eingabe Meldungen'!$C$2:$C$492,LARGE(('Eingabe Meldungen'!$A$2:$A$492=$B$288)*(ROW('Eingabe Meldungen'!$A$2:$A$492)-1),COUNTIF('Eingabe Meldungen'!$A$2:$A$492,$B$288)+1-ROW('Eingabe Meldungen'!A12))))</f>
        <v>Hannig</v>
      </c>
      <c r="C301" s="316" t="str">
        <f t="array" ref="C301">IF(ISERROR(INDEX('Eingabe Meldungen'!$D$2:$D$492,LARGE(('Eingabe Meldungen'!$A$2:$A$492=$B$288)*(ROW('Eingabe Meldungen'!$A$2:$A$492)-1),COUNTIF('Eingabe Meldungen'!$A$2:$A$492,$B$288)+1-ROW('Eingabe Meldungen'!A12)))),"",INDEX('Eingabe Meldungen'!$D$2:$D$492,LARGE(('Eingabe Meldungen'!$A$2:$A$492=$B$288)*(ROW('Eingabe Meldungen'!$A$2:$A$492)-1),COUNTIF('Eingabe Meldungen'!$A$2:$A$492,$B$288)+1-ROW('Eingabe Meldungen'!A12))))</f>
        <v>Jan</v>
      </c>
      <c r="D301" s="341">
        <f t="array" ref="D301">IF(B301&lt;&gt;"",INDEX('Eingabe Meldungen'!$C$2:$H$492,MATCH(B301&amp;C301,'Eingabe Meldungen'!$C$2:$C$492&amp;'Eingabe Meldungen'!$D$2:$D$492,0),6),"")</f>
        <v>2005</v>
      </c>
      <c r="E301" s="382" t="str">
        <f t="array" ref="E301">IF(B301&lt;&gt;"",INDEX('Eingabe Meldungen'!$C$2:$H$492,MATCH(B301&amp;C301,'Eingabe Meldungen'!$C$2:$C$492&amp;'Eingabe Meldungen'!$D$2:$D$492,0),4),"")</f>
        <v>Lgw. bis 67,5kg</v>
      </c>
      <c r="F301" s="353" t="s">
        <v>607</v>
      </c>
      <c r="G301" s="333">
        <v>7</v>
      </c>
      <c r="H301" s="343" t="str">
        <f t="array" ref="H301">IF(B301&lt;&gt;"",INDEX('Eingabe Meldungen'!$C$2:$J$492,MATCH(B301&amp;C301,'Eingabe Meldungen'!$C$2:$C$492&amp;'Eingabe Meldungen'!$D$2:$D$492,0),8),"")</f>
        <v>Schweinfurter Ruder-Club Franken</v>
      </c>
      <c r="J301" s="332"/>
      <c r="K301" s="332"/>
      <c r="L301" s="332"/>
      <c r="M301" s="332"/>
      <c r="N301" s="332"/>
      <c r="O301" s="332"/>
      <c r="P301" s="332"/>
      <c r="Q301" s="332"/>
      <c r="R301" s="332"/>
      <c r="S301" s="332"/>
      <c r="T301" s="332"/>
      <c r="U301" s="332"/>
      <c r="V301" s="332"/>
      <c r="W301" s="332"/>
      <c r="X301" s="332"/>
      <c r="Y301" s="332"/>
      <c r="Z301" s="332"/>
      <c r="AA301" s="332"/>
      <c r="AB301" s="332"/>
      <c r="AC301" s="332"/>
      <c r="AD301" s="332"/>
      <c r="AE301" s="332"/>
      <c r="AF301" s="332"/>
      <c r="AG301" s="332"/>
      <c r="AH301" s="332"/>
      <c r="AI301" s="332"/>
      <c r="AJ301" s="333"/>
      <c r="AK301" s="333"/>
      <c r="AL301" s="333"/>
      <c r="AM301" s="333"/>
    </row>
    <row r="302" spans="2:39" s="316" customFormat="1" ht="26.25" customHeight="1" x14ac:dyDescent="0.2">
      <c r="B302" s="340"/>
      <c r="D302" s="341"/>
      <c r="E302" s="382"/>
      <c r="F302" s="353"/>
      <c r="G302" s="333"/>
      <c r="H302" s="343"/>
      <c r="J302" s="332"/>
      <c r="K302" s="332"/>
      <c r="L302" s="332"/>
      <c r="M302" s="332"/>
      <c r="N302" s="332"/>
      <c r="O302" s="332"/>
      <c r="P302" s="332"/>
      <c r="Q302" s="332"/>
      <c r="R302" s="332"/>
      <c r="S302" s="332"/>
      <c r="T302" s="332"/>
      <c r="U302" s="332"/>
      <c r="V302" s="332"/>
      <c r="W302" s="332"/>
      <c r="X302" s="332"/>
      <c r="Y302" s="332"/>
      <c r="Z302" s="332"/>
      <c r="AA302" s="332"/>
      <c r="AB302" s="332"/>
      <c r="AC302" s="332"/>
      <c r="AD302" s="332"/>
      <c r="AE302" s="332"/>
      <c r="AF302" s="332"/>
      <c r="AG302" s="332"/>
      <c r="AH302" s="332"/>
      <c r="AI302" s="332"/>
      <c r="AJ302" s="333"/>
      <c r="AK302" s="333"/>
      <c r="AL302" s="333"/>
      <c r="AM302" s="333"/>
    </row>
    <row r="303" spans="2:39" s="316" customFormat="1" ht="26.25" customHeight="1" x14ac:dyDescent="0.2">
      <c r="B303" s="340" t="str">
        <f t="array" ref="B303">IF(ISERROR(INDEX('Eingabe Meldungen'!$C$2:$C$492,LARGE(('Eingabe Meldungen'!$A$2:$A$492=$B$288)*(ROW('Eingabe Meldungen'!$A$2:$A$492)-1),COUNTIF('Eingabe Meldungen'!$A$2:$A$492,$B$288)+1-ROW('Eingabe Meldungen'!A14)))),"",INDEX('Eingabe Meldungen'!$C$2:$C$492,LARGE(('Eingabe Meldungen'!$A$2:$A$492=$B$288)*(ROW('Eingabe Meldungen'!$A$2:$A$492)-1),COUNTIF('Eingabe Meldungen'!$A$2:$A$492,$B$288)+1-ROW('Eingabe Meldungen'!A14))))</f>
        <v>Schnaidt</v>
      </c>
      <c r="C303" s="316" t="str">
        <f t="array" ref="C303">IF(ISERROR(INDEX('Eingabe Meldungen'!$D$2:$D$492,LARGE(('Eingabe Meldungen'!$A$2:$A$492=$B$288)*(ROW('Eingabe Meldungen'!$A$2:$A$492)-1),COUNTIF('Eingabe Meldungen'!$A$2:$A$492,$B$288)+1-ROW('Eingabe Meldungen'!A14)))),"",INDEX('Eingabe Meldungen'!$D$2:$D$492,LARGE(('Eingabe Meldungen'!$A$2:$A$492=$B$288)*(ROW('Eingabe Meldungen'!$A$2:$A$492)-1),COUNTIF('Eingabe Meldungen'!$A$2:$A$492,$B$288)+1-ROW('Eingabe Meldungen'!A14))))</f>
        <v>Manuel</v>
      </c>
      <c r="D303" s="341">
        <f t="array" ref="D303">IF(B303&lt;&gt;"",INDEX('Eingabe Meldungen'!$C$2:$H$492,MATCH(B303&amp;C303,'Eingabe Meldungen'!$C$2:$C$492&amp;'Eingabe Meldungen'!$D$2:$D$492,0),6),"")</f>
        <v>2005</v>
      </c>
      <c r="E303" s="382" t="str">
        <f t="array" ref="E303">IF(B303&lt;&gt;"",INDEX('Eingabe Meldungen'!$C$2:$H$492,MATCH(B303&amp;C303,'Eingabe Meldungen'!$C$2:$C$492&amp;'Eingabe Meldungen'!$D$2:$D$492,0),4),"")</f>
        <v>Lgw. bis 67,5kg</v>
      </c>
      <c r="F303" s="353" t="s">
        <v>609</v>
      </c>
      <c r="G303" s="333">
        <v>11</v>
      </c>
      <c r="H303" s="343" t="str">
        <f t="array" ref="H303">IF(B303&lt;&gt;"",INDEX('Eingabe Meldungen'!$C$2:$J$492,MATCH(B303&amp;C303,'Eingabe Meldungen'!$C$2:$C$492&amp;'Eingabe Meldungen'!$D$2:$D$492,0),8),"")</f>
        <v>RC Nürtingen</v>
      </c>
      <c r="J303" s="332"/>
      <c r="K303" s="332"/>
      <c r="L303" s="332"/>
      <c r="M303" s="332"/>
      <c r="N303" s="332"/>
      <c r="O303" s="332"/>
      <c r="P303" s="332"/>
      <c r="Q303" s="332"/>
      <c r="R303" s="332"/>
      <c r="S303" s="332"/>
      <c r="T303" s="332"/>
      <c r="U303" s="332"/>
      <c r="V303" s="332"/>
      <c r="W303" s="332"/>
      <c r="X303" s="332"/>
      <c r="Y303" s="332"/>
      <c r="Z303" s="332"/>
      <c r="AA303" s="332"/>
      <c r="AB303" s="332"/>
      <c r="AC303" s="332"/>
      <c r="AD303" s="332"/>
      <c r="AE303" s="332"/>
      <c r="AF303" s="332"/>
      <c r="AG303" s="332"/>
      <c r="AH303" s="332"/>
      <c r="AI303" s="332"/>
      <c r="AJ303" s="333"/>
      <c r="AK303" s="333"/>
      <c r="AL303" s="333"/>
      <c r="AM303" s="333"/>
    </row>
    <row r="304" spans="2:39" s="316" customFormat="1" ht="26.25" customHeight="1" x14ac:dyDescent="0.2">
      <c r="B304" s="340" t="str">
        <f t="array" ref="B304">IF(ISERROR(INDEX('Eingabe Meldungen'!$C$2:$C$492,LARGE(('Eingabe Meldungen'!$A$2:$A$492=$B$288)*(ROW('Eingabe Meldungen'!$A$2:$A$492)-1),COUNTIF('Eingabe Meldungen'!$A$2:$A$492,$B$288)+1-ROW('Eingabe Meldungen'!A15)))),"",INDEX('Eingabe Meldungen'!$C$2:$C$492,LARGE(('Eingabe Meldungen'!$A$2:$A$492=$B$288)*(ROW('Eingabe Meldungen'!$A$2:$A$492)-1),COUNTIF('Eingabe Meldungen'!$A$2:$A$492,$B$288)+1-ROW('Eingabe Meldungen'!A15))))</f>
        <v>Tschöke</v>
      </c>
      <c r="C304" s="316" t="str">
        <f t="array" ref="C304">IF(ISERROR(INDEX('Eingabe Meldungen'!$D$2:$D$492,LARGE(('Eingabe Meldungen'!$A$2:$A$492=$B$288)*(ROW('Eingabe Meldungen'!$A$2:$A$492)-1),COUNTIF('Eingabe Meldungen'!$A$2:$A$492,$B$288)+1-ROW('Eingabe Meldungen'!A15)))),"",INDEX('Eingabe Meldungen'!$D$2:$D$492,LARGE(('Eingabe Meldungen'!$A$2:$A$492=$B$288)*(ROW('Eingabe Meldungen'!$A$2:$A$492)-1),COUNTIF('Eingabe Meldungen'!$A$2:$A$492,$B$288)+1-ROW('Eingabe Meldungen'!A15))))</f>
        <v>Pascal</v>
      </c>
      <c r="D304" s="341">
        <f t="array" ref="D304">IF(B304&lt;&gt;"",INDEX('Eingabe Meldungen'!$C$2:$H$492,MATCH(B304&amp;C304,'Eingabe Meldungen'!$C$2:$C$492&amp;'Eingabe Meldungen'!$D$2:$D$492,0),6),"")</f>
        <v>2005</v>
      </c>
      <c r="E304" s="382" t="str">
        <f t="array" ref="E304">IF(B304&lt;&gt;"",INDEX('Eingabe Meldungen'!$C$2:$H$492,MATCH(B304&amp;C304,'Eingabe Meldungen'!$C$2:$C$492&amp;'Eingabe Meldungen'!$D$2:$D$492,0),4),"")</f>
        <v>Lgw. bis 67,5kg</v>
      </c>
      <c r="F304" s="353" t="s">
        <v>611</v>
      </c>
      <c r="G304" s="333">
        <v>17</v>
      </c>
      <c r="H304" s="343" t="str">
        <f t="array" ref="H304">IF(B304&lt;&gt;"",INDEX('Eingabe Meldungen'!$C$2:$J$492,MATCH(B304&amp;C304,'Eingabe Meldungen'!$C$2:$C$492&amp;'Eingabe Meldungen'!$D$2:$D$492,0),8),"")</f>
        <v>RV Waldsee</v>
      </c>
      <c r="J304" s="332"/>
      <c r="K304" s="332"/>
      <c r="L304" s="332"/>
      <c r="M304" s="332"/>
      <c r="N304" s="332"/>
      <c r="O304" s="332"/>
      <c r="P304" s="332"/>
      <c r="Q304" s="332"/>
      <c r="R304" s="332"/>
      <c r="S304" s="332"/>
      <c r="T304" s="332"/>
      <c r="U304" s="332"/>
      <c r="V304" s="332"/>
      <c r="W304" s="332"/>
      <c r="X304" s="332"/>
      <c r="Y304" s="332"/>
      <c r="Z304" s="332"/>
      <c r="AA304" s="332"/>
      <c r="AB304" s="332"/>
      <c r="AC304" s="332"/>
      <c r="AD304" s="332"/>
      <c r="AE304" s="332"/>
      <c r="AF304" s="332"/>
      <c r="AG304" s="332"/>
      <c r="AH304" s="332"/>
      <c r="AI304" s="332"/>
      <c r="AJ304" s="333"/>
      <c r="AK304" s="333"/>
      <c r="AL304" s="333"/>
      <c r="AM304" s="333"/>
    </row>
    <row r="305" spans="2:39" s="316" customFormat="1" ht="26.25" customHeight="1" x14ac:dyDescent="0.2">
      <c r="B305" s="340" t="str">
        <f t="array" ref="B305">IF(ISERROR(INDEX('Eingabe Meldungen'!$C$2:$C$492,LARGE(('Eingabe Meldungen'!$A$2:$A$492=$B$288)*(ROW('Eingabe Meldungen'!$A$2:$A$492)-1),COUNTIF('Eingabe Meldungen'!$A$2:$A$492,$B$288)+1-ROW('Eingabe Meldungen'!A16)))),"",INDEX('Eingabe Meldungen'!$C$2:$C$492,LARGE(('Eingabe Meldungen'!$A$2:$A$492=$B$288)*(ROW('Eingabe Meldungen'!$A$2:$A$492)-1),COUNTIF('Eingabe Meldungen'!$A$2:$A$492,$B$288)+1-ROW('Eingabe Meldungen'!A16))))</f>
        <v>Philipp</v>
      </c>
      <c r="C305" s="316" t="str">
        <f t="array" ref="C305">IF(ISERROR(INDEX('Eingabe Meldungen'!$D$2:$D$492,LARGE(('Eingabe Meldungen'!$A$2:$A$492=$B$288)*(ROW('Eingabe Meldungen'!$A$2:$A$492)-1),COUNTIF('Eingabe Meldungen'!$A$2:$A$492,$B$288)+1-ROW('Eingabe Meldungen'!A16)))),"",INDEX('Eingabe Meldungen'!$D$2:$D$492,LARGE(('Eingabe Meldungen'!$A$2:$A$492=$B$288)*(ROW('Eingabe Meldungen'!$A$2:$A$492)-1),COUNTIF('Eingabe Meldungen'!$A$2:$A$492,$B$288)+1-ROW('Eingabe Meldungen'!A16))))</f>
        <v>Paul</v>
      </c>
      <c r="D305" s="341">
        <f t="array" ref="D305">IF(B305&lt;&gt;"",INDEX('Eingabe Meldungen'!$C$2:$H$492,MATCH(B305&amp;C305,'Eingabe Meldungen'!$C$2:$C$492&amp;'Eingabe Meldungen'!$D$2:$D$492,0),6),"")</f>
        <v>2005</v>
      </c>
      <c r="E305" s="382" t="str">
        <f t="array" ref="E305">IF(B305&lt;&gt;"",INDEX('Eingabe Meldungen'!$C$2:$H$492,MATCH(B305&amp;C305,'Eingabe Meldungen'!$C$2:$C$492&amp;'Eingabe Meldungen'!$D$2:$D$492,0),4),"")</f>
        <v>Lgw. bis 67,5kg</v>
      </c>
      <c r="F305" s="353" t="s">
        <v>606</v>
      </c>
      <c r="G305" s="333">
        <v>6</v>
      </c>
      <c r="H305" s="343" t="str">
        <f t="array" ref="H305">IF(B305&lt;&gt;"",INDEX('Eingabe Meldungen'!$C$2:$J$492,MATCH(B305&amp;C305,'Eingabe Meldungen'!$C$2:$C$492&amp;'Eingabe Meldungen'!$D$2:$D$492,0),8),"")</f>
        <v>Schweinfurter Ruder-Club Franken</v>
      </c>
      <c r="J305" s="332"/>
      <c r="K305" s="332"/>
      <c r="L305" s="332"/>
      <c r="M305" s="332"/>
      <c r="N305" s="332"/>
      <c r="O305" s="332"/>
      <c r="P305" s="332"/>
      <c r="Q305" s="332"/>
      <c r="R305" s="332"/>
      <c r="S305" s="332"/>
      <c r="T305" s="332"/>
      <c r="U305" s="332"/>
      <c r="V305" s="332"/>
      <c r="W305" s="332"/>
      <c r="X305" s="332"/>
      <c r="Y305" s="332"/>
      <c r="Z305" s="332"/>
      <c r="AA305" s="332"/>
      <c r="AB305" s="332"/>
      <c r="AC305" s="332"/>
      <c r="AD305" s="332"/>
      <c r="AE305" s="332"/>
      <c r="AF305" s="332"/>
      <c r="AG305" s="332"/>
      <c r="AH305" s="332"/>
      <c r="AI305" s="332"/>
      <c r="AJ305" s="333"/>
      <c r="AK305" s="333"/>
      <c r="AL305" s="333"/>
      <c r="AM305" s="333"/>
    </row>
    <row r="306" spans="2:39" s="316" customFormat="1" ht="26.25" customHeight="1" x14ac:dyDescent="0.2">
      <c r="B306" s="340" t="str">
        <f t="array" ref="B306">IF(ISERROR(INDEX('Eingabe Meldungen'!$C$2:$C$492,LARGE(('Eingabe Meldungen'!$A$2:$A$492=$B$288)*(ROW('Eingabe Meldungen'!$A$2:$A$492)-1),COUNTIF('Eingabe Meldungen'!$A$2:$A$492,$B$288)+1-ROW('Eingabe Meldungen'!A17)))),"",INDEX('Eingabe Meldungen'!$C$2:$C$492,LARGE(('Eingabe Meldungen'!$A$2:$A$492=$B$288)*(ROW('Eingabe Meldungen'!$A$2:$A$492)-1),COUNTIF('Eingabe Meldungen'!$A$2:$A$492,$B$288)+1-ROW('Eingabe Meldungen'!A17))))</f>
        <v>Weckenmann</v>
      </c>
      <c r="C306" s="316" t="str">
        <f t="array" ref="C306">IF(ISERROR(INDEX('Eingabe Meldungen'!$D$2:$D$492,LARGE(('Eingabe Meldungen'!$A$2:$A$492=$B$288)*(ROW('Eingabe Meldungen'!$A$2:$A$492)-1),COUNTIF('Eingabe Meldungen'!$A$2:$A$492,$B$288)+1-ROW('Eingabe Meldungen'!A17)))),"",INDEX('Eingabe Meldungen'!$D$2:$D$492,LARGE(('Eingabe Meldungen'!$A$2:$A$492=$B$288)*(ROW('Eingabe Meldungen'!$A$2:$A$492)-1),COUNTIF('Eingabe Meldungen'!$A$2:$A$492,$B$288)+1-ROW('Eingabe Meldungen'!A17))))</f>
        <v>Phil Ole</v>
      </c>
      <c r="D306" s="341">
        <f t="array" ref="D306">IF(B306&lt;&gt;"",INDEX('Eingabe Meldungen'!$C$2:$H$492,MATCH(B306&amp;C306,'Eingabe Meldungen'!$C$2:$C$492&amp;'Eingabe Meldungen'!$D$2:$D$492,0),6),"")</f>
        <v>2005</v>
      </c>
      <c r="E306" s="382" t="str">
        <f t="array" ref="E306">IF(B306&lt;&gt;"",INDEX('Eingabe Meldungen'!$C$2:$H$492,MATCH(B306&amp;C306,'Eingabe Meldungen'!$C$2:$C$492&amp;'Eingabe Meldungen'!$D$2:$D$492,0),4),"")</f>
        <v>Lgw. bis 67,5kg</v>
      </c>
      <c r="F306" s="353" t="s">
        <v>605</v>
      </c>
      <c r="G306" s="333">
        <v>3</v>
      </c>
      <c r="H306" s="343" t="str">
        <f t="array" ref="H306">IF(B306&lt;&gt;"",INDEX('Eingabe Meldungen'!$C$2:$J$492,MATCH(B306&amp;C306,'Eingabe Meldungen'!$C$2:$C$492&amp;'Eingabe Meldungen'!$D$2:$D$492,0),8),"")</f>
        <v>RC Nürtingen</v>
      </c>
      <c r="J306" s="332"/>
      <c r="K306" s="332"/>
      <c r="L306" s="332"/>
      <c r="M306" s="332">
        <v>3</v>
      </c>
      <c r="N306" s="332"/>
      <c r="O306" s="332"/>
      <c r="P306" s="332"/>
      <c r="Q306" s="332"/>
      <c r="R306" s="332"/>
      <c r="S306" s="332"/>
      <c r="T306" s="332"/>
      <c r="U306" s="332"/>
      <c r="V306" s="332"/>
      <c r="W306" s="332"/>
      <c r="X306" s="332"/>
      <c r="Y306" s="332"/>
      <c r="Z306" s="332"/>
      <c r="AA306" s="332"/>
      <c r="AB306" s="332"/>
      <c r="AC306" s="332"/>
      <c r="AD306" s="332"/>
      <c r="AE306" s="332"/>
      <c r="AF306" s="332"/>
      <c r="AG306" s="332"/>
      <c r="AH306" s="332"/>
      <c r="AI306" s="332"/>
      <c r="AJ306" s="333"/>
      <c r="AK306" s="333"/>
      <c r="AL306" s="333"/>
      <c r="AM306" s="333"/>
    </row>
    <row r="307" spans="2:39" s="316" customFormat="1" ht="26.25" customHeight="1" x14ac:dyDescent="0.2">
      <c r="B307" s="340" t="str">
        <f t="array" ref="B307">IF(ISERROR(INDEX('Eingabe Meldungen'!$C$2:$C$492,LARGE(('Eingabe Meldungen'!$A$2:$A$492=$B$288)*(ROW('Eingabe Meldungen'!$A$2:$A$492)-1),COUNTIF('Eingabe Meldungen'!$A$2:$A$492,$B$288)+1-ROW('Eingabe Meldungen'!A18)))),"",INDEX('Eingabe Meldungen'!$C$2:$C$492,LARGE(('Eingabe Meldungen'!$A$2:$A$492=$B$288)*(ROW('Eingabe Meldungen'!$A$2:$A$492)-1),COUNTIF('Eingabe Meldungen'!$A$2:$A$492,$B$288)+1-ROW('Eingabe Meldungen'!A18))))</f>
        <v>Degasperi</v>
      </c>
      <c r="C307" s="316" t="str">
        <f t="array" ref="C307">IF(ISERROR(INDEX('Eingabe Meldungen'!$D$2:$D$492,LARGE(('Eingabe Meldungen'!$A$2:$A$492=$B$288)*(ROW('Eingabe Meldungen'!$A$2:$A$492)-1),COUNTIF('Eingabe Meldungen'!$A$2:$A$492,$B$288)+1-ROW('Eingabe Meldungen'!A18)))),"",INDEX('Eingabe Meldungen'!$D$2:$D$492,LARGE(('Eingabe Meldungen'!$A$2:$A$492=$B$288)*(ROW('Eingabe Meldungen'!$A$2:$A$492)-1),COUNTIF('Eingabe Meldungen'!$A$2:$A$492,$B$288)+1-ROW('Eingabe Meldungen'!A18))))</f>
        <v>Samuel</v>
      </c>
      <c r="D307" s="341">
        <f t="array" ref="D307">IF(B307&lt;&gt;"",INDEX('Eingabe Meldungen'!$C$2:$H$492,MATCH(B307&amp;C307,'Eingabe Meldungen'!$C$2:$C$492&amp;'Eingabe Meldungen'!$D$2:$D$492,0),6),"")</f>
        <v>2005</v>
      </c>
      <c r="E307" s="382" t="str">
        <f t="array" ref="E307">IF(B307&lt;&gt;"",INDEX('Eingabe Meldungen'!$C$2:$H$492,MATCH(B307&amp;C307,'Eingabe Meldungen'!$C$2:$C$492&amp;'Eingabe Meldungen'!$D$2:$D$492,0),4),"")</f>
        <v>Lgw. bis 67,5kg</v>
      </c>
      <c r="F307" s="353" t="s">
        <v>608</v>
      </c>
      <c r="G307" s="333">
        <v>9</v>
      </c>
      <c r="H307" s="343" t="str">
        <f t="array" ref="H307">IF(B307&lt;&gt;"",INDEX('Eingabe Meldungen'!$C$2:$J$492,MATCH(B307&amp;C307,'Eingabe Meldungen'!$C$2:$C$492&amp;'Eingabe Meldungen'!$D$2:$D$492,0),8),"")</f>
        <v>RV Waldsee</v>
      </c>
      <c r="J307" s="332"/>
      <c r="K307" s="332"/>
      <c r="L307" s="332"/>
      <c r="M307" s="332"/>
      <c r="N307" s="332"/>
      <c r="O307" s="332"/>
      <c r="P307" s="332"/>
      <c r="Q307" s="332"/>
      <c r="R307" s="332"/>
      <c r="S307" s="332"/>
      <c r="T307" s="332"/>
      <c r="U307" s="332"/>
      <c r="V307" s="332"/>
      <c r="W307" s="332"/>
      <c r="X307" s="332"/>
      <c r="Y307" s="332"/>
      <c r="Z307" s="332"/>
      <c r="AA307" s="332"/>
      <c r="AB307" s="332"/>
      <c r="AC307" s="332"/>
      <c r="AD307" s="332"/>
      <c r="AE307" s="332"/>
      <c r="AF307" s="332"/>
      <c r="AG307" s="332"/>
      <c r="AH307" s="332"/>
      <c r="AI307" s="332"/>
      <c r="AJ307" s="333"/>
      <c r="AK307" s="333"/>
      <c r="AL307" s="333"/>
      <c r="AM307" s="333"/>
    </row>
    <row r="308" spans="2:39" s="316" customFormat="1" ht="26.25" customHeight="1" x14ac:dyDescent="0.2">
      <c r="B308" s="340" t="str">
        <f t="array" ref="B308">IF(ISERROR(INDEX('Eingabe Meldungen'!$C$2:$C$492,LARGE(('Eingabe Meldungen'!$A$2:$A$492=$B$288)*(ROW('Eingabe Meldungen'!$A$2:$A$492)-1),COUNTIF('Eingabe Meldungen'!$A$2:$A$492,$B$288)+1-ROW('Eingabe Meldungen'!A19)))),"",INDEX('Eingabe Meldungen'!$C$2:$C$492,LARGE(('Eingabe Meldungen'!$A$2:$A$492=$B$288)*(ROW('Eingabe Meldungen'!$A$2:$A$492)-1),COUNTIF('Eingabe Meldungen'!$A$2:$A$492,$B$288)+1-ROW('Eingabe Meldungen'!A19))))</f>
        <v>Strohmann</v>
      </c>
      <c r="C308" s="316" t="str">
        <f t="array" ref="C308">IF(ISERROR(INDEX('Eingabe Meldungen'!$D$2:$D$492,LARGE(('Eingabe Meldungen'!$A$2:$A$492=$B$288)*(ROW('Eingabe Meldungen'!$A$2:$A$492)-1),COUNTIF('Eingabe Meldungen'!$A$2:$A$492,$B$288)+1-ROW('Eingabe Meldungen'!A19)))),"",INDEX('Eingabe Meldungen'!$D$2:$D$492,LARGE(('Eingabe Meldungen'!$A$2:$A$492=$B$288)*(ROW('Eingabe Meldungen'!$A$2:$A$492)-1),COUNTIF('Eingabe Meldungen'!$A$2:$A$492,$B$288)+1-ROW('Eingabe Meldungen'!A19))))</f>
        <v>Urs</v>
      </c>
      <c r="D308" s="341">
        <f t="array" ref="D308">IF(B308&lt;&gt;"",INDEX('Eingabe Meldungen'!$C$2:$H$492,MATCH(B308&amp;C308,'Eingabe Meldungen'!$C$2:$C$492&amp;'Eingabe Meldungen'!$D$2:$D$492,0),6),"")</f>
        <v>2005</v>
      </c>
      <c r="E308" s="382" t="str">
        <f t="array" ref="E308">IF(B308&lt;&gt;"",INDEX('Eingabe Meldungen'!$C$2:$H$492,MATCH(B308&amp;C308,'Eingabe Meldungen'!$C$2:$C$492&amp;'Eingabe Meldungen'!$D$2:$D$492,0),4),"")</f>
        <v>Lgw. bis 67,5kg</v>
      </c>
      <c r="F308" s="353" t="s">
        <v>592</v>
      </c>
      <c r="G308" s="333">
        <v>8</v>
      </c>
      <c r="H308" s="343" t="str">
        <f t="array" ref="H308">IF(B308&lt;&gt;"",INDEX('Eingabe Meldungen'!$C$2:$J$492,MATCH(B308&amp;C308,'Eingabe Meldungen'!$C$2:$C$492&amp;'Eingabe Meldungen'!$D$2:$D$492,0),8),"")</f>
        <v>RC Nürtingen</v>
      </c>
      <c r="J308" s="332"/>
      <c r="K308" s="332"/>
      <c r="L308" s="332"/>
      <c r="M308" s="332"/>
      <c r="N308" s="332"/>
      <c r="O308" s="332"/>
      <c r="P308" s="332"/>
      <c r="Q308" s="332"/>
      <c r="R308" s="332"/>
      <c r="S308" s="332"/>
      <c r="T308" s="332"/>
      <c r="U308" s="332"/>
      <c r="V308" s="332"/>
      <c r="W308" s="332"/>
      <c r="X308" s="332"/>
      <c r="Y308" s="332"/>
      <c r="Z308" s="332"/>
      <c r="AA308" s="332"/>
      <c r="AB308" s="332"/>
      <c r="AC308" s="332"/>
      <c r="AD308" s="332"/>
      <c r="AE308" s="332"/>
      <c r="AF308" s="332"/>
      <c r="AG308" s="332"/>
      <c r="AH308" s="332"/>
      <c r="AI308" s="332"/>
      <c r="AJ308" s="333"/>
      <c r="AK308" s="333"/>
      <c r="AL308" s="333"/>
      <c r="AM308" s="333"/>
    </row>
    <row r="309" spans="2:39" s="316" customFormat="1" ht="26.25" customHeight="1" x14ac:dyDescent="0.2">
      <c r="B309" s="340" t="str">
        <f t="array" ref="B309">IF(ISERROR(INDEX('Eingabe Meldungen'!$C$2:$C$492,LARGE(('Eingabe Meldungen'!$A$2:$A$492=$B$288)*(ROW('Eingabe Meldungen'!$A$2:$A$492)-1),COUNTIF('Eingabe Meldungen'!$A$2:$A$492,$B$288)+1-ROW('Eingabe Meldungen'!A20)))),"",INDEX('Eingabe Meldungen'!$C$2:$C$492,LARGE(('Eingabe Meldungen'!$A$2:$A$492=$B$288)*(ROW('Eingabe Meldungen'!$A$2:$A$492)-1),COUNTIF('Eingabe Meldungen'!$A$2:$A$492,$B$288)+1-ROW('Eingabe Meldungen'!A20))))</f>
        <v>Weiß</v>
      </c>
      <c r="C309" s="316" t="str">
        <f t="array" ref="C309">IF(ISERROR(INDEX('Eingabe Meldungen'!$D$2:$D$492,LARGE(('Eingabe Meldungen'!$A$2:$A$492=$B$288)*(ROW('Eingabe Meldungen'!$A$2:$A$492)-1),COUNTIF('Eingabe Meldungen'!$A$2:$A$492,$B$288)+1-ROW('Eingabe Meldungen'!A20)))),"",INDEX('Eingabe Meldungen'!$D$2:$D$492,LARGE(('Eingabe Meldungen'!$A$2:$A$492=$B$288)*(ROW('Eingabe Meldungen'!$A$2:$A$492)-1),COUNTIF('Eingabe Meldungen'!$A$2:$A$492,$B$288)+1-ROW('Eingabe Meldungen'!A20))))</f>
        <v>Vincent</v>
      </c>
      <c r="D309" s="341">
        <f t="array" ref="D309">IF(B309&lt;&gt;"",INDEX('Eingabe Meldungen'!$C$2:$H$492,MATCH(B309&amp;C309,'Eingabe Meldungen'!$C$2:$C$492&amp;'Eingabe Meldungen'!$D$2:$D$492,0),6),"")</f>
        <v>2005</v>
      </c>
      <c r="E309" s="382" t="str">
        <f t="array" ref="E309">IF(B309&lt;&gt;"",INDEX('Eingabe Meldungen'!$C$2:$H$492,MATCH(B309&amp;C309,'Eingabe Meldungen'!$C$2:$C$492&amp;'Eingabe Meldungen'!$D$2:$D$492,0),4),"")</f>
        <v>Lgw. bis 67,5kg</v>
      </c>
      <c r="F309" s="353" t="s">
        <v>610</v>
      </c>
      <c r="G309" s="333">
        <v>15</v>
      </c>
      <c r="H309" s="343" t="str">
        <f t="array" ref="H309">IF(B309&lt;&gt;"",INDEX('Eingabe Meldungen'!$C$2:$J$492,MATCH(B309&amp;C309,'Eingabe Meldungen'!$C$2:$C$492&amp;'Eingabe Meldungen'!$D$2:$D$492,0),8),"")</f>
        <v>Schweinfurter Ruder-Club Franken</v>
      </c>
      <c r="J309" s="332"/>
      <c r="K309" s="332"/>
      <c r="L309" s="332"/>
      <c r="M309" s="332"/>
      <c r="N309" s="332"/>
      <c r="O309" s="332"/>
      <c r="P309" s="332"/>
      <c r="Q309" s="332"/>
      <c r="R309" s="332"/>
      <c r="S309" s="332"/>
      <c r="T309" s="332"/>
      <c r="U309" s="332"/>
      <c r="V309" s="332"/>
      <c r="W309" s="332"/>
      <c r="X309" s="332"/>
      <c r="Y309" s="332"/>
      <c r="Z309" s="332"/>
      <c r="AA309" s="332"/>
      <c r="AB309" s="332"/>
      <c r="AC309" s="332"/>
      <c r="AD309" s="332"/>
      <c r="AE309" s="332"/>
      <c r="AF309" s="332"/>
      <c r="AG309" s="332"/>
      <c r="AH309" s="332"/>
      <c r="AI309" s="332"/>
      <c r="AJ309" s="333"/>
      <c r="AK309" s="333"/>
      <c r="AL309" s="333"/>
      <c r="AM309" s="333"/>
    </row>
    <row r="310" spans="2:39" s="316" customFormat="1" ht="26.25" customHeight="1" x14ac:dyDescent="0.2">
      <c r="B310" s="340" t="str">
        <f t="array" ref="B310">IF(ISERROR(INDEX('Eingabe Meldungen'!$C$2:$C$492,LARGE(('Eingabe Meldungen'!$A$2:$A$492=$B$288)*(ROW('Eingabe Meldungen'!$A$2:$A$492)-1),COUNTIF('Eingabe Meldungen'!$A$2:$A$492,$B$288)+1-ROW('Eingabe Meldungen'!A21)))),"",INDEX('Eingabe Meldungen'!$C$2:$C$492,LARGE(('Eingabe Meldungen'!$A$2:$A$492=$B$288)*(ROW('Eingabe Meldungen'!$A$2:$A$492)-1),COUNTIF('Eingabe Meldungen'!$A$2:$A$492,$B$288)+1-ROW('Eingabe Meldungen'!A21))))</f>
        <v>Schupp</v>
      </c>
      <c r="C310" s="316" t="str">
        <f t="array" ref="C310">IF(ISERROR(INDEX('Eingabe Meldungen'!$D$2:$D$492,LARGE(('Eingabe Meldungen'!$A$2:$A$492=$B$288)*(ROW('Eingabe Meldungen'!$A$2:$A$492)-1),COUNTIF('Eingabe Meldungen'!$A$2:$A$492,$B$288)+1-ROW('Eingabe Meldungen'!A21)))),"",INDEX('Eingabe Meldungen'!$D$2:$D$492,LARGE(('Eingabe Meldungen'!$A$2:$A$492=$B$288)*(ROW('Eingabe Meldungen'!$A$2:$A$492)-1),COUNTIF('Eingabe Meldungen'!$A$2:$A$492,$B$288)+1-ROW('Eingabe Meldungen'!A21))))</f>
        <v>Malthe</v>
      </c>
      <c r="D310" s="341">
        <f t="array" ref="D310">IF(B310&lt;&gt;"",INDEX('Eingabe Meldungen'!$C$2:$H$492,MATCH(B310&amp;C310,'Eingabe Meldungen'!$C$2:$C$492&amp;'Eingabe Meldungen'!$D$2:$D$492,0),6),"")</f>
        <v>2004</v>
      </c>
      <c r="E310" s="382" t="str">
        <f t="array" ref="E310">IF(B310&lt;&gt;"",INDEX('Eingabe Meldungen'!$C$2:$H$492,MATCH(B310&amp;C310,'Eingabe Meldungen'!$C$2:$C$492&amp;'Eingabe Meldungen'!$D$2:$D$492,0),4),"")</f>
        <v>Lgw. bis 67,5kg</v>
      </c>
      <c r="F310" s="353" t="s">
        <v>612</v>
      </c>
      <c r="G310" s="333">
        <v>2</v>
      </c>
      <c r="H310" s="343" t="str">
        <f t="array" ref="H310">IF(B310&lt;&gt;"",INDEX('Eingabe Meldungen'!$C$2:$J$492,MATCH(B310&amp;C310,'Eingabe Meldungen'!$C$2:$C$492&amp;'Eingabe Meldungen'!$D$2:$D$492,0),8),"")</f>
        <v xml:space="preserve">WSV Schifferclub Neckarrems </v>
      </c>
      <c r="J310" s="332"/>
      <c r="K310" s="332"/>
      <c r="L310" s="332"/>
      <c r="M310" s="332"/>
      <c r="N310" s="332"/>
      <c r="O310" s="332"/>
      <c r="P310" s="332"/>
      <c r="Q310" s="332"/>
      <c r="R310" s="332">
        <v>5</v>
      </c>
      <c r="S310" s="332"/>
      <c r="T310" s="332"/>
      <c r="U310" s="332"/>
      <c r="V310" s="332"/>
      <c r="W310" s="332"/>
      <c r="X310" s="332"/>
      <c r="Y310" s="332"/>
      <c r="Z310" s="332"/>
      <c r="AA310" s="332"/>
      <c r="AB310" s="332"/>
      <c r="AC310" s="332"/>
      <c r="AD310" s="332"/>
      <c r="AE310" s="332"/>
      <c r="AF310" s="332"/>
      <c r="AG310" s="332"/>
      <c r="AH310" s="332"/>
      <c r="AI310" s="332"/>
      <c r="AJ310" s="333"/>
      <c r="AK310" s="333"/>
      <c r="AL310" s="333"/>
      <c r="AM310" s="333"/>
    </row>
    <row r="311" spans="2:39" s="316" customFormat="1" ht="26.25" customHeight="1" x14ac:dyDescent="0.2">
      <c r="B311" s="340" t="str">
        <f t="array" ref="B311">IF(ISERROR(INDEX('Eingabe Meldungen'!$C$2:$C$492,LARGE(('Eingabe Meldungen'!$A$2:$A$492=$B$288)*(ROW('Eingabe Meldungen'!$A$2:$A$492)-1),COUNTIF('Eingabe Meldungen'!$A$2:$A$492,$B$288)+1-ROW('Eingabe Meldungen'!A22)))),"",INDEX('Eingabe Meldungen'!$C$2:$C$492,LARGE(('Eingabe Meldungen'!$A$2:$A$492=$B$288)*(ROW('Eingabe Meldungen'!$A$2:$A$492)-1),COUNTIF('Eingabe Meldungen'!$A$2:$A$492,$B$288)+1-ROW('Eingabe Meldungen'!A22))))</f>
        <v xml:space="preserve">Haag </v>
      </c>
      <c r="C311" s="316" t="str">
        <f t="array" ref="C311">IF(ISERROR(INDEX('Eingabe Meldungen'!$D$2:$D$492,LARGE(('Eingabe Meldungen'!$A$2:$A$492=$B$288)*(ROW('Eingabe Meldungen'!$A$2:$A$492)-1),COUNTIF('Eingabe Meldungen'!$A$2:$A$492,$B$288)+1-ROW('Eingabe Meldungen'!A22)))),"",INDEX('Eingabe Meldungen'!$D$2:$D$492,LARGE(('Eingabe Meldungen'!$A$2:$A$492=$B$288)*(ROW('Eingabe Meldungen'!$A$2:$A$492)-1),COUNTIF('Eingabe Meldungen'!$A$2:$A$492,$B$288)+1-ROW('Eingabe Meldungen'!A22))))</f>
        <v>Felix</v>
      </c>
      <c r="D311" s="341">
        <f t="array" ref="D311">IF(B311&lt;&gt;"",INDEX('Eingabe Meldungen'!$C$2:$H$492,MATCH(B311&amp;C311,'Eingabe Meldungen'!$C$2:$C$492&amp;'Eingabe Meldungen'!$D$2:$D$492,0),6),"")</f>
        <v>2004</v>
      </c>
      <c r="E311" s="382" t="str">
        <f t="array" ref="E311">IF(B311&lt;&gt;"",INDEX('Eingabe Meldungen'!$C$2:$H$492,MATCH(B311&amp;C311,'Eingabe Meldungen'!$C$2:$C$492&amp;'Eingabe Meldungen'!$D$2:$D$492,0),4),"")</f>
        <v>Lgw. bis 67,5kg</v>
      </c>
      <c r="F311" s="353" t="s">
        <v>613</v>
      </c>
      <c r="G311" s="333">
        <v>14</v>
      </c>
      <c r="H311" s="343" t="str">
        <f t="array" ref="H311">IF(B311&lt;&gt;"",INDEX('Eingabe Meldungen'!$C$2:$J$492,MATCH(B311&amp;C311,'Eingabe Meldungen'!$C$2:$C$492&amp;'Eingabe Meldungen'!$D$2:$D$492,0),8),"")</f>
        <v>Marbacher Ruderverein</v>
      </c>
      <c r="J311" s="332"/>
      <c r="K311" s="332"/>
      <c r="L311" s="332"/>
      <c r="M311" s="332"/>
      <c r="N311" s="332"/>
      <c r="O311" s="332"/>
      <c r="P311" s="332"/>
      <c r="Q311" s="332"/>
      <c r="R311" s="332"/>
      <c r="S311" s="332"/>
      <c r="T311" s="332"/>
      <c r="U311" s="332"/>
      <c r="V311" s="332"/>
      <c r="W311" s="332"/>
      <c r="X311" s="332"/>
      <c r="Y311" s="332"/>
      <c r="Z311" s="332"/>
      <c r="AA311" s="332"/>
      <c r="AB311" s="332"/>
      <c r="AC311" s="332"/>
      <c r="AD311" s="332"/>
      <c r="AE311" s="332"/>
      <c r="AF311" s="332"/>
      <c r="AG311" s="332"/>
      <c r="AH311" s="332"/>
      <c r="AI311" s="332"/>
      <c r="AJ311" s="333"/>
      <c r="AK311" s="333"/>
      <c r="AL311" s="333"/>
      <c r="AM311" s="333"/>
    </row>
    <row r="312" spans="2:39" s="316" customFormat="1" ht="26.25" customHeight="1" x14ac:dyDescent="0.2">
      <c r="B312" s="340" t="str">
        <f t="array" ref="B312">IF(ISERROR(INDEX('Eingabe Meldungen'!$C$2:$C$492,LARGE(('Eingabe Meldungen'!$A$2:$A$492=$B$288)*(ROW('Eingabe Meldungen'!$A$2:$A$492)-1),COUNTIF('Eingabe Meldungen'!$A$2:$A$492,$B$288)+1-ROW('Eingabe Meldungen'!A23)))),"",INDEX('Eingabe Meldungen'!$C$2:$C$492,LARGE(('Eingabe Meldungen'!$A$2:$A$492=$B$288)*(ROW('Eingabe Meldungen'!$A$2:$A$492)-1),COUNTIF('Eingabe Meldungen'!$A$2:$A$492,$B$288)+1-ROW('Eingabe Meldungen'!A23))))</f>
        <v/>
      </c>
      <c r="C312" s="316" t="str">
        <f t="array" ref="C312">IF(ISERROR(INDEX('Eingabe Meldungen'!$D$2:$D$492,LARGE(('Eingabe Meldungen'!$A$2:$A$492=$B$288)*(ROW('Eingabe Meldungen'!$A$2:$A$492)-1),COUNTIF('Eingabe Meldungen'!$A$2:$A$492,$B$288)+1-ROW('Eingabe Meldungen'!A23)))),"",INDEX('Eingabe Meldungen'!$D$2:$D$492,LARGE(('Eingabe Meldungen'!$A$2:$A$492=$B$288)*(ROW('Eingabe Meldungen'!$A$2:$A$492)-1),COUNTIF('Eingabe Meldungen'!$A$2:$A$492,$B$288)+1-ROW('Eingabe Meldungen'!A23))))</f>
        <v/>
      </c>
      <c r="D312" s="341" t="str">
        <f t="array" ref="D312">IF(B312&lt;&gt;"",INDEX('Eingabe Meldungen'!$C$2:$H$492,MATCH(B312&amp;C312,'Eingabe Meldungen'!$C$2:$C$492&amp;'Eingabe Meldungen'!$D$2:$D$492,0),6),"")</f>
        <v/>
      </c>
      <c r="E312" s="382" t="str">
        <f t="array" ref="E312">IF(B312&lt;&gt;"",INDEX('Eingabe Meldungen'!$C$2:$H$492,MATCH(B312&amp;C312,'Eingabe Meldungen'!$C$2:$C$492&amp;'Eingabe Meldungen'!$D$2:$D$492,0),4),"")</f>
        <v/>
      </c>
      <c r="F312" s="353" t="e">
        <f>IF(VLOOKUP(B312,Rennlisten!$B$226:$H$245,6,FALSE)=0,"",VLOOKUP(B312,Rennlisten!$B$226:$H$245,6,FALSE))</f>
        <v>#N/A</v>
      </c>
      <c r="G312" s="333" t="e">
        <f t="shared" ref="G312" si="32">RANK(F312,$F$290:$F$313,1)</f>
        <v>#N/A</v>
      </c>
      <c r="H312" s="343" t="str">
        <f t="array" ref="H312">IF(B312&lt;&gt;"",INDEX('Eingabe Meldungen'!$C$2:$J$492,MATCH(B312&amp;C312,'Eingabe Meldungen'!$C$2:$C$492&amp;'Eingabe Meldungen'!$D$2:$D$492,0),8),"")</f>
        <v/>
      </c>
      <c r="J312" s="332"/>
      <c r="K312" s="332"/>
      <c r="L312" s="332"/>
      <c r="M312" s="332"/>
      <c r="N312" s="332"/>
      <c r="O312" s="332"/>
      <c r="P312" s="332"/>
      <c r="Q312" s="332"/>
      <c r="R312" s="332"/>
      <c r="S312" s="332"/>
      <c r="T312" s="332"/>
      <c r="U312" s="332"/>
      <c r="V312" s="332"/>
      <c r="W312" s="332"/>
      <c r="X312" s="332"/>
      <c r="Y312" s="332"/>
      <c r="Z312" s="332"/>
      <c r="AA312" s="332"/>
      <c r="AB312" s="332"/>
      <c r="AC312" s="332"/>
      <c r="AD312" s="332"/>
      <c r="AE312" s="332"/>
      <c r="AF312" s="332"/>
      <c r="AG312" s="332"/>
      <c r="AH312" s="332"/>
      <c r="AI312" s="332"/>
      <c r="AJ312" s="333"/>
      <c r="AK312" s="333"/>
      <c r="AL312" s="333"/>
      <c r="AM312" s="333"/>
    </row>
    <row r="313" spans="2:39" s="316" customFormat="1" ht="26.25" customHeight="1" x14ac:dyDescent="0.2">
      <c r="B313" s="340" t="str">
        <f t="array" ref="B313">IF(ISERROR(INDEX('Eingabe Meldungen'!$C$2:$C$492,LARGE(('Eingabe Meldungen'!$A$2:$A$492=$B$288)*(ROW('Eingabe Meldungen'!$A$2:$A$492)-1),COUNTIF('Eingabe Meldungen'!$A$2:$A$492,$B$288)+1-ROW('Eingabe Meldungen'!A24)))),"",INDEX('Eingabe Meldungen'!$C$2:$C$492,LARGE(('Eingabe Meldungen'!$A$2:$A$492=$B$288)*(ROW('Eingabe Meldungen'!$A$2:$A$492)-1),COUNTIF('Eingabe Meldungen'!$A$2:$A$492,$B$288)+1-ROW('Eingabe Meldungen'!A24))))</f>
        <v/>
      </c>
      <c r="C313" s="316" t="str">
        <f t="array" ref="C313">IF(ISERROR(INDEX('Eingabe Meldungen'!$D$2:$D$492,LARGE(('Eingabe Meldungen'!$A$2:$A$492=$B$288)*(ROW('Eingabe Meldungen'!$A$2:$A$492)-1),COUNTIF('Eingabe Meldungen'!$A$2:$A$492,$B$288)+1-ROW('Eingabe Meldungen'!A24)))),"",INDEX('Eingabe Meldungen'!$D$2:$D$492,LARGE(('Eingabe Meldungen'!$A$2:$A$492=$B$288)*(ROW('Eingabe Meldungen'!$A$2:$A$492)-1),COUNTIF('Eingabe Meldungen'!$A$2:$A$492,$B$288)+1-ROW('Eingabe Meldungen'!A24))))</f>
        <v/>
      </c>
      <c r="D313" s="341" t="str">
        <f t="array" ref="D313">IF(B313&lt;&gt;"",INDEX('Eingabe Meldungen'!$C$2:$H$492,MATCH(B313&amp;C313,'Eingabe Meldungen'!$C$2:$C$492&amp;'Eingabe Meldungen'!$D$2:$D$492,0),6),"")</f>
        <v/>
      </c>
      <c r="E313" s="382" t="str">
        <f t="array" ref="E313">IF(B313&lt;&gt;"",INDEX('Eingabe Meldungen'!$C$2:$H$492,MATCH(B313&amp;C313,'Eingabe Meldungen'!$C$2:$C$492&amp;'Eingabe Meldungen'!$D$2:$D$492,0),4),"")</f>
        <v/>
      </c>
      <c r="F313" s="353" t="e">
        <f>IF(VLOOKUP(B313,Rennlisten!$B$226:$H$245,6,FALSE)=0,"",VLOOKUP(B313,Rennlisten!$B$226:$H$245,6,FALSE))</f>
        <v>#N/A</v>
      </c>
      <c r="G313" s="333" t="e">
        <f t="shared" ref="G313" si="33">RANK(F313,$F$290:$F$313,1)</f>
        <v>#N/A</v>
      </c>
      <c r="H313" s="343" t="str">
        <f t="array" ref="H313">IF(B313&lt;&gt;"",INDEX('Eingabe Meldungen'!$C$2:$J$492,MATCH(B313&amp;C313,'Eingabe Meldungen'!$C$2:$C$492&amp;'Eingabe Meldungen'!$D$2:$D$492,0),8),"")</f>
        <v/>
      </c>
      <c r="J313" s="332"/>
      <c r="K313" s="332"/>
      <c r="L313" s="332"/>
      <c r="M313" s="332"/>
      <c r="N313" s="332"/>
      <c r="O313" s="332"/>
      <c r="P313" s="332"/>
      <c r="Q313" s="332"/>
      <c r="R313" s="332"/>
      <c r="S313" s="332"/>
      <c r="T313" s="332"/>
      <c r="U313" s="332"/>
      <c r="V313" s="332"/>
      <c r="W313" s="332"/>
      <c r="X313" s="332"/>
      <c r="Y313" s="332"/>
      <c r="Z313" s="332"/>
      <c r="AA313" s="332"/>
      <c r="AB313" s="332"/>
      <c r="AC313" s="332"/>
      <c r="AD313" s="332"/>
      <c r="AE313" s="332"/>
      <c r="AF313" s="332"/>
      <c r="AG313" s="332"/>
      <c r="AH313" s="332"/>
      <c r="AI313" s="332"/>
      <c r="AJ313" s="333"/>
      <c r="AK313" s="333"/>
      <c r="AL313" s="333"/>
      <c r="AM313" s="333"/>
    </row>
    <row r="314" spans="2:39" s="316" customFormat="1" ht="26.25" customHeight="1" thickBot="1" x14ac:dyDescent="0.25">
      <c r="E314" s="352"/>
      <c r="F314" s="333"/>
      <c r="G314" s="333"/>
      <c r="J314" s="333"/>
      <c r="K314" s="333"/>
      <c r="L314" s="333"/>
      <c r="M314" s="333"/>
      <c r="N314" s="333"/>
      <c r="O314" s="333"/>
      <c r="P314" s="333"/>
      <c r="Q314" s="333"/>
      <c r="R314" s="333"/>
      <c r="S314" s="333"/>
      <c r="T314" s="333"/>
      <c r="U314" s="333"/>
      <c r="V314" s="333"/>
      <c r="W314" s="333"/>
      <c r="X314" s="333"/>
      <c r="Y314" s="333"/>
      <c r="Z314" s="333"/>
      <c r="AA314" s="333"/>
      <c r="AB314" s="333"/>
      <c r="AC314" s="333"/>
      <c r="AD314" s="333"/>
      <c r="AE314" s="333"/>
      <c r="AF314" s="333"/>
      <c r="AG314" s="333"/>
      <c r="AH314" s="333"/>
      <c r="AI314" s="333"/>
      <c r="AJ314" s="333"/>
      <c r="AK314" s="333"/>
      <c r="AL314" s="333"/>
      <c r="AM314" s="333"/>
    </row>
    <row r="315" spans="2:39" s="316" customFormat="1" ht="26.25" customHeight="1" x14ac:dyDescent="0.2">
      <c r="B315" s="326">
        <v>14</v>
      </c>
      <c r="C315" s="327" t="str">
        <f>VLOOKUP(B315,Ausschreibung!$B$5:$I$35,2,FALSE)</f>
        <v>Ergocup</v>
      </c>
      <c r="D315" s="328">
        <f>VLOOKUP(B315,Ausschreibung!$B$5:$I$35,3,FALSE)</f>
        <v>0.60972222222222217</v>
      </c>
      <c r="E315" s="327" t="str">
        <f>VLOOKUP(B315,Ausschreibung!$B$5:$I$35,4,FALSE)</f>
        <v>Junioren B U17</v>
      </c>
      <c r="F315" s="329" t="str">
        <f>VLOOKUP(B315,Ausschreibung!$B$5:$I$35,5,FALSE)</f>
        <v>-</v>
      </c>
      <c r="G315" s="330" t="str">
        <f>VLOOKUP(B315,Ausschreibung!$B$5:$I$35,6,FALSE)</f>
        <v>15-16</v>
      </c>
      <c r="H315" s="331" t="str">
        <f>VLOOKUP(B315,Ausschreibung!$B$5:$I$35,8,FALSE)</f>
        <v>1500 m</v>
      </c>
      <c r="J315" s="332"/>
      <c r="K315" s="332"/>
      <c r="L315" s="332"/>
      <c r="M315" s="332"/>
      <c r="N315" s="332"/>
      <c r="O315" s="332"/>
      <c r="P315" s="332"/>
      <c r="Q315" s="332"/>
      <c r="R315" s="332"/>
      <c r="S315" s="332"/>
      <c r="T315" s="332"/>
      <c r="U315" s="332"/>
      <c r="V315" s="332"/>
      <c r="W315" s="332"/>
      <c r="X315" s="332"/>
      <c r="Y315" s="332"/>
      <c r="Z315" s="332"/>
      <c r="AA315" s="332"/>
      <c r="AB315" s="332"/>
      <c r="AC315" s="332"/>
      <c r="AD315" s="332"/>
      <c r="AE315" s="332"/>
      <c r="AF315" s="332"/>
      <c r="AG315" s="332"/>
      <c r="AH315" s="332"/>
      <c r="AI315" s="332"/>
      <c r="AJ315" s="333"/>
      <c r="AK315" s="333"/>
      <c r="AL315" s="333"/>
      <c r="AM315" s="333"/>
    </row>
    <row r="316" spans="2:39" s="316" customFormat="1" ht="26.25" customHeight="1" x14ac:dyDescent="0.2">
      <c r="B316" s="334" t="s">
        <v>1</v>
      </c>
      <c r="C316" s="335" t="s">
        <v>2</v>
      </c>
      <c r="D316" s="336" t="s">
        <v>49</v>
      </c>
      <c r="E316" s="381" t="s">
        <v>16</v>
      </c>
      <c r="F316" s="337" t="s">
        <v>50</v>
      </c>
      <c r="G316" s="338" t="s">
        <v>51</v>
      </c>
      <c r="H316" s="339" t="s">
        <v>17</v>
      </c>
      <c r="J316" s="332"/>
      <c r="K316" s="332"/>
      <c r="L316" s="332"/>
      <c r="M316" s="332"/>
      <c r="N316" s="332"/>
      <c r="O316" s="332"/>
      <c r="P316" s="332"/>
      <c r="Q316" s="332"/>
      <c r="R316" s="332"/>
      <c r="S316" s="332"/>
      <c r="T316" s="332"/>
      <c r="U316" s="332"/>
      <c r="V316" s="332"/>
      <c r="W316" s="332"/>
      <c r="X316" s="332"/>
      <c r="Y316" s="332"/>
      <c r="Z316" s="332"/>
      <c r="AA316" s="332"/>
      <c r="AB316" s="332"/>
      <c r="AC316" s="332"/>
      <c r="AD316" s="332"/>
      <c r="AE316" s="332"/>
      <c r="AF316" s="332"/>
      <c r="AG316" s="332"/>
      <c r="AH316" s="332"/>
      <c r="AI316" s="332"/>
      <c r="AJ316" s="333"/>
      <c r="AK316" s="333"/>
      <c r="AL316" s="333"/>
      <c r="AM316" s="333"/>
    </row>
    <row r="317" spans="2:39" s="316" customFormat="1" ht="26.25" customHeight="1" x14ac:dyDescent="0.2">
      <c r="B317" s="340" t="str">
        <f t="array" ref="B317">IF(ISERROR(INDEX('Eingabe Meldungen'!$C$2:$C$492,LARGE(('Eingabe Meldungen'!$A$2:$A$492=$B$315)*(ROW('Eingabe Meldungen'!$A$2:$A$492)-1),COUNTIF('Eingabe Meldungen'!$A$2:$A$492,$B$315)+1-ROW('Eingabe Meldungen'!A1)))),"",INDEX('Eingabe Meldungen'!$C$2:$C$492,LARGE(('Eingabe Meldungen'!$A$2:$A$492=$B$315)*(ROW('Eingabe Meldungen'!$A$2:$A$492)-1),COUNTIF('Eingabe Meldungen'!$A$2:$A$492,$B$315)+1-ROW('Eingabe Meldungen'!A1))))</f>
        <v>Schmiegelt</v>
      </c>
      <c r="C317" s="316" t="str">
        <f t="array" ref="C317">IF(ISERROR(INDEX('Eingabe Meldungen'!$D$2:$D$492,LARGE(('Eingabe Meldungen'!$A$2:$A$492=$B$315)*(ROW('Eingabe Meldungen'!$A$2:$A$492)-1),COUNTIF('Eingabe Meldungen'!$A$2:$A$492,$B$315)+1-ROW('Eingabe Meldungen'!A1)))),"",INDEX('Eingabe Meldungen'!$D$2:$D$492,LARGE(('Eingabe Meldungen'!$A$2:$A$492=$B$315)*(ROW('Eingabe Meldungen'!$A$2:$A$492)-1),COUNTIF('Eingabe Meldungen'!$A$2:$A$492,$B$315)+1-ROW('Eingabe Meldungen'!A1))))</f>
        <v>Adrian</v>
      </c>
      <c r="D317" s="341">
        <f t="array" ref="D317">IF(B317&lt;&gt;"",INDEX('Eingabe Meldungen'!$C$2:$H$492,MATCH(B317&amp;C317,'Eingabe Meldungen'!$C$2:$C$492&amp;'Eingabe Meldungen'!$D$2:$D$492,0),6),"")</f>
        <v>2005</v>
      </c>
      <c r="E317" s="382" t="str">
        <f t="array" ref="E317">IF(B317&lt;&gt;"",INDEX('Eingabe Meldungen'!$C$2:$H$492,MATCH(B317&amp;C317,'Eingabe Meldungen'!$C$2:$C$492&amp;'Eingabe Meldungen'!$D$2:$D$492,0),4),"")</f>
        <v>-</v>
      </c>
      <c r="F317" s="353" t="s">
        <v>617</v>
      </c>
      <c r="G317" s="333">
        <v>4</v>
      </c>
      <c r="H317" s="343" t="str">
        <f t="array" ref="H317">IF(B317&lt;&gt;"",INDEX('Eingabe Meldungen'!$C$2:$J$492,MATCH(B317&amp;C317,'Eingabe Meldungen'!$C$2:$C$492&amp;'Eingabe Meldungen'!$D$2:$D$492,0),8),"")</f>
        <v>RC Nürtingen</v>
      </c>
      <c r="J317" s="332"/>
      <c r="K317" s="332"/>
      <c r="L317" s="332"/>
      <c r="M317" s="332">
        <v>1</v>
      </c>
      <c r="N317" s="332"/>
      <c r="O317" s="332"/>
      <c r="P317" s="332"/>
      <c r="Q317" s="332"/>
      <c r="R317" s="332"/>
      <c r="S317" s="332"/>
      <c r="T317" s="332"/>
      <c r="U317" s="332"/>
      <c r="V317" s="332"/>
      <c r="W317" s="332"/>
      <c r="X317" s="332"/>
      <c r="Y317" s="332"/>
      <c r="Z317" s="332"/>
      <c r="AA317" s="332"/>
      <c r="AB317" s="332"/>
      <c r="AC317" s="332"/>
      <c r="AD317" s="332"/>
      <c r="AE317" s="332"/>
      <c r="AF317" s="332"/>
      <c r="AG317" s="332"/>
      <c r="AH317" s="332"/>
      <c r="AI317" s="332"/>
      <c r="AJ317" s="333"/>
      <c r="AK317" s="333"/>
      <c r="AL317" s="333"/>
      <c r="AM317" s="333"/>
    </row>
    <row r="318" spans="2:39" s="316" customFormat="1" ht="26.25" customHeight="1" x14ac:dyDescent="0.2">
      <c r="B318" s="340" t="str">
        <f t="array" ref="B318">IF(ISERROR(INDEX('Eingabe Meldungen'!$C$2:$C$492,LARGE(('Eingabe Meldungen'!$A$2:$A$492=$B$315)*(ROW('Eingabe Meldungen'!$A$2:$A$492)-1),COUNTIF('Eingabe Meldungen'!$A$2:$A$492,$B$315)+1-ROW('Eingabe Meldungen'!A2)))),"",INDEX('Eingabe Meldungen'!$C$2:$C$492,LARGE(('Eingabe Meldungen'!$A$2:$A$492=$B$315)*(ROW('Eingabe Meldungen'!$A$2:$A$492)-1),COUNTIF('Eingabe Meldungen'!$A$2:$A$492,$B$315)+1-ROW('Eingabe Meldungen'!A2))))</f>
        <v>Waller</v>
      </c>
      <c r="C318" s="316" t="str">
        <f t="array" ref="C318">IF(ISERROR(INDEX('Eingabe Meldungen'!$D$2:$D$492,LARGE(('Eingabe Meldungen'!$A$2:$A$492=$B$315)*(ROW('Eingabe Meldungen'!$A$2:$A$492)-1),COUNTIF('Eingabe Meldungen'!$A$2:$A$492,$B$315)+1-ROW('Eingabe Meldungen'!A2)))),"",INDEX('Eingabe Meldungen'!$D$2:$D$492,LARGE(('Eingabe Meldungen'!$A$2:$A$492=$B$315)*(ROW('Eingabe Meldungen'!$A$2:$A$492)-1),COUNTIF('Eingabe Meldungen'!$A$2:$A$492,$B$315)+1-ROW('Eingabe Meldungen'!A2))))</f>
        <v>Julian</v>
      </c>
      <c r="D318" s="341">
        <f t="array" ref="D318">IF(B318&lt;&gt;"",INDEX('Eingabe Meldungen'!$C$2:$H$492,MATCH(B318&amp;C318,'Eingabe Meldungen'!$C$2:$C$492&amp;'Eingabe Meldungen'!$D$2:$D$492,0),6),"")</f>
        <v>2005</v>
      </c>
      <c r="E318" s="382" t="str">
        <f t="array" ref="E318">IF(B318&lt;&gt;"",INDEX('Eingabe Meldungen'!$C$2:$H$492,MATCH(B318&amp;C318,'Eingabe Meldungen'!$C$2:$C$492&amp;'Eingabe Meldungen'!$D$2:$D$492,0),4),"")</f>
        <v>-</v>
      </c>
      <c r="F318" s="353" t="s">
        <v>615</v>
      </c>
      <c r="G318" s="333">
        <v>2</v>
      </c>
      <c r="H318" s="343" t="str">
        <f t="array" ref="H318">IF(B318&lt;&gt;"",INDEX('Eingabe Meldungen'!$C$2:$J$492,MATCH(B318&amp;C318,'Eingabe Meldungen'!$C$2:$C$492&amp;'Eingabe Meldungen'!$D$2:$D$492,0),8),"")</f>
        <v>Schweinfurter Ruder-Club Franken</v>
      </c>
      <c r="J318" s="332"/>
      <c r="K318" s="332"/>
      <c r="L318" s="332"/>
      <c r="M318" s="332"/>
      <c r="N318" s="332"/>
      <c r="O318" s="332"/>
      <c r="P318" s="332"/>
      <c r="Q318" s="332"/>
      <c r="R318" s="332"/>
      <c r="S318" s="332"/>
      <c r="T318" s="332"/>
      <c r="U318" s="332"/>
      <c r="V318" s="332"/>
      <c r="W318" s="332"/>
      <c r="X318" s="332"/>
      <c r="Y318" s="332"/>
      <c r="Z318" s="332"/>
      <c r="AA318" s="332"/>
      <c r="AB318" s="332"/>
      <c r="AC318" s="332"/>
      <c r="AD318" s="332"/>
      <c r="AE318" s="332"/>
      <c r="AF318" s="332"/>
      <c r="AG318" s="332"/>
      <c r="AH318" s="332"/>
      <c r="AI318" s="332"/>
      <c r="AJ318" s="333"/>
      <c r="AK318" s="333"/>
      <c r="AL318" s="333"/>
      <c r="AM318" s="333"/>
    </row>
    <row r="319" spans="2:39" s="316" customFormat="1" ht="26.25" customHeight="1" x14ac:dyDescent="0.2">
      <c r="B319" s="340"/>
      <c r="D319" s="341"/>
      <c r="E319" s="382"/>
      <c r="F319" s="353"/>
      <c r="G319" s="333"/>
      <c r="H319" s="343"/>
      <c r="J319" s="332"/>
      <c r="K319" s="332"/>
      <c r="L319" s="332"/>
      <c r="M319" s="332"/>
      <c r="N319" s="332"/>
      <c r="O319" s="332"/>
      <c r="P319" s="332"/>
      <c r="Q319" s="332"/>
      <c r="R319" s="332"/>
      <c r="S319" s="332"/>
      <c r="T319" s="332"/>
      <c r="U319" s="332"/>
      <c r="V319" s="332"/>
      <c r="W319" s="332"/>
      <c r="X319" s="332"/>
      <c r="Y319" s="332"/>
      <c r="Z319" s="332"/>
      <c r="AA319" s="332"/>
      <c r="AB319" s="332"/>
      <c r="AC319" s="332"/>
      <c r="AD319" s="332"/>
      <c r="AE319" s="332"/>
      <c r="AF319" s="332"/>
      <c r="AG319" s="332"/>
      <c r="AH319" s="332"/>
      <c r="AI319" s="332"/>
      <c r="AJ319" s="333"/>
      <c r="AK319" s="333"/>
      <c r="AL319" s="333"/>
      <c r="AM319" s="333"/>
    </row>
    <row r="320" spans="2:39" s="316" customFormat="1" ht="26.25" customHeight="1" x14ac:dyDescent="0.2">
      <c r="B320" s="340" t="str">
        <f t="array" ref="B320">IF(ISERROR(INDEX('Eingabe Meldungen'!$C$2:$C$492,LARGE(('Eingabe Meldungen'!$A$2:$A$492=$B$315)*(ROW('Eingabe Meldungen'!$A$2:$A$492)-1),COUNTIF('Eingabe Meldungen'!$A$2:$A$492,$B$315)+1-ROW('Eingabe Meldungen'!A4)))),"",INDEX('Eingabe Meldungen'!$C$2:$C$492,LARGE(('Eingabe Meldungen'!$A$2:$A$492=$B$315)*(ROW('Eingabe Meldungen'!$A$2:$A$492)-1),COUNTIF('Eingabe Meldungen'!$A$2:$A$492,$B$315)+1-ROW('Eingabe Meldungen'!A4))))</f>
        <v>Gathmann</v>
      </c>
      <c r="C320" s="316" t="str">
        <f t="array" ref="C320">IF(ISERROR(INDEX('Eingabe Meldungen'!$D$2:$D$492,LARGE(('Eingabe Meldungen'!$A$2:$A$492=$B$315)*(ROW('Eingabe Meldungen'!$A$2:$A$492)-1),COUNTIF('Eingabe Meldungen'!$A$2:$A$492,$B$315)+1-ROW('Eingabe Meldungen'!A4)))),"",INDEX('Eingabe Meldungen'!$D$2:$D$492,LARGE(('Eingabe Meldungen'!$A$2:$A$492=$B$315)*(ROW('Eingabe Meldungen'!$A$2:$A$492)-1),COUNTIF('Eingabe Meldungen'!$A$2:$A$492,$B$315)+1-ROW('Eingabe Meldungen'!A4))))</f>
        <v>Tobias</v>
      </c>
      <c r="D320" s="341">
        <f t="array" ref="D320">IF(B320&lt;&gt;"",INDEX('Eingabe Meldungen'!$C$2:$H$492,MATCH(B320&amp;C320,'Eingabe Meldungen'!$C$2:$C$492&amp;'Eingabe Meldungen'!$D$2:$D$492,0),6),"")</f>
        <v>2005</v>
      </c>
      <c r="E320" s="382" t="str">
        <f t="array" ref="E320">IF(B320&lt;&gt;"",INDEX('Eingabe Meldungen'!$C$2:$H$492,MATCH(B320&amp;C320,'Eingabe Meldungen'!$C$2:$C$492&amp;'Eingabe Meldungen'!$D$2:$D$492,0),4),"")</f>
        <v>-</v>
      </c>
      <c r="F320" s="353" t="s">
        <v>616</v>
      </c>
      <c r="G320" s="333">
        <v>3</v>
      </c>
      <c r="H320" s="343" t="str">
        <f t="array" ref="H320">IF(B320&lt;&gt;"",INDEX('Eingabe Meldungen'!$C$2:$J$492,MATCH(B320&amp;C320,'Eingabe Meldungen'!$C$2:$C$492&amp;'Eingabe Meldungen'!$D$2:$D$492,0),8),"")</f>
        <v>Stuttgart-Cannstatter RC</v>
      </c>
      <c r="J320" s="332"/>
      <c r="K320" s="332"/>
      <c r="L320" s="332"/>
      <c r="M320" s="332"/>
      <c r="N320" s="332"/>
      <c r="O320" s="332"/>
      <c r="P320" s="332"/>
      <c r="Q320" s="332"/>
      <c r="R320" s="332"/>
      <c r="S320" s="332"/>
      <c r="T320" s="332">
        <v>3</v>
      </c>
      <c r="U320" s="332"/>
      <c r="V320" s="332"/>
      <c r="W320" s="332"/>
      <c r="X320" s="332"/>
      <c r="Y320" s="332"/>
      <c r="Z320" s="332"/>
      <c r="AA320" s="332"/>
      <c r="AB320" s="332"/>
      <c r="AC320" s="332"/>
      <c r="AD320" s="332"/>
      <c r="AE320" s="332"/>
      <c r="AF320" s="332"/>
      <c r="AG320" s="332"/>
      <c r="AH320" s="332"/>
      <c r="AI320" s="332"/>
      <c r="AJ320" s="333"/>
      <c r="AK320" s="333"/>
      <c r="AL320" s="333"/>
      <c r="AM320" s="333"/>
    </row>
    <row r="321" spans="2:39" s="316" customFormat="1" ht="26.25" customHeight="1" x14ac:dyDescent="0.2">
      <c r="B321" s="340" t="str">
        <f t="array" ref="B321">IF(ISERROR(INDEX('Eingabe Meldungen'!$C$2:$C$492,LARGE(('Eingabe Meldungen'!$A$2:$A$492=$B$256)*(ROW('Eingabe Meldungen'!$A$2:$A$492)-1),COUNTIF('Eingabe Meldungen'!$A$2:$A$492,$B$256)+1-ROW('Eingabe Meldungen'!A5)))),"",INDEX('Eingabe Meldungen'!$C$2:$C$492,LARGE(('Eingabe Meldungen'!$A$2:$A$492=$B$256)*(ROW('Eingabe Meldungen'!$A$2:$A$492)-1),COUNTIF('Eingabe Meldungen'!$A$2:$A$492,$B$256)+1-ROW('Eingabe Meldungen'!A5))))</f>
        <v>Hamini</v>
      </c>
      <c r="C321" s="316" t="str">
        <f t="array" ref="C321">IF(ISERROR(INDEX('Eingabe Meldungen'!$D$2:$D$492,LARGE(('Eingabe Meldungen'!$A$2:$A$492=$B$256)*(ROW('Eingabe Meldungen'!$A$2:$A$492)-1),COUNTIF('Eingabe Meldungen'!$A$2:$A$492,$B$256)+1-ROW('Eingabe Meldungen'!A5)))),"",INDEX('Eingabe Meldungen'!$D$2:$D$492,LARGE(('Eingabe Meldungen'!$A$2:$A$492=$B$256)*(ROW('Eingabe Meldungen'!$A$2:$A$492)-1),COUNTIF('Eingabe Meldungen'!$A$2:$A$492,$B$256)+1-ROW('Eingabe Meldungen'!A5))))</f>
        <v>Bilal</v>
      </c>
      <c r="D321" s="341">
        <f t="array" ref="D321">IF(B321&lt;&gt;"",INDEX('Eingabe Meldungen'!$C$2:$H$492,MATCH(B321&amp;C321,'Eingabe Meldungen'!$C$2:$C$492&amp;'Eingabe Meldungen'!$D$2:$D$492,0),6),"")</f>
        <v>2005</v>
      </c>
      <c r="E321" s="382" t="str">
        <f t="array" ref="E321">IF(B321&lt;&gt;"",INDEX('Eingabe Meldungen'!$C$2:$H$492,MATCH(B321&amp;C321,'Eingabe Meldungen'!$C$2:$C$492&amp;'Eingabe Meldungen'!$D$2:$D$492,0),4),"")</f>
        <v>Lgw. bis 57,5kg</v>
      </c>
      <c r="F321" s="353" t="s">
        <v>614</v>
      </c>
      <c r="G321" s="333">
        <v>1</v>
      </c>
      <c r="H321" s="343" t="str">
        <f t="array" ref="H321">IF(B321&lt;&gt;"",INDEX('Eingabe Meldungen'!$C$2:$J$492,MATCH(B321&amp;C321,'Eingabe Meldungen'!$C$2:$C$492&amp;'Eingabe Meldungen'!$D$2:$D$492,0),8),"")</f>
        <v>RG Eberbach</v>
      </c>
      <c r="J321" s="332"/>
      <c r="K321" s="332"/>
      <c r="L321" s="332"/>
      <c r="M321" s="332"/>
      <c r="N321" s="332"/>
      <c r="O321" s="332"/>
      <c r="P321" s="332"/>
      <c r="Q321" s="332"/>
      <c r="R321" s="332"/>
      <c r="S321" s="332"/>
      <c r="T321" s="332"/>
      <c r="U321" s="332">
        <v>6</v>
      </c>
      <c r="V321" s="332"/>
      <c r="W321" s="332"/>
      <c r="X321" s="332"/>
      <c r="Y321" s="332"/>
      <c r="Z321" s="332"/>
      <c r="AA321" s="332"/>
      <c r="AB321" s="332"/>
      <c r="AC321" s="332"/>
      <c r="AD321" s="332"/>
      <c r="AE321" s="332"/>
      <c r="AF321" s="332"/>
      <c r="AG321" s="332"/>
      <c r="AH321" s="332"/>
      <c r="AI321" s="332"/>
      <c r="AJ321" s="333"/>
      <c r="AK321" s="333"/>
      <c r="AL321" s="333"/>
      <c r="AM321" s="333"/>
    </row>
    <row r="322" spans="2:39" s="316" customFormat="1" ht="26.25" customHeight="1" x14ac:dyDescent="0.2">
      <c r="B322" s="340" t="str">
        <f t="array" ref="B322">IF(ISERROR(INDEX('Eingabe Meldungen'!$C$2:$C$492,LARGE(('Eingabe Meldungen'!$A$2:$A$492=$B$315)*(ROW('Eingabe Meldungen'!$A$2:$A$492)-1),COUNTIF('Eingabe Meldungen'!$A$2:$A$492,$B$315)+1-ROW('Eingabe Meldungen'!A6)))),"",INDEX('Eingabe Meldungen'!$C$2:$C$492,LARGE(('Eingabe Meldungen'!$A$2:$A$492=$B$315)*(ROW('Eingabe Meldungen'!$A$2:$A$492)-1),COUNTIF('Eingabe Meldungen'!$A$2:$A$492,$B$315)+1-ROW('Eingabe Meldungen'!A6))))</f>
        <v/>
      </c>
      <c r="C322" s="316" t="str">
        <f t="array" ref="C322">IF(ISERROR(INDEX('Eingabe Meldungen'!$D$2:$D$492,LARGE(('Eingabe Meldungen'!$A$2:$A$492=$B$315)*(ROW('Eingabe Meldungen'!$A$2:$A$492)-1),COUNTIF('Eingabe Meldungen'!$A$2:$A$492,$B$315)+1-ROW('Eingabe Meldungen'!A6)))),"",INDEX('Eingabe Meldungen'!$D$2:$D$492,LARGE(('Eingabe Meldungen'!$A$2:$A$492=$B$315)*(ROW('Eingabe Meldungen'!$A$2:$A$492)-1),COUNTIF('Eingabe Meldungen'!$A$2:$A$492,$B$315)+1-ROW('Eingabe Meldungen'!A6))))</f>
        <v/>
      </c>
      <c r="D322" s="341" t="str">
        <f t="array" ref="D322">IF(B322&lt;&gt;"",INDEX('Eingabe Meldungen'!$C$2:$H$492,MATCH(B322&amp;C322,'Eingabe Meldungen'!$C$2:$C$492&amp;'Eingabe Meldungen'!$D$2:$D$492,0),6),"")</f>
        <v/>
      </c>
      <c r="E322" s="382" t="str">
        <f t="array" ref="E322">IF(B322&lt;&gt;"",INDEX('Eingabe Meldungen'!$C$2:$H$492,MATCH(B322&amp;C322,'Eingabe Meldungen'!$C$2:$C$492&amp;'Eingabe Meldungen'!$D$2:$D$492,0),4),"")</f>
        <v/>
      </c>
      <c r="F322" s="353" t="str">
        <f>IF(VLOOKUP(B322,Rennlisten!$B$252:$H$258,6,FALSE)=0,"",VLOOKUP(B322,Rennlisten!$B$252:$H$258,6,FALSE))</f>
        <v/>
      </c>
      <c r="G322" s="333" t="e">
        <f t="shared" ref="G322:G331" si="34">RANK(F322,$F$317:$F$332,1)</f>
        <v>#VALUE!</v>
      </c>
      <c r="H322" s="343" t="str">
        <f t="array" ref="H322">IF(B322&lt;&gt;"",INDEX('Eingabe Meldungen'!$C$2:$J$492,MATCH(B322&amp;C322,'Eingabe Meldungen'!$C$2:$C$492&amp;'Eingabe Meldungen'!$D$2:$D$492,0),8),"")</f>
        <v/>
      </c>
      <c r="J322" s="332"/>
      <c r="K322" s="332"/>
      <c r="L322" s="332"/>
      <c r="M322" s="332"/>
      <c r="N322" s="332"/>
      <c r="O322" s="332"/>
      <c r="P322" s="332"/>
      <c r="Q322" s="332"/>
      <c r="R322" s="332"/>
      <c r="S322" s="332"/>
      <c r="T322" s="332"/>
      <c r="U322" s="332"/>
      <c r="V322" s="332"/>
      <c r="W322" s="332"/>
      <c r="X322" s="332"/>
      <c r="Y322" s="332"/>
      <c r="Z322" s="332"/>
      <c r="AA322" s="332"/>
      <c r="AB322" s="332"/>
      <c r="AC322" s="332"/>
      <c r="AD322" s="332"/>
      <c r="AE322" s="332"/>
      <c r="AF322" s="332"/>
      <c r="AG322" s="332"/>
      <c r="AH322" s="332"/>
      <c r="AI322" s="332"/>
      <c r="AJ322" s="333"/>
      <c r="AK322" s="333"/>
      <c r="AL322" s="333"/>
      <c r="AM322" s="333"/>
    </row>
    <row r="323" spans="2:39" s="316" customFormat="1" ht="26.25" customHeight="1" x14ac:dyDescent="0.2">
      <c r="B323" s="340" t="str">
        <f t="array" ref="B323">IF(ISERROR(INDEX('Eingabe Meldungen'!$C$2:$C$492,LARGE(('Eingabe Meldungen'!$A$2:$A$492=$B$315)*(ROW('Eingabe Meldungen'!$A$2:$A$492)-1),COUNTIF('Eingabe Meldungen'!$A$2:$A$492,$B$315)+1-ROW('Eingabe Meldungen'!A7)))),"",INDEX('Eingabe Meldungen'!$C$2:$C$492,LARGE(('Eingabe Meldungen'!$A$2:$A$492=$B$315)*(ROW('Eingabe Meldungen'!$A$2:$A$492)-1),COUNTIF('Eingabe Meldungen'!$A$2:$A$492,$B$315)+1-ROW('Eingabe Meldungen'!A7))))</f>
        <v/>
      </c>
      <c r="C323" s="316" t="str">
        <f t="array" ref="C323">IF(ISERROR(INDEX('Eingabe Meldungen'!$D$2:$D$492,LARGE(('Eingabe Meldungen'!$A$2:$A$492=$B$315)*(ROW('Eingabe Meldungen'!$A$2:$A$492)-1),COUNTIF('Eingabe Meldungen'!$A$2:$A$492,$B$315)+1-ROW('Eingabe Meldungen'!A7)))),"",INDEX('Eingabe Meldungen'!$D$2:$D$492,LARGE(('Eingabe Meldungen'!$A$2:$A$492=$B$315)*(ROW('Eingabe Meldungen'!$A$2:$A$492)-1),COUNTIF('Eingabe Meldungen'!$A$2:$A$492,$B$315)+1-ROW('Eingabe Meldungen'!A7))))</f>
        <v/>
      </c>
      <c r="D323" s="341" t="str">
        <f t="array" ref="D323">IF(B323&lt;&gt;"",INDEX('Eingabe Meldungen'!$C$2:$H$492,MATCH(B323&amp;C323,'Eingabe Meldungen'!$C$2:$C$492&amp;'Eingabe Meldungen'!$D$2:$D$492,0),6),"")</f>
        <v/>
      </c>
      <c r="E323" s="382" t="str">
        <f t="array" ref="E323">IF(B323&lt;&gt;"",INDEX('Eingabe Meldungen'!$C$2:$H$492,MATCH(B323&amp;C323,'Eingabe Meldungen'!$C$2:$C$492&amp;'Eingabe Meldungen'!$D$2:$D$492,0),4),"")</f>
        <v/>
      </c>
      <c r="F323" s="353" t="str">
        <f>IF(VLOOKUP(B323,Rennlisten!$B$252:$H$258,6,FALSE)=0,"",VLOOKUP(B323,Rennlisten!$B$252:$H$258,6,FALSE))</f>
        <v/>
      </c>
      <c r="G323" s="333" t="e">
        <f t="shared" si="34"/>
        <v>#VALUE!</v>
      </c>
      <c r="H323" s="343" t="str">
        <f t="array" ref="H323">IF(B323&lt;&gt;"",INDEX('Eingabe Meldungen'!$C$2:$J$492,MATCH(B323&amp;C323,'Eingabe Meldungen'!$C$2:$C$492&amp;'Eingabe Meldungen'!$D$2:$D$492,0),8),"")</f>
        <v/>
      </c>
      <c r="J323" s="332"/>
      <c r="K323" s="332"/>
      <c r="L323" s="332"/>
      <c r="M323" s="332"/>
      <c r="N323" s="332"/>
      <c r="O323" s="332"/>
      <c r="P323" s="332"/>
      <c r="Q323" s="332"/>
      <c r="R323" s="332"/>
      <c r="S323" s="332"/>
      <c r="T323" s="332"/>
      <c r="U323" s="332"/>
      <c r="V323" s="332"/>
      <c r="W323" s="332"/>
      <c r="X323" s="332"/>
      <c r="Y323" s="332"/>
      <c r="Z323" s="332"/>
      <c r="AA323" s="332"/>
      <c r="AB323" s="332"/>
      <c r="AC323" s="332"/>
      <c r="AD323" s="332"/>
      <c r="AE323" s="332"/>
      <c r="AF323" s="332"/>
      <c r="AG323" s="332"/>
      <c r="AH323" s="332"/>
      <c r="AI323" s="332"/>
      <c r="AJ323" s="333"/>
      <c r="AK323" s="333"/>
      <c r="AL323" s="333"/>
      <c r="AM323" s="333"/>
    </row>
    <row r="324" spans="2:39" s="316" customFormat="1" ht="26.25" customHeight="1" x14ac:dyDescent="0.2">
      <c r="B324" s="340" t="str">
        <f t="array" ref="B324">IF(ISERROR(INDEX('Eingabe Meldungen'!$C$2:$C$492,LARGE(('Eingabe Meldungen'!$A$2:$A$492=$B$315)*(ROW('Eingabe Meldungen'!$A$2:$A$492)-1),COUNTIF('Eingabe Meldungen'!$A$2:$A$492,$B$315)+1-ROW('Eingabe Meldungen'!A8)))),"",INDEX('Eingabe Meldungen'!$C$2:$C$492,LARGE(('Eingabe Meldungen'!$A$2:$A$492=$B$315)*(ROW('Eingabe Meldungen'!$A$2:$A$492)-1),COUNTIF('Eingabe Meldungen'!$A$2:$A$492,$B$315)+1-ROW('Eingabe Meldungen'!A8))))</f>
        <v/>
      </c>
      <c r="C324" s="316" t="str">
        <f t="array" ref="C324">IF(ISERROR(INDEX('Eingabe Meldungen'!$D$2:$D$492,LARGE(('Eingabe Meldungen'!$A$2:$A$492=$B$315)*(ROW('Eingabe Meldungen'!$A$2:$A$492)-1),COUNTIF('Eingabe Meldungen'!$A$2:$A$492,$B$315)+1-ROW('Eingabe Meldungen'!A8)))),"",INDEX('Eingabe Meldungen'!$D$2:$D$492,LARGE(('Eingabe Meldungen'!$A$2:$A$492=$B$315)*(ROW('Eingabe Meldungen'!$A$2:$A$492)-1),COUNTIF('Eingabe Meldungen'!$A$2:$A$492,$B$315)+1-ROW('Eingabe Meldungen'!A8))))</f>
        <v/>
      </c>
      <c r="D324" s="341" t="str">
        <f t="array" ref="D324">IF(B324&lt;&gt;"",INDEX('Eingabe Meldungen'!$C$2:$H$492,MATCH(B324&amp;C324,'Eingabe Meldungen'!$C$2:$C$492&amp;'Eingabe Meldungen'!$D$2:$D$492,0),6),"")</f>
        <v/>
      </c>
      <c r="E324" s="382" t="str">
        <f t="array" ref="E324">IF(B324&lt;&gt;"",INDEX('Eingabe Meldungen'!$C$2:$H$492,MATCH(B324&amp;C324,'Eingabe Meldungen'!$C$2:$C$492&amp;'Eingabe Meldungen'!$D$2:$D$492,0),4),"")</f>
        <v/>
      </c>
      <c r="F324" s="353" t="str">
        <f>IF(VLOOKUP(B324,Rennlisten!$B$252:$H$258,6,FALSE)=0,"",VLOOKUP(B324,Rennlisten!$B$252:$H$258,6,FALSE))</f>
        <v/>
      </c>
      <c r="G324" s="333" t="e">
        <f t="shared" si="34"/>
        <v>#VALUE!</v>
      </c>
      <c r="H324" s="343" t="str">
        <f t="array" ref="H324">IF(B324&lt;&gt;"",INDEX('Eingabe Meldungen'!$C$2:$J$492,MATCH(B324&amp;C324,'Eingabe Meldungen'!$C$2:$C$492&amp;'Eingabe Meldungen'!$D$2:$D$492,0),8),"")</f>
        <v/>
      </c>
      <c r="J324" s="332"/>
      <c r="K324" s="332"/>
      <c r="L324" s="332"/>
      <c r="M324" s="332"/>
      <c r="N324" s="332"/>
      <c r="O324" s="332"/>
      <c r="P324" s="332"/>
      <c r="Q324" s="332"/>
      <c r="R324" s="332"/>
      <c r="S324" s="332"/>
      <c r="T324" s="332"/>
      <c r="U324" s="332"/>
      <c r="V324" s="332"/>
      <c r="W324" s="332"/>
      <c r="X324" s="332"/>
      <c r="Y324" s="332"/>
      <c r="Z324" s="332"/>
      <c r="AA324" s="332"/>
      <c r="AB324" s="332"/>
      <c r="AC324" s="332"/>
      <c r="AD324" s="332"/>
      <c r="AE324" s="332"/>
      <c r="AF324" s="332"/>
      <c r="AG324" s="332"/>
      <c r="AH324" s="332"/>
      <c r="AI324" s="332"/>
      <c r="AJ324" s="333"/>
      <c r="AK324" s="333"/>
      <c r="AL324" s="333"/>
      <c r="AM324" s="333"/>
    </row>
    <row r="325" spans="2:39" s="316" customFormat="1" ht="26.25" customHeight="1" x14ac:dyDescent="0.2">
      <c r="B325" s="340" t="str">
        <f t="array" ref="B325">IF(ISERROR(INDEX('Eingabe Meldungen'!$C$2:$C$492,LARGE(('Eingabe Meldungen'!$A$2:$A$492=$B$315)*(ROW('Eingabe Meldungen'!$A$2:$A$492)-1),COUNTIF('Eingabe Meldungen'!$A$2:$A$492,$B$315)+1-ROW('Eingabe Meldungen'!A9)))),"",INDEX('Eingabe Meldungen'!$C$2:$C$492,LARGE(('Eingabe Meldungen'!$A$2:$A$492=$B$315)*(ROW('Eingabe Meldungen'!$A$2:$A$492)-1),COUNTIF('Eingabe Meldungen'!$A$2:$A$492,$B$315)+1-ROW('Eingabe Meldungen'!A9))))</f>
        <v/>
      </c>
      <c r="C325" s="316" t="str">
        <f t="array" ref="C325">IF(ISERROR(INDEX('Eingabe Meldungen'!$D$2:$D$492,LARGE(('Eingabe Meldungen'!$A$2:$A$492=$B$315)*(ROW('Eingabe Meldungen'!$A$2:$A$492)-1),COUNTIF('Eingabe Meldungen'!$A$2:$A$492,$B$315)+1-ROW('Eingabe Meldungen'!A9)))),"",INDEX('Eingabe Meldungen'!$D$2:$D$492,LARGE(('Eingabe Meldungen'!$A$2:$A$492=$B$315)*(ROW('Eingabe Meldungen'!$A$2:$A$492)-1),COUNTIF('Eingabe Meldungen'!$A$2:$A$492,$B$315)+1-ROW('Eingabe Meldungen'!A9))))</f>
        <v/>
      </c>
      <c r="D325" s="341" t="str">
        <f t="array" ref="D325">IF(B325&lt;&gt;"",INDEX('Eingabe Meldungen'!$C$2:$H$492,MATCH(B325&amp;C325,'Eingabe Meldungen'!$C$2:$C$492&amp;'Eingabe Meldungen'!$D$2:$D$492,0),6),"")</f>
        <v/>
      </c>
      <c r="E325" s="382" t="str">
        <f t="array" ref="E325">IF(B325&lt;&gt;"",INDEX('Eingabe Meldungen'!$C$2:$H$492,MATCH(B325&amp;C325,'Eingabe Meldungen'!$C$2:$C$492&amp;'Eingabe Meldungen'!$D$2:$D$492,0),4),"")</f>
        <v/>
      </c>
      <c r="F325" s="353" t="str">
        <f>IF(VLOOKUP(B325,Rennlisten!$B$252:$H$258,6,FALSE)=0,"",VLOOKUP(B325,Rennlisten!$B$252:$H$258,6,FALSE))</f>
        <v/>
      </c>
      <c r="G325" s="333" t="e">
        <f t="shared" si="34"/>
        <v>#VALUE!</v>
      </c>
      <c r="H325" s="343" t="str">
        <f t="array" ref="H325">IF(B325&lt;&gt;"",INDEX('Eingabe Meldungen'!$C$2:$J$492,MATCH(B325&amp;C325,'Eingabe Meldungen'!$C$2:$C$492&amp;'Eingabe Meldungen'!$D$2:$D$492,0),8),"")</f>
        <v/>
      </c>
      <c r="J325" s="332"/>
      <c r="K325" s="332"/>
      <c r="L325" s="332"/>
      <c r="M325" s="332"/>
      <c r="N325" s="332"/>
      <c r="O325" s="332"/>
      <c r="P325" s="332"/>
      <c r="Q325" s="332"/>
      <c r="R325" s="332"/>
      <c r="S325" s="332"/>
      <c r="T325" s="332"/>
      <c r="U325" s="332"/>
      <c r="V325" s="332"/>
      <c r="W325" s="332"/>
      <c r="X325" s="332"/>
      <c r="Y325" s="332"/>
      <c r="Z325" s="332"/>
      <c r="AA325" s="332"/>
      <c r="AB325" s="332"/>
      <c r="AC325" s="332"/>
      <c r="AD325" s="332"/>
      <c r="AE325" s="332"/>
      <c r="AF325" s="332"/>
      <c r="AG325" s="332"/>
      <c r="AH325" s="332"/>
      <c r="AI325" s="332"/>
      <c r="AJ325" s="333"/>
      <c r="AK325" s="333"/>
      <c r="AL325" s="333"/>
      <c r="AM325" s="333"/>
    </row>
    <row r="326" spans="2:39" s="316" customFormat="1" ht="26.25" customHeight="1" x14ac:dyDescent="0.2">
      <c r="B326" s="340" t="str">
        <f t="array" ref="B326">IF(ISERROR(INDEX('Eingabe Meldungen'!$C$2:$C$492,LARGE(('Eingabe Meldungen'!$A$2:$A$492=$B$315)*(ROW('Eingabe Meldungen'!$A$2:$A$492)-1),COUNTIF('Eingabe Meldungen'!$A$2:$A$492,$B$315)+1-ROW('Eingabe Meldungen'!A10)))),"",INDEX('Eingabe Meldungen'!$C$2:$C$492,LARGE(('Eingabe Meldungen'!$A$2:$A$492=$B$315)*(ROW('Eingabe Meldungen'!$A$2:$A$492)-1),COUNTIF('Eingabe Meldungen'!$A$2:$A$492,$B$315)+1-ROW('Eingabe Meldungen'!A10))))</f>
        <v/>
      </c>
      <c r="C326" s="316" t="str">
        <f t="array" ref="C326">IF(ISERROR(INDEX('Eingabe Meldungen'!$D$2:$D$492,LARGE(('Eingabe Meldungen'!$A$2:$A$492=$B$315)*(ROW('Eingabe Meldungen'!$A$2:$A$492)-1),COUNTIF('Eingabe Meldungen'!$A$2:$A$492,$B$315)+1-ROW('Eingabe Meldungen'!A10)))),"",INDEX('Eingabe Meldungen'!$D$2:$D$492,LARGE(('Eingabe Meldungen'!$A$2:$A$492=$B$315)*(ROW('Eingabe Meldungen'!$A$2:$A$492)-1),COUNTIF('Eingabe Meldungen'!$A$2:$A$492,$B$315)+1-ROW('Eingabe Meldungen'!A10))))</f>
        <v/>
      </c>
      <c r="D326" s="341" t="str">
        <f t="array" ref="D326">IF(B326&lt;&gt;"",INDEX('Eingabe Meldungen'!$C$2:$H$492,MATCH(B326&amp;C326,'Eingabe Meldungen'!$C$2:$C$492&amp;'Eingabe Meldungen'!$D$2:$D$492,0),6),"")</f>
        <v/>
      </c>
      <c r="E326" s="382" t="str">
        <f t="array" ref="E326">IF(B326&lt;&gt;"",INDEX('Eingabe Meldungen'!$C$2:$H$492,MATCH(B326&amp;C326,'Eingabe Meldungen'!$C$2:$C$492&amp;'Eingabe Meldungen'!$D$2:$D$492,0),4),"")</f>
        <v/>
      </c>
      <c r="F326" s="353" t="str">
        <f>IF(VLOOKUP(B326,Rennlisten!$B$252:$H$258,6,FALSE)=0,"",VLOOKUP(B326,Rennlisten!$B$252:$H$258,6,FALSE))</f>
        <v/>
      </c>
      <c r="G326" s="333" t="e">
        <f t="shared" si="34"/>
        <v>#VALUE!</v>
      </c>
      <c r="H326" s="343" t="str">
        <f t="array" ref="H326">IF(B326&lt;&gt;"",INDEX('Eingabe Meldungen'!$C$2:$J$492,MATCH(B326&amp;C326,'Eingabe Meldungen'!$C$2:$C$492&amp;'Eingabe Meldungen'!$D$2:$D$492,0),8),"")</f>
        <v/>
      </c>
      <c r="J326" s="332"/>
      <c r="K326" s="332"/>
      <c r="L326" s="332"/>
      <c r="M326" s="332"/>
      <c r="N326" s="332"/>
      <c r="O326" s="332"/>
      <c r="P326" s="332"/>
      <c r="Q326" s="332"/>
      <c r="R326" s="332"/>
      <c r="S326" s="332"/>
      <c r="T326" s="332"/>
      <c r="U326" s="332"/>
      <c r="V326" s="332"/>
      <c r="W326" s="332"/>
      <c r="X326" s="332"/>
      <c r="Y326" s="332"/>
      <c r="Z326" s="332"/>
      <c r="AA326" s="332"/>
      <c r="AB326" s="332"/>
      <c r="AC326" s="332"/>
      <c r="AD326" s="332"/>
      <c r="AE326" s="332"/>
      <c r="AF326" s="332"/>
      <c r="AG326" s="332"/>
      <c r="AH326" s="332"/>
      <c r="AI326" s="332"/>
      <c r="AJ326" s="333"/>
      <c r="AK326" s="333"/>
      <c r="AL326" s="333"/>
      <c r="AM326" s="333"/>
    </row>
    <row r="327" spans="2:39" s="316" customFormat="1" ht="26.25" customHeight="1" x14ac:dyDescent="0.2">
      <c r="B327" s="340" t="str">
        <f t="array" ref="B327">IF(ISERROR(INDEX('Eingabe Meldungen'!$C$2:$C$492,LARGE(('Eingabe Meldungen'!$A$2:$A$492=$B$315)*(ROW('Eingabe Meldungen'!$A$2:$A$492)-1),COUNTIF('Eingabe Meldungen'!$A$2:$A$492,$B$315)+1-ROW('Eingabe Meldungen'!A11)))),"",INDEX('Eingabe Meldungen'!$C$2:$C$492,LARGE(('Eingabe Meldungen'!$A$2:$A$492=$B$315)*(ROW('Eingabe Meldungen'!$A$2:$A$492)-1),COUNTIF('Eingabe Meldungen'!$A$2:$A$492,$B$315)+1-ROW('Eingabe Meldungen'!A11))))</f>
        <v/>
      </c>
      <c r="C327" s="316" t="str">
        <f t="array" ref="C327">IF(ISERROR(INDEX('Eingabe Meldungen'!$D$2:$D$492,LARGE(('Eingabe Meldungen'!$A$2:$A$492=$B$315)*(ROW('Eingabe Meldungen'!$A$2:$A$492)-1),COUNTIF('Eingabe Meldungen'!$A$2:$A$492,$B$315)+1-ROW('Eingabe Meldungen'!A11)))),"",INDEX('Eingabe Meldungen'!$D$2:$D$492,LARGE(('Eingabe Meldungen'!$A$2:$A$492=$B$315)*(ROW('Eingabe Meldungen'!$A$2:$A$492)-1),COUNTIF('Eingabe Meldungen'!$A$2:$A$492,$B$315)+1-ROW('Eingabe Meldungen'!A11))))</f>
        <v/>
      </c>
      <c r="D327" s="341" t="str">
        <f t="array" ref="D327">IF(B327&lt;&gt;"",INDEX('Eingabe Meldungen'!$C$2:$H$492,MATCH(B327&amp;C327,'Eingabe Meldungen'!$C$2:$C$492&amp;'Eingabe Meldungen'!$D$2:$D$492,0),6),"")</f>
        <v/>
      </c>
      <c r="E327" s="382" t="str">
        <f t="array" ref="E327">IF(B327&lt;&gt;"",INDEX('Eingabe Meldungen'!$C$2:$H$492,MATCH(B327&amp;C327,'Eingabe Meldungen'!$C$2:$C$492&amp;'Eingabe Meldungen'!$D$2:$D$492,0),4),"")</f>
        <v/>
      </c>
      <c r="F327" s="353" t="str">
        <f>IF(VLOOKUP(B327,Rennlisten!$B$252:$H$258,6,FALSE)=0,"",VLOOKUP(B327,Rennlisten!$B$252:$H$258,6,FALSE))</f>
        <v/>
      </c>
      <c r="G327" s="333" t="e">
        <f t="shared" si="34"/>
        <v>#VALUE!</v>
      </c>
      <c r="H327" s="343" t="str">
        <f t="array" ref="H327">IF(B327&lt;&gt;"",INDEX('Eingabe Meldungen'!$C$2:$J$492,MATCH(B327&amp;C327,'Eingabe Meldungen'!$C$2:$C$492&amp;'Eingabe Meldungen'!$D$2:$D$492,0),8),"")</f>
        <v/>
      </c>
      <c r="J327" s="332"/>
      <c r="K327" s="332"/>
      <c r="L327" s="332"/>
      <c r="M327" s="332"/>
      <c r="N327" s="332"/>
      <c r="O327" s="332"/>
      <c r="P327" s="332"/>
      <c r="Q327" s="332"/>
      <c r="R327" s="332"/>
      <c r="S327" s="332"/>
      <c r="T327" s="332"/>
      <c r="U327" s="332"/>
      <c r="V327" s="332"/>
      <c r="W327" s="332"/>
      <c r="X327" s="332"/>
      <c r="Y327" s="332"/>
      <c r="Z327" s="332"/>
      <c r="AA327" s="332"/>
      <c r="AB327" s="332"/>
      <c r="AC327" s="332"/>
      <c r="AD327" s="332"/>
      <c r="AE327" s="332"/>
      <c r="AF327" s="332"/>
      <c r="AG327" s="332"/>
      <c r="AH327" s="332"/>
      <c r="AI327" s="332"/>
      <c r="AJ327" s="333"/>
      <c r="AK327" s="333"/>
      <c r="AL327" s="333"/>
      <c r="AM327" s="333"/>
    </row>
    <row r="328" spans="2:39" s="316" customFormat="1" ht="26.25" customHeight="1" x14ac:dyDescent="0.2">
      <c r="B328" s="340" t="str">
        <f t="array" ref="B328">IF(ISERROR(INDEX('Eingabe Meldungen'!$C$2:$C$492,LARGE(('Eingabe Meldungen'!$A$2:$A$492=$B$315)*(ROW('Eingabe Meldungen'!$A$2:$A$492)-1),COUNTIF('Eingabe Meldungen'!$A$2:$A$492,$B$315)+1-ROW('Eingabe Meldungen'!A12)))),"",INDEX('Eingabe Meldungen'!$C$2:$C$492,LARGE(('Eingabe Meldungen'!$A$2:$A$492=$B$315)*(ROW('Eingabe Meldungen'!$A$2:$A$492)-1),COUNTIF('Eingabe Meldungen'!$A$2:$A$492,$B$315)+1-ROW('Eingabe Meldungen'!A12))))</f>
        <v/>
      </c>
      <c r="C328" s="316" t="str">
        <f t="array" ref="C328">IF(ISERROR(INDEX('Eingabe Meldungen'!$D$2:$D$492,LARGE(('Eingabe Meldungen'!$A$2:$A$492=$B$315)*(ROW('Eingabe Meldungen'!$A$2:$A$492)-1),COUNTIF('Eingabe Meldungen'!$A$2:$A$492,$B$315)+1-ROW('Eingabe Meldungen'!A12)))),"",INDEX('Eingabe Meldungen'!$D$2:$D$492,LARGE(('Eingabe Meldungen'!$A$2:$A$492=$B$315)*(ROW('Eingabe Meldungen'!$A$2:$A$492)-1),COUNTIF('Eingabe Meldungen'!$A$2:$A$492,$B$315)+1-ROW('Eingabe Meldungen'!A12))))</f>
        <v/>
      </c>
      <c r="D328" s="341" t="str">
        <f t="array" ref="D328">IF(B328&lt;&gt;"",INDEX('Eingabe Meldungen'!$C$2:$H$492,MATCH(B328&amp;C328,'Eingabe Meldungen'!$C$2:$C$492&amp;'Eingabe Meldungen'!$D$2:$D$492,0),6),"")</f>
        <v/>
      </c>
      <c r="E328" s="382" t="str">
        <f t="array" ref="E328">IF(B328&lt;&gt;"",INDEX('Eingabe Meldungen'!$C$2:$H$492,MATCH(B328&amp;C328,'Eingabe Meldungen'!$C$2:$C$492&amp;'Eingabe Meldungen'!$D$2:$D$492,0),4),"")</f>
        <v/>
      </c>
      <c r="F328" s="353" t="str">
        <f>IF(VLOOKUP(B328,Rennlisten!$B$252:$H$258,6,FALSE)=0,"",VLOOKUP(B328,Rennlisten!$B$252:$H$258,6,FALSE))</f>
        <v/>
      </c>
      <c r="G328" s="333" t="e">
        <f t="shared" si="34"/>
        <v>#VALUE!</v>
      </c>
      <c r="H328" s="343" t="str">
        <f t="array" ref="H328">IF(B328&lt;&gt;"",INDEX('Eingabe Meldungen'!$C$2:$J$492,MATCH(B328&amp;C328,'Eingabe Meldungen'!$C$2:$C$492&amp;'Eingabe Meldungen'!$D$2:$D$492,0),8),"")</f>
        <v/>
      </c>
      <c r="J328" s="332"/>
      <c r="K328" s="332"/>
      <c r="L328" s="332"/>
      <c r="M328" s="332"/>
      <c r="N328" s="332"/>
      <c r="O328" s="332"/>
      <c r="P328" s="332"/>
      <c r="Q328" s="332"/>
      <c r="R328" s="332"/>
      <c r="S328" s="332"/>
      <c r="T328" s="332"/>
      <c r="U328" s="332"/>
      <c r="V328" s="332"/>
      <c r="W328" s="332"/>
      <c r="X328" s="332"/>
      <c r="Y328" s="332"/>
      <c r="Z328" s="332"/>
      <c r="AA328" s="332"/>
      <c r="AB328" s="332"/>
      <c r="AC328" s="332"/>
      <c r="AD328" s="332"/>
      <c r="AE328" s="332"/>
      <c r="AF328" s="332"/>
      <c r="AG328" s="332"/>
      <c r="AH328" s="332"/>
      <c r="AI328" s="332"/>
      <c r="AJ328" s="333"/>
      <c r="AK328" s="333"/>
      <c r="AL328" s="333"/>
      <c r="AM328" s="333"/>
    </row>
    <row r="329" spans="2:39" s="316" customFormat="1" ht="26.25" customHeight="1" x14ac:dyDescent="0.2">
      <c r="B329" s="340" t="str">
        <f t="array" ref="B329">IF(ISERROR(INDEX('Eingabe Meldungen'!$C$2:$C$492,LARGE(('Eingabe Meldungen'!$A$2:$A$492=$B$315)*(ROW('Eingabe Meldungen'!$A$2:$A$492)-1),COUNTIF('Eingabe Meldungen'!$A$2:$A$492,$B$315)+1-ROW('Eingabe Meldungen'!A13)))),"",INDEX('Eingabe Meldungen'!$C$2:$C$492,LARGE(('Eingabe Meldungen'!$A$2:$A$492=$B$315)*(ROW('Eingabe Meldungen'!$A$2:$A$492)-1),COUNTIF('Eingabe Meldungen'!$A$2:$A$492,$B$315)+1-ROW('Eingabe Meldungen'!A13))))</f>
        <v/>
      </c>
      <c r="C329" s="316" t="str">
        <f t="array" ref="C329">IF(ISERROR(INDEX('Eingabe Meldungen'!$D$2:$D$492,LARGE(('Eingabe Meldungen'!$A$2:$A$492=$B$315)*(ROW('Eingabe Meldungen'!$A$2:$A$492)-1),COUNTIF('Eingabe Meldungen'!$A$2:$A$492,$B$315)+1-ROW('Eingabe Meldungen'!A13)))),"",INDEX('Eingabe Meldungen'!$D$2:$D$492,LARGE(('Eingabe Meldungen'!$A$2:$A$492=$B$315)*(ROW('Eingabe Meldungen'!$A$2:$A$492)-1),COUNTIF('Eingabe Meldungen'!$A$2:$A$492,$B$315)+1-ROW('Eingabe Meldungen'!A13))))</f>
        <v/>
      </c>
      <c r="D329" s="341" t="str">
        <f t="array" ref="D329">IF(B329&lt;&gt;"",INDEX('Eingabe Meldungen'!$C$2:$H$492,MATCH(B329&amp;C329,'Eingabe Meldungen'!$C$2:$C$492&amp;'Eingabe Meldungen'!$D$2:$D$492,0),6),"")</f>
        <v/>
      </c>
      <c r="E329" s="382" t="str">
        <f t="array" ref="E329">IF(B329&lt;&gt;"",INDEX('Eingabe Meldungen'!$C$2:$H$492,MATCH(B329&amp;C329,'Eingabe Meldungen'!$C$2:$C$492&amp;'Eingabe Meldungen'!$D$2:$D$492,0),4),"")</f>
        <v/>
      </c>
      <c r="F329" s="353" t="str">
        <f>IF(VLOOKUP(B329,Rennlisten!$B$252:$H$258,6,FALSE)=0,"",VLOOKUP(B329,Rennlisten!$B$252:$H$258,6,FALSE))</f>
        <v/>
      </c>
      <c r="G329" s="333" t="e">
        <f t="shared" si="34"/>
        <v>#VALUE!</v>
      </c>
      <c r="H329" s="343" t="str">
        <f t="array" ref="H329">IF(B329&lt;&gt;"",INDEX('Eingabe Meldungen'!$C$2:$J$492,MATCH(B329&amp;C329,'Eingabe Meldungen'!$C$2:$C$492&amp;'Eingabe Meldungen'!$D$2:$D$492,0),8),"")</f>
        <v/>
      </c>
      <c r="J329" s="332"/>
      <c r="K329" s="332"/>
      <c r="L329" s="332"/>
      <c r="M329" s="332"/>
      <c r="N329" s="332"/>
      <c r="O329" s="332"/>
      <c r="P329" s="332"/>
      <c r="Q329" s="332"/>
      <c r="R329" s="332"/>
      <c r="S329" s="332"/>
      <c r="T329" s="332"/>
      <c r="U329" s="332"/>
      <c r="V329" s="332"/>
      <c r="W329" s="332"/>
      <c r="X329" s="332"/>
      <c r="Y329" s="332"/>
      <c r="Z329" s="332"/>
      <c r="AA329" s="332"/>
      <c r="AB329" s="332"/>
      <c r="AC329" s="332"/>
      <c r="AD329" s="332"/>
      <c r="AE329" s="332"/>
      <c r="AF329" s="332"/>
      <c r="AG329" s="332"/>
      <c r="AH329" s="332"/>
      <c r="AI329" s="332"/>
      <c r="AJ329" s="333"/>
      <c r="AK329" s="333"/>
      <c r="AL329" s="333"/>
      <c r="AM329" s="333"/>
    </row>
    <row r="330" spans="2:39" s="316" customFormat="1" ht="26.25" customHeight="1" x14ac:dyDescent="0.2">
      <c r="B330" s="340" t="str">
        <f t="array" ref="B330">IF(ISERROR(INDEX('Eingabe Meldungen'!$C$2:$C$492,LARGE(('Eingabe Meldungen'!$A$2:$A$492=$B$315)*(ROW('Eingabe Meldungen'!$A$2:$A$492)-1),COUNTIF('Eingabe Meldungen'!$A$2:$A$492,$B$315)+1-ROW('Eingabe Meldungen'!A14)))),"",INDEX('Eingabe Meldungen'!$C$2:$C$492,LARGE(('Eingabe Meldungen'!$A$2:$A$492=$B$315)*(ROW('Eingabe Meldungen'!$A$2:$A$492)-1),COUNTIF('Eingabe Meldungen'!$A$2:$A$492,$B$315)+1-ROW('Eingabe Meldungen'!A14))))</f>
        <v/>
      </c>
      <c r="C330" s="316" t="str">
        <f t="array" ref="C330">IF(ISERROR(INDEX('Eingabe Meldungen'!$D$2:$D$492,LARGE(('Eingabe Meldungen'!$A$2:$A$492=$B$315)*(ROW('Eingabe Meldungen'!$A$2:$A$492)-1),COUNTIF('Eingabe Meldungen'!$A$2:$A$492,$B$315)+1-ROW('Eingabe Meldungen'!A14)))),"",INDEX('Eingabe Meldungen'!$D$2:$D$492,LARGE(('Eingabe Meldungen'!$A$2:$A$492=$B$315)*(ROW('Eingabe Meldungen'!$A$2:$A$492)-1),COUNTIF('Eingabe Meldungen'!$A$2:$A$492,$B$315)+1-ROW('Eingabe Meldungen'!A14))))</f>
        <v/>
      </c>
      <c r="D330" s="341" t="str">
        <f t="array" ref="D330">IF(B330&lt;&gt;"",INDEX('Eingabe Meldungen'!$C$2:$H$492,MATCH(B330&amp;C330,'Eingabe Meldungen'!$C$2:$C$492&amp;'Eingabe Meldungen'!$D$2:$D$492,0),6),"")</f>
        <v/>
      </c>
      <c r="E330" s="382" t="str">
        <f t="array" ref="E330">IF(B330&lt;&gt;"",INDEX('Eingabe Meldungen'!$C$2:$H$492,MATCH(B330&amp;C330,'Eingabe Meldungen'!$C$2:$C$492&amp;'Eingabe Meldungen'!$D$2:$D$492,0),4),"")</f>
        <v/>
      </c>
      <c r="F330" s="353" t="str">
        <f>IF(VLOOKUP(B330,Rennlisten!$B$252:$H$258,6,FALSE)=0,"",VLOOKUP(B330,Rennlisten!$B$252:$H$258,6,FALSE))</f>
        <v/>
      </c>
      <c r="G330" s="333" t="e">
        <f t="shared" si="34"/>
        <v>#VALUE!</v>
      </c>
      <c r="H330" s="343" t="str">
        <f t="array" ref="H330">IF(B330&lt;&gt;"",INDEX('Eingabe Meldungen'!$C$2:$J$492,MATCH(B330&amp;C330,'Eingabe Meldungen'!$C$2:$C$492&amp;'Eingabe Meldungen'!$D$2:$D$492,0),8),"")</f>
        <v/>
      </c>
      <c r="J330" s="332"/>
      <c r="K330" s="332"/>
      <c r="L330" s="332"/>
      <c r="M330" s="332"/>
      <c r="N330" s="332"/>
      <c r="O330" s="332"/>
      <c r="P330" s="332"/>
      <c r="Q330" s="332"/>
      <c r="R330" s="332"/>
      <c r="S330" s="332"/>
      <c r="T330" s="332"/>
      <c r="U330" s="332"/>
      <c r="V330" s="332"/>
      <c r="W330" s="332"/>
      <c r="X330" s="332"/>
      <c r="Y330" s="332"/>
      <c r="Z330" s="332"/>
      <c r="AA330" s="332"/>
      <c r="AB330" s="332"/>
      <c r="AC330" s="332"/>
      <c r="AD330" s="332"/>
      <c r="AE330" s="332"/>
      <c r="AF330" s="332"/>
      <c r="AG330" s="332"/>
      <c r="AH330" s="332"/>
      <c r="AI330" s="332"/>
      <c r="AJ330" s="333"/>
      <c r="AK330" s="333"/>
      <c r="AL330" s="333"/>
      <c r="AM330" s="333"/>
    </row>
    <row r="331" spans="2:39" s="316" customFormat="1" ht="26.25" customHeight="1" x14ac:dyDescent="0.2">
      <c r="B331" s="340" t="str">
        <f t="array" ref="B331">IF(ISERROR(INDEX('Eingabe Meldungen'!$C$2:$C$492,LARGE(('Eingabe Meldungen'!$A$2:$A$492=$B$315)*(ROW('Eingabe Meldungen'!$A$2:$A$492)-1),COUNTIF('Eingabe Meldungen'!$A$2:$A$492,$B$315)+1-ROW('Eingabe Meldungen'!A15)))),"",INDEX('Eingabe Meldungen'!$C$2:$C$492,LARGE(('Eingabe Meldungen'!$A$2:$A$492=$B$315)*(ROW('Eingabe Meldungen'!$A$2:$A$492)-1),COUNTIF('Eingabe Meldungen'!$A$2:$A$492,$B$315)+1-ROW('Eingabe Meldungen'!A15))))</f>
        <v/>
      </c>
      <c r="C331" s="316" t="str">
        <f t="array" ref="C331">IF(ISERROR(INDEX('Eingabe Meldungen'!$D$2:$D$492,LARGE(('Eingabe Meldungen'!$A$2:$A$492=$B$315)*(ROW('Eingabe Meldungen'!$A$2:$A$492)-1),COUNTIF('Eingabe Meldungen'!$A$2:$A$492,$B$315)+1-ROW('Eingabe Meldungen'!A15)))),"",INDEX('Eingabe Meldungen'!$D$2:$D$492,LARGE(('Eingabe Meldungen'!$A$2:$A$492=$B$315)*(ROW('Eingabe Meldungen'!$A$2:$A$492)-1),COUNTIF('Eingabe Meldungen'!$A$2:$A$492,$B$315)+1-ROW('Eingabe Meldungen'!A15))))</f>
        <v/>
      </c>
      <c r="D331" s="341" t="str">
        <f t="array" ref="D331">IF(B331&lt;&gt;"",INDEX('Eingabe Meldungen'!$C$2:$H$492,MATCH(B331&amp;C331,'Eingabe Meldungen'!$C$2:$C$492&amp;'Eingabe Meldungen'!$D$2:$D$492,0),6),"")</f>
        <v/>
      </c>
      <c r="E331" s="382" t="str">
        <f t="array" ref="E331">IF(B331&lt;&gt;"",INDEX('Eingabe Meldungen'!$C$2:$H$492,MATCH(B331&amp;C331,'Eingabe Meldungen'!$C$2:$C$492&amp;'Eingabe Meldungen'!$D$2:$D$492,0),4),"")</f>
        <v/>
      </c>
      <c r="F331" s="353" t="str">
        <f>IF(VLOOKUP(B331,Rennlisten!$B$252:$H$258,6,FALSE)=0,"",VLOOKUP(B331,Rennlisten!$B$252:$H$258,6,FALSE))</f>
        <v/>
      </c>
      <c r="G331" s="333" t="e">
        <f t="shared" si="34"/>
        <v>#VALUE!</v>
      </c>
      <c r="H331" s="343" t="str">
        <f t="array" ref="H331">IF(B331&lt;&gt;"",INDEX('Eingabe Meldungen'!$C$2:$J$492,MATCH(B331&amp;C331,'Eingabe Meldungen'!$C$2:$C$492&amp;'Eingabe Meldungen'!$D$2:$D$492,0),8),"")</f>
        <v/>
      </c>
      <c r="J331" s="332"/>
      <c r="K331" s="332"/>
      <c r="L331" s="332"/>
      <c r="M331" s="332"/>
      <c r="N331" s="332"/>
      <c r="O331" s="332"/>
      <c r="P331" s="332"/>
      <c r="Q331" s="332"/>
      <c r="R331" s="332"/>
      <c r="S331" s="332"/>
      <c r="T331" s="332"/>
      <c r="U331" s="332"/>
      <c r="V331" s="332"/>
      <c r="W331" s="332"/>
      <c r="X331" s="332"/>
      <c r="Y331" s="332"/>
      <c r="Z331" s="332"/>
      <c r="AA331" s="332"/>
      <c r="AB331" s="332"/>
      <c r="AC331" s="332"/>
      <c r="AD331" s="332"/>
      <c r="AE331" s="332"/>
      <c r="AF331" s="332"/>
      <c r="AG331" s="332"/>
      <c r="AH331" s="332"/>
      <c r="AI331" s="332"/>
      <c r="AJ331" s="333"/>
      <c r="AK331" s="333"/>
      <c r="AL331" s="333"/>
      <c r="AM331" s="333"/>
    </row>
    <row r="332" spans="2:39" s="316" customFormat="1" ht="26.25" customHeight="1" thickBot="1" x14ac:dyDescent="0.25">
      <c r="B332" s="344" t="str">
        <f t="array" ref="B332">IF(ISERROR(INDEX('Eingabe Meldungen'!$C$2:$C$492,LARGE(('Eingabe Meldungen'!$A$2:$A$492=$B$315)*(ROW('Eingabe Meldungen'!$A$2:$A$492)-1),COUNTIF('Eingabe Meldungen'!$A$2:$A$492,$B$315)+1-ROW('Eingabe Meldungen'!A17)))),"",INDEX('Eingabe Meldungen'!$C$2:$C$492,LARGE(('Eingabe Meldungen'!$A$2:$A$492=$B$315)*(ROW('Eingabe Meldungen'!$A$2:$A$492)-1),COUNTIF('Eingabe Meldungen'!$A$2:$A$492,$B$315)+1-ROW('Eingabe Meldungen'!A17))))</f>
        <v/>
      </c>
      <c r="C332" s="345" t="str">
        <f t="array" ref="C332">IF(ISERROR(INDEX('Eingabe Meldungen'!$D$2:$D$492,LARGE(('Eingabe Meldungen'!$A$2:$A$492=$B$315)*(ROW('Eingabe Meldungen'!$A$2:$A$492)-1),COUNTIF('Eingabe Meldungen'!$A$2:$A$492,$B$315)+1-ROW('Eingabe Meldungen'!A17)))),"",INDEX('Eingabe Meldungen'!$D$2:$D$492,LARGE(('Eingabe Meldungen'!$A$2:$A$492=$B$315)*(ROW('Eingabe Meldungen'!$A$2:$A$492)-1),COUNTIF('Eingabe Meldungen'!$A$2:$A$492,$B$315)+1-ROW('Eingabe Meldungen'!A17))))</f>
        <v/>
      </c>
      <c r="D332" s="346" t="str">
        <f t="array" ref="D332">IF(B332&lt;&gt;"",INDEX('Eingabe Meldungen'!$C$2:$H$492,MATCH(B332&amp;C332,'Eingabe Meldungen'!$C$2:$C$492&amp;'Eingabe Meldungen'!$D$2:$D$492,0),6),"")</f>
        <v/>
      </c>
      <c r="E332" s="383" t="str">
        <f t="array" ref="E332">IF(B332&lt;&gt;"",INDEX('Eingabe Meldungen'!$C$2:$H$492,MATCH(B332&amp;C332,'Eingabe Meldungen'!$C$2:$C$492&amp;'Eingabe Meldungen'!$D$2:$D$492,0),4),"")</f>
        <v/>
      </c>
      <c r="F332" s="354" t="str">
        <f>IF(VLOOKUP(B332,Rennlisten!$B$252:$H$258,6,FALSE)=0,"",VLOOKUP(B332,Rennlisten!$B$252:$H$258,6,FALSE))</f>
        <v/>
      </c>
      <c r="G332" s="348" t="e">
        <f t="shared" ref="G332" si="35">RANK(F332,$F$317:$F$332,1)</f>
        <v>#VALUE!</v>
      </c>
      <c r="H332" s="349" t="str">
        <f t="array" ref="H332">IF(B332&lt;&gt;"",INDEX('Eingabe Meldungen'!$C$2:$J$492,MATCH(B332&amp;C332,'Eingabe Meldungen'!$C$2:$C$492&amp;'Eingabe Meldungen'!$D$2:$D$492,0),8),"")</f>
        <v/>
      </c>
      <c r="J332" s="332"/>
      <c r="K332" s="332"/>
      <c r="L332" s="332"/>
      <c r="M332" s="332"/>
      <c r="N332" s="332"/>
      <c r="O332" s="332"/>
      <c r="P332" s="332"/>
      <c r="Q332" s="332"/>
      <c r="R332" s="332"/>
      <c r="S332" s="332"/>
      <c r="T332" s="332"/>
      <c r="U332" s="332"/>
      <c r="V332" s="332"/>
      <c r="W332" s="332"/>
      <c r="X332" s="332"/>
      <c r="Y332" s="332"/>
      <c r="Z332" s="332"/>
      <c r="AA332" s="332"/>
      <c r="AB332" s="332"/>
      <c r="AC332" s="332"/>
      <c r="AD332" s="332"/>
      <c r="AE332" s="332"/>
      <c r="AF332" s="332"/>
      <c r="AG332" s="332"/>
      <c r="AH332" s="332"/>
      <c r="AI332" s="332"/>
      <c r="AJ332" s="333"/>
      <c r="AK332" s="333"/>
      <c r="AL332" s="333"/>
      <c r="AM332" s="333"/>
    </row>
    <row r="333" spans="2:39" s="316" customFormat="1" ht="26.25" customHeight="1" thickBot="1" x14ac:dyDescent="0.25">
      <c r="E333" s="352"/>
      <c r="F333" s="333"/>
      <c r="G333" s="333"/>
      <c r="J333" s="333"/>
      <c r="K333" s="333"/>
      <c r="L333" s="333"/>
      <c r="M333" s="333"/>
      <c r="N333" s="333"/>
      <c r="O333" s="333"/>
      <c r="P333" s="333"/>
      <c r="Q333" s="333"/>
      <c r="R333" s="333"/>
      <c r="S333" s="333"/>
      <c r="T333" s="333"/>
      <c r="U333" s="333"/>
      <c r="V333" s="333"/>
      <c r="W333" s="333"/>
      <c r="X333" s="333"/>
      <c r="Y333" s="333"/>
      <c r="Z333" s="333"/>
      <c r="AA333" s="333"/>
      <c r="AB333" s="333"/>
      <c r="AC333" s="333"/>
      <c r="AD333" s="333"/>
      <c r="AE333" s="333"/>
      <c r="AF333" s="333"/>
      <c r="AG333" s="333"/>
      <c r="AH333" s="333"/>
      <c r="AI333" s="333"/>
      <c r="AJ333" s="333"/>
      <c r="AK333" s="333"/>
      <c r="AL333" s="333"/>
      <c r="AM333" s="333"/>
    </row>
    <row r="334" spans="2:39" s="316" customFormat="1" ht="26.25" customHeight="1" x14ac:dyDescent="0.2">
      <c r="B334" s="326">
        <v>15</v>
      </c>
      <c r="C334" s="327" t="str">
        <f>VLOOKUP(B334,Ausschreibung!$B$5:$I$35,2,FALSE)</f>
        <v>Ergocup</v>
      </c>
      <c r="D334" s="328">
        <f>VLOOKUP(B334,Ausschreibung!$B$5:$I$35,3,FALSE)</f>
        <v>0.61805555555555547</v>
      </c>
      <c r="E334" s="327" t="str">
        <f>VLOOKUP(B334,Ausschreibung!$B$5:$I$35,4,FALSE)</f>
        <v>Sprint weiblich</v>
      </c>
      <c r="F334" s="329" t="str">
        <f>VLOOKUP(B334,Ausschreibung!$B$5:$I$35,5,FALSE)</f>
        <v>-</v>
      </c>
      <c r="G334" s="330" t="str">
        <f>VLOOKUP(B334,Ausschreibung!$B$5:$I$35,6,FALSE)</f>
        <v>offen</v>
      </c>
      <c r="H334" s="331" t="str">
        <f>VLOOKUP(B334,Ausschreibung!$B$5:$I$35,8,FALSE)</f>
        <v>350 m</v>
      </c>
      <c r="J334" s="332"/>
      <c r="K334" s="332"/>
      <c r="L334" s="332"/>
      <c r="M334" s="332"/>
      <c r="N334" s="332"/>
      <c r="O334" s="332"/>
      <c r="P334" s="332"/>
      <c r="Q334" s="332"/>
      <c r="R334" s="332"/>
      <c r="S334" s="332"/>
      <c r="T334" s="332"/>
      <c r="U334" s="332"/>
      <c r="V334" s="332"/>
      <c r="W334" s="332"/>
      <c r="X334" s="332"/>
      <c r="Y334" s="332"/>
      <c r="Z334" s="332"/>
      <c r="AA334" s="332"/>
      <c r="AB334" s="332"/>
      <c r="AC334" s="332"/>
      <c r="AD334" s="332"/>
      <c r="AE334" s="332"/>
      <c r="AF334" s="332"/>
      <c r="AG334" s="332"/>
      <c r="AH334" s="332"/>
      <c r="AI334" s="332"/>
      <c r="AJ334" s="333"/>
      <c r="AK334" s="333"/>
      <c r="AL334" s="333"/>
      <c r="AM334" s="333"/>
    </row>
    <row r="335" spans="2:39" s="316" customFormat="1" ht="26.25" customHeight="1" x14ac:dyDescent="0.2">
      <c r="B335" s="334" t="s">
        <v>1</v>
      </c>
      <c r="C335" s="335" t="s">
        <v>2</v>
      </c>
      <c r="D335" s="336" t="s">
        <v>49</v>
      </c>
      <c r="E335" s="381" t="s">
        <v>16</v>
      </c>
      <c r="F335" s="337" t="s">
        <v>50</v>
      </c>
      <c r="G335" s="338" t="s">
        <v>51</v>
      </c>
      <c r="H335" s="339" t="s">
        <v>17</v>
      </c>
      <c r="J335" s="332"/>
      <c r="K335" s="332"/>
      <c r="L335" s="332"/>
      <c r="M335" s="332"/>
      <c r="N335" s="332"/>
      <c r="O335" s="332"/>
      <c r="P335" s="332"/>
      <c r="Q335" s="332"/>
      <c r="R335" s="332"/>
      <c r="S335" s="332"/>
      <c r="T335" s="332"/>
      <c r="U335" s="332"/>
      <c r="V335" s="332"/>
      <c r="W335" s="332"/>
      <c r="X335" s="332"/>
      <c r="Y335" s="332"/>
      <c r="Z335" s="332"/>
      <c r="AA335" s="332"/>
      <c r="AB335" s="332"/>
      <c r="AC335" s="332"/>
      <c r="AD335" s="332"/>
      <c r="AE335" s="332"/>
      <c r="AF335" s="332"/>
      <c r="AG335" s="332"/>
      <c r="AH335" s="332"/>
      <c r="AI335" s="332"/>
      <c r="AJ335" s="333"/>
      <c r="AK335" s="333"/>
      <c r="AL335" s="333"/>
      <c r="AM335" s="333"/>
    </row>
    <row r="336" spans="2:39" s="316" customFormat="1" ht="26.25" customHeight="1" x14ac:dyDescent="0.2">
      <c r="B336" s="340" t="str">
        <f t="array" ref="B336">IF(ISERROR(INDEX('Eingabe Meldungen'!$C$2:$C$492,LARGE(('Eingabe Meldungen'!$A$2:$A$492=$B$334)*(ROW('Eingabe Meldungen'!$A$2:$A$492)-1),COUNTIF('Eingabe Meldungen'!$A$2:$A$492,$B$334)+1-ROW('Eingabe Meldungen'!A1)))),"",INDEX('Eingabe Meldungen'!$C$2:$C$492,LARGE(('Eingabe Meldungen'!$A$2:$A$492=$B$334)*(ROW('Eingabe Meldungen'!$A$2:$A$492)-1),COUNTIF('Eingabe Meldungen'!$A$2:$A$492,$B$334)+1-ROW('Eingabe Meldungen'!A1))))</f>
        <v>Munke</v>
      </c>
      <c r="C336" s="316" t="str">
        <f t="array" ref="C336">IF(ISERROR(INDEX('Eingabe Meldungen'!$D$2:$D$492,LARGE(('Eingabe Meldungen'!$A$2:$A$492=$B$334)*(ROW('Eingabe Meldungen'!$A$2:$A$492)-1),COUNTIF('Eingabe Meldungen'!$A$2:$A$492,$B$334)+1-ROW('Eingabe Meldungen'!A1)))),"",INDEX('Eingabe Meldungen'!$D$2:$D$492,LARGE(('Eingabe Meldungen'!$A$2:$A$492=$B$334)*(ROW('Eingabe Meldungen'!$A$2:$A$492)-1),COUNTIF('Eingabe Meldungen'!$A$2:$A$492,$B$334)+1-ROW('Eingabe Meldungen'!A1))))</f>
        <v>Steffi</v>
      </c>
      <c r="D336" s="341">
        <f t="array" ref="D336">IF(B336&lt;&gt;"",INDEX('Eingabe Meldungen'!$C$2:$H$492,MATCH(B336&amp;C336,'Eingabe Meldungen'!$C$2:$C$492&amp;'Eingabe Meldungen'!$D$2:$D$492,0),6),"")</f>
        <v>1968</v>
      </c>
      <c r="E336" s="382" t="str">
        <f t="array" ref="E336">IF(B336&lt;&gt;"",INDEX('Eingabe Meldungen'!$C$2:$H$492,MATCH(B336&amp;C336,'Eingabe Meldungen'!$C$2:$C$492&amp;'Eingabe Meldungen'!$D$2:$D$492,0),4),"")</f>
        <v>D</v>
      </c>
      <c r="F336" s="353" t="s">
        <v>619</v>
      </c>
      <c r="G336" s="333">
        <v>2</v>
      </c>
      <c r="H336" s="343" t="str">
        <f t="array" ref="H336">IF(B336&lt;&gt;"",INDEX('Eingabe Meldungen'!$C$2:$J$492,MATCH(B336&amp;C336,'Eingabe Meldungen'!$C$2:$C$492&amp;'Eingabe Meldungen'!$D$2:$D$492,0),8),"")</f>
        <v xml:space="preserve">WSV Schifferclub Neckarrems </v>
      </c>
      <c r="J336" s="332"/>
      <c r="K336" s="332"/>
      <c r="L336" s="332"/>
      <c r="M336" s="332"/>
      <c r="N336" s="332"/>
      <c r="O336" s="332"/>
      <c r="P336" s="332"/>
      <c r="Q336" s="332"/>
      <c r="R336" s="332">
        <v>3</v>
      </c>
      <c r="S336" s="332"/>
      <c r="T336" s="332"/>
      <c r="U336" s="332"/>
      <c r="V336" s="332"/>
      <c r="W336" s="332"/>
      <c r="X336" s="332"/>
      <c r="Y336" s="332"/>
      <c r="Z336" s="332"/>
      <c r="AA336" s="332"/>
      <c r="AB336" s="332"/>
      <c r="AC336" s="332"/>
      <c r="AD336" s="332"/>
      <c r="AE336" s="332"/>
      <c r="AF336" s="332"/>
      <c r="AG336" s="332"/>
      <c r="AH336" s="332"/>
      <c r="AI336" s="332"/>
      <c r="AJ336" s="333"/>
      <c r="AK336" s="333"/>
      <c r="AL336" s="333"/>
      <c r="AM336" s="333"/>
    </row>
    <row r="337" spans="2:39" s="316" customFormat="1" ht="26.25" customHeight="1" x14ac:dyDescent="0.2">
      <c r="B337" s="340" t="str">
        <f t="array" ref="B337">IF(ISERROR(INDEX('Eingabe Meldungen'!$C$2:$C$492,LARGE(('Eingabe Meldungen'!$A$2:$A$492=$B$334)*(ROW('Eingabe Meldungen'!$A$2:$A$492)-1),COUNTIF('Eingabe Meldungen'!$A$2:$A$492,$B$334)+1-ROW('Eingabe Meldungen'!A2)))),"",INDEX('Eingabe Meldungen'!$C$2:$C$492,LARGE(('Eingabe Meldungen'!$A$2:$A$492=$B$334)*(ROW('Eingabe Meldungen'!$A$2:$A$492)-1),COUNTIF('Eingabe Meldungen'!$A$2:$A$492,$B$334)+1-ROW('Eingabe Meldungen'!A2))))</f>
        <v>Wöppel</v>
      </c>
      <c r="C337" s="316" t="str">
        <f t="array" ref="C337">IF(ISERROR(INDEX('Eingabe Meldungen'!$D$2:$D$492,LARGE(('Eingabe Meldungen'!$A$2:$A$492=$B$334)*(ROW('Eingabe Meldungen'!$A$2:$A$492)-1),COUNTIF('Eingabe Meldungen'!$A$2:$A$492,$B$334)+1-ROW('Eingabe Meldungen'!A2)))),"",INDEX('Eingabe Meldungen'!$D$2:$D$492,LARGE(('Eingabe Meldungen'!$A$2:$A$492=$B$334)*(ROW('Eingabe Meldungen'!$A$2:$A$492)-1),COUNTIF('Eingabe Meldungen'!$A$2:$A$492,$B$334)+1-ROW('Eingabe Meldungen'!A2))))</f>
        <v>Stefanie</v>
      </c>
      <c r="D337" s="341">
        <f t="array" ref="D337">IF(B337&lt;&gt;"",INDEX('Eingabe Meldungen'!$C$2:$H$492,MATCH(B337&amp;C337,'Eingabe Meldungen'!$C$2:$C$492&amp;'Eingabe Meldungen'!$D$2:$D$492,0),6),"")</f>
        <v>1971</v>
      </c>
      <c r="E337" s="382" t="str">
        <f t="array" ref="E337">IF(B337&lt;&gt;"",INDEX('Eingabe Meldungen'!$C$2:$H$492,MATCH(B337&amp;C337,'Eingabe Meldungen'!$C$2:$C$492&amp;'Eingabe Meldungen'!$D$2:$D$492,0),4),"")</f>
        <v>C</v>
      </c>
      <c r="F337" s="353" t="s">
        <v>618</v>
      </c>
      <c r="G337" s="333">
        <v>1</v>
      </c>
      <c r="H337" s="343" t="str">
        <f t="array" ref="H337">IF(B337&lt;&gt;"",INDEX('Eingabe Meldungen'!$C$2:$J$492,MATCH(B337&amp;C337,'Eingabe Meldungen'!$C$2:$C$492&amp;'Eingabe Meldungen'!$D$2:$D$492,0),8),"")</f>
        <v xml:space="preserve">WSV Schifferclub Neckarrems </v>
      </c>
      <c r="J337" s="332"/>
      <c r="K337" s="332"/>
      <c r="L337" s="332"/>
      <c r="M337" s="332"/>
      <c r="N337" s="332"/>
      <c r="O337" s="332"/>
      <c r="P337" s="332"/>
      <c r="Q337" s="332"/>
      <c r="R337" s="332">
        <v>5</v>
      </c>
      <c r="S337" s="332"/>
      <c r="T337" s="332"/>
      <c r="U337" s="332"/>
      <c r="V337" s="332"/>
      <c r="W337" s="332"/>
      <c r="X337" s="332"/>
      <c r="Y337" s="332"/>
      <c r="Z337" s="332"/>
      <c r="AA337" s="332"/>
      <c r="AB337" s="332"/>
      <c r="AC337" s="332"/>
      <c r="AD337" s="332"/>
      <c r="AE337" s="332"/>
      <c r="AF337" s="332"/>
      <c r="AG337" s="332"/>
      <c r="AH337" s="332"/>
      <c r="AI337" s="332"/>
      <c r="AJ337" s="333"/>
      <c r="AK337" s="333"/>
      <c r="AL337" s="333"/>
      <c r="AM337" s="333"/>
    </row>
    <row r="338" spans="2:39" s="316" customFormat="1" ht="26.25" customHeight="1" x14ac:dyDescent="0.2">
      <c r="B338" s="340" t="s">
        <v>431</v>
      </c>
      <c r="C338" s="316" t="s">
        <v>516</v>
      </c>
      <c r="D338" s="341">
        <v>1975</v>
      </c>
      <c r="E338" s="382" t="s">
        <v>39</v>
      </c>
      <c r="F338" s="353" t="s">
        <v>620</v>
      </c>
      <c r="G338" s="333">
        <v>3</v>
      </c>
      <c r="H338" s="343" t="s">
        <v>449</v>
      </c>
      <c r="J338" s="332"/>
      <c r="K338" s="332"/>
      <c r="L338" s="332"/>
      <c r="M338" s="332"/>
      <c r="N338" s="332"/>
      <c r="O338" s="332"/>
      <c r="P338" s="332"/>
      <c r="Q338" s="332">
        <v>1</v>
      </c>
      <c r="R338" s="332"/>
      <c r="S338" s="332"/>
      <c r="T338" s="332"/>
      <c r="U338" s="332"/>
      <c r="V338" s="332"/>
      <c r="W338" s="332"/>
      <c r="X338" s="332"/>
      <c r="Y338" s="332"/>
      <c r="Z338" s="332"/>
      <c r="AA338" s="332"/>
      <c r="AB338" s="332"/>
      <c r="AC338" s="332"/>
      <c r="AD338" s="332"/>
      <c r="AE338" s="332"/>
      <c r="AF338" s="332"/>
      <c r="AG338" s="332"/>
      <c r="AH338" s="332"/>
      <c r="AI338" s="332"/>
      <c r="AJ338" s="333"/>
      <c r="AK338" s="333"/>
      <c r="AL338" s="333"/>
      <c r="AM338" s="333"/>
    </row>
    <row r="339" spans="2:39" s="316" customFormat="1" ht="26.25" customHeight="1" x14ac:dyDescent="0.2">
      <c r="B339" s="340" t="str">
        <f t="array" ref="B339">IF(ISERROR(INDEX('Eingabe Meldungen'!$C$2:$C$492,LARGE(('Eingabe Meldungen'!$A$2:$A$492=$B$334)*(ROW('Eingabe Meldungen'!$A$2:$A$492)-1),COUNTIF('Eingabe Meldungen'!$A$2:$A$492,$B$334)+1-ROW('Eingabe Meldungen'!A4)))),"",INDEX('Eingabe Meldungen'!$C$2:$C$492,LARGE(('Eingabe Meldungen'!$A$2:$A$492=$B$334)*(ROW('Eingabe Meldungen'!$A$2:$A$492)-1),COUNTIF('Eingabe Meldungen'!$A$2:$A$492,$B$334)+1-ROW('Eingabe Meldungen'!A4))))</f>
        <v/>
      </c>
      <c r="C339" s="316" t="str">
        <f t="array" ref="C339">IF(ISERROR(INDEX('Eingabe Meldungen'!$D$2:$D$492,LARGE(('Eingabe Meldungen'!$A$2:$A$492=$B$334)*(ROW('Eingabe Meldungen'!$A$2:$A$492)-1),COUNTIF('Eingabe Meldungen'!$A$2:$A$492,$B$334)+1-ROW('Eingabe Meldungen'!A4)))),"",INDEX('Eingabe Meldungen'!$D$2:$D$492,LARGE(('Eingabe Meldungen'!$A$2:$A$492=$B$334)*(ROW('Eingabe Meldungen'!$A$2:$A$492)-1),COUNTIF('Eingabe Meldungen'!$A$2:$A$492,$B$334)+1-ROW('Eingabe Meldungen'!A4))))</f>
        <v/>
      </c>
      <c r="D339" s="341" t="str">
        <f t="array" ref="D339">IF(B339&lt;&gt;"",INDEX('Eingabe Meldungen'!$C$2:$H$492,MATCH(B339&amp;C339,'Eingabe Meldungen'!$C$2:$C$492&amp;'Eingabe Meldungen'!$D$2:$D$492,0),6),"")</f>
        <v/>
      </c>
      <c r="E339" s="382" t="str">
        <f t="array" ref="E339">IF(B339&lt;&gt;"",INDEX('Eingabe Meldungen'!$C$2:$H$492,MATCH(B339&amp;C339,'Eingabe Meldungen'!$C$2:$C$492&amp;'Eingabe Meldungen'!$D$2:$D$492,0),4),"")</f>
        <v/>
      </c>
      <c r="F339" s="353" t="str">
        <f>IF(VLOOKUP(B339,Rennlisten!$B$262:$H$264,6,FALSE)=0,"",VLOOKUP(B339,Rennlisten!$B$262:$H$264,6,FALSE))</f>
        <v/>
      </c>
      <c r="G339" s="333" t="e">
        <f t="shared" ref="G339:G349" si="36">RANK(F339,$F$336:$F$351,1)</f>
        <v>#VALUE!</v>
      </c>
      <c r="H339" s="343" t="str">
        <f t="array" ref="H339">IF(B339&lt;&gt;"",INDEX('Eingabe Meldungen'!$C$2:$J$492,MATCH(B339&amp;C339,'Eingabe Meldungen'!$C$2:$C$492&amp;'Eingabe Meldungen'!$D$2:$D$492,0),8),"")</f>
        <v/>
      </c>
      <c r="J339" s="332"/>
      <c r="K339" s="332"/>
      <c r="L339" s="332"/>
      <c r="M339" s="332"/>
      <c r="N339" s="332"/>
      <c r="O339" s="332"/>
      <c r="P339" s="332"/>
      <c r="Q339" s="332"/>
      <c r="R339" s="332"/>
      <c r="S339" s="332"/>
      <c r="T339" s="332"/>
      <c r="U339" s="332"/>
      <c r="V339" s="332"/>
      <c r="W339" s="332"/>
      <c r="X339" s="332"/>
      <c r="Y339" s="332"/>
      <c r="Z339" s="332"/>
      <c r="AA339" s="332"/>
      <c r="AB339" s="332"/>
      <c r="AC339" s="332"/>
      <c r="AD339" s="332"/>
      <c r="AE339" s="332"/>
      <c r="AF339" s="332"/>
      <c r="AG339" s="332"/>
      <c r="AH339" s="332"/>
      <c r="AI339" s="332"/>
      <c r="AJ339" s="333"/>
      <c r="AK339" s="333"/>
      <c r="AL339" s="333"/>
      <c r="AM339" s="333"/>
    </row>
    <row r="340" spans="2:39" s="316" customFormat="1" ht="26.25" customHeight="1" x14ac:dyDescent="0.2">
      <c r="B340" s="340" t="str">
        <f t="array" ref="B340">IF(ISERROR(INDEX('Eingabe Meldungen'!$C$2:$C$492,LARGE(('Eingabe Meldungen'!$A$2:$A$492=$B$334)*(ROW('Eingabe Meldungen'!$A$2:$A$492)-1),COUNTIF('Eingabe Meldungen'!$A$2:$A$492,$B$334)+1-ROW('Eingabe Meldungen'!A5)))),"",INDEX('Eingabe Meldungen'!$C$2:$C$492,LARGE(('Eingabe Meldungen'!$A$2:$A$492=$B$334)*(ROW('Eingabe Meldungen'!$A$2:$A$492)-1),COUNTIF('Eingabe Meldungen'!$A$2:$A$492,$B$334)+1-ROW('Eingabe Meldungen'!A5))))</f>
        <v/>
      </c>
      <c r="C340" s="316" t="str">
        <f t="array" ref="C340">IF(ISERROR(INDEX('Eingabe Meldungen'!$D$2:$D$492,LARGE(('Eingabe Meldungen'!$A$2:$A$492=$B$334)*(ROW('Eingabe Meldungen'!$A$2:$A$492)-1),COUNTIF('Eingabe Meldungen'!$A$2:$A$492,$B$334)+1-ROW('Eingabe Meldungen'!A5)))),"",INDEX('Eingabe Meldungen'!$D$2:$D$492,LARGE(('Eingabe Meldungen'!$A$2:$A$492=$B$334)*(ROW('Eingabe Meldungen'!$A$2:$A$492)-1),COUNTIF('Eingabe Meldungen'!$A$2:$A$492,$B$334)+1-ROW('Eingabe Meldungen'!A5))))</f>
        <v/>
      </c>
      <c r="D340" s="341" t="str">
        <f t="array" ref="D340">IF(B340&lt;&gt;"",INDEX('Eingabe Meldungen'!$C$2:$H$492,MATCH(B340&amp;C340,'Eingabe Meldungen'!$C$2:$C$492&amp;'Eingabe Meldungen'!$D$2:$D$492,0),6),"")</f>
        <v/>
      </c>
      <c r="E340" s="382" t="str">
        <f t="array" ref="E340">IF(B340&lt;&gt;"",INDEX('Eingabe Meldungen'!$C$2:$H$492,MATCH(B340&amp;C340,'Eingabe Meldungen'!$C$2:$C$492&amp;'Eingabe Meldungen'!$D$2:$D$492,0),4),"")</f>
        <v/>
      </c>
      <c r="F340" s="353" t="str">
        <f>IF(VLOOKUP(B340,Rennlisten!$B$262:$H$264,6,FALSE)=0,"",VLOOKUP(B340,Rennlisten!$B$262:$H$264,6,FALSE))</f>
        <v/>
      </c>
      <c r="G340" s="333" t="e">
        <f t="shared" si="36"/>
        <v>#VALUE!</v>
      </c>
      <c r="H340" s="343" t="str">
        <f t="array" ref="H340">IF(B340&lt;&gt;"",INDEX('Eingabe Meldungen'!$C$2:$J$492,MATCH(B340&amp;C340,'Eingabe Meldungen'!$C$2:$C$492&amp;'Eingabe Meldungen'!$D$2:$D$492,0),8),"")</f>
        <v/>
      </c>
      <c r="J340" s="332"/>
      <c r="K340" s="332"/>
      <c r="L340" s="332"/>
      <c r="M340" s="332"/>
      <c r="N340" s="332"/>
      <c r="O340" s="332"/>
      <c r="P340" s="332"/>
      <c r="Q340" s="332"/>
      <c r="R340" s="332"/>
      <c r="S340" s="332"/>
      <c r="T340" s="332"/>
      <c r="U340" s="332"/>
      <c r="V340" s="332"/>
      <c r="W340" s="332"/>
      <c r="X340" s="332"/>
      <c r="Y340" s="332"/>
      <c r="Z340" s="332"/>
      <c r="AA340" s="332"/>
      <c r="AB340" s="332"/>
      <c r="AC340" s="332"/>
      <c r="AD340" s="332"/>
      <c r="AE340" s="332"/>
      <c r="AF340" s="332"/>
      <c r="AG340" s="332"/>
      <c r="AH340" s="332"/>
      <c r="AI340" s="332"/>
      <c r="AJ340" s="333"/>
      <c r="AK340" s="333"/>
      <c r="AL340" s="333"/>
      <c r="AM340" s="333"/>
    </row>
    <row r="341" spans="2:39" s="316" customFormat="1" ht="26.25" customHeight="1" x14ac:dyDescent="0.2">
      <c r="B341" s="340" t="str">
        <f t="array" ref="B341">IF(ISERROR(INDEX('Eingabe Meldungen'!$C$2:$C$492,LARGE(('Eingabe Meldungen'!$A$2:$A$492=$B$334)*(ROW('Eingabe Meldungen'!$A$2:$A$492)-1),COUNTIF('Eingabe Meldungen'!$A$2:$A$492,$B$334)+1-ROW('Eingabe Meldungen'!A6)))),"",INDEX('Eingabe Meldungen'!$C$2:$C$492,LARGE(('Eingabe Meldungen'!$A$2:$A$492=$B$334)*(ROW('Eingabe Meldungen'!$A$2:$A$492)-1),COUNTIF('Eingabe Meldungen'!$A$2:$A$492,$B$334)+1-ROW('Eingabe Meldungen'!A6))))</f>
        <v/>
      </c>
      <c r="C341" s="316" t="str">
        <f t="array" ref="C341">IF(ISERROR(INDEX('Eingabe Meldungen'!$D$2:$D$492,LARGE(('Eingabe Meldungen'!$A$2:$A$492=$B$334)*(ROW('Eingabe Meldungen'!$A$2:$A$492)-1),COUNTIF('Eingabe Meldungen'!$A$2:$A$492,$B$334)+1-ROW('Eingabe Meldungen'!A6)))),"",INDEX('Eingabe Meldungen'!$D$2:$D$492,LARGE(('Eingabe Meldungen'!$A$2:$A$492=$B$334)*(ROW('Eingabe Meldungen'!$A$2:$A$492)-1),COUNTIF('Eingabe Meldungen'!$A$2:$A$492,$B$334)+1-ROW('Eingabe Meldungen'!A6))))</f>
        <v/>
      </c>
      <c r="D341" s="341" t="str">
        <f t="array" ref="D341">IF(B341&lt;&gt;"",INDEX('Eingabe Meldungen'!$C$2:$H$492,MATCH(B341&amp;C341,'Eingabe Meldungen'!$C$2:$C$492&amp;'Eingabe Meldungen'!$D$2:$D$492,0),6),"")</f>
        <v/>
      </c>
      <c r="E341" s="382" t="str">
        <f t="array" ref="E341">IF(B341&lt;&gt;"",INDEX('Eingabe Meldungen'!$C$2:$H$492,MATCH(B341&amp;C341,'Eingabe Meldungen'!$C$2:$C$492&amp;'Eingabe Meldungen'!$D$2:$D$492,0),4),"")</f>
        <v/>
      </c>
      <c r="F341" s="353" t="str">
        <f>IF(VLOOKUP(B341,Rennlisten!$B$262:$H$264,6,FALSE)=0,"",VLOOKUP(B341,Rennlisten!$B$262:$H$264,6,FALSE))</f>
        <v/>
      </c>
      <c r="G341" s="333" t="e">
        <f t="shared" si="36"/>
        <v>#VALUE!</v>
      </c>
      <c r="H341" s="343" t="str">
        <f t="array" ref="H341">IF(B341&lt;&gt;"",INDEX('Eingabe Meldungen'!$C$2:$J$492,MATCH(B341&amp;C341,'Eingabe Meldungen'!$C$2:$C$492&amp;'Eingabe Meldungen'!$D$2:$D$492,0),8),"")</f>
        <v/>
      </c>
      <c r="J341" s="332"/>
      <c r="K341" s="332"/>
      <c r="L341" s="332"/>
      <c r="M341" s="332"/>
      <c r="N341" s="332"/>
      <c r="O341" s="332"/>
      <c r="P341" s="332"/>
      <c r="Q341" s="332"/>
      <c r="R341" s="332"/>
      <c r="S341" s="332"/>
      <c r="T341" s="332"/>
      <c r="U341" s="332"/>
      <c r="V341" s="332"/>
      <c r="W341" s="332"/>
      <c r="X341" s="332"/>
      <c r="Y341" s="332"/>
      <c r="Z341" s="332"/>
      <c r="AA341" s="332"/>
      <c r="AB341" s="332"/>
      <c r="AC341" s="332"/>
      <c r="AD341" s="332"/>
      <c r="AE341" s="332"/>
      <c r="AF341" s="332"/>
      <c r="AG341" s="332"/>
      <c r="AH341" s="332"/>
      <c r="AI341" s="332"/>
      <c r="AJ341" s="333"/>
      <c r="AK341" s="333"/>
      <c r="AL341" s="333"/>
      <c r="AM341" s="333"/>
    </row>
    <row r="342" spans="2:39" s="316" customFormat="1" ht="26.25" customHeight="1" x14ac:dyDescent="0.2">
      <c r="B342" s="340" t="str">
        <f t="array" ref="B342">IF(ISERROR(INDEX('Eingabe Meldungen'!$C$2:$C$492,LARGE(('Eingabe Meldungen'!$A$2:$A$492=$B$334)*(ROW('Eingabe Meldungen'!$A$2:$A$492)-1),COUNTIF('Eingabe Meldungen'!$A$2:$A$492,$B$334)+1-ROW('Eingabe Meldungen'!A7)))),"",INDEX('Eingabe Meldungen'!$C$2:$C$492,LARGE(('Eingabe Meldungen'!$A$2:$A$492=$B$334)*(ROW('Eingabe Meldungen'!$A$2:$A$492)-1),COUNTIF('Eingabe Meldungen'!$A$2:$A$492,$B$334)+1-ROW('Eingabe Meldungen'!A7))))</f>
        <v/>
      </c>
      <c r="C342" s="316" t="str">
        <f t="array" ref="C342">IF(ISERROR(INDEX('Eingabe Meldungen'!$D$2:$D$492,LARGE(('Eingabe Meldungen'!$A$2:$A$492=$B$334)*(ROW('Eingabe Meldungen'!$A$2:$A$492)-1),COUNTIF('Eingabe Meldungen'!$A$2:$A$492,$B$334)+1-ROW('Eingabe Meldungen'!A7)))),"",INDEX('Eingabe Meldungen'!$D$2:$D$492,LARGE(('Eingabe Meldungen'!$A$2:$A$492=$B$334)*(ROW('Eingabe Meldungen'!$A$2:$A$492)-1),COUNTIF('Eingabe Meldungen'!$A$2:$A$492,$B$334)+1-ROW('Eingabe Meldungen'!A7))))</f>
        <v/>
      </c>
      <c r="D342" s="341" t="str">
        <f t="array" ref="D342">IF(B342&lt;&gt;"",INDEX('Eingabe Meldungen'!$C$2:$H$492,MATCH(B342&amp;C342,'Eingabe Meldungen'!$C$2:$C$492&amp;'Eingabe Meldungen'!$D$2:$D$492,0),6),"")</f>
        <v/>
      </c>
      <c r="E342" s="382" t="str">
        <f t="array" ref="E342">IF(B342&lt;&gt;"",INDEX('Eingabe Meldungen'!$C$2:$H$492,MATCH(B342&amp;C342,'Eingabe Meldungen'!$C$2:$C$492&amp;'Eingabe Meldungen'!$D$2:$D$492,0),4),"")</f>
        <v/>
      </c>
      <c r="F342" s="353" t="str">
        <f>IF(VLOOKUP(B342,Rennlisten!$B$262:$H$264,6,FALSE)=0,"",VLOOKUP(B342,Rennlisten!$B$262:$H$264,6,FALSE))</f>
        <v/>
      </c>
      <c r="G342" s="333" t="e">
        <f t="shared" si="36"/>
        <v>#VALUE!</v>
      </c>
      <c r="H342" s="343" t="str">
        <f t="array" ref="H342">IF(B342&lt;&gt;"",INDEX('Eingabe Meldungen'!$C$2:$J$492,MATCH(B342&amp;C342,'Eingabe Meldungen'!$C$2:$C$492&amp;'Eingabe Meldungen'!$D$2:$D$492,0),8),"")</f>
        <v/>
      </c>
      <c r="J342" s="332"/>
      <c r="K342" s="332"/>
      <c r="L342" s="332"/>
      <c r="M342" s="332"/>
      <c r="N342" s="332"/>
      <c r="O342" s="332"/>
      <c r="P342" s="332"/>
      <c r="Q342" s="332"/>
      <c r="R342" s="332"/>
      <c r="S342" s="332"/>
      <c r="T342" s="332"/>
      <c r="U342" s="332"/>
      <c r="V342" s="332"/>
      <c r="W342" s="332"/>
      <c r="X342" s="332"/>
      <c r="Y342" s="332"/>
      <c r="Z342" s="332"/>
      <c r="AA342" s="332"/>
      <c r="AB342" s="332"/>
      <c r="AC342" s="332"/>
      <c r="AD342" s="332"/>
      <c r="AE342" s="332"/>
      <c r="AF342" s="332"/>
      <c r="AG342" s="332"/>
      <c r="AH342" s="332"/>
      <c r="AI342" s="332"/>
      <c r="AJ342" s="333"/>
      <c r="AK342" s="333"/>
      <c r="AL342" s="333"/>
      <c r="AM342" s="333"/>
    </row>
    <row r="343" spans="2:39" s="316" customFormat="1" ht="26.25" customHeight="1" x14ac:dyDescent="0.2">
      <c r="B343" s="340" t="str">
        <f t="array" ref="B343">IF(ISERROR(INDEX('Eingabe Meldungen'!$C$2:$C$492,LARGE(('Eingabe Meldungen'!$A$2:$A$492=$B$334)*(ROW('Eingabe Meldungen'!$A$2:$A$492)-1),COUNTIF('Eingabe Meldungen'!$A$2:$A$492,$B$334)+1-ROW('Eingabe Meldungen'!A8)))),"",INDEX('Eingabe Meldungen'!$C$2:$C$492,LARGE(('Eingabe Meldungen'!$A$2:$A$492=$B$334)*(ROW('Eingabe Meldungen'!$A$2:$A$492)-1),COUNTIF('Eingabe Meldungen'!$A$2:$A$492,$B$334)+1-ROW('Eingabe Meldungen'!A8))))</f>
        <v/>
      </c>
      <c r="C343" s="316" t="str">
        <f t="array" ref="C343">IF(ISERROR(INDEX('Eingabe Meldungen'!$D$2:$D$492,LARGE(('Eingabe Meldungen'!$A$2:$A$492=$B$334)*(ROW('Eingabe Meldungen'!$A$2:$A$492)-1),COUNTIF('Eingabe Meldungen'!$A$2:$A$492,$B$334)+1-ROW('Eingabe Meldungen'!A8)))),"",INDEX('Eingabe Meldungen'!$D$2:$D$492,LARGE(('Eingabe Meldungen'!$A$2:$A$492=$B$334)*(ROW('Eingabe Meldungen'!$A$2:$A$492)-1),COUNTIF('Eingabe Meldungen'!$A$2:$A$492,$B$334)+1-ROW('Eingabe Meldungen'!A8))))</f>
        <v/>
      </c>
      <c r="D343" s="341" t="str">
        <f t="array" ref="D343">IF(B343&lt;&gt;"",INDEX('Eingabe Meldungen'!$C$2:$H$492,MATCH(B343&amp;C343,'Eingabe Meldungen'!$C$2:$C$492&amp;'Eingabe Meldungen'!$D$2:$D$492,0),6),"")</f>
        <v/>
      </c>
      <c r="E343" s="382" t="str">
        <f t="array" ref="E343">IF(B343&lt;&gt;"",INDEX('Eingabe Meldungen'!$C$2:$H$492,MATCH(B343&amp;C343,'Eingabe Meldungen'!$C$2:$C$492&amp;'Eingabe Meldungen'!$D$2:$D$492,0),4),"")</f>
        <v/>
      </c>
      <c r="F343" s="353" t="str">
        <f>IF(VLOOKUP(B343,Rennlisten!$B$262:$H$264,6,FALSE)=0,"",VLOOKUP(B343,Rennlisten!$B$262:$H$264,6,FALSE))</f>
        <v/>
      </c>
      <c r="G343" s="333" t="e">
        <f t="shared" si="36"/>
        <v>#VALUE!</v>
      </c>
      <c r="H343" s="343" t="str">
        <f t="array" ref="H343">IF(B343&lt;&gt;"",INDEX('Eingabe Meldungen'!$C$2:$J$492,MATCH(B343&amp;C343,'Eingabe Meldungen'!$C$2:$C$492&amp;'Eingabe Meldungen'!$D$2:$D$492,0),8),"")</f>
        <v/>
      </c>
      <c r="J343" s="332"/>
      <c r="K343" s="332"/>
      <c r="L343" s="332"/>
      <c r="M343" s="332"/>
      <c r="N343" s="332"/>
      <c r="O343" s="332"/>
      <c r="P343" s="332"/>
      <c r="Q343" s="332"/>
      <c r="R343" s="332"/>
      <c r="S343" s="332"/>
      <c r="T343" s="332"/>
      <c r="U343" s="332"/>
      <c r="V343" s="332"/>
      <c r="W343" s="332"/>
      <c r="X343" s="332"/>
      <c r="Y343" s="332"/>
      <c r="Z343" s="332"/>
      <c r="AA343" s="332"/>
      <c r="AB343" s="332"/>
      <c r="AC343" s="332"/>
      <c r="AD343" s="332"/>
      <c r="AE343" s="332"/>
      <c r="AF343" s="332"/>
      <c r="AG343" s="332"/>
      <c r="AH343" s="332"/>
      <c r="AI343" s="332"/>
      <c r="AJ343" s="333"/>
      <c r="AK343" s="333"/>
      <c r="AL343" s="333"/>
      <c r="AM343" s="333"/>
    </row>
    <row r="344" spans="2:39" s="316" customFormat="1" ht="26.25" customHeight="1" x14ac:dyDescent="0.2">
      <c r="B344" s="340" t="str">
        <f t="array" ref="B344">IF(ISERROR(INDEX('Eingabe Meldungen'!$C$2:$C$492,LARGE(('Eingabe Meldungen'!$A$2:$A$492=$B$334)*(ROW('Eingabe Meldungen'!$A$2:$A$492)-1),COUNTIF('Eingabe Meldungen'!$A$2:$A$492,$B$334)+1-ROW('Eingabe Meldungen'!A9)))),"",INDEX('Eingabe Meldungen'!$C$2:$C$492,LARGE(('Eingabe Meldungen'!$A$2:$A$492=$B$334)*(ROW('Eingabe Meldungen'!$A$2:$A$492)-1),COUNTIF('Eingabe Meldungen'!$A$2:$A$492,$B$334)+1-ROW('Eingabe Meldungen'!A9))))</f>
        <v/>
      </c>
      <c r="C344" s="316" t="str">
        <f t="array" ref="C344">IF(ISERROR(INDEX('Eingabe Meldungen'!$D$2:$D$492,LARGE(('Eingabe Meldungen'!$A$2:$A$492=$B$334)*(ROW('Eingabe Meldungen'!$A$2:$A$492)-1),COUNTIF('Eingabe Meldungen'!$A$2:$A$492,$B$334)+1-ROW('Eingabe Meldungen'!A9)))),"",INDEX('Eingabe Meldungen'!$D$2:$D$492,LARGE(('Eingabe Meldungen'!$A$2:$A$492=$B$334)*(ROW('Eingabe Meldungen'!$A$2:$A$492)-1),COUNTIF('Eingabe Meldungen'!$A$2:$A$492,$B$334)+1-ROW('Eingabe Meldungen'!A9))))</f>
        <v/>
      </c>
      <c r="D344" s="341" t="str">
        <f t="array" ref="D344">IF(B344&lt;&gt;"",INDEX('Eingabe Meldungen'!$C$2:$H$492,MATCH(B344&amp;C344,'Eingabe Meldungen'!$C$2:$C$492&amp;'Eingabe Meldungen'!$D$2:$D$492,0),6),"")</f>
        <v/>
      </c>
      <c r="E344" s="382" t="str">
        <f t="array" ref="E344">IF(B344&lt;&gt;"",INDEX('Eingabe Meldungen'!$C$2:$H$492,MATCH(B344&amp;C344,'Eingabe Meldungen'!$C$2:$C$492&amp;'Eingabe Meldungen'!$D$2:$D$492,0),4),"")</f>
        <v/>
      </c>
      <c r="F344" s="353" t="str">
        <f>IF(VLOOKUP(B344,Rennlisten!$B$262:$H$264,6,FALSE)=0,"",VLOOKUP(B344,Rennlisten!$B$262:$H$264,6,FALSE))</f>
        <v/>
      </c>
      <c r="G344" s="333" t="e">
        <f t="shared" si="36"/>
        <v>#VALUE!</v>
      </c>
      <c r="H344" s="343" t="str">
        <f t="array" ref="H344">IF(B344&lt;&gt;"",INDEX('Eingabe Meldungen'!$C$2:$J$492,MATCH(B344&amp;C344,'Eingabe Meldungen'!$C$2:$C$492&amp;'Eingabe Meldungen'!$D$2:$D$492,0),8),"")</f>
        <v/>
      </c>
      <c r="J344" s="332"/>
      <c r="K344" s="332"/>
      <c r="L344" s="332"/>
      <c r="M344" s="332"/>
      <c r="N344" s="332"/>
      <c r="O344" s="332"/>
      <c r="P344" s="332"/>
      <c r="Q344" s="332"/>
      <c r="R344" s="332"/>
      <c r="S344" s="332"/>
      <c r="T344" s="332"/>
      <c r="U344" s="332"/>
      <c r="V344" s="332"/>
      <c r="W344" s="332"/>
      <c r="X344" s="332"/>
      <c r="Y344" s="332"/>
      <c r="Z344" s="332"/>
      <c r="AA344" s="332"/>
      <c r="AB344" s="332"/>
      <c r="AC344" s="332"/>
      <c r="AD344" s="332"/>
      <c r="AE344" s="332"/>
      <c r="AF344" s="332"/>
      <c r="AG344" s="332"/>
      <c r="AH344" s="332"/>
      <c r="AI344" s="332"/>
      <c r="AJ344" s="333"/>
      <c r="AK344" s="333"/>
      <c r="AL344" s="333"/>
      <c r="AM344" s="333"/>
    </row>
    <row r="345" spans="2:39" s="316" customFormat="1" ht="26.25" customHeight="1" x14ac:dyDescent="0.2">
      <c r="B345" s="340" t="str">
        <f t="array" ref="B345">IF(ISERROR(INDEX('Eingabe Meldungen'!$C$2:$C$492,LARGE(('Eingabe Meldungen'!$A$2:$A$492=$B$334)*(ROW('Eingabe Meldungen'!$A$2:$A$492)-1),COUNTIF('Eingabe Meldungen'!$A$2:$A$492,$B$334)+1-ROW('Eingabe Meldungen'!A10)))),"",INDEX('Eingabe Meldungen'!$C$2:$C$492,LARGE(('Eingabe Meldungen'!$A$2:$A$492=$B$334)*(ROW('Eingabe Meldungen'!$A$2:$A$492)-1),COUNTIF('Eingabe Meldungen'!$A$2:$A$492,$B$334)+1-ROW('Eingabe Meldungen'!A10))))</f>
        <v/>
      </c>
      <c r="C345" s="316" t="str">
        <f t="array" ref="C345">IF(ISERROR(INDEX('Eingabe Meldungen'!$D$2:$D$492,LARGE(('Eingabe Meldungen'!$A$2:$A$492=$B$334)*(ROW('Eingabe Meldungen'!$A$2:$A$492)-1),COUNTIF('Eingabe Meldungen'!$A$2:$A$492,$B$334)+1-ROW('Eingabe Meldungen'!A10)))),"",INDEX('Eingabe Meldungen'!$D$2:$D$492,LARGE(('Eingabe Meldungen'!$A$2:$A$492=$B$334)*(ROW('Eingabe Meldungen'!$A$2:$A$492)-1),COUNTIF('Eingabe Meldungen'!$A$2:$A$492,$B$334)+1-ROW('Eingabe Meldungen'!A10))))</f>
        <v/>
      </c>
      <c r="D345" s="341" t="str">
        <f t="array" ref="D345">IF(B345&lt;&gt;"",INDEX('Eingabe Meldungen'!$C$2:$H$492,MATCH(B345&amp;C345,'Eingabe Meldungen'!$C$2:$C$492&amp;'Eingabe Meldungen'!$D$2:$D$492,0),6),"")</f>
        <v/>
      </c>
      <c r="E345" s="382" t="str">
        <f t="array" ref="E345">IF(B345&lt;&gt;"",INDEX('Eingabe Meldungen'!$C$2:$H$492,MATCH(B345&amp;C345,'Eingabe Meldungen'!$C$2:$C$492&amp;'Eingabe Meldungen'!$D$2:$D$492,0),4),"")</f>
        <v/>
      </c>
      <c r="F345" s="353" t="str">
        <f>IF(VLOOKUP(B345,Rennlisten!$B$262:$H$264,6,FALSE)=0,"",VLOOKUP(B345,Rennlisten!$B$262:$H$264,6,FALSE))</f>
        <v/>
      </c>
      <c r="G345" s="333" t="e">
        <f t="shared" si="36"/>
        <v>#VALUE!</v>
      </c>
      <c r="H345" s="343" t="str">
        <f t="array" ref="H345">IF(B345&lt;&gt;"",INDEX('Eingabe Meldungen'!$C$2:$J$492,MATCH(B345&amp;C345,'Eingabe Meldungen'!$C$2:$C$492&amp;'Eingabe Meldungen'!$D$2:$D$492,0),8),"")</f>
        <v/>
      </c>
      <c r="J345" s="332"/>
      <c r="K345" s="332"/>
      <c r="L345" s="332"/>
      <c r="M345" s="332"/>
      <c r="N345" s="332"/>
      <c r="O345" s="332"/>
      <c r="P345" s="332"/>
      <c r="Q345" s="332"/>
      <c r="R345" s="332"/>
      <c r="S345" s="332"/>
      <c r="T345" s="332"/>
      <c r="U345" s="332"/>
      <c r="V345" s="332"/>
      <c r="W345" s="332"/>
      <c r="X345" s="332"/>
      <c r="Y345" s="332"/>
      <c r="Z345" s="332"/>
      <c r="AA345" s="332"/>
      <c r="AB345" s="332"/>
      <c r="AC345" s="332"/>
      <c r="AD345" s="332"/>
      <c r="AE345" s="332"/>
      <c r="AF345" s="332"/>
      <c r="AG345" s="332"/>
      <c r="AH345" s="332"/>
      <c r="AI345" s="332"/>
      <c r="AJ345" s="333"/>
      <c r="AK345" s="333"/>
      <c r="AL345" s="333"/>
      <c r="AM345" s="333"/>
    </row>
    <row r="346" spans="2:39" s="316" customFormat="1" ht="26.25" customHeight="1" x14ac:dyDescent="0.2">
      <c r="B346" s="340" t="str">
        <f t="array" ref="B346">IF(ISERROR(INDEX('Eingabe Meldungen'!$C$2:$C$492,LARGE(('Eingabe Meldungen'!$A$2:$A$492=$B$334)*(ROW('Eingabe Meldungen'!$A$2:$A$492)-1),COUNTIF('Eingabe Meldungen'!$A$2:$A$492,$B$334)+1-ROW('Eingabe Meldungen'!A11)))),"",INDEX('Eingabe Meldungen'!$C$2:$C$492,LARGE(('Eingabe Meldungen'!$A$2:$A$492=$B$334)*(ROW('Eingabe Meldungen'!$A$2:$A$492)-1),COUNTIF('Eingabe Meldungen'!$A$2:$A$492,$B$334)+1-ROW('Eingabe Meldungen'!A11))))</f>
        <v/>
      </c>
      <c r="C346" s="316" t="str">
        <f t="array" ref="C346">IF(ISERROR(INDEX('Eingabe Meldungen'!$D$2:$D$492,LARGE(('Eingabe Meldungen'!$A$2:$A$492=$B$334)*(ROW('Eingabe Meldungen'!$A$2:$A$492)-1),COUNTIF('Eingabe Meldungen'!$A$2:$A$492,$B$334)+1-ROW('Eingabe Meldungen'!A11)))),"",INDEX('Eingabe Meldungen'!$D$2:$D$492,LARGE(('Eingabe Meldungen'!$A$2:$A$492=$B$334)*(ROW('Eingabe Meldungen'!$A$2:$A$492)-1),COUNTIF('Eingabe Meldungen'!$A$2:$A$492,$B$334)+1-ROW('Eingabe Meldungen'!A11))))</f>
        <v/>
      </c>
      <c r="D346" s="341" t="str">
        <f t="array" ref="D346">IF(B346&lt;&gt;"",INDEX('Eingabe Meldungen'!$C$2:$H$492,MATCH(B346&amp;C346,'Eingabe Meldungen'!$C$2:$C$492&amp;'Eingabe Meldungen'!$D$2:$D$492,0),6),"")</f>
        <v/>
      </c>
      <c r="E346" s="382" t="str">
        <f t="array" ref="E346">IF(B346&lt;&gt;"",INDEX('Eingabe Meldungen'!$C$2:$H$492,MATCH(B346&amp;C346,'Eingabe Meldungen'!$C$2:$C$492&amp;'Eingabe Meldungen'!$D$2:$D$492,0),4),"")</f>
        <v/>
      </c>
      <c r="F346" s="353" t="str">
        <f>IF(VLOOKUP(B346,Rennlisten!$B$262:$H$264,6,FALSE)=0,"",VLOOKUP(B346,Rennlisten!$B$262:$H$264,6,FALSE))</f>
        <v/>
      </c>
      <c r="G346" s="333" t="e">
        <f t="shared" si="36"/>
        <v>#VALUE!</v>
      </c>
      <c r="H346" s="343" t="str">
        <f t="array" ref="H346">IF(B346&lt;&gt;"",INDEX('Eingabe Meldungen'!$C$2:$J$492,MATCH(B346&amp;C346,'Eingabe Meldungen'!$C$2:$C$492&amp;'Eingabe Meldungen'!$D$2:$D$492,0),8),"")</f>
        <v/>
      </c>
      <c r="J346" s="332"/>
      <c r="K346" s="332"/>
      <c r="L346" s="332"/>
      <c r="M346" s="332"/>
      <c r="N346" s="332"/>
      <c r="O346" s="332"/>
      <c r="P346" s="332"/>
      <c r="Q346" s="332"/>
      <c r="R346" s="332"/>
      <c r="S346" s="332"/>
      <c r="T346" s="332"/>
      <c r="U346" s="332"/>
      <c r="V346" s="332"/>
      <c r="W346" s="332"/>
      <c r="X346" s="332"/>
      <c r="Y346" s="332"/>
      <c r="Z346" s="332"/>
      <c r="AA346" s="332"/>
      <c r="AB346" s="332"/>
      <c r="AC346" s="332"/>
      <c r="AD346" s="332"/>
      <c r="AE346" s="332"/>
      <c r="AF346" s="332"/>
      <c r="AG346" s="332"/>
      <c r="AH346" s="332"/>
      <c r="AI346" s="332"/>
      <c r="AJ346" s="333"/>
      <c r="AK346" s="333"/>
      <c r="AL346" s="333"/>
      <c r="AM346" s="333"/>
    </row>
    <row r="347" spans="2:39" s="316" customFormat="1" ht="26.25" customHeight="1" x14ac:dyDescent="0.2">
      <c r="B347" s="340" t="str">
        <f t="array" ref="B347">IF(ISERROR(INDEX('Eingabe Meldungen'!$C$2:$C$492,LARGE(('Eingabe Meldungen'!$A$2:$A$492=$B$334)*(ROW('Eingabe Meldungen'!$A$2:$A$492)-1),COUNTIF('Eingabe Meldungen'!$A$2:$A$492,$B$334)+1-ROW('Eingabe Meldungen'!A12)))),"",INDEX('Eingabe Meldungen'!$C$2:$C$492,LARGE(('Eingabe Meldungen'!$A$2:$A$492=$B$334)*(ROW('Eingabe Meldungen'!$A$2:$A$492)-1),COUNTIF('Eingabe Meldungen'!$A$2:$A$492,$B$334)+1-ROW('Eingabe Meldungen'!A12))))</f>
        <v/>
      </c>
      <c r="C347" s="316" t="str">
        <f t="array" ref="C347">IF(ISERROR(INDEX('Eingabe Meldungen'!$D$2:$D$492,LARGE(('Eingabe Meldungen'!$A$2:$A$492=$B$334)*(ROW('Eingabe Meldungen'!$A$2:$A$492)-1),COUNTIF('Eingabe Meldungen'!$A$2:$A$492,$B$334)+1-ROW('Eingabe Meldungen'!A12)))),"",INDEX('Eingabe Meldungen'!$D$2:$D$492,LARGE(('Eingabe Meldungen'!$A$2:$A$492=$B$334)*(ROW('Eingabe Meldungen'!$A$2:$A$492)-1),COUNTIF('Eingabe Meldungen'!$A$2:$A$492,$B$334)+1-ROW('Eingabe Meldungen'!A12))))</f>
        <v/>
      </c>
      <c r="D347" s="341" t="str">
        <f t="array" ref="D347">IF(B347&lt;&gt;"",INDEX('Eingabe Meldungen'!$C$2:$H$492,MATCH(B347&amp;C347,'Eingabe Meldungen'!$C$2:$C$492&amp;'Eingabe Meldungen'!$D$2:$D$492,0),6),"")</f>
        <v/>
      </c>
      <c r="E347" s="382" t="str">
        <f t="array" ref="E347">IF(B347&lt;&gt;"",INDEX('Eingabe Meldungen'!$C$2:$H$492,MATCH(B347&amp;C347,'Eingabe Meldungen'!$C$2:$C$492&amp;'Eingabe Meldungen'!$D$2:$D$492,0),4),"")</f>
        <v/>
      </c>
      <c r="F347" s="353" t="str">
        <f>IF(VLOOKUP(B347,Rennlisten!$B$262:$H$264,6,FALSE)=0,"",VLOOKUP(B347,Rennlisten!$B$262:$H$264,6,FALSE))</f>
        <v/>
      </c>
      <c r="G347" s="333" t="e">
        <f t="shared" si="36"/>
        <v>#VALUE!</v>
      </c>
      <c r="H347" s="343" t="str">
        <f t="array" ref="H347">IF(B347&lt;&gt;"",INDEX('Eingabe Meldungen'!$C$2:$J$492,MATCH(B347&amp;C347,'Eingabe Meldungen'!$C$2:$C$492&amp;'Eingabe Meldungen'!$D$2:$D$492,0),8),"")</f>
        <v/>
      </c>
      <c r="J347" s="332"/>
      <c r="K347" s="332"/>
      <c r="L347" s="332"/>
      <c r="M347" s="332"/>
      <c r="N347" s="332"/>
      <c r="O347" s="332"/>
      <c r="P347" s="332"/>
      <c r="Q347" s="332"/>
      <c r="R347" s="332"/>
      <c r="S347" s="332"/>
      <c r="T347" s="332"/>
      <c r="U347" s="332"/>
      <c r="V347" s="332"/>
      <c r="W347" s="332"/>
      <c r="X347" s="332"/>
      <c r="Y347" s="332"/>
      <c r="Z347" s="332"/>
      <c r="AA347" s="332"/>
      <c r="AB347" s="332"/>
      <c r="AC347" s="332"/>
      <c r="AD347" s="332"/>
      <c r="AE347" s="332"/>
      <c r="AF347" s="332"/>
      <c r="AG347" s="332"/>
      <c r="AH347" s="332"/>
      <c r="AI347" s="332"/>
      <c r="AJ347" s="333"/>
      <c r="AK347" s="333"/>
      <c r="AL347" s="333"/>
      <c r="AM347" s="333"/>
    </row>
    <row r="348" spans="2:39" s="316" customFormat="1" ht="26.25" customHeight="1" x14ac:dyDescent="0.2">
      <c r="B348" s="340" t="str">
        <f t="array" ref="B348">IF(ISERROR(INDEX('Eingabe Meldungen'!$C$2:$C$492,LARGE(('Eingabe Meldungen'!$A$2:$A$492=$B$334)*(ROW('Eingabe Meldungen'!$A$2:$A$492)-1),COUNTIF('Eingabe Meldungen'!$A$2:$A$492,$B$334)+1-ROW('Eingabe Meldungen'!A13)))),"",INDEX('Eingabe Meldungen'!$C$2:$C$492,LARGE(('Eingabe Meldungen'!$A$2:$A$492=$B$334)*(ROW('Eingabe Meldungen'!$A$2:$A$492)-1),COUNTIF('Eingabe Meldungen'!$A$2:$A$492,$B$334)+1-ROW('Eingabe Meldungen'!A13))))</f>
        <v/>
      </c>
      <c r="C348" s="316" t="str">
        <f t="array" ref="C348">IF(ISERROR(INDEX('Eingabe Meldungen'!$D$2:$D$492,LARGE(('Eingabe Meldungen'!$A$2:$A$492=$B$334)*(ROW('Eingabe Meldungen'!$A$2:$A$492)-1),COUNTIF('Eingabe Meldungen'!$A$2:$A$492,$B$334)+1-ROW('Eingabe Meldungen'!A13)))),"",INDEX('Eingabe Meldungen'!$D$2:$D$492,LARGE(('Eingabe Meldungen'!$A$2:$A$492=$B$334)*(ROW('Eingabe Meldungen'!$A$2:$A$492)-1),COUNTIF('Eingabe Meldungen'!$A$2:$A$492,$B$334)+1-ROW('Eingabe Meldungen'!A13))))</f>
        <v/>
      </c>
      <c r="D348" s="341" t="str">
        <f t="array" ref="D348">IF(B348&lt;&gt;"",INDEX('Eingabe Meldungen'!$C$2:$H$492,MATCH(B348&amp;C348,'Eingabe Meldungen'!$C$2:$C$492&amp;'Eingabe Meldungen'!$D$2:$D$492,0),6),"")</f>
        <v/>
      </c>
      <c r="E348" s="382" t="str">
        <f t="array" ref="E348">IF(B348&lt;&gt;"",INDEX('Eingabe Meldungen'!$C$2:$H$492,MATCH(B348&amp;C348,'Eingabe Meldungen'!$C$2:$C$492&amp;'Eingabe Meldungen'!$D$2:$D$492,0),4),"")</f>
        <v/>
      </c>
      <c r="F348" s="353" t="str">
        <f>IF(VLOOKUP(B348,Rennlisten!$B$262:$H$264,6,FALSE)=0,"",VLOOKUP(B348,Rennlisten!$B$262:$H$264,6,FALSE))</f>
        <v/>
      </c>
      <c r="G348" s="333" t="e">
        <f t="shared" si="36"/>
        <v>#VALUE!</v>
      </c>
      <c r="H348" s="343" t="str">
        <f t="array" ref="H348">IF(B348&lt;&gt;"",INDEX('Eingabe Meldungen'!$C$2:$J$492,MATCH(B348&amp;C348,'Eingabe Meldungen'!$C$2:$C$492&amp;'Eingabe Meldungen'!$D$2:$D$492,0),8),"")</f>
        <v/>
      </c>
      <c r="J348" s="332"/>
      <c r="K348" s="332"/>
      <c r="L348" s="332"/>
      <c r="M348" s="332"/>
      <c r="N348" s="332"/>
      <c r="O348" s="332"/>
      <c r="P348" s="332"/>
      <c r="Q348" s="332"/>
      <c r="R348" s="332"/>
      <c r="S348" s="332"/>
      <c r="T348" s="332"/>
      <c r="U348" s="332"/>
      <c r="V348" s="332"/>
      <c r="W348" s="332"/>
      <c r="X348" s="332"/>
      <c r="Y348" s="332"/>
      <c r="Z348" s="332"/>
      <c r="AA348" s="332"/>
      <c r="AB348" s="332"/>
      <c r="AC348" s="332"/>
      <c r="AD348" s="332"/>
      <c r="AE348" s="332"/>
      <c r="AF348" s="332"/>
      <c r="AG348" s="332"/>
      <c r="AH348" s="332"/>
      <c r="AI348" s="332"/>
      <c r="AJ348" s="333"/>
      <c r="AK348" s="333"/>
      <c r="AL348" s="333"/>
      <c r="AM348" s="333"/>
    </row>
    <row r="349" spans="2:39" s="316" customFormat="1" ht="26.25" customHeight="1" x14ac:dyDescent="0.2">
      <c r="B349" s="340" t="str">
        <f t="array" ref="B349">IF(ISERROR(INDEX('Eingabe Meldungen'!$C$2:$C$492,LARGE(('Eingabe Meldungen'!$A$2:$A$492=$B$334)*(ROW('Eingabe Meldungen'!$A$2:$A$492)-1),COUNTIF('Eingabe Meldungen'!$A$2:$A$492,$B$334)+1-ROW('Eingabe Meldungen'!A14)))),"",INDEX('Eingabe Meldungen'!$C$2:$C$492,LARGE(('Eingabe Meldungen'!$A$2:$A$492=$B$334)*(ROW('Eingabe Meldungen'!$A$2:$A$492)-1),COUNTIF('Eingabe Meldungen'!$A$2:$A$492,$B$334)+1-ROW('Eingabe Meldungen'!A14))))</f>
        <v/>
      </c>
      <c r="C349" s="316" t="str">
        <f t="array" ref="C349">IF(ISERROR(INDEX('Eingabe Meldungen'!$D$2:$D$492,LARGE(('Eingabe Meldungen'!$A$2:$A$492=$B$334)*(ROW('Eingabe Meldungen'!$A$2:$A$492)-1),COUNTIF('Eingabe Meldungen'!$A$2:$A$492,$B$334)+1-ROW('Eingabe Meldungen'!A14)))),"",INDEX('Eingabe Meldungen'!$D$2:$D$492,LARGE(('Eingabe Meldungen'!$A$2:$A$492=$B$334)*(ROW('Eingabe Meldungen'!$A$2:$A$492)-1),COUNTIF('Eingabe Meldungen'!$A$2:$A$492,$B$334)+1-ROW('Eingabe Meldungen'!A14))))</f>
        <v/>
      </c>
      <c r="D349" s="341" t="str">
        <f t="array" ref="D349">IF(B349&lt;&gt;"",INDEX('Eingabe Meldungen'!$C$2:$H$492,MATCH(B349&amp;C349,'Eingabe Meldungen'!$C$2:$C$492&amp;'Eingabe Meldungen'!$D$2:$D$492,0),6),"")</f>
        <v/>
      </c>
      <c r="E349" s="382" t="str">
        <f t="array" ref="E349">IF(B349&lt;&gt;"",INDEX('Eingabe Meldungen'!$C$2:$H$492,MATCH(B349&amp;C349,'Eingabe Meldungen'!$C$2:$C$492&amp;'Eingabe Meldungen'!$D$2:$D$492,0),4),"")</f>
        <v/>
      </c>
      <c r="F349" s="353" t="str">
        <f>IF(VLOOKUP(B349,Rennlisten!$B$262:$H$264,6,FALSE)=0,"",VLOOKUP(B349,Rennlisten!$B$262:$H$264,6,FALSE))</f>
        <v/>
      </c>
      <c r="G349" s="333" t="e">
        <f t="shared" si="36"/>
        <v>#VALUE!</v>
      </c>
      <c r="H349" s="343" t="str">
        <f t="array" ref="H349">IF(B349&lt;&gt;"",INDEX('Eingabe Meldungen'!$C$2:$J$492,MATCH(B349&amp;C349,'Eingabe Meldungen'!$C$2:$C$492&amp;'Eingabe Meldungen'!$D$2:$D$492,0),8),"")</f>
        <v/>
      </c>
      <c r="J349" s="332"/>
      <c r="K349" s="332"/>
      <c r="L349" s="332"/>
      <c r="M349" s="332"/>
      <c r="N349" s="332"/>
      <c r="O349" s="332"/>
      <c r="P349" s="332"/>
      <c r="Q349" s="332"/>
      <c r="R349" s="332"/>
      <c r="S349" s="332"/>
      <c r="T349" s="332"/>
      <c r="U349" s="332"/>
      <c r="V349" s="332"/>
      <c r="W349" s="332"/>
      <c r="X349" s="332"/>
      <c r="Y349" s="332"/>
      <c r="Z349" s="332"/>
      <c r="AA349" s="332"/>
      <c r="AB349" s="332"/>
      <c r="AC349" s="332"/>
      <c r="AD349" s="332"/>
      <c r="AE349" s="332"/>
      <c r="AF349" s="332"/>
      <c r="AG349" s="332"/>
      <c r="AH349" s="332"/>
      <c r="AI349" s="332"/>
      <c r="AJ349" s="333"/>
      <c r="AK349" s="333"/>
      <c r="AL349" s="333"/>
      <c r="AM349" s="333"/>
    </row>
    <row r="350" spans="2:39" s="316" customFormat="1" ht="26.25" customHeight="1" x14ac:dyDescent="0.2">
      <c r="B350" s="340" t="str">
        <f t="array" ref="B350">IF(ISERROR(INDEX('Eingabe Meldungen'!$C$2:$C$492,LARGE(('Eingabe Meldungen'!$A$2:$A$492=$B$334)*(ROW('Eingabe Meldungen'!$A$2:$A$492)-1),COUNTIF('Eingabe Meldungen'!$A$2:$A$492,$B$334)+1-ROW('Eingabe Meldungen'!A15)))),"",INDEX('Eingabe Meldungen'!$C$2:$C$492,LARGE(('Eingabe Meldungen'!$A$2:$A$492=$B$334)*(ROW('Eingabe Meldungen'!$A$2:$A$492)-1),COUNTIF('Eingabe Meldungen'!$A$2:$A$492,$B$334)+1-ROW('Eingabe Meldungen'!A15))))</f>
        <v/>
      </c>
      <c r="C350" s="316" t="str">
        <f t="array" ref="C350">IF(ISERROR(INDEX('Eingabe Meldungen'!$D$2:$D$492,LARGE(('Eingabe Meldungen'!$A$2:$A$492=$B$334)*(ROW('Eingabe Meldungen'!$A$2:$A$492)-1),COUNTIF('Eingabe Meldungen'!$A$2:$A$492,$B$334)+1-ROW('Eingabe Meldungen'!A15)))),"",INDEX('Eingabe Meldungen'!$D$2:$D$492,LARGE(('Eingabe Meldungen'!$A$2:$A$492=$B$334)*(ROW('Eingabe Meldungen'!$A$2:$A$492)-1),COUNTIF('Eingabe Meldungen'!$A$2:$A$492,$B$334)+1-ROW('Eingabe Meldungen'!A15))))</f>
        <v/>
      </c>
      <c r="D350" s="341" t="str">
        <f t="array" ref="D350">IF(B350&lt;&gt;"",INDEX('Eingabe Meldungen'!$C$2:$H$492,MATCH(B350&amp;C350,'Eingabe Meldungen'!$C$2:$C$492&amp;'Eingabe Meldungen'!$D$2:$D$492,0),6),"")</f>
        <v/>
      </c>
      <c r="E350" s="382" t="str">
        <f t="array" ref="E350">IF(B350&lt;&gt;"",INDEX('Eingabe Meldungen'!$C$2:$H$492,MATCH(B350&amp;C350,'Eingabe Meldungen'!$C$2:$C$492&amp;'Eingabe Meldungen'!$D$2:$D$492,0),4),"")</f>
        <v/>
      </c>
      <c r="F350" s="353" t="str">
        <f>IF(VLOOKUP(B350,Rennlisten!$B$262:$H$264,6,FALSE)=0,"",VLOOKUP(B350,Rennlisten!$B$262:$H$264,6,FALSE))</f>
        <v/>
      </c>
      <c r="G350" s="333" t="e">
        <f t="shared" ref="G350" si="37">RANK(F350,$F$336:$F$351,1)</f>
        <v>#VALUE!</v>
      </c>
      <c r="H350" s="343" t="str">
        <f t="array" ref="H350">IF(B350&lt;&gt;"",INDEX('Eingabe Meldungen'!$C$2:$J$492,MATCH(B350&amp;C350,'Eingabe Meldungen'!$C$2:$C$492&amp;'Eingabe Meldungen'!$D$2:$D$492,0),8),"")</f>
        <v/>
      </c>
      <c r="J350" s="332"/>
      <c r="K350" s="332"/>
      <c r="L350" s="332"/>
      <c r="M350" s="332"/>
      <c r="N350" s="332"/>
      <c r="O350" s="332"/>
      <c r="P350" s="332"/>
      <c r="Q350" s="332"/>
      <c r="R350" s="332"/>
      <c r="S350" s="332"/>
      <c r="T350" s="332"/>
      <c r="U350" s="332"/>
      <c r="V350" s="332"/>
      <c r="W350" s="332"/>
      <c r="X350" s="332"/>
      <c r="Y350" s="332"/>
      <c r="Z350" s="332"/>
      <c r="AA350" s="332"/>
      <c r="AB350" s="332"/>
      <c r="AC350" s="332"/>
      <c r="AD350" s="332"/>
      <c r="AE350" s="332"/>
      <c r="AF350" s="332"/>
      <c r="AG350" s="332"/>
      <c r="AH350" s="332"/>
      <c r="AI350" s="332"/>
      <c r="AJ350" s="333"/>
      <c r="AK350" s="333"/>
      <c r="AL350" s="333"/>
      <c r="AM350" s="333"/>
    </row>
    <row r="351" spans="2:39" s="316" customFormat="1" ht="26.25" customHeight="1" thickBot="1" x14ac:dyDescent="0.25">
      <c r="B351" s="344" t="str">
        <f t="array" ref="B351">IF(ISERROR(INDEX('Eingabe Meldungen'!$C$2:$C$492,LARGE(('Eingabe Meldungen'!$A$2:$A$492=$B$334)*(ROW('Eingabe Meldungen'!$A$2:$A$492)-1),COUNTIF('Eingabe Meldungen'!$A$2:$A$492,$B$334)+1-ROW('Eingabe Meldungen'!A17)))),"",INDEX('Eingabe Meldungen'!$C$2:$C$492,LARGE(('Eingabe Meldungen'!$A$2:$A$492=$B$334)*(ROW('Eingabe Meldungen'!$A$2:$A$492)-1),COUNTIF('Eingabe Meldungen'!$A$2:$A$492,$B$334)+1-ROW('Eingabe Meldungen'!A17))))</f>
        <v/>
      </c>
      <c r="C351" s="345" t="str">
        <f t="array" ref="C351">IF(ISERROR(INDEX('Eingabe Meldungen'!$D$2:$D$492,LARGE(('Eingabe Meldungen'!$A$2:$A$492=$B$334)*(ROW('Eingabe Meldungen'!$A$2:$A$492)-1),COUNTIF('Eingabe Meldungen'!$A$2:$A$492,$B$334)+1-ROW('Eingabe Meldungen'!A17)))),"",INDEX('Eingabe Meldungen'!$D$2:$D$492,LARGE(('Eingabe Meldungen'!$A$2:$A$492=$B$334)*(ROW('Eingabe Meldungen'!$A$2:$A$492)-1),COUNTIF('Eingabe Meldungen'!$A$2:$A$492,$B$334)+1-ROW('Eingabe Meldungen'!A17))))</f>
        <v/>
      </c>
      <c r="D351" s="346" t="str">
        <f t="array" ref="D351">IF(B351&lt;&gt;"",INDEX('Eingabe Meldungen'!$C$2:$H$492,MATCH(B351&amp;C351,'Eingabe Meldungen'!$C$2:$C$492&amp;'Eingabe Meldungen'!$D$2:$D$492,0),6),"")</f>
        <v/>
      </c>
      <c r="E351" s="383" t="str">
        <f t="array" ref="E351">IF(B351&lt;&gt;"",INDEX('Eingabe Meldungen'!$C$2:$H$492,MATCH(B351&amp;C351,'Eingabe Meldungen'!$C$2:$C$492&amp;'Eingabe Meldungen'!$D$2:$D$492,0),4),"")</f>
        <v/>
      </c>
      <c r="F351" s="354" t="str">
        <f>IF(VLOOKUP(B351,Rennlisten!$B$262:$H$264,6,FALSE)=0,"",VLOOKUP(B351,Rennlisten!$B$262:$H$264,6,FALSE))</f>
        <v/>
      </c>
      <c r="G351" s="348" t="e">
        <f t="shared" ref="G351" si="38">RANK(F351,$F$336:$F$351,1)</f>
        <v>#VALUE!</v>
      </c>
      <c r="H351" s="349" t="str">
        <f t="array" ref="H351">IF(B351&lt;&gt;"",INDEX('Eingabe Meldungen'!$C$2:$J$492,MATCH(B351&amp;C351,'Eingabe Meldungen'!$C$2:$C$492&amp;'Eingabe Meldungen'!$D$2:$D$492,0),8),"")</f>
        <v/>
      </c>
      <c r="J351" s="332"/>
      <c r="K351" s="332"/>
      <c r="L351" s="332"/>
      <c r="M351" s="332"/>
      <c r="N351" s="332"/>
      <c r="O351" s="332"/>
      <c r="P351" s="332"/>
      <c r="Q351" s="332"/>
      <c r="R351" s="332"/>
      <c r="S351" s="332"/>
      <c r="T351" s="332"/>
      <c r="U351" s="332"/>
      <c r="V351" s="332"/>
      <c r="W351" s="332"/>
      <c r="X351" s="332"/>
      <c r="Y351" s="332"/>
      <c r="Z351" s="332"/>
      <c r="AA351" s="332"/>
      <c r="AB351" s="332"/>
      <c r="AC351" s="332"/>
      <c r="AD351" s="332"/>
      <c r="AE351" s="332"/>
      <c r="AF351" s="332"/>
      <c r="AG351" s="332"/>
      <c r="AH351" s="332"/>
      <c r="AI351" s="332"/>
      <c r="AJ351" s="333"/>
      <c r="AK351" s="333"/>
      <c r="AL351" s="333"/>
      <c r="AM351" s="333"/>
    </row>
    <row r="352" spans="2:39" s="316" customFormat="1" ht="26.25" customHeight="1" thickBot="1" x14ac:dyDescent="0.25">
      <c r="E352" s="352"/>
      <c r="F352" s="333"/>
      <c r="G352" s="333"/>
      <c r="J352" s="333"/>
      <c r="K352" s="333"/>
      <c r="L352" s="333"/>
      <c r="M352" s="333"/>
      <c r="N352" s="333"/>
      <c r="O352" s="333"/>
      <c r="P352" s="333"/>
      <c r="Q352" s="333"/>
      <c r="R352" s="333"/>
      <c r="S352" s="333"/>
      <c r="T352" s="333"/>
      <c r="U352" s="333"/>
      <c r="V352" s="333"/>
      <c r="W352" s="333"/>
      <c r="X352" s="333"/>
      <c r="Y352" s="333"/>
      <c r="Z352" s="333"/>
      <c r="AA352" s="333"/>
      <c r="AB352" s="333"/>
      <c r="AC352" s="333"/>
      <c r="AD352" s="333"/>
      <c r="AE352" s="333"/>
      <c r="AF352" s="333"/>
      <c r="AG352" s="333"/>
      <c r="AH352" s="333"/>
      <c r="AI352" s="333"/>
      <c r="AJ352" s="333"/>
      <c r="AK352" s="333"/>
      <c r="AL352" s="333"/>
      <c r="AM352" s="333"/>
    </row>
    <row r="353" spans="2:39" s="316" customFormat="1" ht="26.25" customHeight="1" x14ac:dyDescent="0.2">
      <c r="B353" s="326">
        <v>16</v>
      </c>
      <c r="C353" s="327" t="str">
        <f>VLOOKUP(B353,Ausschreibung!$B$5:$I$35,2,FALSE)</f>
        <v>Ergocup</v>
      </c>
      <c r="D353" s="328">
        <f>VLOOKUP(B353,Ausschreibung!$B$5:$I$35,3,FALSE)</f>
        <v>0.61805555555555547</v>
      </c>
      <c r="E353" s="327" t="str">
        <f>VLOOKUP(B353,Ausschreibung!$B$5:$I$35,4,FALSE)</f>
        <v>Sprint männlich</v>
      </c>
      <c r="F353" s="329" t="str">
        <f>VLOOKUP(B353,Ausschreibung!$B$5:$I$35,5,FALSE)</f>
        <v>-</v>
      </c>
      <c r="G353" s="330" t="str">
        <f>VLOOKUP(B353,Ausschreibung!$B$5:$I$35,6,FALSE)</f>
        <v>offen</v>
      </c>
      <c r="H353" s="331" t="str">
        <f>VLOOKUP(B353,Ausschreibung!$B$5:$I$35,8,FALSE)</f>
        <v>350 m</v>
      </c>
      <c r="J353" s="332"/>
      <c r="K353" s="332"/>
      <c r="L353" s="332"/>
      <c r="M353" s="332"/>
      <c r="N353" s="332"/>
      <c r="O353" s="332"/>
      <c r="P353" s="332"/>
      <c r="Q353" s="332"/>
      <c r="R353" s="332"/>
      <c r="S353" s="332"/>
      <c r="T353" s="332"/>
      <c r="U353" s="332"/>
      <c r="V353" s="332"/>
      <c r="W353" s="332"/>
      <c r="X353" s="332"/>
      <c r="Y353" s="332"/>
      <c r="Z353" s="332"/>
      <c r="AA353" s="332"/>
      <c r="AB353" s="332"/>
      <c r="AC353" s="332"/>
      <c r="AD353" s="332"/>
      <c r="AE353" s="332"/>
      <c r="AF353" s="332"/>
      <c r="AG353" s="332"/>
      <c r="AH353" s="332"/>
      <c r="AI353" s="332"/>
      <c r="AJ353" s="333"/>
      <c r="AK353" s="333"/>
      <c r="AL353" s="333"/>
      <c r="AM353" s="333"/>
    </row>
    <row r="354" spans="2:39" s="316" customFormat="1" ht="26.25" customHeight="1" x14ac:dyDescent="0.2">
      <c r="B354" s="334" t="s">
        <v>1</v>
      </c>
      <c r="C354" s="335" t="s">
        <v>2</v>
      </c>
      <c r="D354" s="336" t="s">
        <v>49</v>
      </c>
      <c r="E354" s="381" t="s">
        <v>16</v>
      </c>
      <c r="F354" s="337" t="s">
        <v>50</v>
      </c>
      <c r="G354" s="338" t="s">
        <v>51</v>
      </c>
      <c r="H354" s="339" t="s">
        <v>17</v>
      </c>
      <c r="J354" s="332"/>
      <c r="K354" s="332"/>
      <c r="L354" s="332"/>
      <c r="M354" s="332"/>
      <c r="N354" s="332"/>
      <c r="O354" s="332"/>
      <c r="P354" s="332"/>
      <c r="Q354" s="332"/>
      <c r="R354" s="332"/>
      <c r="S354" s="332"/>
      <c r="T354" s="332"/>
      <c r="U354" s="332"/>
      <c r="V354" s="332"/>
      <c r="W354" s="332"/>
      <c r="X354" s="332"/>
      <c r="Y354" s="332"/>
      <c r="Z354" s="332"/>
      <c r="AA354" s="332"/>
      <c r="AB354" s="332"/>
      <c r="AC354" s="332"/>
      <c r="AD354" s="332"/>
      <c r="AE354" s="332"/>
      <c r="AF354" s="332"/>
      <c r="AG354" s="332"/>
      <c r="AH354" s="332"/>
      <c r="AI354" s="332"/>
      <c r="AJ354" s="333"/>
      <c r="AK354" s="333"/>
      <c r="AL354" s="333"/>
      <c r="AM354" s="333"/>
    </row>
    <row r="355" spans="2:39" s="316" customFormat="1" ht="26.25" customHeight="1" x14ac:dyDescent="0.2">
      <c r="B355" s="340" t="str">
        <f t="array" ref="B355">IF(ISERROR(INDEX('Eingabe Meldungen'!$C$2:$C$492,LARGE(('Eingabe Meldungen'!$A$2:$A$492=$B$353)*(ROW('Eingabe Meldungen'!$A$2:$A$492)-1),COUNTIF('Eingabe Meldungen'!$A$2:$A$492,$B$353)+1-ROW('Eingabe Meldungen'!A1)))),"",INDEX('Eingabe Meldungen'!$C$2:$C$492,LARGE(('Eingabe Meldungen'!$A$2:$A$492=$B$353)*(ROW('Eingabe Meldungen'!$A$2:$A$492)-1),COUNTIF('Eingabe Meldungen'!$A$2:$A$492,$B$353)+1-ROW('Eingabe Meldungen'!A1))))</f>
        <v>Rebmann</v>
      </c>
      <c r="C355" s="316" t="str">
        <f t="array" ref="C355">IF(ISERROR(INDEX('Eingabe Meldungen'!$D$2:$D$492,LARGE(('Eingabe Meldungen'!$A$2:$A$492=$B$353)*(ROW('Eingabe Meldungen'!$A$2:$A$492)-1),COUNTIF('Eingabe Meldungen'!$A$2:$A$492,$B$353)+1-ROW('Eingabe Meldungen'!A1)))),"",INDEX('Eingabe Meldungen'!$D$2:$D$492,LARGE(('Eingabe Meldungen'!$A$2:$A$492=$B$353)*(ROW('Eingabe Meldungen'!$A$2:$A$492)-1),COUNTIF('Eingabe Meldungen'!$A$2:$A$492,$B$353)+1-ROW('Eingabe Meldungen'!A1))))</f>
        <v>Sebastian</v>
      </c>
      <c r="D355" s="341">
        <f t="array" ref="D355">IF(B355&lt;&gt;"",INDEX('Eingabe Meldungen'!$C$2:$H$492,MATCH(B355&amp;C355,'Eingabe Meldungen'!$C$2:$C$492&amp;'Eingabe Meldungen'!$D$2:$D$492,0),6),"")</f>
        <v>1976</v>
      </c>
      <c r="E355" s="382" t="str">
        <f t="array" ref="E355">IF(B355&lt;&gt;"",INDEX('Eingabe Meldungen'!$C$2:$H$492,MATCH(B355&amp;C355,'Eingabe Meldungen'!$C$2:$C$492&amp;'Eingabe Meldungen'!$D$2:$D$492,0),4),"")</f>
        <v>C</v>
      </c>
      <c r="F355" s="353" t="s">
        <v>621</v>
      </c>
      <c r="G355" s="333">
        <v>1</v>
      </c>
      <c r="H355" s="343" t="str">
        <f t="array" ref="H355">IF(B355&lt;&gt;"",INDEX('Eingabe Meldungen'!$C$2:$J$492,MATCH(B355&amp;C355,'Eingabe Meldungen'!$C$2:$C$492&amp;'Eingabe Meldungen'!$D$2:$D$492,0),8),"")</f>
        <v>Marbacher Ruderverein</v>
      </c>
      <c r="J355" s="332"/>
      <c r="K355" s="332"/>
      <c r="L355" s="332"/>
      <c r="M355" s="332"/>
      <c r="N355" s="332"/>
      <c r="O355" s="332">
        <v>7</v>
      </c>
      <c r="P355" s="332"/>
      <c r="Q355" s="332"/>
      <c r="R355" s="332"/>
      <c r="S355" s="332"/>
      <c r="T355" s="332"/>
      <c r="U355" s="332"/>
      <c r="V355" s="332"/>
      <c r="W355" s="332"/>
      <c r="X355" s="332"/>
      <c r="Y355" s="332"/>
      <c r="Z355" s="332"/>
      <c r="AA355" s="332"/>
      <c r="AB355" s="332"/>
      <c r="AC355" s="332"/>
      <c r="AD355" s="332"/>
      <c r="AE355" s="332"/>
      <c r="AF355" s="332"/>
      <c r="AG355" s="332"/>
      <c r="AH355" s="332"/>
      <c r="AI355" s="332"/>
      <c r="AJ355" s="333"/>
      <c r="AK355" s="333"/>
      <c r="AL355" s="333"/>
      <c r="AM355" s="333"/>
    </row>
    <row r="356" spans="2:39" s="316" customFormat="1" ht="26.25" customHeight="1" x14ac:dyDescent="0.2">
      <c r="B356" s="340" t="str">
        <f t="array" ref="B356">IF(ISERROR(INDEX('Eingabe Meldungen'!$C$2:$C$492,LARGE(('Eingabe Meldungen'!$A$2:$A$492=$B$353)*(ROW('Eingabe Meldungen'!$A$2:$A$492)-1),COUNTIF('Eingabe Meldungen'!$A$2:$A$492,$B$353)+1-ROW('Eingabe Meldungen'!A2)))),"",INDEX('Eingabe Meldungen'!$C$2:$C$492,LARGE(('Eingabe Meldungen'!$A$2:$A$492=$B$353)*(ROW('Eingabe Meldungen'!$A$2:$A$492)-1),COUNTIF('Eingabe Meldungen'!$A$2:$A$492,$B$353)+1-ROW('Eingabe Meldungen'!A2))))</f>
        <v>Klinge</v>
      </c>
      <c r="C356" s="316" t="str">
        <f t="array" ref="C356">IF(ISERROR(INDEX('Eingabe Meldungen'!$D$2:$D$492,LARGE(('Eingabe Meldungen'!$A$2:$A$492=$B$353)*(ROW('Eingabe Meldungen'!$A$2:$A$492)-1),COUNTIF('Eingabe Meldungen'!$A$2:$A$492,$B$353)+1-ROW('Eingabe Meldungen'!A2)))),"",INDEX('Eingabe Meldungen'!$D$2:$D$492,LARGE(('Eingabe Meldungen'!$A$2:$A$492=$B$353)*(ROW('Eingabe Meldungen'!$A$2:$A$492)-1),COUNTIF('Eingabe Meldungen'!$A$2:$A$492,$B$353)+1-ROW('Eingabe Meldungen'!A2))))</f>
        <v>Jens</v>
      </c>
      <c r="D356" s="341">
        <f t="array" ref="D356">IF(B356&lt;&gt;"",INDEX('Eingabe Meldungen'!$C$2:$H$492,MATCH(B356&amp;C356,'Eingabe Meldungen'!$C$2:$C$492&amp;'Eingabe Meldungen'!$D$2:$D$492,0),6),"")</f>
        <v>1990</v>
      </c>
      <c r="E356" s="382" t="str">
        <f t="array" ref="E356">IF(B356&lt;&gt;"",INDEX('Eingabe Meldungen'!$C$2:$H$492,MATCH(B356&amp;C356,'Eingabe Meldungen'!$C$2:$C$492&amp;'Eingabe Meldungen'!$D$2:$D$492,0),4),"")</f>
        <v>A</v>
      </c>
      <c r="F356" s="353" t="s">
        <v>622</v>
      </c>
      <c r="G356" s="333">
        <v>2</v>
      </c>
      <c r="H356" s="343" t="str">
        <f t="array" ref="H356">IF(B356&lt;&gt;"",INDEX('Eingabe Meldungen'!$C$2:$J$492,MATCH(B356&amp;C356,'Eingabe Meldungen'!$C$2:$C$492&amp;'Eingabe Meldungen'!$D$2:$D$492,0),8),"")</f>
        <v>HRG Schwaben</v>
      </c>
      <c r="J356" s="332"/>
      <c r="K356" s="332"/>
      <c r="L356" s="332"/>
      <c r="M356" s="332"/>
      <c r="N356" s="332"/>
      <c r="O356" s="332"/>
      <c r="P356" s="332"/>
      <c r="Q356" s="332">
        <v>5</v>
      </c>
      <c r="R356" s="332"/>
      <c r="S356" s="332"/>
      <c r="T356" s="332"/>
      <c r="U356" s="332"/>
      <c r="V356" s="332"/>
      <c r="W356" s="332"/>
      <c r="X356" s="332"/>
      <c r="Y356" s="332"/>
      <c r="Z356" s="332"/>
      <c r="AA356" s="332"/>
      <c r="AB356" s="332"/>
      <c r="AC356" s="332"/>
      <c r="AD356" s="332"/>
      <c r="AE356" s="332"/>
      <c r="AF356" s="332"/>
      <c r="AG356" s="332"/>
      <c r="AH356" s="332"/>
      <c r="AI356" s="332"/>
      <c r="AJ356" s="333"/>
      <c r="AK356" s="333"/>
      <c r="AL356" s="333"/>
      <c r="AM356" s="333"/>
    </row>
    <row r="357" spans="2:39" s="316" customFormat="1" ht="26.25" customHeight="1" x14ac:dyDescent="0.2">
      <c r="B357" s="340" t="str">
        <f t="array" ref="B357">IF(ISERROR(INDEX('Eingabe Meldungen'!$C$2:$C$492,LARGE(('Eingabe Meldungen'!$A$2:$A$492=$B$353)*(ROW('Eingabe Meldungen'!$A$2:$A$492)-1),COUNTIF('Eingabe Meldungen'!$A$2:$A$492,$B$353)+1-ROW('Eingabe Meldungen'!A3)))),"",INDEX('Eingabe Meldungen'!$C$2:$C$492,LARGE(('Eingabe Meldungen'!$A$2:$A$492=$B$353)*(ROW('Eingabe Meldungen'!$A$2:$A$492)-1),COUNTIF('Eingabe Meldungen'!$A$2:$A$492,$B$353)+1-ROW('Eingabe Meldungen'!A3))))</f>
        <v>Weiß</v>
      </c>
      <c r="C357" s="316" t="str">
        <f t="array" ref="C357">IF(ISERROR(INDEX('Eingabe Meldungen'!$D$2:$D$492,LARGE(('Eingabe Meldungen'!$A$2:$A$492=$B$353)*(ROW('Eingabe Meldungen'!$A$2:$A$492)-1),COUNTIF('Eingabe Meldungen'!$A$2:$A$492,$B$353)+1-ROW('Eingabe Meldungen'!A3)))),"",INDEX('Eingabe Meldungen'!$D$2:$D$492,LARGE(('Eingabe Meldungen'!$A$2:$A$492=$B$353)*(ROW('Eingabe Meldungen'!$A$2:$A$492)-1),COUNTIF('Eingabe Meldungen'!$A$2:$A$492,$B$353)+1-ROW('Eingabe Meldungen'!A3))))</f>
        <v>Fabian</v>
      </c>
      <c r="D357" s="341">
        <f t="array" ref="D357">IF(B357&lt;&gt;"",INDEX('Eingabe Meldungen'!$C$2:$H$492,MATCH(B357&amp;C357,'Eingabe Meldungen'!$C$2:$C$492&amp;'Eingabe Meldungen'!$D$2:$D$492,0),6),"")</f>
        <v>1992</v>
      </c>
      <c r="E357" s="382" t="str">
        <f t="array" ref="E357">IF(B357&lt;&gt;"",INDEX('Eingabe Meldungen'!$C$2:$H$492,MATCH(B357&amp;C357,'Eingabe Meldungen'!$C$2:$C$492&amp;'Eingabe Meldungen'!$D$2:$D$492,0),4),"")</f>
        <v>A</v>
      </c>
      <c r="F357" s="353" t="s">
        <v>623</v>
      </c>
      <c r="G357" s="333">
        <v>4</v>
      </c>
      <c r="H357" s="343" t="str">
        <f t="array" ref="H357">IF(B357&lt;&gt;"",INDEX('Eingabe Meldungen'!$C$2:$J$492,MATCH(B357&amp;C357,'Eingabe Meldungen'!$C$2:$C$492&amp;'Eingabe Meldungen'!$D$2:$D$492,0),8),"")</f>
        <v>HRG Schwaben</v>
      </c>
      <c r="J357" s="332"/>
      <c r="K357" s="332"/>
      <c r="L357" s="332"/>
      <c r="M357" s="332"/>
      <c r="N357" s="332"/>
      <c r="O357" s="332"/>
      <c r="P357" s="332"/>
      <c r="Q357" s="332">
        <v>2</v>
      </c>
      <c r="R357" s="332"/>
      <c r="S357" s="332"/>
      <c r="T357" s="332"/>
      <c r="U357" s="332"/>
      <c r="V357" s="332"/>
      <c r="W357" s="332"/>
      <c r="X357" s="332"/>
      <c r="Y357" s="332"/>
      <c r="Z357" s="332"/>
      <c r="AA357" s="332"/>
      <c r="AB357" s="332"/>
      <c r="AC357" s="332"/>
      <c r="AD357" s="332"/>
      <c r="AE357" s="332"/>
      <c r="AF357" s="332"/>
      <c r="AG357" s="332"/>
      <c r="AH357" s="332"/>
      <c r="AI357" s="332"/>
      <c r="AJ357" s="333"/>
      <c r="AK357" s="333"/>
      <c r="AL357" s="333"/>
      <c r="AM357" s="333"/>
    </row>
    <row r="358" spans="2:39" s="316" customFormat="1" ht="26.25" customHeight="1" x14ac:dyDescent="0.2">
      <c r="B358" s="340" t="str">
        <f t="array" ref="B358">IF(ISERROR(INDEX('Eingabe Meldungen'!$C$2:$C$492,LARGE(('Eingabe Meldungen'!$A$2:$A$492=$B$353)*(ROW('Eingabe Meldungen'!$A$2:$A$492)-1),COUNTIF('Eingabe Meldungen'!$A$2:$A$492,$B$353)+1-ROW('Eingabe Meldungen'!A4)))),"",INDEX('Eingabe Meldungen'!$C$2:$C$492,LARGE(('Eingabe Meldungen'!$A$2:$A$492=$B$353)*(ROW('Eingabe Meldungen'!$A$2:$A$492)-1),COUNTIF('Eingabe Meldungen'!$A$2:$A$492,$B$353)+1-ROW('Eingabe Meldungen'!A4))))</f>
        <v>Wöppel</v>
      </c>
      <c r="C358" s="316" t="str">
        <f t="array" ref="C358">IF(ISERROR(INDEX('Eingabe Meldungen'!$D$2:$D$492,LARGE(('Eingabe Meldungen'!$A$2:$A$492=$B$353)*(ROW('Eingabe Meldungen'!$A$2:$A$492)-1),COUNTIF('Eingabe Meldungen'!$A$2:$A$492,$B$353)+1-ROW('Eingabe Meldungen'!A4)))),"",INDEX('Eingabe Meldungen'!$D$2:$D$492,LARGE(('Eingabe Meldungen'!$A$2:$A$492=$B$353)*(ROW('Eingabe Meldungen'!$A$2:$A$492)-1),COUNTIF('Eingabe Meldungen'!$A$2:$A$492,$B$353)+1-ROW('Eingabe Meldungen'!A4))))</f>
        <v>Stefan</v>
      </c>
      <c r="D358" s="341">
        <f t="array" ref="D358">IF(B358&lt;&gt;"",INDEX('Eingabe Meldungen'!$C$2:$H$492,MATCH(B358&amp;C358,'Eingabe Meldungen'!$C$2:$C$492&amp;'Eingabe Meldungen'!$D$2:$D$492,0),6),"")</f>
        <v>1967</v>
      </c>
      <c r="E358" s="382" t="str">
        <f t="array" ref="E358">IF(B358&lt;&gt;"",INDEX('Eingabe Meldungen'!$C$2:$H$492,MATCH(B358&amp;C358,'Eingabe Meldungen'!$C$2:$C$492&amp;'Eingabe Meldungen'!$D$2:$D$492,0),4),"")</f>
        <v>D</v>
      </c>
      <c r="F358" s="353" t="s">
        <v>624</v>
      </c>
      <c r="G358" s="333">
        <v>3</v>
      </c>
      <c r="H358" s="343" t="str">
        <f t="array" ref="H358">IF(B358&lt;&gt;"",INDEX('Eingabe Meldungen'!$C$2:$J$492,MATCH(B358&amp;C358,'Eingabe Meldungen'!$C$2:$C$492&amp;'Eingabe Meldungen'!$D$2:$D$492,0),8),"")</f>
        <v xml:space="preserve">WSV Schifferclub Neckarrems </v>
      </c>
      <c r="J358" s="332"/>
      <c r="K358" s="332"/>
      <c r="L358" s="332"/>
      <c r="M358" s="332"/>
      <c r="N358" s="332"/>
      <c r="O358" s="332"/>
      <c r="P358" s="332"/>
      <c r="Q358" s="332"/>
      <c r="R358" s="332">
        <v>3</v>
      </c>
      <c r="S358" s="332"/>
      <c r="T358" s="332"/>
      <c r="U358" s="332"/>
      <c r="V358" s="332"/>
      <c r="W358" s="332"/>
      <c r="X358" s="332"/>
      <c r="Y358" s="332"/>
      <c r="Z358" s="332"/>
      <c r="AA358" s="332"/>
      <c r="AB358" s="332"/>
      <c r="AC358" s="332"/>
      <c r="AD358" s="332"/>
      <c r="AE358" s="332"/>
      <c r="AF358" s="332"/>
      <c r="AG358" s="332"/>
      <c r="AH358" s="332"/>
      <c r="AI358" s="332"/>
      <c r="AJ358" s="333"/>
      <c r="AK358" s="333"/>
      <c r="AL358" s="333"/>
      <c r="AM358" s="333"/>
    </row>
    <row r="359" spans="2:39" s="316" customFormat="1" ht="26.25" customHeight="1" x14ac:dyDescent="0.2">
      <c r="B359" s="340" t="str">
        <f t="array" ref="B359">IF(ISERROR(INDEX('Eingabe Meldungen'!$C$2:$C$492,LARGE(('Eingabe Meldungen'!$A$2:$A$492=$B$353)*(ROW('Eingabe Meldungen'!$A$2:$A$492)-1),COUNTIF('Eingabe Meldungen'!$A$2:$A$492,$B$353)+1-ROW('Eingabe Meldungen'!A5)))),"",INDEX('Eingabe Meldungen'!$C$2:$C$492,LARGE(('Eingabe Meldungen'!$A$2:$A$492=$B$353)*(ROW('Eingabe Meldungen'!$A$2:$A$492)-1),COUNTIF('Eingabe Meldungen'!$A$2:$A$492,$B$353)+1-ROW('Eingabe Meldungen'!A5))))</f>
        <v>Schupp</v>
      </c>
      <c r="C359" s="316" t="str">
        <f t="array" ref="C359">IF(ISERROR(INDEX('Eingabe Meldungen'!$D$2:$D$492,LARGE(('Eingabe Meldungen'!$A$2:$A$492=$B$353)*(ROW('Eingabe Meldungen'!$A$2:$A$492)-1),COUNTIF('Eingabe Meldungen'!$A$2:$A$492,$B$353)+1-ROW('Eingabe Meldungen'!A5)))),"",INDEX('Eingabe Meldungen'!$D$2:$D$492,LARGE(('Eingabe Meldungen'!$A$2:$A$492=$B$353)*(ROW('Eingabe Meldungen'!$A$2:$A$492)-1),COUNTIF('Eingabe Meldungen'!$A$2:$A$492,$B$353)+1-ROW('Eingabe Meldungen'!A5))))</f>
        <v>Malthe</v>
      </c>
      <c r="D359" s="341">
        <f t="array" ref="D359">IF(B359&lt;&gt;"",INDEX('Eingabe Meldungen'!$C$2:$H$492,MATCH(B359&amp;C359,'Eingabe Meldungen'!$C$2:$C$492&amp;'Eingabe Meldungen'!$D$2:$D$492,0),6),"")</f>
        <v>2004</v>
      </c>
      <c r="E359" s="382" t="str">
        <f t="array" ref="E359">IF(B359&lt;&gt;"",INDEX('Eingabe Meldungen'!$C$2:$H$492,MATCH(B359&amp;C359,'Eingabe Meldungen'!$C$2:$C$492&amp;'Eingabe Meldungen'!$D$2:$D$492,0),4),"")</f>
        <v>Lgw. bis 67,5kg</v>
      </c>
      <c r="F359" s="353" t="s">
        <v>625</v>
      </c>
      <c r="G359" s="333">
        <v>5</v>
      </c>
      <c r="H359" s="343" t="str">
        <f t="array" ref="H359">IF(B359&lt;&gt;"",INDEX('Eingabe Meldungen'!$C$2:$J$492,MATCH(B359&amp;C359,'Eingabe Meldungen'!$C$2:$C$492&amp;'Eingabe Meldungen'!$D$2:$D$492,0),8),"")</f>
        <v xml:space="preserve">WSV Schifferclub Neckarrems </v>
      </c>
      <c r="J359" s="332"/>
      <c r="K359" s="332"/>
      <c r="L359" s="332"/>
      <c r="M359" s="332"/>
      <c r="N359" s="332"/>
      <c r="O359" s="332"/>
      <c r="P359" s="332"/>
      <c r="Q359" s="332"/>
      <c r="R359" s="332">
        <v>1</v>
      </c>
      <c r="S359" s="332"/>
      <c r="T359" s="332"/>
      <c r="U359" s="332"/>
      <c r="V359" s="332"/>
      <c r="W359" s="332"/>
      <c r="X359" s="332"/>
      <c r="Y359" s="332"/>
      <c r="Z359" s="332"/>
      <c r="AA359" s="332"/>
      <c r="AB359" s="332"/>
      <c r="AC359" s="332"/>
      <c r="AD359" s="332"/>
      <c r="AE359" s="332"/>
      <c r="AF359" s="332"/>
      <c r="AG359" s="332"/>
      <c r="AH359" s="332"/>
      <c r="AI359" s="332"/>
      <c r="AJ359" s="333"/>
      <c r="AK359" s="333"/>
      <c r="AL359" s="333"/>
      <c r="AM359" s="333"/>
    </row>
    <row r="360" spans="2:39" s="316" customFormat="1" ht="26.25" customHeight="1" x14ac:dyDescent="0.2">
      <c r="B360" s="340" t="str">
        <f t="array" ref="B360">IF(ISERROR(INDEX('Eingabe Meldungen'!$C$2:$C$492,LARGE(('Eingabe Meldungen'!$A$2:$A$492=$B$353)*(ROW('Eingabe Meldungen'!$A$2:$A$492)-1),COUNTIF('Eingabe Meldungen'!$A$2:$A$492,$B$353)+1-ROW('Eingabe Meldungen'!A6)))),"",INDEX('Eingabe Meldungen'!$C$2:$C$492,LARGE(('Eingabe Meldungen'!$A$2:$A$492=$B$353)*(ROW('Eingabe Meldungen'!$A$2:$A$492)-1),COUNTIF('Eingabe Meldungen'!$A$2:$A$492,$B$353)+1-ROW('Eingabe Meldungen'!A6))))</f>
        <v/>
      </c>
      <c r="C360" s="316" t="str">
        <f t="array" ref="C360">IF(ISERROR(INDEX('Eingabe Meldungen'!$D$2:$D$492,LARGE(('Eingabe Meldungen'!$A$2:$A$492=$B$353)*(ROW('Eingabe Meldungen'!$A$2:$A$492)-1),COUNTIF('Eingabe Meldungen'!$A$2:$A$492,$B$353)+1-ROW('Eingabe Meldungen'!A6)))),"",INDEX('Eingabe Meldungen'!$D$2:$D$492,LARGE(('Eingabe Meldungen'!$A$2:$A$492=$B$353)*(ROW('Eingabe Meldungen'!$A$2:$A$492)-1),COUNTIF('Eingabe Meldungen'!$A$2:$A$492,$B$353)+1-ROW('Eingabe Meldungen'!A6))))</f>
        <v/>
      </c>
      <c r="D360" s="341" t="str">
        <f t="array" ref="D360">IF(B360&lt;&gt;"",INDEX('Eingabe Meldungen'!$C$2:$H$492,MATCH(B360&amp;C360,'Eingabe Meldungen'!$C$2:$C$492&amp;'Eingabe Meldungen'!$D$2:$D$492,0),6),"")</f>
        <v/>
      </c>
      <c r="E360" s="382" t="str">
        <f t="array" ref="E360">IF(B360&lt;&gt;"",INDEX('Eingabe Meldungen'!$C$2:$H$492,MATCH(B360&amp;C360,'Eingabe Meldungen'!$C$2:$C$492&amp;'Eingabe Meldungen'!$D$2:$D$492,0),4),"")</f>
        <v/>
      </c>
      <c r="F360" s="353" t="str">
        <f>IF(VLOOKUP(B360,Rennlisten!$B$268:$H$274,6,FALSE)=0,"",VLOOKUP(B360,Rennlisten!$B$268:$H$274,6,FALSE))</f>
        <v/>
      </c>
      <c r="G360" s="333" t="e">
        <f t="shared" ref="G360:G366" si="39">RANK(F360,$F$355:$F$370,1)</f>
        <v>#VALUE!</v>
      </c>
      <c r="H360" s="343" t="str">
        <f t="array" ref="H360">IF(B360&lt;&gt;"",INDEX('Eingabe Meldungen'!$C$2:$J$492,MATCH(B360&amp;C360,'Eingabe Meldungen'!$C$2:$C$492&amp;'Eingabe Meldungen'!$D$2:$D$492,0),8),"")</f>
        <v/>
      </c>
      <c r="J360" s="332"/>
      <c r="K360" s="332"/>
      <c r="L360" s="332"/>
      <c r="M360" s="332"/>
      <c r="N360" s="332"/>
      <c r="O360" s="332"/>
      <c r="P360" s="332"/>
      <c r="Q360" s="332"/>
      <c r="R360" s="332"/>
      <c r="S360" s="332"/>
      <c r="T360" s="332"/>
      <c r="U360" s="332"/>
      <c r="V360" s="332"/>
      <c r="W360" s="332"/>
      <c r="X360" s="332"/>
      <c r="Y360" s="332"/>
      <c r="Z360" s="332"/>
      <c r="AA360" s="332"/>
      <c r="AB360" s="332"/>
      <c r="AC360" s="332"/>
      <c r="AD360" s="332"/>
      <c r="AE360" s="332"/>
      <c r="AF360" s="332"/>
      <c r="AG360" s="332"/>
      <c r="AH360" s="332"/>
      <c r="AI360" s="332"/>
      <c r="AJ360" s="333"/>
      <c r="AK360" s="333"/>
      <c r="AL360" s="333"/>
      <c r="AM360" s="333"/>
    </row>
    <row r="361" spans="2:39" s="316" customFormat="1" ht="26.25" customHeight="1" x14ac:dyDescent="0.2">
      <c r="B361" s="340" t="str">
        <f t="array" ref="B361">IF(ISERROR(INDEX('Eingabe Meldungen'!$C$2:$C$492,LARGE(('Eingabe Meldungen'!$A$2:$A$492=$B$353)*(ROW('Eingabe Meldungen'!$A$2:$A$492)-1),COUNTIF('Eingabe Meldungen'!$A$2:$A$492,$B$353)+1-ROW('Eingabe Meldungen'!A7)))),"",INDEX('Eingabe Meldungen'!$C$2:$C$492,LARGE(('Eingabe Meldungen'!$A$2:$A$492=$B$353)*(ROW('Eingabe Meldungen'!$A$2:$A$492)-1),COUNTIF('Eingabe Meldungen'!$A$2:$A$492,$B$353)+1-ROW('Eingabe Meldungen'!A7))))</f>
        <v/>
      </c>
      <c r="C361" s="316" t="str">
        <f t="array" ref="C361">IF(ISERROR(INDEX('Eingabe Meldungen'!$D$2:$D$492,LARGE(('Eingabe Meldungen'!$A$2:$A$492=$B$353)*(ROW('Eingabe Meldungen'!$A$2:$A$492)-1),COUNTIF('Eingabe Meldungen'!$A$2:$A$492,$B$353)+1-ROW('Eingabe Meldungen'!A7)))),"",INDEX('Eingabe Meldungen'!$D$2:$D$492,LARGE(('Eingabe Meldungen'!$A$2:$A$492=$B$353)*(ROW('Eingabe Meldungen'!$A$2:$A$492)-1),COUNTIF('Eingabe Meldungen'!$A$2:$A$492,$B$353)+1-ROW('Eingabe Meldungen'!A7))))</f>
        <v/>
      </c>
      <c r="D361" s="341" t="str">
        <f t="array" ref="D361">IF(B361&lt;&gt;"",INDEX('Eingabe Meldungen'!$C$2:$H$492,MATCH(B361&amp;C361,'Eingabe Meldungen'!$C$2:$C$492&amp;'Eingabe Meldungen'!$D$2:$D$492,0),6),"")</f>
        <v/>
      </c>
      <c r="E361" s="382" t="str">
        <f t="array" ref="E361">IF(B361&lt;&gt;"",INDEX('Eingabe Meldungen'!$C$2:$H$492,MATCH(B361&amp;C361,'Eingabe Meldungen'!$C$2:$C$492&amp;'Eingabe Meldungen'!$D$2:$D$492,0),4),"")</f>
        <v/>
      </c>
      <c r="F361" s="353" t="str">
        <f>IF(VLOOKUP(B361,Rennlisten!$B$268:$H$274,6,FALSE)=0,"",VLOOKUP(B361,Rennlisten!$B$268:$H$274,6,FALSE))</f>
        <v/>
      </c>
      <c r="G361" s="333" t="e">
        <f t="shared" si="39"/>
        <v>#VALUE!</v>
      </c>
      <c r="H361" s="343" t="str">
        <f t="array" ref="H361">IF(B361&lt;&gt;"",INDEX('Eingabe Meldungen'!$C$2:$J$492,MATCH(B361&amp;C361,'Eingabe Meldungen'!$C$2:$C$492&amp;'Eingabe Meldungen'!$D$2:$D$492,0),8),"")</f>
        <v/>
      </c>
      <c r="J361" s="332"/>
      <c r="K361" s="332"/>
      <c r="L361" s="332"/>
      <c r="M361" s="332"/>
      <c r="N361" s="332"/>
      <c r="O361" s="332"/>
      <c r="P361" s="332"/>
      <c r="Q361" s="332"/>
      <c r="R361" s="332"/>
      <c r="S361" s="332"/>
      <c r="T361" s="332"/>
      <c r="U361" s="332"/>
      <c r="V361" s="332"/>
      <c r="W361" s="332"/>
      <c r="X361" s="332"/>
      <c r="Y361" s="332"/>
      <c r="Z361" s="332"/>
      <c r="AA361" s="332"/>
      <c r="AB361" s="332"/>
      <c r="AC361" s="332"/>
      <c r="AD361" s="332"/>
      <c r="AE361" s="332"/>
      <c r="AF361" s="332"/>
      <c r="AG361" s="332"/>
      <c r="AH361" s="332"/>
      <c r="AI361" s="332"/>
      <c r="AJ361" s="333"/>
      <c r="AK361" s="333"/>
      <c r="AL361" s="333"/>
      <c r="AM361" s="333"/>
    </row>
    <row r="362" spans="2:39" s="316" customFormat="1" ht="26.25" customHeight="1" x14ac:dyDescent="0.2">
      <c r="B362" s="340" t="str">
        <f t="array" ref="B362">IF(ISERROR(INDEX('Eingabe Meldungen'!$C$2:$C$492,LARGE(('Eingabe Meldungen'!$A$2:$A$492=$B$353)*(ROW('Eingabe Meldungen'!$A$2:$A$492)-1),COUNTIF('Eingabe Meldungen'!$A$2:$A$492,$B$353)+1-ROW('Eingabe Meldungen'!A8)))),"",INDEX('Eingabe Meldungen'!$C$2:$C$492,LARGE(('Eingabe Meldungen'!$A$2:$A$492=$B$353)*(ROW('Eingabe Meldungen'!$A$2:$A$492)-1),COUNTIF('Eingabe Meldungen'!$A$2:$A$492,$B$353)+1-ROW('Eingabe Meldungen'!A8))))</f>
        <v/>
      </c>
      <c r="C362" s="316" t="str">
        <f t="array" ref="C362">IF(ISERROR(INDEX('Eingabe Meldungen'!$D$2:$D$492,LARGE(('Eingabe Meldungen'!$A$2:$A$492=$B$353)*(ROW('Eingabe Meldungen'!$A$2:$A$492)-1),COUNTIF('Eingabe Meldungen'!$A$2:$A$492,$B$353)+1-ROW('Eingabe Meldungen'!A8)))),"",INDEX('Eingabe Meldungen'!$D$2:$D$492,LARGE(('Eingabe Meldungen'!$A$2:$A$492=$B$353)*(ROW('Eingabe Meldungen'!$A$2:$A$492)-1),COUNTIF('Eingabe Meldungen'!$A$2:$A$492,$B$353)+1-ROW('Eingabe Meldungen'!A8))))</f>
        <v/>
      </c>
      <c r="D362" s="341" t="str">
        <f t="array" ref="D362">IF(B362&lt;&gt;"",INDEX('Eingabe Meldungen'!$C$2:$H$492,MATCH(B362&amp;C362,'Eingabe Meldungen'!$C$2:$C$492&amp;'Eingabe Meldungen'!$D$2:$D$492,0),6),"")</f>
        <v/>
      </c>
      <c r="E362" s="382" t="str">
        <f t="array" ref="E362">IF(B362&lt;&gt;"",INDEX('Eingabe Meldungen'!$C$2:$H$492,MATCH(B362&amp;C362,'Eingabe Meldungen'!$C$2:$C$492&amp;'Eingabe Meldungen'!$D$2:$D$492,0),4),"")</f>
        <v/>
      </c>
      <c r="F362" s="353" t="str">
        <f>IF(VLOOKUP(B362,Rennlisten!$B$268:$H$274,6,FALSE)=0,"",VLOOKUP(B362,Rennlisten!$B$268:$H$274,6,FALSE))</f>
        <v/>
      </c>
      <c r="G362" s="333" t="e">
        <f t="shared" si="39"/>
        <v>#VALUE!</v>
      </c>
      <c r="H362" s="343" t="str">
        <f t="array" ref="H362">IF(B362&lt;&gt;"",INDEX('Eingabe Meldungen'!$C$2:$J$492,MATCH(B362&amp;C362,'Eingabe Meldungen'!$C$2:$C$492&amp;'Eingabe Meldungen'!$D$2:$D$492,0),8),"")</f>
        <v/>
      </c>
      <c r="J362" s="332"/>
      <c r="K362" s="332"/>
      <c r="L362" s="332"/>
      <c r="M362" s="332"/>
      <c r="N362" s="332"/>
      <c r="O362" s="332"/>
      <c r="P362" s="332"/>
      <c r="Q362" s="332"/>
      <c r="R362" s="332"/>
      <c r="S362" s="332"/>
      <c r="T362" s="332"/>
      <c r="U362" s="332"/>
      <c r="V362" s="332"/>
      <c r="W362" s="332"/>
      <c r="X362" s="332"/>
      <c r="Y362" s="332"/>
      <c r="Z362" s="332"/>
      <c r="AA362" s="332"/>
      <c r="AB362" s="332"/>
      <c r="AC362" s="332"/>
      <c r="AD362" s="332"/>
      <c r="AE362" s="332"/>
      <c r="AF362" s="332"/>
      <c r="AG362" s="332"/>
      <c r="AH362" s="332"/>
      <c r="AI362" s="332"/>
      <c r="AJ362" s="333"/>
      <c r="AK362" s="333"/>
      <c r="AL362" s="333"/>
      <c r="AM362" s="333"/>
    </row>
    <row r="363" spans="2:39" s="316" customFormat="1" ht="26.25" customHeight="1" x14ac:dyDescent="0.2">
      <c r="B363" s="340" t="str">
        <f t="array" ref="B363">IF(ISERROR(INDEX('Eingabe Meldungen'!$C$2:$C$492,LARGE(('Eingabe Meldungen'!$A$2:$A$492=$B$353)*(ROW('Eingabe Meldungen'!$A$2:$A$492)-1),COUNTIF('Eingabe Meldungen'!$A$2:$A$492,$B$353)+1-ROW('Eingabe Meldungen'!A9)))),"",INDEX('Eingabe Meldungen'!$C$2:$C$492,LARGE(('Eingabe Meldungen'!$A$2:$A$492=$B$353)*(ROW('Eingabe Meldungen'!$A$2:$A$492)-1),COUNTIF('Eingabe Meldungen'!$A$2:$A$492,$B$353)+1-ROW('Eingabe Meldungen'!A9))))</f>
        <v/>
      </c>
      <c r="C363" s="316" t="str">
        <f t="array" ref="C363">IF(ISERROR(INDEX('Eingabe Meldungen'!$D$2:$D$492,LARGE(('Eingabe Meldungen'!$A$2:$A$492=$B$353)*(ROW('Eingabe Meldungen'!$A$2:$A$492)-1),COUNTIF('Eingabe Meldungen'!$A$2:$A$492,$B$353)+1-ROW('Eingabe Meldungen'!A9)))),"",INDEX('Eingabe Meldungen'!$D$2:$D$492,LARGE(('Eingabe Meldungen'!$A$2:$A$492=$B$353)*(ROW('Eingabe Meldungen'!$A$2:$A$492)-1),COUNTIF('Eingabe Meldungen'!$A$2:$A$492,$B$353)+1-ROW('Eingabe Meldungen'!A9))))</f>
        <v/>
      </c>
      <c r="D363" s="341" t="str">
        <f t="array" ref="D363">IF(B363&lt;&gt;"",INDEX('Eingabe Meldungen'!$C$2:$H$492,MATCH(B363&amp;C363,'Eingabe Meldungen'!$C$2:$C$492&amp;'Eingabe Meldungen'!$D$2:$D$492,0),6),"")</f>
        <v/>
      </c>
      <c r="E363" s="382" t="str">
        <f t="array" ref="E363">IF(B363&lt;&gt;"",INDEX('Eingabe Meldungen'!$C$2:$H$492,MATCH(B363&amp;C363,'Eingabe Meldungen'!$C$2:$C$492&amp;'Eingabe Meldungen'!$D$2:$D$492,0),4),"")</f>
        <v/>
      </c>
      <c r="F363" s="353" t="str">
        <f>IF(VLOOKUP(B363,Rennlisten!$B$268:$H$274,6,FALSE)=0,"",VLOOKUP(B363,Rennlisten!$B$268:$H$274,6,FALSE))</f>
        <v/>
      </c>
      <c r="G363" s="333" t="e">
        <f t="shared" si="39"/>
        <v>#VALUE!</v>
      </c>
      <c r="H363" s="343" t="str">
        <f t="array" ref="H363">IF(B363&lt;&gt;"",INDEX('Eingabe Meldungen'!$C$2:$J$492,MATCH(B363&amp;C363,'Eingabe Meldungen'!$C$2:$C$492&amp;'Eingabe Meldungen'!$D$2:$D$492,0),8),"")</f>
        <v/>
      </c>
      <c r="J363" s="332"/>
      <c r="K363" s="332"/>
      <c r="L363" s="332"/>
      <c r="M363" s="332"/>
      <c r="N363" s="332"/>
      <c r="O363" s="332"/>
      <c r="P363" s="332"/>
      <c r="Q363" s="332"/>
      <c r="R363" s="332"/>
      <c r="S363" s="332"/>
      <c r="T363" s="332"/>
      <c r="U363" s="332"/>
      <c r="V363" s="332"/>
      <c r="W363" s="332"/>
      <c r="X363" s="332"/>
      <c r="Y363" s="332"/>
      <c r="Z363" s="332"/>
      <c r="AA363" s="332"/>
      <c r="AB363" s="332"/>
      <c r="AC363" s="332"/>
      <c r="AD363" s="332"/>
      <c r="AE363" s="332"/>
      <c r="AF363" s="332"/>
      <c r="AG363" s="332"/>
      <c r="AH363" s="332"/>
      <c r="AI363" s="332"/>
      <c r="AJ363" s="333"/>
      <c r="AK363" s="333"/>
      <c r="AL363" s="333"/>
      <c r="AM363" s="333"/>
    </row>
    <row r="364" spans="2:39" s="316" customFormat="1" ht="26.25" customHeight="1" x14ac:dyDescent="0.2">
      <c r="B364" s="340" t="str">
        <f t="array" ref="B364">IF(ISERROR(INDEX('Eingabe Meldungen'!$C$2:$C$492,LARGE(('Eingabe Meldungen'!$A$2:$A$492=$B$353)*(ROW('Eingabe Meldungen'!$A$2:$A$492)-1),COUNTIF('Eingabe Meldungen'!$A$2:$A$492,$B$353)+1-ROW('Eingabe Meldungen'!A10)))),"",INDEX('Eingabe Meldungen'!$C$2:$C$492,LARGE(('Eingabe Meldungen'!$A$2:$A$492=$B$353)*(ROW('Eingabe Meldungen'!$A$2:$A$492)-1),COUNTIF('Eingabe Meldungen'!$A$2:$A$492,$B$353)+1-ROW('Eingabe Meldungen'!A10))))</f>
        <v/>
      </c>
      <c r="C364" s="316" t="str">
        <f t="array" ref="C364">IF(ISERROR(INDEX('Eingabe Meldungen'!$D$2:$D$492,LARGE(('Eingabe Meldungen'!$A$2:$A$492=$B$353)*(ROW('Eingabe Meldungen'!$A$2:$A$492)-1),COUNTIF('Eingabe Meldungen'!$A$2:$A$492,$B$353)+1-ROW('Eingabe Meldungen'!A10)))),"",INDEX('Eingabe Meldungen'!$D$2:$D$492,LARGE(('Eingabe Meldungen'!$A$2:$A$492=$B$353)*(ROW('Eingabe Meldungen'!$A$2:$A$492)-1),COUNTIF('Eingabe Meldungen'!$A$2:$A$492,$B$353)+1-ROW('Eingabe Meldungen'!A10))))</f>
        <v/>
      </c>
      <c r="D364" s="341" t="str">
        <f t="array" ref="D364">IF(B364&lt;&gt;"",INDEX('Eingabe Meldungen'!$C$2:$H$492,MATCH(B364&amp;C364,'Eingabe Meldungen'!$C$2:$C$492&amp;'Eingabe Meldungen'!$D$2:$D$492,0),6),"")</f>
        <v/>
      </c>
      <c r="E364" s="382" t="str">
        <f t="array" ref="E364">IF(B364&lt;&gt;"",INDEX('Eingabe Meldungen'!$C$2:$H$492,MATCH(B364&amp;C364,'Eingabe Meldungen'!$C$2:$C$492&amp;'Eingabe Meldungen'!$D$2:$D$492,0),4),"")</f>
        <v/>
      </c>
      <c r="F364" s="353" t="str">
        <f>IF(VLOOKUP(B364,Rennlisten!$B$268:$H$274,6,FALSE)=0,"",VLOOKUP(B364,Rennlisten!$B$268:$H$274,6,FALSE))</f>
        <v/>
      </c>
      <c r="G364" s="333" t="e">
        <f t="shared" si="39"/>
        <v>#VALUE!</v>
      </c>
      <c r="H364" s="343" t="str">
        <f t="array" ref="H364">IF(B364&lt;&gt;"",INDEX('Eingabe Meldungen'!$C$2:$J$492,MATCH(B364&amp;C364,'Eingabe Meldungen'!$C$2:$C$492&amp;'Eingabe Meldungen'!$D$2:$D$492,0),8),"")</f>
        <v/>
      </c>
      <c r="J364" s="332"/>
      <c r="K364" s="332"/>
      <c r="L364" s="332"/>
      <c r="M364" s="332"/>
      <c r="N364" s="332"/>
      <c r="O364" s="332"/>
      <c r="P364" s="332"/>
      <c r="Q364" s="332"/>
      <c r="R364" s="332"/>
      <c r="S364" s="332"/>
      <c r="T364" s="332"/>
      <c r="U364" s="332"/>
      <c r="V364" s="332"/>
      <c r="W364" s="332"/>
      <c r="X364" s="332"/>
      <c r="Y364" s="332"/>
      <c r="Z364" s="332"/>
      <c r="AA364" s="332"/>
      <c r="AB364" s="332"/>
      <c r="AC364" s="332"/>
      <c r="AD364" s="332"/>
      <c r="AE364" s="332"/>
      <c r="AF364" s="332"/>
      <c r="AG364" s="332"/>
      <c r="AH364" s="332"/>
      <c r="AI364" s="332"/>
      <c r="AJ364" s="333"/>
      <c r="AK364" s="333"/>
      <c r="AL364" s="333"/>
      <c r="AM364" s="333"/>
    </row>
    <row r="365" spans="2:39" s="316" customFormat="1" ht="26.25" customHeight="1" x14ac:dyDescent="0.2">
      <c r="B365" s="340" t="str">
        <f t="array" ref="B365">IF(ISERROR(INDEX('Eingabe Meldungen'!$C$2:$C$492,LARGE(('Eingabe Meldungen'!$A$2:$A$492=$B$353)*(ROW('Eingabe Meldungen'!$A$2:$A$492)-1),COUNTIF('Eingabe Meldungen'!$A$2:$A$492,$B$353)+1-ROW('Eingabe Meldungen'!A11)))),"",INDEX('Eingabe Meldungen'!$C$2:$C$492,LARGE(('Eingabe Meldungen'!$A$2:$A$492=$B$353)*(ROW('Eingabe Meldungen'!$A$2:$A$492)-1),COUNTIF('Eingabe Meldungen'!$A$2:$A$492,$B$353)+1-ROW('Eingabe Meldungen'!A11))))</f>
        <v/>
      </c>
      <c r="C365" s="316" t="str">
        <f t="array" ref="C365">IF(ISERROR(INDEX('Eingabe Meldungen'!$D$2:$D$492,LARGE(('Eingabe Meldungen'!$A$2:$A$492=$B$353)*(ROW('Eingabe Meldungen'!$A$2:$A$492)-1),COUNTIF('Eingabe Meldungen'!$A$2:$A$492,$B$353)+1-ROW('Eingabe Meldungen'!A11)))),"",INDEX('Eingabe Meldungen'!$D$2:$D$492,LARGE(('Eingabe Meldungen'!$A$2:$A$492=$B$353)*(ROW('Eingabe Meldungen'!$A$2:$A$492)-1),COUNTIF('Eingabe Meldungen'!$A$2:$A$492,$B$353)+1-ROW('Eingabe Meldungen'!A11))))</f>
        <v/>
      </c>
      <c r="D365" s="341" t="str">
        <f t="array" ref="D365">IF(B365&lt;&gt;"",INDEX('Eingabe Meldungen'!$C$2:$H$492,MATCH(B365&amp;C365,'Eingabe Meldungen'!$C$2:$C$492&amp;'Eingabe Meldungen'!$D$2:$D$492,0),6),"")</f>
        <v/>
      </c>
      <c r="E365" s="382" t="str">
        <f t="array" ref="E365">IF(B365&lt;&gt;"",INDEX('Eingabe Meldungen'!$C$2:$H$492,MATCH(B365&amp;C365,'Eingabe Meldungen'!$C$2:$C$492&amp;'Eingabe Meldungen'!$D$2:$D$492,0),4),"")</f>
        <v/>
      </c>
      <c r="F365" s="353" t="str">
        <f>IF(VLOOKUP(B365,Rennlisten!$B$268:$H$274,6,FALSE)=0,"",VLOOKUP(B365,Rennlisten!$B$268:$H$274,6,FALSE))</f>
        <v/>
      </c>
      <c r="G365" s="333" t="e">
        <f t="shared" si="39"/>
        <v>#VALUE!</v>
      </c>
      <c r="H365" s="343" t="str">
        <f t="array" ref="H365">IF(B365&lt;&gt;"",INDEX('Eingabe Meldungen'!$C$2:$J$492,MATCH(B365&amp;C365,'Eingabe Meldungen'!$C$2:$C$492&amp;'Eingabe Meldungen'!$D$2:$D$492,0),8),"")</f>
        <v/>
      </c>
      <c r="J365" s="332"/>
      <c r="K365" s="332"/>
      <c r="L365" s="332"/>
      <c r="M365" s="332"/>
      <c r="N365" s="332"/>
      <c r="O365" s="332"/>
      <c r="P365" s="332"/>
      <c r="Q365" s="332"/>
      <c r="R365" s="332"/>
      <c r="S365" s="332"/>
      <c r="T365" s="332"/>
      <c r="U365" s="332"/>
      <c r="V365" s="332"/>
      <c r="W365" s="332"/>
      <c r="X365" s="332"/>
      <c r="Y365" s="332"/>
      <c r="Z365" s="332"/>
      <c r="AA365" s="332"/>
      <c r="AB365" s="332"/>
      <c r="AC365" s="332"/>
      <c r="AD365" s="332"/>
      <c r="AE365" s="332"/>
      <c r="AF365" s="332"/>
      <c r="AG365" s="332"/>
      <c r="AH365" s="332"/>
      <c r="AI365" s="332"/>
      <c r="AJ365" s="333"/>
      <c r="AK365" s="333"/>
      <c r="AL365" s="333"/>
      <c r="AM365" s="333"/>
    </row>
    <row r="366" spans="2:39" s="316" customFormat="1" ht="26.25" customHeight="1" x14ac:dyDescent="0.2">
      <c r="B366" s="340" t="str">
        <f t="array" ref="B366">IF(ISERROR(INDEX('Eingabe Meldungen'!$C$2:$C$492,LARGE(('Eingabe Meldungen'!$A$2:$A$492=$B$353)*(ROW('Eingabe Meldungen'!$A$2:$A$492)-1),COUNTIF('Eingabe Meldungen'!$A$2:$A$492,$B$353)+1-ROW('Eingabe Meldungen'!A12)))),"",INDEX('Eingabe Meldungen'!$C$2:$C$492,LARGE(('Eingabe Meldungen'!$A$2:$A$492=$B$353)*(ROW('Eingabe Meldungen'!$A$2:$A$492)-1),COUNTIF('Eingabe Meldungen'!$A$2:$A$492,$B$353)+1-ROW('Eingabe Meldungen'!A12))))</f>
        <v/>
      </c>
      <c r="C366" s="316" t="str">
        <f t="array" ref="C366">IF(ISERROR(INDEX('Eingabe Meldungen'!$D$2:$D$492,LARGE(('Eingabe Meldungen'!$A$2:$A$492=$B$353)*(ROW('Eingabe Meldungen'!$A$2:$A$492)-1),COUNTIF('Eingabe Meldungen'!$A$2:$A$492,$B$353)+1-ROW('Eingabe Meldungen'!A12)))),"",INDEX('Eingabe Meldungen'!$D$2:$D$492,LARGE(('Eingabe Meldungen'!$A$2:$A$492=$B$353)*(ROW('Eingabe Meldungen'!$A$2:$A$492)-1),COUNTIF('Eingabe Meldungen'!$A$2:$A$492,$B$353)+1-ROW('Eingabe Meldungen'!A12))))</f>
        <v/>
      </c>
      <c r="D366" s="341" t="str">
        <f t="array" ref="D366">IF(B366&lt;&gt;"",INDEX('Eingabe Meldungen'!$C$2:$H$492,MATCH(B366&amp;C366,'Eingabe Meldungen'!$C$2:$C$492&amp;'Eingabe Meldungen'!$D$2:$D$492,0),6),"")</f>
        <v/>
      </c>
      <c r="E366" s="382" t="str">
        <f t="array" ref="E366">IF(B366&lt;&gt;"",INDEX('Eingabe Meldungen'!$C$2:$H$492,MATCH(B366&amp;C366,'Eingabe Meldungen'!$C$2:$C$492&amp;'Eingabe Meldungen'!$D$2:$D$492,0),4),"")</f>
        <v/>
      </c>
      <c r="F366" s="353" t="str">
        <f>IF(VLOOKUP(B366,Rennlisten!$B$268:$H$274,6,FALSE)=0,"",VLOOKUP(B366,Rennlisten!$B$268:$H$274,6,FALSE))</f>
        <v/>
      </c>
      <c r="G366" s="333" t="e">
        <f t="shared" si="39"/>
        <v>#VALUE!</v>
      </c>
      <c r="H366" s="343" t="str">
        <f t="array" ref="H366">IF(B366&lt;&gt;"",INDEX('Eingabe Meldungen'!$C$2:$J$492,MATCH(B366&amp;C366,'Eingabe Meldungen'!$C$2:$C$492&amp;'Eingabe Meldungen'!$D$2:$D$492,0),8),"")</f>
        <v/>
      </c>
      <c r="J366" s="332"/>
      <c r="K366" s="332"/>
      <c r="L366" s="332"/>
      <c r="M366" s="332"/>
      <c r="N366" s="332"/>
      <c r="O366" s="332"/>
      <c r="P366" s="332"/>
      <c r="Q366" s="332"/>
      <c r="R366" s="332"/>
      <c r="S366" s="332"/>
      <c r="T366" s="332"/>
      <c r="U366" s="332"/>
      <c r="V366" s="332"/>
      <c r="W366" s="332"/>
      <c r="X366" s="332"/>
      <c r="Y366" s="332"/>
      <c r="Z366" s="332"/>
      <c r="AA366" s="332"/>
      <c r="AB366" s="332"/>
      <c r="AC366" s="332"/>
      <c r="AD366" s="332"/>
      <c r="AE366" s="332"/>
      <c r="AF366" s="332"/>
      <c r="AG366" s="332"/>
      <c r="AH366" s="332"/>
      <c r="AI366" s="332"/>
      <c r="AJ366" s="333"/>
      <c r="AK366" s="333"/>
      <c r="AL366" s="333"/>
      <c r="AM366" s="333"/>
    </row>
    <row r="367" spans="2:39" s="316" customFormat="1" ht="26.25" customHeight="1" x14ac:dyDescent="0.2">
      <c r="B367" s="340" t="str">
        <f t="array" ref="B367">IF(ISERROR(INDEX('Eingabe Meldungen'!$C$2:$C$492,LARGE(('Eingabe Meldungen'!$A$2:$A$492=$B$353)*(ROW('Eingabe Meldungen'!$A$2:$A$492)-1),COUNTIF('Eingabe Meldungen'!$A$2:$A$492,$B$353)+1-ROW('Eingabe Meldungen'!A13)))),"",INDEX('Eingabe Meldungen'!$C$2:$C$492,LARGE(('Eingabe Meldungen'!$A$2:$A$492=$B$353)*(ROW('Eingabe Meldungen'!$A$2:$A$492)-1),COUNTIF('Eingabe Meldungen'!$A$2:$A$492,$B$353)+1-ROW('Eingabe Meldungen'!A13))))</f>
        <v/>
      </c>
      <c r="C367" s="316" t="str">
        <f t="array" ref="C367">IF(ISERROR(INDEX('Eingabe Meldungen'!$D$2:$D$492,LARGE(('Eingabe Meldungen'!$A$2:$A$492=$B$353)*(ROW('Eingabe Meldungen'!$A$2:$A$492)-1),COUNTIF('Eingabe Meldungen'!$A$2:$A$492,$B$353)+1-ROW('Eingabe Meldungen'!A13)))),"",INDEX('Eingabe Meldungen'!$D$2:$D$492,LARGE(('Eingabe Meldungen'!$A$2:$A$492=$B$353)*(ROW('Eingabe Meldungen'!$A$2:$A$492)-1),COUNTIF('Eingabe Meldungen'!$A$2:$A$492,$B$353)+1-ROW('Eingabe Meldungen'!A13))))</f>
        <v/>
      </c>
      <c r="D367" s="341" t="str">
        <f t="array" ref="D367">IF(B367&lt;&gt;"",INDEX('Eingabe Meldungen'!$C$2:$H$492,MATCH(B367&amp;C367,'Eingabe Meldungen'!$C$2:$C$492&amp;'Eingabe Meldungen'!$D$2:$D$492,0),6),"")</f>
        <v/>
      </c>
      <c r="E367" s="382" t="str">
        <f t="array" ref="E367">IF(B367&lt;&gt;"",INDEX('Eingabe Meldungen'!$C$2:$H$492,MATCH(B367&amp;C367,'Eingabe Meldungen'!$C$2:$C$492&amp;'Eingabe Meldungen'!$D$2:$D$492,0),4),"")</f>
        <v/>
      </c>
      <c r="F367" s="353" t="str">
        <f>IF(VLOOKUP(B367,Rennlisten!$B$268:$H$274,6,FALSE)=0,"",VLOOKUP(B367,Rennlisten!$B$268:$H$274,6,FALSE))</f>
        <v/>
      </c>
      <c r="G367" s="333" t="e">
        <f t="shared" ref="G367:G369" si="40">RANK(F367,$F$355:$F$370,1)</f>
        <v>#VALUE!</v>
      </c>
      <c r="H367" s="343" t="str">
        <f t="array" ref="H367">IF(B367&lt;&gt;"",INDEX('Eingabe Meldungen'!$C$2:$J$492,MATCH(B367&amp;C367,'Eingabe Meldungen'!$C$2:$C$492&amp;'Eingabe Meldungen'!$D$2:$D$492,0),8),"")</f>
        <v/>
      </c>
      <c r="J367" s="332"/>
      <c r="K367" s="332"/>
      <c r="L367" s="332"/>
      <c r="M367" s="332"/>
      <c r="N367" s="332"/>
      <c r="O367" s="332"/>
      <c r="P367" s="332"/>
      <c r="Q367" s="332"/>
      <c r="R367" s="332"/>
      <c r="S367" s="332"/>
      <c r="T367" s="332"/>
      <c r="U367" s="332"/>
      <c r="V367" s="332"/>
      <c r="W367" s="332"/>
      <c r="X367" s="332"/>
      <c r="Y367" s="332"/>
      <c r="Z367" s="332"/>
      <c r="AA367" s="332"/>
      <c r="AB367" s="332"/>
      <c r="AC367" s="332"/>
      <c r="AD367" s="332"/>
      <c r="AE367" s="332"/>
      <c r="AF367" s="332"/>
      <c r="AG367" s="332"/>
      <c r="AH367" s="332"/>
      <c r="AI367" s="332"/>
      <c r="AJ367" s="333"/>
      <c r="AK367" s="333"/>
      <c r="AL367" s="333"/>
      <c r="AM367" s="333"/>
    </row>
    <row r="368" spans="2:39" s="316" customFormat="1" ht="26.25" customHeight="1" x14ac:dyDescent="0.2">
      <c r="B368" s="340" t="str">
        <f t="array" ref="B368">IF(ISERROR(INDEX('Eingabe Meldungen'!$C$2:$C$492,LARGE(('Eingabe Meldungen'!$A$2:$A$492=$B$353)*(ROW('Eingabe Meldungen'!$A$2:$A$492)-1),COUNTIF('Eingabe Meldungen'!$A$2:$A$492,$B$353)+1-ROW('Eingabe Meldungen'!A14)))),"",INDEX('Eingabe Meldungen'!$C$2:$C$492,LARGE(('Eingabe Meldungen'!$A$2:$A$492=$B$353)*(ROW('Eingabe Meldungen'!$A$2:$A$492)-1),COUNTIF('Eingabe Meldungen'!$A$2:$A$492,$B$353)+1-ROW('Eingabe Meldungen'!A14))))</f>
        <v/>
      </c>
      <c r="C368" s="316" t="str">
        <f t="array" ref="C368">IF(ISERROR(INDEX('Eingabe Meldungen'!$D$2:$D$492,LARGE(('Eingabe Meldungen'!$A$2:$A$492=$B$353)*(ROW('Eingabe Meldungen'!$A$2:$A$492)-1),COUNTIF('Eingabe Meldungen'!$A$2:$A$492,$B$353)+1-ROW('Eingabe Meldungen'!A14)))),"",INDEX('Eingabe Meldungen'!$D$2:$D$492,LARGE(('Eingabe Meldungen'!$A$2:$A$492=$B$353)*(ROW('Eingabe Meldungen'!$A$2:$A$492)-1),COUNTIF('Eingabe Meldungen'!$A$2:$A$492,$B$353)+1-ROW('Eingabe Meldungen'!A14))))</f>
        <v/>
      </c>
      <c r="D368" s="341" t="str">
        <f t="array" ref="D368">IF(B368&lt;&gt;"",INDEX('Eingabe Meldungen'!$C$2:$H$492,MATCH(B368&amp;C368,'Eingabe Meldungen'!$C$2:$C$492&amp;'Eingabe Meldungen'!$D$2:$D$492,0),6),"")</f>
        <v/>
      </c>
      <c r="E368" s="382" t="str">
        <f t="array" ref="E368">IF(B368&lt;&gt;"",INDEX('Eingabe Meldungen'!$C$2:$H$492,MATCH(B368&amp;C368,'Eingabe Meldungen'!$C$2:$C$492&amp;'Eingabe Meldungen'!$D$2:$D$492,0),4),"")</f>
        <v/>
      </c>
      <c r="F368" s="353" t="str">
        <f>IF(VLOOKUP(B368,Rennlisten!$B$268:$H$274,6,FALSE)=0,"",VLOOKUP(B368,Rennlisten!$B$268:$H$274,6,FALSE))</f>
        <v/>
      </c>
      <c r="G368" s="333" t="e">
        <f t="shared" si="40"/>
        <v>#VALUE!</v>
      </c>
      <c r="H368" s="343" t="str">
        <f t="array" ref="H368">IF(B368&lt;&gt;"",INDEX('Eingabe Meldungen'!$C$2:$J$492,MATCH(B368&amp;C368,'Eingabe Meldungen'!$C$2:$C$492&amp;'Eingabe Meldungen'!$D$2:$D$492,0),8),"")</f>
        <v/>
      </c>
      <c r="J368" s="332"/>
      <c r="K368" s="332"/>
      <c r="L368" s="332"/>
      <c r="M368" s="332"/>
      <c r="N368" s="332"/>
      <c r="O368" s="332"/>
      <c r="P368" s="332"/>
      <c r="Q368" s="332"/>
      <c r="R368" s="332"/>
      <c r="S368" s="332"/>
      <c r="T368" s="332"/>
      <c r="U368" s="332"/>
      <c r="V368" s="332"/>
      <c r="W368" s="332"/>
      <c r="X368" s="332"/>
      <c r="Y368" s="332"/>
      <c r="Z368" s="332"/>
      <c r="AA368" s="332"/>
      <c r="AB368" s="332"/>
      <c r="AC368" s="332"/>
      <c r="AD368" s="332"/>
      <c r="AE368" s="332"/>
      <c r="AF368" s="332"/>
      <c r="AG368" s="332"/>
      <c r="AH368" s="332"/>
      <c r="AI368" s="332"/>
      <c r="AJ368" s="333"/>
      <c r="AK368" s="333"/>
      <c r="AL368" s="333"/>
      <c r="AM368" s="333"/>
    </row>
    <row r="369" spans="2:39" s="316" customFormat="1" ht="26.25" customHeight="1" x14ac:dyDescent="0.2">
      <c r="B369" s="340" t="str">
        <f t="array" ref="B369">IF(ISERROR(INDEX('Eingabe Meldungen'!$C$2:$C$492,LARGE(('Eingabe Meldungen'!$A$2:$A$492=$B$353)*(ROW('Eingabe Meldungen'!$A$2:$A$492)-1),COUNTIF('Eingabe Meldungen'!$A$2:$A$492,$B$353)+1-ROW('Eingabe Meldungen'!A15)))),"",INDEX('Eingabe Meldungen'!$C$2:$C$492,LARGE(('Eingabe Meldungen'!$A$2:$A$492=$B$353)*(ROW('Eingabe Meldungen'!$A$2:$A$492)-1),COUNTIF('Eingabe Meldungen'!$A$2:$A$492,$B$353)+1-ROW('Eingabe Meldungen'!A15))))</f>
        <v/>
      </c>
      <c r="C369" s="316" t="str">
        <f t="array" ref="C369">IF(ISERROR(INDEX('Eingabe Meldungen'!$D$2:$D$492,LARGE(('Eingabe Meldungen'!$A$2:$A$492=$B$353)*(ROW('Eingabe Meldungen'!$A$2:$A$492)-1),COUNTIF('Eingabe Meldungen'!$A$2:$A$492,$B$353)+1-ROW('Eingabe Meldungen'!A15)))),"",INDEX('Eingabe Meldungen'!$D$2:$D$492,LARGE(('Eingabe Meldungen'!$A$2:$A$492=$B$353)*(ROW('Eingabe Meldungen'!$A$2:$A$492)-1),COUNTIF('Eingabe Meldungen'!$A$2:$A$492,$B$353)+1-ROW('Eingabe Meldungen'!A15))))</f>
        <v/>
      </c>
      <c r="D369" s="341" t="str">
        <f t="array" ref="D369">IF(B369&lt;&gt;"",INDEX('Eingabe Meldungen'!$C$2:$H$492,MATCH(B369&amp;C369,'Eingabe Meldungen'!$C$2:$C$492&amp;'Eingabe Meldungen'!$D$2:$D$492,0),6),"")</f>
        <v/>
      </c>
      <c r="E369" s="382" t="str">
        <f t="array" ref="E369">IF(B369&lt;&gt;"",INDEX('Eingabe Meldungen'!$C$2:$H$492,MATCH(B369&amp;C369,'Eingabe Meldungen'!$C$2:$C$492&amp;'Eingabe Meldungen'!$D$2:$D$492,0),4),"")</f>
        <v/>
      </c>
      <c r="F369" s="353" t="str">
        <f>IF(VLOOKUP(B369,Rennlisten!$B$268:$H$274,6,FALSE)=0,"",VLOOKUP(B369,Rennlisten!$B$268:$H$274,6,FALSE))</f>
        <v/>
      </c>
      <c r="G369" s="333" t="e">
        <f t="shared" si="40"/>
        <v>#VALUE!</v>
      </c>
      <c r="H369" s="343" t="str">
        <f t="array" ref="H369">IF(B369&lt;&gt;"",INDEX('Eingabe Meldungen'!$C$2:$J$492,MATCH(B369&amp;C369,'Eingabe Meldungen'!$C$2:$C$492&amp;'Eingabe Meldungen'!$D$2:$D$492,0),8),"")</f>
        <v/>
      </c>
      <c r="J369" s="332"/>
      <c r="K369" s="332"/>
      <c r="L369" s="332"/>
      <c r="M369" s="332"/>
      <c r="N369" s="332"/>
      <c r="O369" s="332"/>
      <c r="P369" s="332"/>
      <c r="Q369" s="332"/>
      <c r="R369" s="332"/>
      <c r="S369" s="332"/>
      <c r="T369" s="332"/>
      <c r="U369" s="332"/>
      <c r="V369" s="332"/>
      <c r="W369" s="332"/>
      <c r="X369" s="332"/>
      <c r="Y369" s="332"/>
      <c r="Z369" s="332"/>
      <c r="AA369" s="332"/>
      <c r="AB369" s="332"/>
      <c r="AC369" s="332"/>
      <c r="AD369" s="332"/>
      <c r="AE369" s="332"/>
      <c r="AF369" s="332"/>
      <c r="AG369" s="332"/>
      <c r="AH369" s="332"/>
      <c r="AI369" s="332"/>
      <c r="AJ369" s="333"/>
      <c r="AK369" s="333"/>
      <c r="AL369" s="333"/>
      <c r="AM369" s="333"/>
    </row>
    <row r="370" spans="2:39" s="316" customFormat="1" ht="26.25" customHeight="1" thickBot="1" x14ac:dyDescent="0.25">
      <c r="B370" s="344" t="str">
        <f t="array" ref="B370">IF(ISERROR(INDEX('Eingabe Meldungen'!$C$2:$C$492,LARGE(('Eingabe Meldungen'!$A$2:$A$492=$B$353)*(ROW('Eingabe Meldungen'!$A$2:$A$492)-1),COUNTIF('Eingabe Meldungen'!$A$2:$A$492,$B$353)+1-ROW('Eingabe Meldungen'!A17)))),"",INDEX('Eingabe Meldungen'!$C$2:$C$492,LARGE(('Eingabe Meldungen'!$A$2:$A$492=$B$353)*(ROW('Eingabe Meldungen'!$A$2:$A$492)-1),COUNTIF('Eingabe Meldungen'!$A$2:$A$492,$B$353)+1-ROW('Eingabe Meldungen'!A17))))</f>
        <v/>
      </c>
      <c r="C370" s="345" t="str">
        <f t="array" ref="C370">IF(ISERROR(INDEX('Eingabe Meldungen'!$D$2:$D$492,LARGE(('Eingabe Meldungen'!$A$2:$A$492=$B$353)*(ROW('Eingabe Meldungen'!$A$2:$A$492)-1),COUNTIF('Eingabe Meldungen'!$A$2:$A$492,$B$353)+1-ROW('Eingabe Meldungen'!A17)))),"",INDEX('Eingabe Meldungen'!$D$2:$D$492,LARGE(('Eingabe Meldungen'!$A$2:$A$492=$B$353)*(ROW('Eingabe Meldungen'!$A$2:$A$492)-1),COUNTIF('Eingabe Meldungen'!$A$2:$A$492,$B$353)+1-ROW('Eingabe Meldungen'!A17))))</f>
        <v/>
      </c>
      <c r="D370" s="346" t="str">
        <f t="array" ref="D370">IF(B370&lt;&gt;"",INDEX('Eingabe Meldungen'!$C$2:$H$492,MATCH(B370&amp;C370,'Eingabe Meldungen'!$C$2:$C$492&amp;'Eingabe Meldungen'!$D$2:$D$492,0),6),"")</f>
        <v/>
      </c>
      <c r="E370" s="383" t="str">
        <f t="array" ref="E370">IF(B370&lt;&gt;"",INDEX('Eingabe Meldungen'!$C$2:$H$492,MATCH(B370&amp;C370,'Eingabe Meldungen'!$C$2:$C$492&amp;'Eingabe Meldungen'!$D$2:$D$492,0),4),"")</f>
        <v/>
      </c>
      <c r="F370" s="354" t="str">
        <f>IF(VLOOKUP(B370,Rennlisten!$B$268:$H$274,6,FALSE)=0,"",VLOOKUP(B370,Rennlisten!$B$268:$H$274,6,FALSE))</f>
        <v/>
      </c>
      <c r="G370" s="348" t="e">
        <f t="shared" ref="G370" si="41">RANK(F370,$F$355:$F$370,1)</f>
        <v>#VALUE!</v>
      </c>
      <c r="H370" s="349" t="str">
        <f t="array" ref="H370">IF(B370&lt;&gt;"",INDEX('Eingabe Meldungen'!$C$2:$J$492,MATCH(B370&amp;C370,'Eingabe Meldungen'!$C$2:$C$492&amp;'Eingabe Meldungen'!$D$2:$D$492,0),8),"")</f>
        <v/>
      </c>
      <c r="J370" s="332"/>
      <c r="K370" s="332"/>
      <c r="L370" s="332"/>
      <c r="M370" s="332"/>
      <c r="N370" s="332"/>
      <c r="O370" s="332"/>
      <c r="P370" s="332"/>
      <c r="Q370" s="332"/>
      <c r="R370" s="332"/>
      <c r="S370" s="332"/>
      <c r="T370" s="332"/>
      <c r="U370" s="332"/>
      <c r="V370" s="332"/>
      <c r="W370" s="332"/>
      <c r="X370" s="332"/>
      <c r="Y370" s="332"/>
      <c r="Z370" s="332"/>
      <c r="AA370" s="332"/>
      <c r="AB370" s="332"/>
      <c r="AC370" s="332"/>
      <c r="AD370" s="332"/>
      <c r="AE370" s="332"/>
      <c r="AF370" s="332"/>
      <c r="AG370" s="332"/>
      <c r="AH370" s="332"/>
      <c r="AI370" s="332"/>
      <c r="AJ370" s="333"/>
      <c r="AK370" s="333"/>
      <c r="AL370" s="333"/>
      <c r="AM370" s="333"/>
    </row>
    <row r="371" spans="2:39" s="316" customFormat="1" ht="26.25" customHeight="1" x14ac:dyDescent="0.2">
      <c r="B371" s="334"/>
      <c r="C371" s="336"/>
      <c r="D371" s="335"/>
      <c r="E371" s="336"/>
      <c r="F371" s="356"/>
      <c r="G371" s="338"/>
      <c r="H371" s="336"/>
      <c r="J371" s="357"/>
      <c r="K371" s="357"/>
      <c r="L371" s="357"/>
      <c r="M371" s="357"/>
      <c r="N371" s="357"/>
      <c r="O371" s="357"/>
      <c r="P371" s="357"/>
      <c r="Q371" s="357"/>
      <c r="R371" s="357"/>
      <c r="S371" s="357"/>
      <c r="T371" s="357"/>
      <c r="U371" s="357"/>
      <c r="V371" s="357"/>
      <c r="W371" s="357"/>
      <c r="X371" s="357"/>
      <c r="Y371" s="357"/>
      <c r="Z371" s="357"/>
      <c r="AA371" s="357"/>
      <c r="AB371" s="357"/>
      <c r="AC371" s="357"/>
      <c r="AD371" s="357"/>
      <c r="AE371" s="357"/>
      <c r="AF371" s="357"/>
      <c r="AG371" s="357"/>
      <c r="AH371" s="357"/>
      <c r="AI371" s="357"/>
      <c r="AJ371" s="333"/>
      <c r="AK371" s="333"/>
      <c r="AL371" s="333"/>
      <c r="AM371" s="333"/>
    </row>
    <row r="372" spans="2:39" s="316" customFormat="1" ht="26.25" hidden="1" customHeight="1" x14ac:dyDescent="0.2">
      <c r="B372" s="326">
        <f>B353+1</f>
        <v>17</v>
      </c>
      <c r="C372" s="327" t="str">
        <f>VLOOKUP(B372,Ausschreibung!$B$5:$I$35,2,FALSE)</f>
        <v>Ergocup</v>
      </c>
      <c r="D372" s="328">
        <f>VLOOKUP(B372,Ausschreibung!$B$5:$I$35,3,FALSE)</f>
        <v>0.62083333333333324</v>
      </c>
      <c r="E372" s="327" t="str">
        <f>VLOOKUP(B372,Ausschreibung!$B$5:$I$35,4,FALSE)</f>
        <v>Juniorinnen A U19</v>
      </c>
      <c r="F372" s="329" t="str">
        <f>VLOOKUP(B372,Ausschreibung!$B$5:$I$35,5,FALSE)</f>
        <v>LGW. bis 60 kg</v>
      </c>
      <c r="G372" s="330" t="str">
        <f>VLOOKUP(B372,Ausschreibung!$B$5:$I$35,6,FALSE)</f>
        <v>17-18</v>
      </c>
      <c r="H372" s="331" t="str">
        <f>VLOOKUP(B372,Ausschreibung!$B$5:$I$35,8,FALSE)</f>
        <v>2000 m</v>
      </c>
      <c r="J372" s="357"/>
      <c r="K372" s="357"/>
      <c r="L372" s="357"/>
      <c r="M372" s="357"/>
      <c r="N372" s="357"/>
      <c r="O372" s="357"/>
      <c r="P372" s="357"/>
      <c r="Q372" s="357"/>
      <c r="R372" s="357"/>
      <c r="S372" s="357"/>
      <c r="T372" s="357"/>
      <c r="U372" s="357"/>
      <c r="V372" s="357"/>
      <c r="W372" s="357"/>
      <c r="X372" s="357"/>
      <c r="Y372" s="357"/>
      <c r="Z372" s="357"/>
      <c r="AA372" s="357"/>
      <c r="AB372" s="357"/>
      <c r="AC372" s="357"/>
      <c r="AD372" s="357"/>
      <c r="AE372" s="357"/>
      <c r="AF372" s="357"/>
      <c r="AG372" s="357"/>
      <c r="AH372" s="357"/>
      <c r="AI372" s="357"/>
      <c r="AJ372" s="333"/>
      <c r="AK372" s="333"/>
      <c r="AL372" s="333"/>
      <c r="AM372" s="333"/>
    </row>
    <row r="373" spans="2:39" s="316" customFormat="1" ht="26.25" hidden="1" customHeight="1" x14ac:dyDescent="0.2">
      <c r="B373" s="334" t="s">
        <v>1</v>
      </c>
      <c r="C373" s="335" t="s">
        <v>2</v>
      </c>
      <c r="D373" s="336" t="s">
        <v>49</v>
      </c>
      <c r="E373" s="381" t="s">
        <v>16</v>
      </c>
      <c r="F373" s="338" t="s">
        <v>50</v>
      </c>
      <c r="G373" s="338" t="s">
        <v>51</v>
      </c>
      <c r="H373" s="339" t="s">
        <v>17</v>
      </c>
      <c r="J373" s="357"/>
      <c r="K373" s="357"/>
      <c r="L373" s="357"/>
      <c r="M373" s="357"/>
      <c r="N373" s="357"/>
      <c r="O373" s="357"/>
      <c r="P373" s="357"/>
      <c r="Q373" s="357"/>
      <c r="R373" s="357"/>
      <c r="S373" s="357"/>
      <c r="T373" s="357"/>
      <c r="U373" s="357"/>
      <c r="V373" s="357"/>
      <c r="W373" s="357"/>
      <c r="X373" s="357"/>
      <c r="Y373" s="357"/>
      <c r="Z373" s="357"/>
      <c r="AA373" s="357"/>
      <c r="AB373" s="357"/>
      <c r="AC373" s="357"/>
      <c r="AD373" s="357"/>
      <c r="AE373" s="357"/>
      <c r="AF373" s="357"/>
      <c r="AG373" s="357"/>
      <c r="AH373" s="357"/>
      <c r="AI373" s="357"/>
      <c r="AJ373" s="333"/>
      <c r="AK373" s="333"/>
      <c r="AL373" s="333"/>
      <c r="AM373" s="333"/>
    </row>
    <row r="374" spans="2:39" s="316" customFormat="1" ht="26.25" hidden="1" customHeight="1" x14ac:dyDescent="0.2">
      <c r="B374" s="340" t="str">
        <f t="array" ref="B374">IF(ISERROR(INDEX('Eingabe Meldungen'!$C$2:$C$492,LARGE(('Eingabe Meldungen'!$A$2:$A$492=$B$372)*(ROW('Eingabe Meldungen'!$A$2:$A$492)-1),COUNTIF('Eingabe Meldungen'!$A$2:$A$492,$B$372)+1-ROW('Eingabe Meldungen'!A1)))),"",INDEX('Eingabe Meldungen'!$C$2:$C$492,LARGE(('Eingabe Meldungen'!$A$2:$A$492=$B$372)*(ROW('Eingabe Meldungen'!$A$2:$A$492)-1),COUNTIF('Eingabe Meldungen'!$A$2:$A$492,$B$372)+1-ROW('Eingabe Meldungen'!A1))))</f>
        <v>Röhling</v>
      </c>
      <c r="C374" s="316" t="str">
        <f t="array" ref="C374">IF(ISERROR(INDEX('Eingabe Meldungen'!$D$2:$D$492,LARGE(('Eingabe Meldungen'!$A$2:$A$492=$B$372)*(ROW('Eingabe Meldungen'!$A$2:$A$492)-1),COUNTIF('Eingabe Meldungen'!$A$2:$A$492,$B$372)+1-ROW('Eingabe Meldungen'!A1)))),"",INDEX('Eingabe Meldungen'!$D$2:$D$492,LARGE(('Eingabe Meldungen'!$A$2:$A$492=$B$372)*(ROW('Eingabe Meldungen'!$A$2:$A$492)-1),COUNTIF('Eingabe Meldungen'!$A$2:$A$492,$B$372)+1-ROW('Eingabe Meldungen'!A1))))</f>
        <v>Nina</v>
      </c>
      <c r="D374" s="341">
        <f t="array" ref="D374">IF(B374&lt;&gt;"",INDEX('Eingabe Meldungen'!$C$2:$H$492,MATCH(B374&amp;C374,'Eingabe Meldungen'!$C$2:$C$492&amp;'Eingabe Meldungen'!$D$2:$D$492,0),6),"")</f>
        <v>2003</v>
      </c>
      <c r="E374" s="382" t="str">
        <f t="array" ref="E374">IF(B374&lt;&gt;"",INDEX('Eingabe Meldungen'!$C$2:$H$492,MATCH(B374&amp;C374,'Eingabe Meldungen'!$C$2:$C$492&amp;'Eingabe Meldungen'!$D$2:$D$492,0),4),"")</f>
        <v>LGW. bis 60 kg</v>
      </c>
      <c r="F374" s="358" t="s">
        <v>626</v>
      </c>
      <c r="G374" s="333" t="e">
        <f t="shared" ref="G374:G405" si="42">RANK(F374,$F$374:$F$405,1)</f>
        <v>#VALUE!</v>
      </c>
      <c r="H374" s="343" t="str">
        <f t="array" ref="H374">IF(B374&lt;&gt;"",INDEX('Eingabe Meldungen'!$C$2:$J$492,MATCH(B374&amp;C374,'Eingabe Meldungen'!$C$2:$C$492&amp;'Eingabe Meldungen'!$D$2:$D$492,0),8),"")</f>
        <v>RG Eberbach</v>
      </c>
      <c r="J374" s="357"/>
      <c r="K374" s="357"/>
      <c r="L374" s="357"/>
      <c r="M374" s="357"/>
      <c r="N374" s="357"/>
      <c r="O374" s="357"/>
      <c r="P374" s="357"/>
      <c r="Q374" s="357"/>
      <c r="R374" s="357"/>
      <c r="S374" s="357"/>
      <c r="T374" s="357"/>
      <c r="U374" s="357"/>
      <c r="V374" s="357"/>
      <c r="W374" s="357"/>
      <c r="X374" s="357"/>
      <c r="Y374" s="357"/>
      <c r="Z374" s="357"/>
      <c r="AA374" s="357"/>
      <c r="AB374" s="357"/>
      <c r="AC374" s="357"/>
      <c r="AD374" s="357"/>
      <c r="AE374" s="357"/>
      <c r="AF374" s="357"/>
      <c r="AG374" s="357"/>
      <c r="AH374" s="357"/>
      <c r="AI374" s="357"/>
      <c r="AJ374" s="333"/>
      <c r="AK374" s="333"/>
      <c r="AL374" s="333"/>
      <c r="AM374" s="333"/>
    </row>
    <row r="375" spans="2:39" s="316" customFormat="1" ht="26.25" hidden="1" customHeight="1" x14ac:dyDescent="0.2">
      <c r="B375" s="340" t="str">
        <f t="array" ref="B375">IF(ISERROR(INDEX('Eingabe Meldungen'!$C$2:$C$492,LARGE(('Eingabe Meldungen'!$A$2:$A$492=$B$372)*(ROW('Eingabe Meldungen'!$A$2:$A$492)-1),COUNTIF('Eingabe Meldungen'!$A$2:$A$492,$B$372)+1-ROW('Eingabe Meldungen'!A2)))),"",INDEX('Eingabe Meldungen'!$C$2:$C$492,LARGE(('Eingabe Meldungen'!$A$2:$A$492=$B$372)*(ROW('Eingabe Meldungen'!$A$2:$A$492)-1),COUNTIF('Eingabe Meldungen'!$A$2:$A$492,$B$372)+1-ROW('Eingabe Meldungen'!A2))))</f>
        <v/>
      </c>
      <c r="C375" s="316" t="str">
        <f t="array" ref="C375">IF(ISERROR(INDEX('Eingabe Meldungen'!$D$2:$D$492,LARGE(('Eingabe Meldungen'!$A$2:$A$492=$B$372)*(ROW('Eingabe Meldungen'!$A$2:$A$492)-1),COUNTIF('Eingabe Meldungen'!$A$2:$A$492,$B$372)+1-ROW('Eingabe Meldungen'!A2)))),"",INDEX('Eingabe Meldungen'!$D$2:$D$492,LARGE(('Eingabe Meldungen'!$A$2:$A$492=$B$372)*(ROW('Eingabe Meldungen'!$A$2:$A$492)-1),COUNTIF('Eingabe Meldungen'!$A$2:$A$492,$B$372)+1-ROW('Eingabe Meldungen'!A2))))</f>
        <v/>
      </c>
      <c r="D375" s="341" t="str">
        <f t="array" ref="D375">IF(B375&lt;&gt;"",INDEX('Eingabe Meldungen'!$C$2:$H$492,MATCH(B375&amp;C375,'Eingabe Meldungen'!$C$2:$C$492&amp;'Eingabe Meldungen'!$D$2:$D$492,0),6),"")</f>
        <v/>
      </c>
      <c r="E375" s="382" t="str">
        <f t="array" ref="E375">IF(B375&lt;&gt;"",INDEX('Eingabe Meldungen'!$C$2:$H$492,MATCH(B375&amp;C375,'Eingabe Meldungen'!$C$2:$C$492&amp;'Eingabe Meldungen'!$D$2:$D$492,0),4),"")</f>
        <v/>
      </c>
      <c r="F375" s="358" t="e">
        <f>IF(VLOOKUP(B375,Rennlisten!$B$265:$J$274,10,FALSE)=0,"",VLOOKUP(B375,Rennlisten!$B$265:$J$274,10,FALSE))</f>
        <v>#REF!</v>
      </c>
      <c r="G375" s="333" t="e">
        <f t="shared" ref="G375:G384" si="43">RANK(F375,$F$374:$F$405,1)</f>
        <v>#REF!</v>
      </c>
      <c r="H375" s="343" t="str">
        <f t="array" ref="H375">IF(B375&lt;&gt;"",INDEX('Eingabe Meldungen'!$C$2:$J$492,MATCH(B375&amp;C375,'Eingabe Meldungen'!$C$2:$C$492&amp;'Eingabe Meldungen'!$D$2:$D$492,0),8),"")</f>
        <v/>
      </c>
      <c r="J375" s="357"/>
      <c r="K375" s="357"/>
      <c r="L375" s="357"/>
      <c r="M375" s="357"/>
      <c r="N375" s="357"/>
      <c r="O375" s="357"/>
      <c r="P375" s="357"/>
      <c r="Q375" s="357"/>
      <c r="R375" s="357"/>
      <c r="S375" s="357"/>
      <c r="T375" s="357"/>
      <c r="U375" s="357"/>
      <c r="V375" s="357"/>
      <c r="W375" s="357"/>
      <c r="X375" s="357"/>
      <c r="Y375" s="357"/>
      <c r="Z375" s="357"/>
      <c r="AA375" s="357"/>
      <c r="AB375" s="357"/>
      <c r="AC375" s="357"/>
      <c r="AD375" s="357"/>
      <c r="AE375" s="357"/>
      <c r="AF375" s="357"/>
      <c r="AG375" s="357"/>
      <c r="AH375" s="357"/>
      <c r="AI375" s="357"/>
      <c r="AJ375" s="333"/>
      <c r="AK375" s="333"/>
      <c r="AL375" s="333"/>
      <c r="AM375" s="333"/>
    </row>
    <row r="376" spans="2:39" s="316" customFormat="1" ht="26.25" hidden="1" customHeight="1" x14ac:dyDescent="0.2">
      <c r="B376" s="340" t="str">
        <f t="array" ref="B376">IF(ISERROR(INDEX('Eingabe Meldungen'!$C$2:$C$492,LARGE(('Eingabe Meldungen'!$A$2:$A$492=$B$372)*(ROW('Eingabe Meldungen'!$A$2:$A$492)-1),COUNTIF('Eingabe Meldungen'!$A$2:$A$492,$B$372)+1-ROW('Eingabe Meldungen'!A3)))),"",INDEX('Eingabe Meldungen'!$C$2:$C$492,LARGE(('Eingabe Meldungen'!$A$2:$A$492=$B$372)*(ROW('Eingabe Meldungen'!$A$2:$A$492)-1),COUNTIF('Eingabe Meldungen'!$A$2:$A$492,$B$372)+1-ROW('Eingabe Meldungen'!A3))))</f>
        <v/>
      </c>
      <c r="C376" s="316" t="str">
        <f t="array" ref="C376">IF(ISERROR(INDEX('Eingabe Meldungen'!$D$2:$D$492,LARGE(('Eingabe Meldungen'!$A$2:$A$492=$B$372)*(ROW('Eingabe Meldungen'!$A$2:$A$492)-1),COUNTIF('Eingabe Meldungen'!$A$2:$A$492,$B$372)+1-ROW('Eingabe Meldungen'!A3)))),"",INDEX('Eingabe Meldungen'!$D$2:$D$492,LARGE(('Eingabe Meldungen'!$A$2:$A$492=$B$372)*(ROW('Eingabe Meldungen'!$A$2:$A$492)-1),COUNTIF('Eingabe Meldungen'!$A$2:$A$492,$B$372)+1-ROW('Eingabe Meldungen'!A3))))</f>
        <v/>
      </c>
      <c r="D376" s="341" t="str">
        <f t="array" ref="D376">IF(B376&lt;&gt;"",INDEX('Eingabe Meldungen'!$C$2:$H$492,MATCH(B376&amp;C376,'Eingabe Meldungen'!$C$2:$C$492&amp;'Eingabe Meldungen'!$D$2:$D$492,0),6),"")</f>
        <v/>
      </c>
      <c r="E376" s="382" t="str">
        <f t="array" ref="E376">IF(B376&lt;&gt;"",INDEX('Eingabe Meldungen'!$C$2:$H$492,MATCH(B376&amp;C376,'Eingabe Meldungen'!$C$2:$C$492&amp;'Eingabe Meldungen'!$D$2:$D$492,0),4),"")</f>
        <v/>
      </c>
      <c r="F376" s="358" t="e">
        <f>IF(VLOOKUP(B376,Rennlisten!$B$265:$J$274,10,FALSE)=0,"",VLOOKUP(B376,Rennlisten!$B$265:$J$274,10,FALSE))</f>
        <v>#REF!</v>
      </c>
      <c r="G376" s="333" t="e">
        <f t="shared" si="43"/>
        <v>#REF!</v>
      </c>
      <c r="H376" s="343" t="str">
        <f t="array" ref="H376">IF(B376&lt;&gt;"",INDEX('Eingabe Meldungen'!$C$2:$J$492,MATCH(B376&amp;C376,'Eingabe Meldungen'!$C$2:$C$492&amp;'Eingabe Meldungen'!$D$2:$D$492,0),8),"")</f>
        <v/>
      </c>
      <c r="J376" s="357"/>
      <c r="K376" s="357"/>
      <c r="L376" s="357"/>
      <c r="M376" s="357"/>
      <c r="N376" s="357"/>
      <c r="O376" s="357"/>
      <c r="P376" s="357"/>
      <c r="Q376" s="357"/>
      <c r="R376" s="357"/>
      <c r="S376" s="357"/>
      <c r="T376" s="357"/>
      <c r="U376" s="357"/>
      <c r="V376" s="357"/>
      <c r="W376" s="357"/>
      <c r="X376" s="357"/>
      <c r="Y376" s="357"/>
      <c r="Z376" s="357"/>
      <c r="AA376" s="357"/>
      <c r="AB376" s="357"/>
      <c r="AC376" s="357"/>
      <c r="AD376" s="357"/>
      <c r="AE376" s="357"/>
      <c r="AF376" s="357"/>
      <c r="AG376" s="357"/>
      <c r="AH376" s="357"/>
      <c r="AI376" s="357"/>
      <c r="AJ376" s="333"/>
      <c r="AK376" s="333"/>
      <c r="AL376" s="333"/>
      <c r="AM376" s="333"/>
    </row>
    <row r="377" spans="2:39" s="316" customFormat="1" ht="26.25" hidden="1" customHeight="1" x14ac:dyDescent="0.2">
      <c r="B377" s="340" t="str">
        <f t="array" ref="B377">IF(ISERROR(INDEX('Eingabe Meldungen'!$C$2:$C$492,LARGE(('Eingabe Meldungen'!$A$2:$A$492=$B$372)*(ROW('Eingabe Meldungen'!$A$2:$A$492)-1),COUNTIF('Eingabe Meldungen'!$A$2:$A$492,$B$372)+1-ROW('Eingabe Meldungen'!A4)))),"",INDEX('Eingabe Meldungen'!$C$2:$C$492,LARGE(('Eingabe Meldungen'!$A$2:$A$492=$B$372)*(ROW('Eingabe Meldungen'!$A$2:$A$492)-1),COUNTIF('Eingabe Meldungen'!$A$2:$A$492,$B$372)+1-ROW('Eingabe Meldungen'!A4))))</f>
        <v/>
      </c>
      <c r="C377" s="316" t="str">
        <f t="array" ref="C377">IF(ISERROR(INDEX('Eingabe Meldungen'!$D$2:$D$492,LARGE(('Eingabe Meldungen'!$A$2:$A$492=$B$372)*(ROW('Eingabe Meldungen'!$A$2:$A$492)-1),COUNTIF('Eingabe Meldungen'!$A$2:$A$492,$B$372)+1-ROW('Eingabe Meldungen'!A4)))),"",INDEX('Eingabe Meldungen'!$D$2:$D$492,LARGE(('Eingabe Meldungen'!$A$2:$A$492=$B$372)*(ROW('Eingabe Meldungen'!$A$2:$A$492)-1),COUNTIF('Eingabe Meldungen'!$A$2:$A$492,$B$372)+1-ROW('Eingabe Meldungen'!A4))))</f>
        <v/>
      </c>
      <c r="D377" s="341" t="str">
        <f t="array" ref="D377">IF(B377&lt;&gt;"",INDEX('Eingabe Meldungen'!$C$2:$H$492,MATCH(B377&amp;C377,'Eingabe Meldungen'!$C$2:$C$492&amp;'Eingabe Meldungen'!$D$2:$D$492,0),6),"")</f>
        <v/>
      </c>
      <c r="E377" s="382" t="str">
        <f t="array" ref="E377">IF(B377&lt;&gt;"",INDEX('Eingabe Meldungen'!$C$2:$H$492,MATCH(B377&amp;C377,'Eingabe Meldungen'!$C$2:$C$492&amp;'Eingabe Meldungen'!$D$2:$D$492,0),4),"")</f>
        <v/>
      </c>
      <c r="F377" s="358" t="e">
        <f>IF(VLOOKUP(B377,Rennlisten!$B$265:$J$274,10,FALSE)=0,"",VLOOKUP(B377,Rennlisten!$B$265:$J$274,10,FALSE))</f>
        <v>#REF!</v>
      </c>
      <c r="G377" s="333" t="e">
        <f t="shared" si="43"/>
        <v>#REF!</v>
      </c>
      <c r="H377" s="343" t="str">
        <f t="array" ref="H377">IF(B377&lt;&gt;"",INDEX('Eingabe Meldungen'!$C$2:$J$492,MATCH(B377&amp;C377,'Eingabe Meldungen'!$C$2:$C$492&amp;'Eingabe Meldungen'!$D$2:$D$492,0),8),"")</f>
        <v/>
      </c>
      <c r="J377" s="357"/>
      <c r="K377" s="357"/>
      <c r="L377" s="357"/>
      <c r="M377" s="357"/>
      <c r="N377" s="357"/>
      <c r="O377" s="357"/>
      <c r="P377" s="357"/>
      <c r="Q377" s="357"/>
      <c r="R377" s="357"/>
      <c r="S377" s="357"/>
      <c r="T377" s="357"/>
      <c r="U377" s="357"/>
      <c r="V377" s="357"/>
      <c r="W377" s="357"/>
      <c r="X377" s="357"/>
      <c r="Y377" s="357"/>
      <c r="Z377" s="357"/>
      <c r="AA377" s="357"/>
      <c r="AB377" s="357"/>
      <c r="AC377" s="357"/>
      <c r="AD377" s="357"/>
      <c r="AE377" s="357"/>
      <c r="AF377" s="357"/>
      <c r="AG377" s="357"/>
      <c r="AH377" s="357"/>
      <c r="AI377" s="357"/>
      <c r="AJ377" s="333"/>
      <c r="AK377" s="333"/>
      <c r="AL377" s="333"/>
      <c r="AM377" s="333"/>
    </row>
    <row r="378" spans="2:39" s="316" customFormat="1" ht="26.25" hidden="1" customHeight="1" x14ac:dyDescent="0.2">
      <c r="B378" s="340" t="str">
        <f t="array" ref="B378">IF(ISERROR(INDEX('Eingabe Meldungen'!$C$2:$C$492,LARGE(('Eingabe Meldungen'!$A$2:$A$492=$B$372)*(ROW('Eingabe Meldungen'!$A$2:$A$492)-1),COUNTIF('Eingabe Meldungen'!$A$2:$A$492,$B$372)+1-ROW('Eingabe Meldungen'!A5)))),"",INDEX('Eingabe Meldungen'!$C$2:$C$492,LARGE(('Eingabe Meldungen'!$A$2:$A$492=$B$372)*(ROW('Eingabe Meldungen'!$A$2:$A$492)-1),COUNTIF('Eingabe Meldungen'!$A$2:$A$492,$B$372)+1-ROW('Eingabe Meldungen'!A5))))</f>
        <v/>
      </c>
      <c r="C378" s="316" t="str">
        <f t="array" ref="C378">IF(ISERROR(INDEX('Eingabe Meldungen'!$D$2:$D$492,LARGE(('Eingabe Meldungen'!$A$2:$A$492=$B$372)*(ROW('Eingabe Meldungen'!$A$2:$A$492)-1),COUNTIF('Eingabe Meldungen'!$A$2:$A$492,$B$372)+1-ROW('Eingabe Meldungen'!A5)))),"",INDEX('Eingabe Meldungen'!$D$2:$D$492,LARGE(('Eingabe Meldungen'!$A$2:$A$492=$B$372)*(ROW('Eingabe Meldungen'!$A$2:$A$492)-1),COUNTIF('Eingabe Meldungen'!$A$2:$A$492,$B$372)+1-ROW('Eingabe Meldungen'!A5))))</f>
        <v/>
      </c>
      <c r="D378" s="341" t="str">
        <f t="array" ref="D378">IF(B378&lt;&gt;"",INDEX('Eingabe Meldungen'!$C$2:$H$492,MATCH(B378&amp;C378,'Eingabe Meldungen'!$C$2:$C$492&amp;'Eingabe Meldungen'!$D$2:$D$492,0),6),"")</f>
        <v/>
      </c>
      <c r="E378" s="382" t="str">
        <f t="array" ref="E378">IF(B378&lt;&gt;"",INDEX('Eingabe Meldungen'!$C$2:$H$492,MATCH(B378&amp;C378,'Eingabe Meldungen'!$C$2:$C$492&amp;'Eingabe Meldungen'!$D$2:$D$492,0),4),"")</f>
        <v/>
      </c>
      <c r="F378" s="358" t="e">
        <f>IF(VLOOKUP(B378,Rennlisten!$B$265:$J$274,10,FALSE)=0,"",VLOOKUP(B378,Rennlisten!$B$265:$J$274,10,FALSE))</f>
        <v>#REF!</v>
      </c>
      <c r="G378" s="333" t="e">
        <f t="shared" si="43"/>
        <v>#REF!</v>
      </c>
      <c r="H378" s="343" t="str">
        <f t="array" ref="H378">IF(B378&lt;&gt;"",INDEX('Eingabe Meldungen'!$C$2:$J$492,MATCH(B378&amp;C378,'Eingabe Meldungen'!$C$2:$C$492&amp;'Eingabe Meldungen'!$D$2:$D$492,0),8),"")</f>
        <v/>
      </c>
      <c r="J378" s="357"/>
      <c r="K378" s="357"/>
      <c r="L378" s="357"/>
      <c r="M378" s="357"/>
      <c r="N378" s="357"/>
      <c r="O378" s="357"/>
      <c r="P378" s="357"/>
      <c r="Q378" s="357"/>
      <c r="R378" s="357"/>
      <c r="S378" s="357"/>
      <c r="T378" s="357"/>
      <c r="U378" s="357"/>
      <c r="V378" s="357"/>
      <c r="W378" s="357"/>
      <c r="X378" s="357"/>
      <c r="Y378" s="357"/>
      <c r="Z378" s="357"/>
      <c r="AA378" s="357"/>
      <c r="AB378" s="357"/>
      <c r="AC378" s="357"/>
      <c r="AD378" s="357"/>
      <c r="AE378" s="357"/>
      <c r="AF378" s="357"/>
      <c r="AG378" s="357"/>
      <c r="AH378" s="357"/>
      <c r="AI378" s="357"/>
      <c r="AJ378" s="333"/>
      <c r="AK378" s="333"/>
      <c r="AL378" s="333"/>
      <c r="AM378" s="333"/>
    </row>
    <row r="379" spans="2:39" s="316" customFormat="1" ht="26.25" hidden="1" customHeight="1" x14ac:dyDescent="0.2">
      <c r="B379" s="340" t="str">
        <f t="array" ref="B379">IF(ISERROR(INDEX('Eingabe Meldungen'!$C$2:$C$492,LARGE(('Eingabe Meldungen'!$A$2:$A$492=$B$372)*(ROW('Eingabe Meldungen'!$A$2:$A$492)-1),COUNTIF('Eingabe Meldungen'!$A$2:$A$492,$B$372)+1-ROW('Eingabe Meldungen'!A6)))),"",INDEX('Eingabe Meldungen'!$C$2:$C$492,LARGE(('Eingabe Meldungen'!$A$2:$A$492=$B$372)*(ROW('Eingabe Meldungen'!$A$2:$A$492)-1),COUNTIF('Eingabe Meldungen'!$A$2:$A$492,$B$372)+1-ROW('Eingabe Meldungen'!A6))))</f>
        <v/>
      </c>
      <c r="C379" s="316" t="str">
        <f t="array" ref="C379">IF(ISERROR(INDEX('Eingabe Meldungen'!$D$2:$D$492,LARGE(('Eingabe Meldungen'!$A$2:$A$492=$B$372)*(ROW('Eingabe Meldungen'!$A$2:$A$492)-1),COUNTIF('Eingabe Meldungen'!$A$2:$A$492,$B$372)+1-ROW('Eingabe Meldungen'!A6)))),"",INDEX('Eingabe Meldungen'!$D$2:$D$492,LARGE(('Eingabe Meldungen'!$A$2:$A$492=$B$372)*(ROW('Eingabe Meldungen'!$A$2:$A$492)-1),COUNTIF('Eingabe Meldungen'!$A$2:$A$492,$B$372)+1-ROW('Eingabe Meldungen'!A6))))</f>
        <v/>
      </c>
      <c r="D379" s="341" t="str">
        <f t="array" ref="D379">IF(B379&lt;&gt;"",INDEX('Eingabe Meldungen'!$C$2:$H$492,MATCH(B379&amp;C379,'Eingabe Meldungen'!$C$2:$C$492&amp;'Eingabe Meldungen'!$D$2:$D$492,0),6),"")</f>
        <v/>
      </c>
      <c r="E379" s="382" t="str">
        <f t="array" ref="E379">IF(B379&lt;&gt;"",INDEX('Eingabe Meldungen'!$C$2:$H$492,MATCH(B379&amp;C379,'Eingabe Meldungen'!$C$2:$C$492&amp;'Eingabe Meldungen'!$D$2:$D$492,0),4),"")</f>
        <v/>
      </c>
      <c r="F379" s="358" t="e">
        <f>IF(VLOOKUP(B379,Rennlisten!$B$265:$J$274,10,FALSE)=0,"",VLOOKUP(B379,Rennlisten!$B$265:$J$274,10,FALSE))</f>
        <v>#REF!</v>
      </c>
      <c r="G379" s="333" t="e">
        <f t="shared" si="43"/>
        <v>#REF!</v>
      </c>
      <c r="H379" s="343" t="str">
        <f t="array" ref="H379">IF(B379&lt;&gt;"",INDEX('Eingabe Meldungen'!$C$2:$J$492,MATCH(B379&amp;C379,'Eingabe Meldungen'!$C$2:$C$492&amp;'Eingabe Meldungen'!$D$2:$D$492,0),8),"")</f>
        <v/>
      </c>
      <c r="J379" s="357"/>
      <c r="K379" s="357"/>
      <c r="L379" s="357"/>
      <c r="M379" s="357"/>
      <c r="N379" s="357"/>
      <c r="O379" s="357"/>
      <c r="P379" s="357"/>
      <c r="Q379" s="357"/>
      <c r="R379" s="357"/>
      <c r="S379" s="357"/>
      <c r="T379" s="357"/>
      <c r="U379" s="357"/>
      <c r="V379" s="357"/>
      <c r="W379" s="357"/>
      <c r="X379" s="357"/>
      <c r="Y379" s="357"/>
      <c r="Z379" s="357"/>
      <c r="AA379" s="357"/>
      <c r="AB379" s="357"/>
      <c r="AC379" s="357"/>
      <c r="AD379" s="357"/>
      <c r="AE379" s="357"/>
      <c r="AF379" s="357"/>
      <c r="AG379" s="357"/>
      <c r="AH379" s="357"/>
      <c r="AI379" s="357"/>
      <c r="AJ379" s="333"/>
      <c r="AK379" s="333"/>
      <c r="AL379" s="333"/>
      <c r="AM379" s="333"/>
    </row>
    <row r="380" spans="2:39" s="316" customFormat="1" ht="26.25" hidden="1" customHeight="1" x14ac:dyDescent="0.2">
      <c r="B380" s="340" t="str">
        <f t="array" ref="B380">IF(ISERROR(INDEX('Eingabe Meldungen'!$C$2:$C$492,LARGE(('Eingabe Meldungen'!$A$2:$A$492=$B$372)*(ROW('Eingabe Meldungen'!$A$2:$A$492)-1),COUNTIF('Eingabe Meldungen'!$A$2:$A$492,$B$372)+1-ROW('Eingabe Meldungen'!A7)))),"",INDEX('Eingabe Meldungen'!$C$2:$C$492,LARGE(('Eingabe Meldungen'!$A$2:$A$492=$B$372)*(ROW('Eingabe Meldungen'!$A$2:$A$492)-1),COUNTIF('Eingabe Meldungen'!$A$2:$A$492,$B$372)+1-ROW('Eingabe Meldungen'!A7))))</f>
        <v/>
      </c>
      <c r="C380" s="316" t="str">
        <f t="array" ref="C380">IF(ISERROR(INDEX('Eingabe Meldungen'!$D$2:$D$492,LARGE(('Eingabe Meldungen'!$A$2:$A$492=$B$372)*(ROW('Eingabe Meldungen'!$A$2:$A$492)-1),COUNTIF('Eingabe Meldungen'!$A$2:$A$492,$B$372)+1-ROW('Eingabe Meldungen'!A7)))),"",INDEX('Eingabe Meldungen'!$D$2:$D$492,LARGE(('Eingabe Meldungen'!$A$2:$A$492=$B$372)*(ROW('Eingabe Meldungen'!$A$2:$A$492)-1),COUNTIF('Eingabe Meldungen'!$A$2:$A$492,$B$372)+1-ROW('Eingabe Meldungen'!A7))))</f>
        <v/>
      </c>
      <c r="D380" s="341" t="str">
        <f t="array" ref="D380">IF(B380&lt;&gt;"",INDEX('Eingabe Meldungen'!$C$2:$H$492,MATCH(B380&amp;C380,'Eingabe Meldungen'!$C$2:$C$492&amp;'Eingabe Meldungen'!$D$2:$D$492,0),6),"")</f>
        <v/>
      </c>
      <c r="E380" s="382" t="str">
        <f t="array" ref="E380">IF(B380&lt;&gt;"",INDEX('Eingabe Meldungen'!$C$2:$H$492,MATCH(B380&amp;C380,'Eingabe Meldungen'!$C$2:$C$492&amp;'Eingabe Meldungen'!$D$2:$D$492,0),4),"")</f>
        <v/>
      </c>
      <c r="F380" s="358" t="e">
        <f>IF(VLOOKUP(B380,Rennlisten!$B$265:$J$274,10,FALSE)=0,"",VLOOKUP(B380,Rennlisten!$B$265:$J$274,10,FALSE))</f>
        <v>#REF!</v>
      </c>
      <c r="G380" s="333" t="e">
        <f t="shared" si="43"/>
        <v>#REF!</v>
      </c>
      <c r="H380" s="343" t="str">
        <f t="array" ref="H380">IF(B380&lt;&gt;"",INDEX('Eingabe Meldungen'!$C$2:$J$492,MATCH(B380&amp;C380,'Eingabe Meldungen'!$C$2:$C$492&amp;'Eingabe Meldungen'!$D$2:$D$492,0),8),"")</f>
        <v/>
      </c>
      <c r="J380" s="357"/>
      <c r="K380" s="357"/>
      <c r="L380" s="357"/>
      <c r="M380" s="357"/>
      <c r="N380" s="357"/>
      <c r="O380" s="357"/>
      <c r="P380" s="357"/>
      <c r="Q380" s="357"/>
      <c r="R380" s="357"/>
      <c r="S380" s="357"/>
      <c r="T380" s="357"/>
      <c r="U380" s="357"/>
      <c r="V380" s="357"/>
      <c r="W380" s="357"/>
      <c r="X380" s="357"/>
      <c r="Y380" s="357"/>
      <c r="Z380" s="357"/>
      <c r="AA380" s="357"/>
      <c r="AB380" s="357"/>
      <c r="AC380" s="357"/>
      <c r="AD380" s="357"/>
      <c r="AE380" s="357"/>
      <c r="AF380" s="357"/>
      <c r="AG380" s="357"/>
      <c r="AH380" s="357"/>
      <c r="AI380" s="357"/>
      <c r="AJ380" s="333"/>
      <c r="AK380" s="333"/>
      <c r="AL380" s="333"/>
      <c r="AM380" s="333"/>
    </row>
    <row r="381" spans="2:39" s="316" customFormat="1" ht="26.25" hidden="1" customHeight="1" x14ac:dyDescent="0.2">
      <c r="B381" s="340" t="str">
        <f t="array" ref="B381">IF(ISERROR(INDEX('Eingabe Meldungen'!$C$2:$C$492,LARGE(('Eingabe Meldungen'!$A$2:$A$492=$B$372)*(ROW('Eingabe Meldungen'!$A$2:$A$492)-1),COUNTIF('Eingabe Meldungen'!$A$2:$A$492,$B$372)+1-ROW('Eingabe Meldungen'!A8)))),"",INDEX('Eingabe Meldungen'!$C$2:$C$492,LARGE(('Eingabe Meldungen'!$A$2:$A$492=$B$372)*(ROW('Eingabe Meldungen'!$A$2:$A$492)-1),COUNTIF('Eingabe Meldungen'!$A$2:$A$492,$B$372)+1-ROW('Eingabe Meldungen'!A8))))</f>
        <v/>
      </c>
      <c r="C381" s="316" t="str">
        <f t="array" ref="C381">IF(ISERROR(INDEX('Eingabe Meldungen'!$D$2:$D$492,LARGE(('Eingabe Meldungen'!$A$2:$A$492=$B$372)*(ROW('Eingabe Meldungen'!$A$2:$A$492)-1),COUNTIF('Eingabe Meldungen'!$A$2:$A$492,$B$372)+1-ROW('Eingabe Meldungen'!A8)))),"",INDEX('Eingabe Meldungen'!$D$2:$D$492,LARGE(('Eingabe Meldungen'!$A$2:$A$492=$B$372)*(ROW('Eingabe Meldungen'!$A$2:$A$492)-1),COUNTIF('Eingabe Meldungen'!$A$2:$A$492,$B$372)+1-ROW('Eingabe Meldungen'!A8))))</f>
        <v/>
      </c>
      <c r="D381" s="341" t="str">
        <f t="array" ref="D381">IF(B381&lt;&gt;"",INDEX('Eingabe Meldungen'!$C$2:$H$492,MATCH(B381&amp;C381,'Eingabe Meldungen'!$C$2:$C$492&amp;'Eingabe Meldungen'!$D$2:$D$492,0),6),"")</f>
        <v/>
      </c>
      <c r="E381" s="382" t="str">
        <f t="array" ref="E381">IF(B381&lt;&gt;"",INDEX('Eingabe Meldungen'!$C$2:$H$492,MATCH(B381&amp;C381,'Eingabe Meldungen'!$C$2:$C$492&amp;'Eingabe Meldungen'!$D$2:$D$492,0),4),"")</f>
        <v/>
      </c>
      <c r="F381" s="358" t="e">
        <f>IF(VLOOKUP(B381,Rennlisten!$B$265:$J$274,10,FALSE)=0,"",VLOOKUP(B381,Rennlisten!$B$265:$J$274,10,FALSE))</f>
        <v>#REF!</v>
      </c>
      <c r="G381" s="333" t="e">
        <f t="shared" si="43"/>
        <v>#REF!</v>
      </c>
      <c r="H381" s="343" t="str">
        <f t="array" ref="H381">IF(B381&lt;&gt;"",INDEX('Eingabe Meldungen'!$C$2:$J$492,MATCH(B381&amp;C381,'Eingabe Meldungen'!$C$2:$C$492&amp;'Eingabe Meldungen'!$D$2:$D$492,0),8),"")</f>
        <v/>
      </c>
      <c r="J381" s="357"/>
      <c r="K381" s="357"/>
      <c r="L381" s="357"/>
      <c r="M381" s="357"/>
      <c r="N381" s="357"/>
      <c r="O381" s="357"/>
      <c r="P381" s="357"/>
      <c r="Q381" s="357"/>
      <c r="R381" s="357"/>
      <c r="S381" s="357"/>
      <c r="T381" s="357"/>
      <c r="U381" s="357"/>
      <c r="V381" s="357"/>
      <c r="W381" s="357"/>
      <c r="X381" s="357"/>
      <c r="Y381" s="357"/>
      <c r="Z381" s="357"/>
      <c r="AA381" s="357"/>
      <c r="AB381" s="357"/>
      <c r="AC381" s="357"/>
      <c r="AD381" s="357"/>
      <c r="AE381" s="357"/>
      <c r="AF381" s="357"/>
      <c r="AG381" s="357"/>
      <c r="AH381" s="357"/>
      <c r="AI381" s="357"/>
      <c r="AJ381" s="333"/>
      <c r="AK381" s="333"/>
      <c r="AL381" s="333"/>
      <c r="AM381" s="333"/>
    </row>
    <row r="382" spans="2:39" s="316" customFormat="1" ht="26.25" hidden="1" customHeight="1" x14ac:dyDescent="0.2">
      <c r="B382" s="340" t="str">
        <f t="array" ref="B382">IF(ISERROR(INDEX('Eingabe Meldungen'!$C$2:$C$492,LARGE(('Eingabe Meldungen'!$A$2:$A$492=$B$372)*(ROW('Eingabe Meldungen'!$A$2:$A$492)-1),COUNTIF('Eingabe Meldungen'!$A$2:$A$492,$B$372)+1-ROW('Eingabe Meldungen'!A9)))),"",INDEX('Eingabe Meldungen'!$C$2:$C$492,LARGE(('Eingabe Meldungen'!$A$2:$A$492=$B$372)*(ROW('Eingabe Meldungen'!$A$2:$A$492)-1),COUNTIF('Eingabe Meldungen'!$A$2:$A$492,$B$372)+1-ROW('Eingabe Meldungen'!A9))))</f>
        <v/>
      </c>
      <c r="C382" s="316" t="str">
        <f t="array" ref="C382">IF(ISERROR(INDEX('Eingabe Meldungen'!$D$2:$D$492,LARGE(('Eingabe Meldungen'!$A$2:$A$492=$B$372)*(ROW('Eingabe Meldungen'!$A$2:$A$492)-1),COUNTIF('Eingabe Meldungen'!$A$2:$A$492,$B$372)+1-ROW('Eingabe Meldungen'!A9)))),"",INDEX('Eingabe Meldungen'!$D$2:$D$492,LARGE(('Eingabe Meldungen'!$A$2:$A$492=$B$372)*(ROW('Eingabe Meldungen'!$A$2:$A$492)-1),COUNTIF('Eingabe Meldungen'!$A$2:$A$492,$B$372)+1-ROW('Eingabe Meldungen'!A9))))</f>
        <v/>
      </c>
      <c r="D382" s="341" t="str">
        <f t="array" ref="D382">IF(B382&lt;&gt;"",INDEX('Eingabe Meldungen'!$C$2:$H$492,MATCH(B382&amp;C382,'Eingabe Meldungen'!$C$2:$C$492&amp;'Eingabe Meldungen'!$D$2:$D$492,0),6),"")</f>
        <v/>
      </c>
      <c r="E382" s="382" t="str">
        <f t="array" ref="E382">IF(B382&lt;&gt;"",INDEX('Eingabe Meldungen'!$C$2:$H$492,MATCH(B382&amp;C382,'Eingabe Meldungen'!$C$2:$C$492&amp;'Eingabe Meldungen'!$D$2:$D$492,0),4),"")</f>
        <v/>
      </c>
      <c r="F382" s="358" t="e">
        <f>IF(VLOOKUP(B382,Rennlisten!$B$265:$J$274,10,FALSE)=0,"",VLOOKUP(B382,Rennlisten!$B$265:$J$274,10,FALSE))</f>
        <v>#REF!</v>
      </c>
      <c r="G382" s="333" t="e">
        <f t="shared" si="43"/>
        <v>#REF!</v>
      </c>
      <c r="H382" s="343" t="str">
        <f t="array" ref="H382">IF(B382&lt;&gt;"",INDEX('Eingabe Meldungen'!$C$2:$J$492,MATCH(B382&amp;C382,'Eingabe Meldungen'!$C$2:$C$492&amp;'Eingabe Meldungen'!$D$2:$D$492,0),8),"")</f>
        <v/>
      </c>
      <c r="J382" s="357"/>
      <c r="K382" s="357"/>
      <c r="L382" s="357"/>
      <c r="M382" s="357"/>
      <c r="N382" s="357"/>
      <c r="O382" s="357"/>
      <c r="P382" s="357"/>
      <c r="Q382" s="357"/>
      <c r="R382" s="357"/>
      <c r="S382" s="357"/>
      <c r="T382" s="357"/>
      <c r="U382" s="357"/>
      <c r="V382" s="357"/>
      <c r="W382" s="357"/>
      <c r="X382" s="357"/>
      <c r="Y382" s="357"/>
      <c r="Z382" s="357"/>
      <c r="AA382" s="357"/>
      <c r="AB382" s="357"/>
      <c r="AC382" s="357"/>
      <c r="AD382" s="357"/>
      <c r="AE382" s="357"/>
      <c r="AF382" s="357"/>
      <c r="AG382" s="357"/>
      <c r="AH382" s="357"/>
      <c r="AI382" s="357"/>
      <c r="AJ382" s="333"/>
      <c r="AK382" s="333"/>
      <c r="AL382" s="333"/>
      <c r="AM382" s="333"/>
    </row>
    <row r="383" spans="2:39" s="316" customFormat="1" ht="26.25" hidden="1" customHeight="1" x14ac:dyDescent="0.2">
      <c r="B383" s="340" t="str">
        <f t="array" ref="B383">IF(ISERROR(INDEX('Eingabe Meldungen'!$C$2:$C$492,LARGE(('Eingabe Meldungen'!$A$2:$A$492=$B$372)*(ROW('Eingabe Meldungen'!$A$2:$A$492)-1),COUNTIF('Eingabe Meldungen'!$A$2:$A$492,$B$372)+1-ROW('Eingabe Meldungen'!A10)))),"",INDEX('Eingabe Meldungen'!$C$2:$C$492,LARGE(('Eingabe Meldungen'!$A$2:$A$492=$B$372)*(ROW('Eingabe Meldungen'!$A$2:$A$492)-1),COUNTIF('Eingabe Meldungen'!$A$2:$A$492,$B$372)+1-ROW('Eingabe Meldungen'!A10))))</f>
        <v/>
      </c>
      <c r="C383" s="316" t="str">
        <f t="array" ref="C383">IF(ISERROR(INDEX('Eingabe Meldungen'!$D$2:$D$492,LARGE(('Eingabe Meldungen'!$A$2:$A$492=$B$372)*(ROW('Eingabe Meldungen'!$A$2:$A$492)-1),COUNTIF('Eingabe Meldungen'!$A$2:$A$492,$B$372)+1-ROW('Eingabe Meldungen'!A10)))),"",INDEX('Eingabe Meldungen'!$D$2:$D$492,LARGE(('Eingabe Meldungen'!$A$2:$A$492=$B$372)*(ROW('Eingabe Meldungen'!$A$2:$A$492)-1),COUNTIF('Eingabe Meldungen'!$A$2:$A$492,$B$372)+1-ROW('Eingabe Meldungen'!A10))))</f>
        <v/>
      </c>
      <c r="D383" s="341" t="str">
        <f t="array" ref="D383">IF(B383&lt;&gt;"",INDEX('Eingabe Meldungen'!$C$2:$H$492,MATCH(B383&amp;C383,'Eingabe Meldungen'!$C$2:$C$492&amp;'Eingabe Meldungen'!$D$2:$D$492,0),6),"")</f>
        <v/>
      </c>
      <c r="E383" s="382" t="str">
        <f t="array" ref="E383">IF(B383&lt;&gt;"",INDEX('Eingabe Meldungen'!$C$2:$H$492,MATCH(B383&amp;C383,'Eingabe Meldungen'!$C$2:$C$492&amp;'Eingabe Meldungen'!$D$2:$D$492,0),4),"")</f>
        <v/>
      </c>
      <c r="F383" s="358" t="e">
        <f>IF(VLOOKUP(B383,Rennlisten!$B$265:$J$274,10,FALSE)=0,"",VLOOKUP(B383,Rennlisten!$B$265:$J$274,10,FALSE))</f>
        <v>#REF!</v>
      </c>
      <c r="G383" s="333" t="e">
        <f t="shared" si="43"/>
        <v>#REF!</v>
      </c>
      <c r="H383" s="343" t="str">
        <f t="array" ref="H383">IF(B383&lt;&gt;"",INDEX('Eingabe Meldungen'!$C$2:$J$492,MATCH(B383&amp;C383,'Eingabe Meldungen'!$C$2:$C$492&amp;'Eingabe Meldungen'!$D$2:$D$492,0),8),"")</f>
        <v/>
      </c>
      <c r="J383" s="357"/>
      <c r="K383" s="357"/>
      <c r="L383" s="357"/>
      <c r="M383" s="357"/>
      <c r="N383" s="357"/>
      <c r="O383" s="357"/>
      <c r="P383" s="357"/>
      <c r="Q383" s="357"/>
      <c r="R383" s="357"/>
      <c r="S383" s="357"/>
      <c r="T383" s="357"/>
      <c r="U383" s="357"/>
      <c r="V383" s="357"/>
      <c r="W383" s="357"/>
      <c r="X383" s="357"/>
      <c r="Y383" s="357"/>
      <c r="Z383" s="357"/>
      <c r="AA383" s="357"/>
      <c r="AB383" s="357"/>
      <c r="AC383" s="357"/>
      <c r="AD383" s="357"/>
      <c r="AE383" s="357"/>
      <c r="AF383" s="357"/>
      <c r="AG383" s="357"/>
      <c r="AH383" s="357"/>
      <c r="AI383" s="357"/>
      <c r="AJ383" s="333"/>
      <c r="AK383" s="333"/>
      <c r="AL383" s="333"/>
      <c r="AM383" s="333"/>
    </row>
    <row r="384" spans="2:39" s="316" customFormat="1" ht="26.25" hidden="1" customHeight="1" x14ac:dyDescent="0.2">
      <c r="B384" s="340" t="str">
        <f t="array" ref="B384">IF(ISERROR(INDEX('Eingabe Meldungen'!$C$2:$C$492,LARGE(('Eingabe Meldungen'!$A$2:$A$492=$B$372)*(ROW('Eingabe Meldungen'!$A$2:$A$492)-1),COUNTIF('Eingabe Meldungen'!$A$2:$A$492,$B$372)+1-ROW('Eingabe Meldungen'!A11)))),"",INDEX('Eingabe Meldungen'!$C$2:$C$492,LARGE(('Eingabe Meldungen'!$A$2:$A$492=$B$372)*(ROW('Eingabe Meldungen'!$A$2:$A$492)-1),COUNTIF('Eingabe Meldungen'!$A$2:$A$492,$B$372)+1-ROW('Eingabe Meldungen'!A11))))</f>
        <v/>
      </c>
      <c r="C384" s="316" t="str">
        <f t="array" ref="C384">IF(ISERROR(INDEX('Eingabe Meldungen'!$D$2:$D$492,LARGE(('Eingabe Meldungen'!$A$2:$A$492=$B$372)*(ROW('Eingabe Meldungen'!$A$2:$A$492)-1),COUNTIF('Eingabe Meldungen'!$A$2:$A$492,$B$372)+1-ROW('Eingabe Meldungen'!A11)))),"",INDEX('Eingabe Meldungen'!$D$2:$D$492,LARGE(('Eingabe Meldungen'!$A$2:$A$492=$B$372)*(ROW('Eingabe Meldungen'!$A$2:$A$492)-1),COUNTIF('Eingabe Meldungen'!$A$2:$A$492,$B$372)+1-ROW('Eingabe Meldungen'!A11))))</f>
        <v/>
      </c>
      <c r="D384" s="341" t="str">
        <f t="array" ref="D384">IF(B384&lt;&gt;"",INDEX('Eingabe Meldungen'!$C$2:$H$492,MATCH(B384&amp;C384,'Eingabe Meldungen'!$C$2:$C$492&amp;'Eingabe Meldungen'!$D$2:$D$492,0),6),"")</f>
        <v/>
      </c>
      <c r="E384" s="382" t="str">
        <f t="array" ref="E384">IF(B384&lt;&gt;"",INDEX('Eingabe Meldungen'!$C$2:$H$492,MATCH(B384&amp;C384,'Eingabe Meldungen'!$C$2:$C$492&amp;'Eingabe Meldungen'!$D$2:$D$492,0),4),"")</f>
        <v/>
      </c>
      <c r="F384" s="358" t="e">
        <f>IF(VLOOKUP(B384,Rennlisten!$B$265:$J$274,10,FALSE)=0,"",VLOOKUP(B384,Rennlisten!$B$265:$J$274,10,FALSE))</f>
        <v>#REF!</v>
      </c>
      <c r="G384" s="333" t="e">
        <f t="shared" si="43"/>
        <v>#REF!</v>
      </c>
      <c r="H384" s="343" t="str">
        <f t="array" ref="H384">IF(B384&lt;&gt;"",INDEX('Eingabe Meldungen'!$C$2:$J$492,MATCH(B384&amp;C384,'Eingabe Meldungen'!$C$2:$C$492&amp;'Eingabe Meldungen'!$D$2:$D$492,0),8),"")</f>
        <v/>
      </c>
      <c r="J384" s="357"/>
      <c r="K384" s="357"/>
      <c r="L384" s="357"/>
      <c r="M384" s="357"/>
      <c r="N384" s="357"/>
      <c r="O384" s="357"/>
      <c r="P384" s="357"/>
      <c r="Q384" s="357"/>
      <c r="R384" s="357"/>
      <c r="S384" s="357"/>
      <c r="T384" s="357"/>
      <c r="U384" s="357"/>
      <c r="V384" s="357"/>
      <c r="W384" s="357"/>
      <c r="X384" s="357"/>
      <c r="Y384" s="357"/>
      <c r="Z384" s="357"/>
      <c r="AA384" s="357"/>
      <c r="AB384" s="357"/>
      <c r="AC384" s="357"/>
      <c r="AD384" s="357"/>
      <c r="AE384" s="357"/>
      <c r="AF384" s="357"/>
      <c r="AG384" s="357"/>
      <c r="AH384" s="357"/>
      <c r="AI384" s="357"/>
      <c r="AJ384" s="333"/>
      <c r="AK384" s="333"/>
      <c r="AL384" s="333"/>
      <c r="AM384" s="333"/>
    </row>
    <row r="385" spans="2:39" s="316" customFormat="1" ht="26.25" hidden="1" customHeight="1" x14ac:dyDescent="0.2">
      <c r="B385" s="340" t="str">
        <f t="array" ref="B385">IF(ISERROR(INDEX('Eingabe Meldungen'!$C$2:$C$492,LARGE(('Eingabe Meldungen'!$A$2:$A$492=$B$372)*(ROW('Eingabe Meldungen'!$A$2:$A$492)-1),COUNTIF('Eingabe Meldungen'!$A$2:$A$492,$B$372)+1-ROW('Eingabe Meldungen'!A13)))),"",INDEX('Eingabe Meldungen'!$C$2:$C$492,LARGE(('Eingabe Meldungen'!$A$2:$A$492=$B$372)*(ROW('Eingabe Meldungen'!$A$2:$A$492)-1),COUNTIF('Eingabe Meldungen'!$A$2:$A$492,$B$372)+1-ROW('Eingabe Meldungen'!A13))))</f>
        <v/>
      </c>
      <c r="C385" s="316" t="str">
        <f t="array" ref="C385">IF(ISERROR(INDEX('Eingabe Meldungen'!$D$2:$D$492,LARGE(('Eingabe Meldungen'!$A$2:$A$492=$B$372)*(ROW('Eingabe Meldungen'!$A$2:$A$492)-1),COUNTIF('Eingabe Meldungen'!$A$2:$A$492,$B$372)+1-ROW('Eingabe Meldungen'!A13)))),"",INDEX('Eingabe Meldungen'!$D$2:$D$492,LARGE(('Eingabe Meldungen'!$A$2:$A$492=$B$372)*(ROW('Eingabe Meldungen'!$A$2:$A$492)-1),COUNTIF('Eingabe Meldungen'!$A$2:$A$492,$B$372)+1-ROW('Eingabe Meldungen'!A13))))</f>
        <v/>
      </c>
      <c r="D385" s="341" t="str">
        <f t="array" ref="D385">IF(B385&lt;&gt;"",INDEX('Eingabe Meldungen'!$C$2:$H$492,MATCH(B385&amp;C385,'Eingabe Meldungen'!$C$2:$C$492&amp;'Eingabe Meldungen'!$D$2:$D$492,0),6),"")</f>
        <v/>
      </c>
      <c r="E385" s="382" t="str">
        <f t="array" ref="E385">IF(B385&lt;&gt;"",INDEX('Eingabe Meldungen'!$C$2:$H$492,MATCH(B385&amp;C385,'Eingabe Meldungen'!$C$2:$C$492&amp;'Eingabe Meldungen'!$D$2:$D$492,0),4),"")</f>
        <v/>
      </c>
      <c r="F385" s="358" t="e">
        <f>IF(VLOOKUP(B385,Rennlisten!$B$265:$J$274,10,FALSE)=0,"",VLOOKUP(B385,Rennlisten!$B$265:$J$274,10,FALSE))</f>
        <v>#REF!</v>
      </c>
      <c r="G385" s="333" t="e">
        <f t="shared" si="42"/>
        <v>#REF!</v>
      </c>
      <c r="H385" s="343" t="str">
        <f t="array" ref="H385">IF(B385&lt;&gt;"",INDEX('Eingabe Meldungen'!$C$2:$J$492,MATCH(B385&amp;C385,'Eingabe Meldungen'!$C$2:$C$492&amp;'Eingabe Meldungen'!$D$2:$D$492,0),8),"")</f>
        <v/>
      </c>
      <c r="J385" s="357"/>
      <c r="K385" s="357"/>
      <c r="L385" s="357"/>
      <c r="M385" s="357"/>
      <c r="N385" s="357"/>
      <c r="O385" s="357"/>
      <c r="P385" s="357"/>
      <c r="Q385" s="357"/>
      <c r="R385" s="357"/>
      <c r="S385" s="357"/>
      <c r="T385" s="357"/>
      <c r="U385" s="357"/>
      <c r="V385" s="357"/>
      <c r="W385" s="357"/>
      <c r="X385" s="357"/>
      <c r="Y385" s="357"/>
      <c r="Z385" s="357"/>
      <c r="AA385" s="357"/>
      <c r="AB385" s="357"/>
      <c r="AC385" s="357"/>
      <c r="AD385" s="357"/>
      <c r="AE385" s="357"/>
      <c r="AF385" s="357"/>
      <c r="AG385" s="357"/>
      <c r="AH385" s="357"/>
      <c r="AI385" s="357"/>
      <c r="AJ385" s="333"/>
      <c r="AK385" s="333"/>
      <c r="AL385" s="333"/>
      <c r="AM385" s="333"/>
    </row>
    <row r="386" spans="2:39" s="316" customFormat="1" ht="26.25" hidden="1" customHeight="1" x14ac:dyDescent="0.2">
      <c r="B386" s="340" t="str">
        <f t="array" ref="B386">IF(ISERROR(INDEX('Eingabe Meldungen'!$C$2:$C$492,LARGE(('Eingabe Meldungen'!$A$2:$A$492=$B$372)*(ROW('Eingabe Meldungen'!$A$2:$A$492)-1),COUNTIF('Eingabe Meldungen'!$A$2:$A$492,$B$372)+1-ROW('Eingabe Meldungen'!A14)))),"",INDEX('Eingabe Meldungen'!$C$2:$C$492,LARGE(('Eingabe Meldungen'!$A$2:$A$492=$B$372)*(ROW('Eingabe Meldungen'!$A$2:$A$492)-1),COUNTIF('Eingabe Meldungen'!$A$2:$A$492,$B$372)+1-ROW('Eingabe Meldungen'!A14))))</f>
        <v/>
      </c>
      <c r="C386" s="316" t="str">
        <f t="array" ref="C386">IF(ISERROR(INDEX('Eingabe Meldungen'!$D$2:$D$492,LARGE(('Eingabe Meldungen'!$A$2:$A$492=$B$372)*(ROW('Eingabe Meldungen'!$A$2:$A$492)-1),COUNTIF('Eingabe Meldungen'!$A$2:$A$492,$B$372)+1-ROW('Eingabe Meldungen'!A14)))),"",INDEX('Eingabe Meldungen'!$D$2:$D$492,LARGE(('Eingabe Meldungen'!$A$2:$A$492=$B$372)*(ROW('Eingabe Meldungen'!$A$2:$A$492)-1),COUNTIF('Eingabe Meldungen'!$A$2:$A$492,$B$372)+1-ROW('Eingabe Meldungen'!A14))))</f>
        <v/>
      </c>
      <c r="D386" s="341" t="str">
        <f t="array" ref="D386">IF(B386&lt;&gt;"",INDEX('Eingabe Meldungen'!$C$2:$H$492,MATCH(B386&amp;C386,'Eingabe Meldungen'!$C$2:$C$492&amp;'Eingabe Meldungen'!$D$2:$D$492,0),6),"")</f>
        <v/>
      </c>
      <c r="E386" s="382" t="str">
        <f t="array" ref="E386">IF(B386&lt;&gt;"",INDEX('Eingabe Meldungen'!$C$2:$H$492,MATCH(B386&amp;C386,'Eingabe Meldungen'!$C$2:$C$492&amp;'Eingabe Meldungen'!$D$2:$D$492,0),4),"")</f>
        <v/>
      </c>
      <c r="F386" s="358" t="e">
        <f>IF(VLOOKUP(B386,Rennlisten!$B$265:$J$274,10,FALSE)=0,"",VLOOKUP(B386,Rennlisten!$B$265:$J$274,10,FALSE))</f>
        <v>#REF!</v>
      </c>
      <c r="G386" s="333" t="e">
        <f t="shared" si="42"/>
        <v>#REF!</v>
      </c>
      <c r="H386" s="343" t="str">
        <f t="array" ref="H386">IF(B386&lt;&gt;"",INDEX('Eingabe Meldungen'!$C$2:$J$492,MATCH(B386&amp;C386,'Eingabe Meldungen'!$C$2:$C$492&amp;'Eingabe Meldungen'!$D$2:$D$492,0),8),"")</f>
        <v/>
      </c>
      <c r="J386" s="357"/>
      <c r="K386" s="357"/>
      <c r="L386" s="357"/>
      <c r="M386" s="357"/>
      <c r="N386" s="357"/>
      <c r="O386" s="357"/>
      <c r="P386" s="357"/>
      <c r="Q386" s="357"/>
      <c r="R386" s="357"/>
      <c r="S386" s="357"/>
      <c r="T386" s="357"/>
      <c r="U386" s="357"/>
      <c r="V386" s="357"/>
      <c r="W386" s="357"/>
      <c r="X386" s="357"/>
      <c r="Y386" s="357"/>
      <c r="Z386" s="357"/>
      <c r="AA386" s="357"/>
      <c r="AB386" s="357"/>
      <c r="AC386" s="357"/>
      <c r="AD386" s="357"/>
      <c r="AE386" s="357"/>
      <c r="AF386" s="357"/>
      <c r="AG386" s="357"/>
      <c r="AH386" s="357"/>
      <c r="AI386" s="357"/>
      <c r="AJ386" s="333"/>
      <c r="AK386" s="333"/>
      <c r="AL386" s="333"/>
      <c r="AM386" s="333"/>
    </row>
    <row r="387" spans="2:39" s="316" customFormat="1" ht="26.25" hidden="1" customHeight="1" x14ac:dyDescent="0.2">
      <c r="B387" s="340" t="str">
        <f t="array" ref="B387">IF(ISERROR(INDEX('Eingabe Meldungen'!$C$2:$C$492,LARGE(('Eingabe Meldungen'!$A$2:$A$492=$B$372)*(ROW('Eingabe Meldungen'!$A$2:$A$492)-1),COUNTIF('Eingabe Meldungen'!$A$2:$A$492,$B$372)+1-ROW('Eingabe Meldungen'!A15)))),"",INDEX('Eingabe Meldungen'!$C$2:$C$492,LARGE(('Eingabe Meldungen'!$A$2:$A$492=$B$372)*(ROW('Eingabe Meldungen'!$A$2:$A$492)-1),COUNTIF('Eingabe Meldungen'!$A$2:$A$492,$B$372)+1-ROW('Eingabe Meldungen'!A15))))</f>
        <v/>
      </c>
      <c r="C387" s="316" t="str">
        <f t="array" ref="C387">IF(ISERROR(INDEX('Eingabe Meldungen'!$D$2:$D$492,LARGE(('Eingabe Meldungen'!$A$2:$A$492=$B$372)*(ROW('Eingabe Meldungen'!$A$2:$A$492)-1),COUNTIF('Eingabe Meldungen'!$A$2:$A$492,$B$372)+1-ROW('Eingabe Meldungen'!A15)))),"",INDEX('Eingabe Meldungen'!$D$2:$D$492,LARGE(('Eingabe Meldungen'!$A$2:$A$492=$B$372)*(ROW('Eingabe Meldungen'!$A$2:$A$492)-1),COUNTIF('Eingabe Meldungen'!$A$2:$A$492,$B$372)+1-ROW('Eingabe Meldungen'!A15))))</f>
        <v/>
      </c>
      <c r="D387" s="341" t="str">
        <f t="array" ref="D387">IF(B387&lt;&gt;"",INDEX('Eingabe Meldungen'!$C$2:$H$492,MATCH(B387&amp;C387,'Eingabe Meldungen'!$C$2:$C$492&amp;'Eingabe Meldungen'!$D$2:$D$492,0),6),"")</f>
        <v/>
      </c>
      <c r="E387" s="382" t="str">
        <f t="array" ref="E387">IF(B387&lt;&gt;"",INDEX('Eingabe Meldungen'!$C$2:$H$492,MATCH(B387&amp;C387,'Eingabe Meldungen'!$C$2:$C$492&amp;'Eingabe Meldungen'!$D$2:$D$492,0),4),"")</f>
        <v/>
      </c>
      <c r="F387" s="358" t="e">
        <f>IF(VLOOKUP(B387,Rennlisten!$B$265:$J$274,10,FALSE)=0,"",VLOOKUP(B387,Rennlisten!$B$265:$J$274,10,FALSE))</f>
        <v>#REF!</v>
      </c>
      <c r="G387" s="333" t="e">
        <f t="shared" si="42"/>
        <v>#REF!</v>
      </c>
      <c r="H387" s="343" t="str">
        <f t="array" ref="H387">IF(B387&lt;&gt;"",INDEX('Eingabe Meldungen'!$C$2:$J$492,MATCH(B387&amp;C387,'Eingabe Meldungen'!$C$2:$C$492&amp;'Eingabe Meldungen'!$D$2:$D$492,0),8),"")</f>
        <v/>
      </c>
      <c r="J387" s="357"/>
      <c r="K387" s="357"/>
      <c r="L387" s="357"/>
      <c r="M387" s="357"/>
      <c r="N387" s="357"/>
      <c r="O387" s="357"/>
      <c r="P387" s="357"/>
      <c r="Q387" s="357"/>
      <c r="R387" s="357"/>
      <c r="S387" s="357"/>
      <c r="T387" s="357"/>
      <c r="U387" s="357"/>
      <c r="V387" s="357"/>
      <c r="W387" s="357"/>
      <c r="X387" s="357"/>
      <c r="Y387" s="357"/>
      <c r="Z387" s="357"/>
      <c r="AA387" s="357"/>
      <c r="AB387" s="357"/>
      <c r="AC387" s="357"/>
      <c r="AD387" s="357"/>
      <c r="AE387" s="357"/>
      <c r="AF387" s="357"/>
      <c r="AG387" s="357"/>
      <c r="AH387" s="357"/>
      <c r="AI387" s="357"/>
      <c r="AJ387" s="333"/>
      <c r="AK387" s="333"/>
      <c r="AL387" s="333"/>
      <c r="AM387" s="333"/>
    </row>
    <row r="388" spans="2:39" s="316" customFormat="1" ht="26.25" hidden="1" customHeight="1" x14ac:dyDescent="0.2">
      <c r="B388" s="340" t="str">
        <f t="array" ref="B388">IF(ISERROR(INDEX('Eingabe Meldungen'!$C$2:$C$492,LARGE(('Eingabe Meldungen'!$A$2:$A$492=$B$372)*(ROW('Eingabe Meldungen'!$A$2:$A$492)-1),COUNTIF('Eingabe Meldungen'!$A$2:$A$492,$B$372)+1-ROW('Eingabe Meldungen'!A16)))),"",INDEX('Eingabe Meldungen'!$C$2:$C$492,LARGE(('Eingabe Meldungen'!$A$2:$A$492=$B$372)*(ROW('Eingabe Meldungen'!$A$2:$A$492)-1),COUNTIF('Eingabe Meldungen'!$A$2:$A$492,$B$372)+1-ROW('Eingabe Meldungen'!A16))))</f>
        <v/>
      </c>
      <c r="C388" s="316" t="str">
        <f t="array" ref="C388">IF(ISERROR(INDEX('Eingabe Meldungen'!$D$2:$D$492,LARGE(('Eingabe Meldungen'!$A$2:$A$492=$B$372)*(ROW('Eingabe Meldungen'!$A$2:$A$492)-1),COUNTIF('Eingabe Meldungen'!$A$2:$A$492,$B$372)+1-ROW('Eingabe Meldungen'!A16)))),"",INDEX('Eingabe Meldungen'!$D$2:$D$492,LARGE(('Eingabe Meldungen'!$A$2:$A$492=$B$372)*(ROW('Eingabe Meldungen'!$A$2:$A$492)-1),COUNTIF('Eingabe Meldungen'!$A$2:$A$492,$B$372)+1-ROW('Eingabe Meldungen'!A16))))</f>
        <v/>
      </c>
      <c r="D388" s="341" t="str">
        <f t="array" ref="D388">IF(B388&lt;&gt;"",INDEX('Eingabe Meldungen'!$C$2:$H$492,MATCH(B388&amp;C388,'Eingabe Meldungen'!$C$2:$C$492&amp;'Eingabe Meldungen'!$D$2:$D$492,0),6),"")</f>
        <v/>
      </c>
      <c r="E388" s="382" t="str">
        <f t="array" ref="E388">IF(B388&lt;&gt;"",INDEX('Eingabe Meldungen'!$C$2:$H$492,MATCH(B388&amp;C388,'Eingabe Meldungen'!$C$2:$C$492&amp;'Eingabe Meldungen'!$D$2:$D$492,0),4),"")</f>
        <v/>
      </c>
      <c r="F388" s="358" t="e">
        <f>IF(VLOOKUP(B388,Rennlisten!$B$265:$J$274,10,FALSE)=0,"",VLOOKUP(B388,Rennlisten!$B$265:$J$274,10,FALSE))</f>
        <v>#REF!</v>
      </c>
      <c r="G388" s="333" t="e">
        <f t="shared" si="42"/>
        <v>#REF!</v>
      </c>
      <c r="H388" s="343" t="str">
        <f t="array" ref="H388">IF(B388&lt;&gt;"",INDEX('Eingabe Meldungen'!$C$2:$J$492,MATCH(B388&amp;C388,'Eingabe Meldungen'!$C$2:$C$492&amp;'Eingabe Meldungen'!$D$2:$D$492,0),8),"")</f>
        <v/>
      </c>
      <c r="J388" s="357"/>
      <c r="K388" s="357"/>
      <c r="L388" s="357"/>
      <c r="M388" s="357"/>
      <c r="N388" s="357"/>
      <c r="O388" s="357"/>
      <c r="P388" s="357"/>
      <c r="Q388" s="357"/>
      <c r="R388" s="357"/>
      <c r="S388" s="357"/>
      <c r="T388" s="357"/>
      <c r="U388" s="357"/>
      <c r="V388" s="357"/>
      <c r="W388" s="357"/>
      <c r="X388" s="357"/>
      <c r="Y388" s="357"/>
      <c r="Z388" s="357"/>
      <c r="AA388" s="357"/>
      <c r="AB388" s="357"/>
      <c r="AC388" s="357"/>
      <c r="AD388" s="357"/>
      <c r="AE388" s="357"/>
      <c r="AF388" s="357"/>
      <c r="AG388" s="357"/>
      <c r="AH388" s="357"/>
      <c r="AI388" s="357"/>
      <c r="AJ388" s="333"/>
      <c r="AK388" s="333"/>
      <c r="AL388" s="333"/>
      <c r="AM388" s="333"/>
    </row>
    <row r="389" spans="2:39" s="316" customFormat="1" ht="26.25" hidden="1" customHeight="1" x14ac:dyDescent="0.2">
      <c r="B389" s="340" t="str">
        <f t="array" ref="B389">IF(ISERROR(INDEX('Eingabe Meldungen'!$C$2:$C$492,LARGE(('Eingabe Meldungen'!$A$2:$A$492=$B$372)*(ROW('Eingabe Meldungen'!$A$2:$A$492)-1),COUNTIF('Eingabe Meldungen'!$A$2:$A$492,$B$372)+1-ROW('Eingabe Meldungen'!A17)))),"",INDEX('Eingabe Meldungen'!$C$2:$C$492,LARGE(('Eingabe Meldungen'!$A$2:$A$492=$B$372)*(ROW('Eingabe Meldungen'!$A$2:$A$492)-1),COUNTIF('Eingabe Meldungen'!$A$2:$A$492,$B$372)+1-ROW('Eingabe Meldungen'!A17))))</f>
        <v/>
      </c>
      <c r="C389" s="316" t="str">
        <f t="array" ref="C389">IF(ISERROR(INDEX('Eingabe Meldungen'!$D$2:$D$492,LARGE(('Eingabe Meldungen'!$A$2:$A$492=$B$372)*(ROW('Eingabe Meldungen'!$A$2:$A$492)-1),COUNTIF('Eingabe Meldungen'!$A$2:$A$492,$B$372)+1-ROW('Eingabe Meldungen'!A17)))),"",INDEX('Eingabe Meldungen'!$D$2:$D$492,LARGE(('Eingabe Meldungen'!$A$2:$A$492=$B$372)*(ROW('Eingabe Meldungen'!$A$2:$A$492)-1),COUNTIF('Eingabe Meldungen'!$A$2:$A$492,$B$372)+1-ROW('Eingabe Meldungen'!A17))))</f>
        <v/>
      </c>
      <c r="D389" s="341" t="str">
        <f t="array" ref="D389">IF(B389&lt;&gt;"",INDEX('Eingabe Meldungen'!$C$2:$H$492,MATCH(B389&amp;C389,'Eingabe Meldungen'!$C$2:$C$492&amp;'Eingabe Meldungen'!$D$2:$D$492,0),6),"")</f>
        <v/>
      </c>
      <c r="E389" s="382" t="str">
        <f t="array" ref="E389">IF(B389&lt;&gt;"",INDEX('Eingabe Meldungen'!$C$2:$H$492,MATCH(B389&amp;C389,'Eingabe Meldungen'!$C$2:$C$492&amp;'Eingabe Meldungen'!$D$2:$D$492,0),4),"")</f>
        <v/>
      </c>
      <c r="F389" s="358" t="e">
        <f>IF(VLOOKUP(B389,Rennlisten!$B$265:$J$274,10,FALSE)=0,"",VLOOKUP(B389,Rennlisten!$B$265:$J$274,10,FALSE))</f>
        <v>#REF!</v>
      </c>
      <c r="G389" s="333" t="e">
        <f t="shared" si="42"/>
        <v>#REF!</v>
      </c>
      <c r="H389" s="343" t="str">
        <f t="array" ref="H389">IF(B389&lt;&gt;"",INDEX('Eingabe Meldungen'!$C$2:$J$492,MATCH(B389&amp;C389,'Eingabe Meldungen'!$C$2:$C$492&amp;'Eingabe Meldungen'!$D$2:$D$492,0),8),"")</f>
        <v/>
      </c>
      <c r="J389" s="357"/>
      <c r="K389" s="357"/>
      <c r="L389" s="357"/>
      <c r="M389" s="357"/>
      <c r="N389" s="357"/>
      <c r="O389" s="357"/>
      <c r="P389" s="357"/>
      <c r="Q389" s="357"/>
      <c r="R389" s="357"/>
      <c r="S389" s="357"/>
      <c r="T389" s="357"/>
      <c r="U389" s="357"/>
      <c r="V389" s="357"/>
      <c r="W389" s="357"/>
      <c r="X389" s="357"/>
      <c r="Y389" s="357"/>
      <c r="Z389" s="357"/>
      <c r="AA389" s="357"/>
      <c r="AB389" s="357"/>
      <c r="AC389" s="357"/>
      <c r="AD389" s="357"/>
      <c r="AE389" s="357"/>
      <c r="AF389" s="357"/>
      <c r="AG389" s="357"/>
      <c r="AH389" s="357"/>
      <c r="AI389" s="357"/>
      <c r="AJ389" s="333"/>
      <c r="AK389" s="333"/>
      <c r="AL389" s="333"/>
      <c r="AM389" s="333"/>
    </row>
    <row r="390" spans="2:39" s="316" customFormat="1" ht="26.25" hidden="1" customHeight="1" x14ac:dyDescent="0.2">
      <c r="B390" s="340" t="str">
        <f t="array" ref="B390">IF(ISERROR(INDEX('Eingabe Meldungen'!$C$2:$C$492,LARGE(('Eingabe Meldungen'!$A$2:$A$492=$B$372)*(ROW('Eingabe Meldungen'!$A$2:$A$492)-1),COUNTIF('Eingabe Meldungen'!$A$2:$A$492,$B$372)+1-ROW('Eingabe Meldungen'!A18)))),"",INDEX('Eingabe Meldungen'!$C$2:$C$492,LARGE(('Eingabe Meldungen'!$A$2:$A$492=$B$372)*(ROW('Eingabe Meldungen'!$A$2:$A$492)-1),COUNTIF('Eingabe Meldungen'!$A$2:$A$492,$B$372)+1-ROW('Eingabe Meldungen'!A18))))</f>
        <v/>
      </c>
      <c r="C390" s="316" t="str">
        <f t="array" ref="C390">IF(ISERROR(INDEX('Eingabe Meldungen'!$D$2:$D$492,LARGE(('Eingabe Meldungen'!$A$2:$A$492=$B$372)*(ROW('Eingabe Meldungen'!$A$2:$A$492)-1),COUNTIF('Eingabe Meldungen'!$A$2:$A$492,$B$372)+1-ROW('Eingabe Meldungen'!A18)))),"",INDEX('Eingabe Meldungen'!$D$2:$D$492,LARGE(('Eingabe Meldungen'!$A$2:$A$492=$B$372)*(ROW('Eingabe Meldungen'!$A$2:$A$492)-1),COUNTIF('Eingabe Meldungen'!$A$2:$A$492,$B$372)+1-ROW('Eingabe Meldungen'!A18))))</f>
        <v/>
      </c>
      <c r="D390" s="341" t="str">
        <f t="array" ref="D390">IF(B390&lt;&gt;"",INDEX('Eingabe Meldungen'!$C$2:$H$492,MATCH(B390&amp;C390,'Eingabe Meldungen'!$C$2:$C$492&amp;'Eingabe Meldungen'!$D$2:$D$492,0),6),"")</f>
        <v/>
      </c>
      <c r="E390" s="382" t="str">
        <f t="array" ref="E390">IF(B390&lt;&gt;"",INDEX('Eingabe Meldungen'!$C$2:$H$492,MATCH(B390&amp;C390,'Eingabe Meldungen'!$C$2:$C$492&amp;'Eingabe Meldungen'!$D$2:$D$492,0),4),"")</f>
        <v/>
      </c>
      <c r="F390" s="358" t="e">
        <f>IF(VLOOKUP(B390,Rennlisten!$B$265:$J$274,10,FALSE)=0,"",VLOOKUP(B390,Rennlisten!$B$265:$J$274,10,FALSE))</f>
        <v>#REF!</v>
      </c>
      <c r="G390" s="333" t="e">
        <f t="shared" si="42"/>
        <v>#REF!</v>
      </c>
      <c r="H390" s="343" t="str">
        <f t="array" ref="H390">IF(B390&lt;&gt;"",INDEX('Eingabe Meldungen'!$C$2:$J$492,MATCH(B390&amp;C390,'Eingabe Meldungen'!$C$2:$C$492&amp;'Eingabe Meldungen'!$D$2:$D$492,0),8),"")</f>
        <v/>
      </c>
      <c r="J390" s="357"/>
      <c r="K390" s="357"/>
      <c r="L390" s="357"/>
      <c r="M390" s="357"/>
      <c r="N390" s="357"/>
      <c r="O390" s="357"/>
      <c r="P390" s="357"/>
      <c r="Q390" s="357"/>
      <c r="R390" s="357"/>
      <c r="S390" s="357"/>
      <c r="T390" s="357"/>
      <c r="U390" s="357"/>
      <c r="V390" s="357"/>
      <c r="W390" s="357"/>
      <c r="X390" s="357"/>
      <c r="Y390" s="357"/>
      <c r="Z390" s="357"/>
      <c r="AA390" s="357"/>
      <c r="AB390" s="357"/>
      <c r="AC390" s="357"/>
      <c r="AD390" s="357"/>
      <c r="AE390" s="357"/>
      <c r="AF390" s="357"/>
      <c r="AG390" s="357"/>
      <c r="AH390" s="357"/>
      <c r="AI390" s="357"/>
      <c r="AJ390" s="333"/>
      <c r="AK390" s="333"/>
      <c r="AL390" s="333"/>
      <c r="AM390" s="333"/>
    </row>
    <row r="391" spans="2:39" s="316" customFormat="1" ht="26.25" hidden="1" customHeight="1" x14ac:dyDescent="0.2">
      <c r="B391" s="340" t="str">
        <f t="array" ref="B391">IF(ISERROR(INDEX('Eingabe Meldungen'!$C$2:$C$492,LARGE(('Eingabe Meldungen'!$A$2:$A$492=$B$372)*(ROW('Eingabe Meldungen'!$A$2:$A$492)-1),COUNTIF('Eingabe Meldungen'!$A$2:$A$492,$B$372)+1-ROW('Eingabe Meldungen'!A19)))),"",INDEX('Eingabe Meldungen'!$C$2:$C$492,LARGE(('Eingabe Meldungen'!$A$2:$A$492=$B$372)*(ROW('Eingabe Meldungen'!$A$2:$A$492)-1),COUNTIF('Eingabe Meldungen'!$A$2:$A$492,$B$372)+1-ROW('Eingabe Meldungen'!A19))))</f>
        <v/>
      </c>
      <c r="C391" s="316" t="str">
        <f t="array" ref="C391">IF(ISERROR(INDEX('Eingabe Meldungen'!$D$2:$D$492,LARGE(('Eingabe Meldungen'!$A$2:$A$492=$B$372)*(ROW('Eingabe Meldungen'!$A$2:$A$492)-1),COUNTIF('Eingabe Meldungen'!$A$2:$A$492,$B$372)+1-ROW('Eingabe Meldungen'!A19)))),"",INDEX('Eingabe Meldungen'!$D$2:$D$492,LARGE(('Eingabe Meldungen'!$A$2:$A$492=$B$372)*(ROW('Eingabe Meldungen'!$A$2:$A$492)-1),COUNTIF('Eingabe Meldungen'!$A$2:$A$492,$B$372)+1-ROW('Eingabe Meldungen'!A19))))</f>
        <v/>
      </c>
      <c r="D391" s="341" t="str">
        <f t="array" ref="D391">IF(B391&lt;&gt;"",INDEX('Eingabe Meldungen'!$C$2:$H$492,MATCH(B391&amp;C391,'Eingabe Meldungen'!$C$2:$C$492&amp;'Eingabe Meldungen'!$D$2:$D$492,0),6),"")</f>
        <v/>
      </c>
      <c r="E391" s="382" t="str">
        <f t="array" ref="E391">IF(B391&lt;&gt;"",INDEX('Eingabe Meldungen'!$C$2:$H$492,MATCH(B391&amp;C391,'Eingabe Meldungen'!$C$2:$C$492&amp;'Eingabe Meldungen'!$D$2:$D$492,0),4),"")</f>
        <v/>
      </c>
      <c r="F391" s="358" t="e">
        <f>IF(VLOOKUP(B391,Rennlisten!$B$265:$J$274,10,FALSE)=0,"",VLOOKUP(B391,Rennlisten!$B$265:$J$274,10,FALSE))</f>
        <v>#REF!</v>
      </c>
      <c r="G391" s="333" t="e">
        <f t="shared" si="42"/>
        <v>#REF!</v>
      </c>
      <c r="H391" s="343" t="str">
        <f t="array" ref="H391">IF(B391&lt;&gt;"",INDEX('Eingabe Meldungen'!$C$2:$J$492,MATCH(B391&amp;C391,'Eingabe Meldungen'!$C$2:$C$492&amp;'Eingabe Meldungen'!$D$2:$D$492,0),8),"")</f>
        <v/>
      </c>
      <c r="J391" s="357"/>
      <c r="K391" s="357"/>
      <c r="L391" s="357"/>
      <c r="M391" s="357"/>
      <c r="N391" s="357"/>
      <c r="O391" s="357"/>
      <c r="P391" s="357"/>
      <c r="Q391" s="357"/>
      <c r="R391" s="357"/>
      <c r="S391" s="357"/>
      <c r="T391" s="357"/>
      <c r="U391" s="357"/>
      <c r="V391" s="357"/>
      <c r="W391" s="357"/>
      <c r="X391" s="357"/>
      <c r="Y391" s="357"/>
      <c r="Z391" s="357"/>
      <c r="AA391" s="357"/>
      <c r="AB391" s="357"/>
      <c r="AC391" s="357"/>
      <c r="AD391" s="357"/>
      <c r="AE391" s="357"/>
      <c r="AF391" s="357"/>
      <c r="AG391" s="357"/>
      <c r="AH391" s="357"/>
      <c r="AI391" s="357"/>
      <c r="AJ391" s="333"/>
      <c r="AK391" s="333"/>
      <c r="AL391" s="333"/>
      <c r="AM391" s="333"/>
    </row>
    <row r="392" spans="2:39" s="316" customFormat="1" ht="26.25" hidden="1" customHeight="1" x14ac:dyDescent="0.2">
      <c r="B392" s="340" t="str">
        <f t="array" ref="B392">IF(ISERROR(INDEX('Eingabe Meldungen'!$C$2:$C$492,LARGE(('Eingabe Meldungen'!$A$2:$A$492=$B$372)*(ROW('Eingabe Meldungen'!$A$2:$A$492)-1),COUNTIF('Eingabe Meldungen'!$A$2:$A$492,$B$372)+1-ROW('Eingabe Meldungen'!A20)))),"",INDEX('Eingabe Meldungen'!$C$2:$C$492,LARGE(('Eingabe Meldungen'!$A$2:$A$492=$B$372)*(ROW('Eingabe Meldungen'!$A$2:$A$492)-1),COUNTIF('Eingabe Meldungen'!$A$2:$A$492,$B$372)+1-ROW('Eingabe Meldungen'!A20))))</f>
        <v/>
      </c>
      <c r="C392" s="316" t="str">
        <f t="array" ref="C392">IF(ISERROR(INDEX('Eingabe Meldungen'!$D$2:$D$492,LARGE(('Eingabe Meldungen'!$A$2:$A$492=$B$372)*(ROW('Eingabe Meldungen'!$A$2:$A$492)-1),COUNTIF('Eingabe Meldungen'!$A$2:$A$492,$B$372)+1-ROW('Eingabe Meldungen'!A20)))),"",INDEX('Eingabe Meldungen'!$D$2:$D$492,LARGE(('Eingabe Meldungen'!$A$2:$A$492=$B$372)*(ROW('Eingabe Meldungen'!$A$2:$A$492)-1),COUNTIF('Eingabe Meldungen'!$A$2:$A$492,$B$372)+1-ROW('Eingabe Meldungen'!A20))))</f>
        <v/>
      </c>
      <c r="D392" s="341" t="str">
        <f t="array" ref="D392">IF(B392&lt;&gt;"",INDEX('Eingabe Meldungen'!$C$2:$H$492,MATCH(B392&amp;C392,'Eingabe Meldungen'!$C$2:$C$492&amp;'Eingabe Meldungen'!$D$2:$D$492,0),6),"")</f>
        <v/>
      </c>
      <c r="E392" s="382" t="str">
        <f t="array" ref="E392">IF(B392&lt;&gt;"",INDEX('Eingabe Meldungen'!$C$2:$H$492,MATCH(B392&amp;C392,'Eingabe Meldungen'!$C$2:$C$492&amp;'Eingabe Meldungen'!$D$2:$D$492,0),4),"")</f>
        <v/>
      </c>
      <c r="F392" s="358" t="e">
        <f>IF(VLOOKUP(B392,Rennlisten!$B$265:$J$274,10,FALSE)=0,"",VLOOKUP(B392,Rennlisten!$B$265:$J$274,10,FALSE))</f>
        <v>#REF!</v>
      </c>
      <c r="G392" s="333" t="e">
        <f t="shared" si="42"/>
        <v>#REF!</v>
      </c>
      <c r="H392" s="343" t="str">
        <f t="array" ref="H392">IF(B392&lt;&gt;"",INDEX('Eingabe Meldungen'!$C$2:$J$492,MATCH(B392&amp;C392,'Eingabe Meldungen'!$C$2:$C$492&amp;'Eingabe Meldungen'!$D$2:$D$492,0),8),"")</f>
        <v/>
      </c>
      <c r="J392" s="357"/>
      <c r="K392" s="357"/>
      <c r="L392" s="357"/>
      <c r="M392" s="357"/>
      <c r="N392" s="357"/>
      <c r="O392" s="357"/>
      <c r="P392" s="357"/>
      <c r="Q392" s="357"/>
      <c r="R392" s="357"/>
      <c r="S392" s="357"/>
      <c r="T392" s="357"/>
      <c r="U392" s="357"/>
      <c r="V392" s="357"/>
      <c r="W392" s="357"/>
      <c r="X392" s="357"/>
      <c r="Y392" s="357"/>
      <c r="Z392" s="357"/>
      <c r="AA392" s="357"/>
      <c r="AB392" s="357"/>
      <c r="AC392" s="357"/>
      <c r="AD392" s="357"/>
      <c r="AE392" s="357"/>
      <c r="AF392" s="357"/>
      <c r="AG392" s="357"/>
      <c r="AH392" s="357"/>
      <c r="AI392" s="357"/>
      <c r="AJ392" s="333"/>
      <c r="AK392" s="333"/>
      <c r="AL392" s="333"/>
      <c r="AM392" s="333"/>
    </row>
    <row r="393" spans="2:39" s="316" customFormat="1" ht="26.25" hidden="1" customHeight="1" x14ac:dyDescent="0.2">
      <c r="B393" s="340" t="str">
        <f t="array" ref="B393">IF(ISERROR(INDEX('Eingabe Meldungen'!$C$2:$C$492,LARGE(('Eingabe Meldungen'!$A$2:$A$492=$B$372)*(ROW('Eingabe Meldungen'!$A$2:$A$492)-1),COUNTIF('Eingabe Meldungen'!$A$2:$A$492,$B$372)+1-ROW('Eingabe Meldungen'!A21)))),"",INDEX('Eingabe Meldungen'!$C$2:$C$492,LARGE(('Eingabe Meldungen'!$A$2:$A$492=$B$372)*(ROW('Eingabe Meldungen'!$A$2:$A$492)-1),COUNTIF('Eingabe Meldungen'!$A$2:$A$492,$B$372)+1-ROW('Eingabe Meldungen'!A21))))</f>
        <v/>
      </c>
      <c r="C393" s="316" t="str">
        <f t="array" ref="C393">IF(ISERROR(INDEX('Eingabe Meldungen'!$D$2:$D$492,LARGE(('Eingabe Meldungen'!$A$2:$A$492=$B$372)*(ROW('Eingabe Meldungen'!$A$2:$A$492)-1),COUNTIF('Eingabe Meldungen'!$A$2:$A$492,$B$372)+1-ROW('Eingabe Meldungen'!A21)))),"",INDEX('Eingabe Meldungen'!$D$2:$D$492,LARGE(('Eingabe Meldungen'!$A$2:$A$492=$B$372)*(ROW('Eingabe Meldungen'!$A$2:$A$492)-1),COUNTIF('Eingabe Meldungen'!$A$2:$A$492,$B$372)+1-ROW('Eingabe Meldungen'!A21))))</f>
        <v/>
      </c>
      <c r="D393" s="341" t="str">
        <f t="array" ref="D393">IF(B393&lt;&gt;"",INDEX('Eingabe Meldungen'!$C$2:$H$492,MATCH(B393&amp;C393,'Eingabe Meldungen'!$C$2:$C$492&amp;'Eingabe Meldungen'!$D$2:$D$492,0),6),"")</f>
        <v/>
      </c>
      <c r="E393" s="382" t="str">
        <f t="array" ref="E393">IF(B393&lt;&gt;"",INDEX('Eingabe Meldungen'!$C$2:$H$492,MATCH(B393&amp;C393,'Eingabe Meldungen'!$C$2:$C$492&amp;'Eingabe Meldungen'!$D$2:$D$492,0),4),"")</f>
        <v/>
      </c>
      <c r="F393" s="358" t="e">
        <f>IF(VLOOKUP(B393,Rennlisten!$B$265:$J$274,10,FALSE)=0,"",VLOOKUP(B393,Rennlisten!$B$265:$J$274,10,FALSE))</f>
        <v>#REF!</v>
      </c>
      <c r="G393" s="333" t="e">
        <f t="shared" si="42"/>
        <v>#REF!</v>
      </c>
      <c r="H393" s="343" t="str">
        <f t="array" ref="H393">IF(B393&lt;&gt;"",INDEX('Eingabe Meldungen'!$C$2:$J$492,MATCH(B393&amp;C393,'Eingabe Meldungen'!$C$2:$C$492&amp;'Eingabe Meldungen'!$D$2:$D$492,0),8),"")</f>
        <v/>
      </c>
      <c r="J393" s="357"/>
      <c r="K393" s="357"/>
      <c r="L393" s="357"/>
      <c r="M393" s="357"/>
      <c r="N393" s="357"/>
      <c r="O393" s="357"/>
      <c r="P393" s="357"/>
      <c r="Q393" s="357"/>
      <c r="R393" s="357"/>
      <c r="S393" s="357"/>
      <c r="T393" s="357"/>
      <c r="U393" s="357"/>
      <c r="V393" s="357"/>
      <c r="W393" s="357"/>
      <c r="X393" s="357"/>
      <c r="Y393" s="357"/>
      <c r="Z393" s="357"/>
      <c r="AA393" s="357"/>
      <c r="AB393" s="357"/>
      <c r="AC393" s="357"/>
      <c r="AD393" s="357"/>
      <c r="AE393" s="357"/>
      <c r="AF393" s="357"/>
      <c r="AG393" s="357"/>
      <c r="AH393" s="357"/>
      <c r="AI393" s="357"/>
      <c r="AJ393" s="333"/>
      <c r="AK393" s="333"/>
      <c r="AL393" s="333"/>
      <c r="AM393" s="333"/>
    </row>
    <row r="394" spans="2:39" s="316" customFormat="1" ht="26.25" hidden="1" customHeight="1" x14ac:dyDescent="0.2">
      <c r="B394" s="340" t="str">
        <f t="array" ref="B394">IF(ISERROR(INDEX('Eingabe Meldungen'!$C$2:$C$492,LARGE(('Eingabe Meldungen'!$A$2:$A$492=$B$372)*(ROW('Eingabe Meldungen'!$A$2:$A$492)-1),COUNTIF('Eingabe Meldungen'!$A$2:$A$492,$B$372)+1-ROW('Eingabe Meldungen'!A22)))),"",INDEX('Eingabe Meldungen'!$C$2:$C$492,LARGE(('Eingabe Meldungen'!$A$2:$A$492=$B$372)*(ROW('Eingabe Meldungen'!$A$2:$A$492)-1),COUNTIF('Eingabe Meldungen'!$A$2:$A$492,$B$372)+1-ROW('Eingabe Meldungen'!A22))))</f>
        <v/>
      </c>
      <c r="C394" s="316" t="str">
        <f t="array" ref="C394">IF(ISERROR(INDEX('Eingabe Meldungen'!$D$2:$D$492,LARGE(('Eingabe Meldungen'!$A$2:$A$492=$B$372)*(ROW('Eingabe Meldungen'!$A$2:$A$492)-1),COUNTIF('Eingabe Meldungen'!$A$2:$A$492,$B$372)+1-ROW('Eingabe Meldungen'!A22)))),"",INDEX('Eingabe Meldungen'!$D$2:$D$492,LARGE(('Eingabe Meldungen'!$A$2:$A$492=$B$372)*(ROW('Eingabe Meldungen'!$A$2:$A$492)-1),COUNTIF('Eingabe Meldungen'!$A$2:$A$492,$B$372)+1-ROW('Eingabe Meldungen'!A22))))</f>
        <v/>
      </c>
      <c r="D394" s="341" t="str">
        <f t="array" ref="D394">IF(B394&lt;&gt;"",INDEX('Eingabe Meldungen'!$C$2:$H$492,MATCH(B394&amp;C394,'Eingabe Meldungen'!$C$2:$C$492&amp;'Eingabe Meldungen'!$D$2:$D$492,0),6),"")</f>
        <v/>
      </c>
      <c r="E394" s="382" t="str">
        <f t="array" ref="E394">IF(B394&lt;&gt;"",INDEX('Eingabe Meldungen'!$C$2:$H$492,MATCH(B394&amp;C394,'Eingabe Meldungen'!$C$2:$C$492&amp;'Eingabe Meldungen'!$D$2:$D$492,0),4),"")</f>
        <v/>
      </c>
      <c r="F394" s="358" t="e">
        <f>IF(VLOOKUP(B394,Rennlisten!$B$265:$J$274,10,FALSE)=0,"",VLOOKUP(B394,Rennlisten!$B$265:$J$274,10,FALSE))</f>
        <v>#REF!</v>
      </c>
      <c r="G394" s="333" t="e">
        <f t="shared" si="42"/>
        <v>#REF!</v>
      </c>
      <c r="H394" s="343" t="str">
        <f t="array" ref="H394">IF(B394&lt;&gt;"",INDEX('Eingabe Meldungen'!$C$2:$J$492,MATCH(B394&amp;C394,'Eingabe Meldungen'!$C$2:$C$492&amp;'Eingabe Meldungen'!$D$2:$D$492,0),8),"")</f>
        <v/>
      </c>
      <c r="J394" s="357"/>
      <c r="K394" s="357"/>
      <c r="L394" s="357"/>
      <c r="M394" s="357"/>
      <c r="N394" s="357"/>
      <c r="O394" s="357"/>
      <c r="P394" s="357"/>
      <c r="Q394" s="357"/>
      <c r="R394" s="357"/>
      <c r="S394" s="357"/>
      <c r="T394" s="357"/>
      <c r="U394" s="357"/>
      <c r="V394" s="357"/>
      <c r="W394" s="357"/>
      <c r="X394" s="357"/>
      <c r="Y394" s="357"/>
      <c r="Z394" s="357"/>
      <c r="AA394" s="357"/>
      <c r="AB394" s="357"/>
      <c r="AC394" s="357"/>
      <c r="AD394" s="357"/>
      <c r="AE394" s="357"/>
      <c r="AF394" s="357"/>
      <c r="AG394" s="357"/>
      <c r="AH394" s="357"/>
      <c r="AI394" s="357"/>
      <c r="AJ394" s="333"/>
      <c r="AK394" s="333"/>
      <c r="AL394" s="333"/>
      <c r="AM394" s="333"/>
    </row>
    <row r="395" spans="2:39" s="316" customFormat="1" ht="26.25" hidden="1" customHeight="1" x14ac:dyDescent="0.2">
      <c r="B395" s="340" t="str">
        <f t="array" ref="B395">IF(ISERROR(INDEX('Eingabe Meldungen'!$C$2:$C$492,LARGE(('Eingabe Meldungen'!$A$2:$A$492=$B$372)*(ROW('Eingabe Meldungen'!$A$2:$A$492)-1),COUNTIF('Eingabe Meldungen'!$A$2:$A$492,$B$372)+1-ROW('Eingabe Meldungen'!A23)))),"",INDEX('Eingabe Meldungen'!$C$2:$C$492,LARGE(('Eingabe Meldungen'!$A$2:$A$492=$B$372)*(ROW('Eingabe Meldungen'!$A$2:$A$492)-1),COUNTIF('Eingabe Meldungen'!$A$2:$A$492,$B$372)+1-ROW('Eingabe Meldungen'!A23))))</f>
        <v/>
      </c>
      <c r="C395" s="316" t="str">
        <f t="array" ref="C395">IF(ISERROR(INDEX('Eingabe Meldungen'!$D$2:$D$492,LARGE(('Eingabe Meldungen'!$A$2:$A$492=$B$372)*(ROW('Eingabe Meldungen'!$A$2:$A$492)-1),COUNTIF('Eingabe Meldungen'!$A$2:$A$492,$B$372)+1-ROW('Eingabe Meldungen'!A23)))),"",INDEX('Eingabe Meldungen'!$D$2:$D$492,LARGE(('Eingabe Meldungen'!$A$2:$A$492=$B$372)*(ROW('Eingabe Meldungen'!$A$2:$A$492)-1),COUNTIF('Eingabe Meldungen'!$A$2:$A$492,$B$372)+1-ROW('Eingabe Meldungen'!A23))))</f>
        <v/>
      </c>
      <c r="D395" s="341" t="str">
        <f t="array" ref="D395">IF(B395&lt;&gt;"",INDEX('Eingabe Meldungen'!$C$2:$H$492,MATCH(B395&amp;C395,'Eingabe Meldungen'!$C$2:$C$492&amp;'Eingabe Meldungen'!$D$2:$D$492,0),6),"")</f>
        <v/>
      </c>
      <c r="E395" s="382" t="str">
        <f t="array" ref="E395">IF(B395&lt;&gt;"",INDEX('Eingabe Meldungen'!$C$2:$H$492,MATCH(B395&amp;C395,'Eingabe Meldungen'!$C$2:$C$492&amp;'Eingabe Meldungen'!$D$2:$D$492,0),4),"")</f>
        <v/>
      </c>
      <c r="F395" s="358" t="e">
        <f>IF(VLOOKUP(B395,Rennlisten!$B$265:$J$274,10,FALSE)=0,"",VLOOKUP(B395,Rennlisten!$B$265:$J$274,10,FALSE))</f>
        <v>#REF!</v>
      </c>
      <c r="G395" s="333" t="e">
        <f t="shared" si="42"/>
        <v>#REF!</v>
      </c>
      <c r="H395" s="343" t="str">
        <f t="array" ref="H395">IF(B395&lt;&gt;"",INDEX('Eingabe Meldungen'!$C$2:$J$492,MATCH(B395&amp;C395,'Eingabe Meldungen'!$C$2:$C$492&amp;'Eingabe Meldungen'!$D$2:$D$492,0),8),"")</f>
        <v/>
      </c>
      <c r="J395" s="357"/>
      <c r="K395" s="357"/>
      <c r="L395" s="357"/>
      <c r="M395" s="357"/>
      <c r="N395" s="357"/>
      <c r="O395" s="357"/>
      <c r="P395" s="357"/>
      <c r="Q395" s="357"/>
      <c r="R395" s="357"/>
      <c r="S395" s="357"/>
      <c r="T395" s="357"/>
      <c r="U395" s="357"/>
      <c r="V395" s="357"/>
      <c r="W395" s="357"/>
      <c r="X395" s="357"/>
      <c r="Y395" s="357"/>
      <c r="Z395" s="357"/>
      <c r="AA395" s="357"/>
      <c r="AB395" s="357"/>
      <c r="AC395" s="357"/>
      <c r="AD395" s="357"/>
      <c r="AE395" s="357"/>
      <c r="AF395" s="357"/>
      <c r="AG395" s="357"/>
      <c r="AH395" s="357"/>
      <c r="AI395" s="357"/>
      <c r="AJ395" s="333"/>
      <c r="AK395" s="333"/>
      <c r="AL395" s="333"/>
      <c r="AM395" s="333"/>
    </row>
    <row r="396" spans="2:39" s="316" customFormat="1" ht="26.25" hidden="1" customHeight="1" x14ac:dyDescent="0.2">
      <c r="B396" s="340" t="str">
        <f t="array" ref="B396">IF(ISERROR(INDEX('Eingabe Meldungen'!$C$2:$C$492,LARGE(('Eingabe Meldungen'!$A$2:$A$492=$B$372)*(ROW('Eingabe Meldungen'!$A$2:$A$492)-1),COUNTIF('Eingabe Meldungen'!$A$2:$A$492,$B$372)+1-ROW('Eingabe Meldungen'!A24)))),"",INDEX('Eingabe Meldungen'!$C$2:$C$492,LARGE(('Eingabe Meldungen'!$A$2:$A$492=$B$372)*(ROW('Eingabe Meldungen'!$A$2:$A$492)-1),COUNTIF('Eingabe Meldungen'!$A$2:$A$492,$B$372)+1-ROW('Eingabe Meldungen'!A24))))</f>
        <v/>
      </c>
      <c r="C396" s="316" t="str">
        <f t="array" ref="C396">IF(ISERROR(INDEX('Eingabe Meldungen'!$D$2:$D$492,LARGE(('Eingabe Meldungen'!$A$2:$A$492=$B$372)*(ROW('Eingabe Meldungen'!$A$2:$A$492)-1),COUNTIF('Eingabe Meldungen'!$A$2:$A$492,$B$372)+1-ROW('Eingabe Meldungen'!A24)))),"",INDEX('Eingabe Meldungen'!$D$2:$D$492,LARGE(('Eingabe Meldungen'!$A$2:$A$492=$B$372)*(ROW('Eingabe Meldungen'!$A$2:$A$492)-1),COUNTIF('Eingabe Meldungen'!$A$2:$A$492,$B$372)+1-ROW('Eingabe Meldungen'!A24))))</f>
        <v/>
      </c>
      <c r="D396" s="341" t="str">
        <f t="array" ref="D396">IF(B396&lt;&gt;"",INDEX('Eingabe Meldungen'!$C$2:$H$492,MATCH(B396&amp;C396,'Eingabe Meldungen'!$C$2:$C$492&amp;'Eingabe Meldungen'!$D$2:$D$492,0),6),"")</f>
        <v/>
      </c>
      <c r="E396" s="382" t="str">
        <f t="array" ref="E396">IF(B396&lt;&gt;"",INDEX('Eingabe Meldungen'!$C$2:$H$492,MATCH(B396&amp;C396,'Eingabe Meldungen'!$C$2:$C$492&amp;'Eingabe Meldungen'!$D$2:$D$492,0),4),"")</f>
        <v/>
      </c>
      <c r="F396" s="358" t="e">
        <f>IF(VLOOKUP(B396,Rennlisten!$B$265:$J$274,10,FALSE)=0,"",VLOOKUP(B396,Rennlisten!$B$265:$J$274,10,FALSE))</f>
        <v>#REF!</v>
      </c>
      <c r="G396" s="333" t="e">
        <f t="shared" si="42"/>
        <v>#REF!</v>
      </c>
      <c r="H396" s="343" t="str">
        <f t="array" ref="H396">IF(B396&lt;&gt;"",INDEX('Eingabe Meldungen'!$C$2:$J$492,MATCH(B396&amp;C396,'Eingabe Meldungen'!$C$2:$C$492&amp;'Eingabe Meldungen'!$D$2:$D$492,0),8),"")</f>
        <v/>
      </c>
      <c r="J396" s="357"/>
      <c r="K396" s="357"/>
      <c r="L396" s="357"/>
      <c r="M396" s="357"/>
      <c r="N396" s="357"/>
      <c r="O396" s="357"/>
      <c r="P396" s="357"/>
      <c r="Q396" s="357"/>
      <c r="R396" s="357"/>
      <c r="S396" s="357"/>
      <c r="T396" s="357"/>
      <c r="U396" s="357"/>
      <c r="V396" s="357"/>
      <c r="W396" s="357"/>
      <c r="X396" s="357"/>
      <c r="Y396" s="357"/>
      <c r="Z396" s="357"/>
      <c r="AA396" s="357"/>
      <c r="AB396" s="357"/>
      <c r="AC396" s="357"/>
      <c r="AD396" s="357"/>
      <c r="AE396" s="357"/>
      <c r="AF396" s="357"/>
      <c r="AG396" s="357"/>
      <c r="AH396" s="357"/>
      <c r="AI396" s="357"/>
      <c r="AJ396" s="333"/>
      <c r="AK396" s="333"/>
      <c r="AL396" s="333"/>
      <c r="AM396" s="333"/>
    </row>
    <row r="397" spans="2:39" s="316" customFormat="1" ht="26.25" hidden="1" customHeight="1" x14ac:dyDescent="0.2">
      <c r="B397" s="340" t="str">
        <f t="array" ref="B397">IF(ISERROR(INDEX('Eingabe Meldungen'!$C$2:$C$492,LARGE(('Eingabe Meldungen'!$A$2:$A$492=$B$372)*(ROW('Eingabe Meldungen'!$A$2:$A$492)-1),COUNTIF('Eingabe Meldungen'!$A$2:$A$492,$B$372)+1-ROW('Eingabe Meldungen'!A25)))),"",INDEX('Eingabe Meldungen'!$C$2:$C$492,LARGE(('Eingabe Meldungen'!$A$2:$A$492=$B$372)*(ROW('Eingabe Meldungen'!$A$2:$A$492)-1),COUNTIF('Eingabe Meldungen'!$A$2:$A$492,$B$372)+1-ROW('Eingabe Meldungen'!A25))))</f>
        <v/>
      </c>
      <c r="C397" s="316" t="str">
        <f t="array" ref="C397">IF(ISERROR(INDEX('Eingabe Meldungen'!$D$2:$D$492,LARGE(('Eingabe Meldungen'!$A$2:$A$492=$B$372)*(ROW('Eingabe Meldungen'!$A$2:$A$492)-1),COUNTIF('Eingabe Meldungen'!$A$2:$A$492,$B$372)+1-ROW('Eingabe Meldungen'!A25)))),"",INDEX('Eingabe Meldungen'!$D$2:$D$492,LARGE(('Eingabe Meldungen'!$A$2:$A$492=$B$372)*(ROW('Eingabe Meldungen'!$A$2:$A$492)-1),COUNTIF('Eingabe Meldungen'!$A$2:$A$492,$B$372)+1-ROW('Eingabe Meldungen'!A25))))</f>
        <v/>
      </c>
      <c r="D397" s="341" t="str">
        <f t="array" ref="D397">IF(B397&lt;&gt;"",INDEX('Eingabe Meldungen'!$C$2:$H$492,MATCH(B397&amp;C397,'Eingabe Meldungen'!$C$2:$C$492&amp;'Eingabe Meldungen'!$D$2:$D$492,0),6),"")</f>
        <v/>
      </c>
      <c r="E397" s="382" t="str">
        <f t="array" ref="E397">IF(B397&lt;&gt;"",INDEX('Eingabe Meldungen'!$C$2:$H$492,MATCH(B397&amp;C397,'Eingabe Meldungen'!$C$2:$C$492&amp;'Eingabe Meldungen'!$D$2:$D$492,0),4),"")</f>
        <v/>
      </c>
      <c r="F397" s="358" t="e">
        <f>IF(VLOOKUP(B397,Rennlisten!$B$265:$J$274,10,FALSE)=0,"",VLOOKUP(B397,Rennlisten!$B$265:$J$274,10,FALSE))</f>
        <v>#REF!</v>
      </c>
      <c r="G397" s="333" t="e">
        <f t="shared" si="42"/>
        <v>#REF!</v>
      </c>
      <c r="H397" s="343" t="str">
        <f t="array" ref="H397">IF(B397&lt;&gt;"",INDEX('Eingabe Meldungen'!$C$2:$J$492,MATCH(B397&amp;C397,'Eingabe Meldungen'!$C$2:$C$492&amp;'Eingabe Meldungen'!$D$2:$D$492,0),8),"")</f>
        <v/>
      </c>
      <c r="J397" s="357"/>
      <c r="K397" s="357"/>
      <c r="L397" s="357"/>
      <c r="M397" s="357"/>
      <c r="N397" s="357"/>
      <c r="O397" s="357"/>
      <c r="P397" s="357"/>
      <c r="Q397" s="357"/>
      <c r="R397" s="357"/>
      <c r="S397" s="357"/>
      <c r="T397" s="357"/>
      <c r="U397" s="357"/>
      <c r="V397" s="357"/>
      <c r="W397" s="357"/>
      <c r="X397" s="357"/>
      <c r="Y397" s="357"/>
      <c r="Z397" s="357"/>
      <c r="AA397" s="357"/>
      <c r="AB397" s="357"/>
      <c r="AC397" s="357"/>
      <c r="AD397" s="357"/>
      <c r="AE397" s="357"/>
      <c r="AF397" s="357"/>
      <c r="AG397" s="357"/>
      <c r="AH397" s="357"/>
      <c r="AI397" s="357"/>
      <c r="AJ397" s="333"/>
      <c r="AK397" s="333"/>
      <c r="AL397" s="333"/>
      <c r="AM397" s="333"/>
    </row>
    <row r="398" spans="2:39" s="316" customFormat="1" ht="26.25" hidden="1" customHeight="1" x14ac:dyDescent="0.2">
      <c r="B398" s="340" t="str">
        <f t="array" ref="B398">IF(ISERROR(INDEX('Eingabe Meldungen'!$C$2:$C$492,LARGE(('Eingabe Meldungen'!$A$2:$A$492=$B$372)*(ROW('Eingabe Meldungen'!$A$2:$A$492)-1),COUNTIF('Eingabe Meldungen'!$A$2:$A$492,$B$372)+1-ROW('Eingabe Meldungen'!A26)))),"",INDEX('Eingabe Meldungen'!$C$2:$C$492,LARGE(('Eingabe Meldungen'!$A$2:$A$492=$B$372)*(ROW('Eingabe Meldungen'!$A$2:$A$492)-1),COUNTIF('Eingabe Meldungen'!$A$2:$A$492,$B$372)+1-ROW('Eingabe Meldungen'!A26))))</f>
        <v/>
      </c>
      <c r="C398" s="316" t="str">
        <f t="array" ref="C398">IF(ISERROR(INDEX('Eingabe Meldungen'!$D$2:$D$492,LARGE(('Eingabe Meldungen'!$A$2:$A$492=$B$372)*(ROW('Eingabe Meldungen'!$A$2:$A$492)-1),COUNTIF('Eingabe Meldungen'!$A$2:$A$492,$B$372)+1-ROW('Eingabe Meldungen'!A26)))),"",INDEX('Eingabe Meldungen'!$D$2:$D$492,LARGE(('Eingabe Meldungen'!$A$2:$A$492=$B$372)*(ROW('Eingabe Meldungen'!$A$2:$A$492)-1),COUNTIF('Eingabe Meldungen'!$A$2:$A$492,$B$372)+1-ROW('Eingabe Meldungen'!A26))))</f>
        <v/>
      </c>
      <c r="D398" s="341" t="str">
        <f t="array" ref="D398">IF(B398&lt;&gt;"",INDEX('Eingabe Meldungen'!$C$2:$H$492,MATCH(B398&amp;C398,'Eingabe Meldungen'!$C$2:$C$492&amp;'Eingabe Meldungen'!$D$2:$D$492,0),6),"")</f>
        <v/>
      </c>
      <c r="E398" s="382" t="str">
        <f t="array" ref="E398">IF(B398&lt;&gt;"",INDEX('Eingabe Meldungen'!$C$2:$H$492,MATCH(B398&amp;C398,'Eingabe Meldungen'!$C$2:$C$492&amp;'Eingabe Meldungen'!$D$2:$D$492,0),4),"")</f>
        <v/>
      </c>
      <c r="F398" s="358" t="e">
        <f>IF(VLOOKUP(B398,Rennlisten!$B$265:$J$274,10,FALSE)=0,"",VLOOKUP(B398,Rennlisten!$B$265:$J$274,10,FALSE))</f>
        <v>#REF!</v>
      </c>
      <c r="G398" s="333" t="e">
        <f t="shared" si="42"/>
        <v>#REF!</v>
      </c>
      <c r="H398" s="343" t="str">
        <f t="array" ref="H398">IF(B398&lt;&gt;"",INDEX('Eingabe Meldungen'!$C$2:$J$492,MATCH(B398&amp;C398,'Eingabe Meldungen'!$C$2:$C$492&amp;'Eingabe Meldungen'!$D$2:$D$492,0),8),"")</f>
        <v/>
      </c>
      <c r="J398" s="357"/>
      <c r="K398" s="357"/>
      <c r="L398" s="357"/>
      <c r="M398" s="357"/>
      <c r="N398" s="357"/>
      <c r="O398" s="357"/>
      <c r="P398" s="357"/>
      <c r="Q398" s="357"/>
      <c r="R398" s="357"/>
      <c r="S398" s="357"/>
      <c r="T398" s="357"/>
      <c r="U398" s="357"/>
      <c r="V398" s="357"/>
      <c r="W398" s="357"/>
      <c r="X398" s="357"/>
      <c r="Y398" s="357"/>
      <c r="Z398" s="357"/>
      <c r="AA398" s="357"/>
      <c r="AB398" s="357"/>
      <c r="AC398" s="357"/>
      <c r="AD398" s="357"/>
      <c r="AE398" s="357"/>
      <c r="AF398" s="357"/>
      <c r="AG398" s="357"/>
      <c r="AH398" s="357"/>
      <c r="AI398" s="357"/>
      <c r="AJ398" s="333"/>
      <c r="AK398" s="333"/>
      <c r="AL398" s="333"/>
      <c r="AM398" s="333"/>
    </row>
    <row r="399" spans="2:39" s="316" customFormat="1" ht="26.25" hidden="1" customHeight="1" x14ac:dyDescent="0.2">
      <c r="B399" s="340" t="str">
        <f t="array" ref="B399">IF(ISERROR(INDEX('Eingabe Meldungen'!$C$2:$C$492,LARGE(('Eingabe Meldungen'!$A$2:$A$492=$B$372)*(ROW('Eingabe Meldungen'!$A$2:$A$492)-1),COUNTIF('Eingabe Meldungen'!$A$2:$A$492,$B$372)+1-ROW('Eingabe Meldungen'!A27)))),"",INDEX('Eingabe Meldungen'!$C$2:$C$492,LARGE(('Eingabe Meldungen'!$A$2:$A$492=$B$372)*(ROW('Eingabe Meldungen'!$A$2:$A$492)-1),COUNTIF('Eingabe Meldungen'!$A$2:$A$492,$B$372)+1-ROW('Eingabe Meldungen'!A27))))</f>
        <v/>
      </c>
      <c r="C399" s="316" t="str">
        <f t="array" ref="C399">IF(ISERROR(INDEX('Eingabe Meldungen'!$D$2:$D$492,LARGE(('Eingabe Meldungen'!$A$2:$A$492=$B$372)*(ROW('Eingabe Meldungen'!$A$2:$A$492)-1),COUNTIF('Eingabe Meldungen'!$A$2:$A$492,$B$372)+1-ROW('Eingabe Meldungen'!A27)))),"",INDEX('Eingabe Meldungen'!$D$2:$D$492,LARGE(('Eingabe Meldungen'!$A$2:$A$492=$B$372)*(ROW('Eingabe Meldungen'!$A$2:$A$492)-1),COUNTIF('Eingabe Meldungen'!$A$2:$A$492,$B$372)+1-ROW('Eingabe Meldungen'!A27))))</f>
        <v/>
      </c>
      <c r="D399" s="341" t="str">
        <f t="array" ref="D399">IF(B399&lt;&gt;"",INDEX('Eingabe Meldungen'!$C$2:$H$492,MATCH(B399&amp;C399,'Eingabe Meldungen'!$C$2:$C$492&amp;'Eingabe Meldungen'!$D$2:$D$492,0),6),"")</f>
        <v/>
      </c>
      <c r="E399" s="382" t="str">
        <f t="array" ref="E399">IF(B399&lt;&gt;"",INDEX('Eingabe Meldungen'!$C$2:$H$492,MATCH(B399&amp;C399,'Eingabe Meldungen'!$C$2:$C$492&amp;'Eingabe Meldungen'!$D$2:$D$492,0),4),"")</f>
        <v/>
      </c>
      <c r="F399" s="358" t="e">
        <f>IF(VLOOKUP(B399,Rennlisten!$B$265:$J$274,10,FALSE)=0,"",VLOOKUP(B399,Rennlisten!$B$265:$J$274,10,FALSE))</f>
        <v>#REF!</v>
      </c>
      <c r="G399" s="333" t="e">
        <f t="shared" si="42"/>
        <v>#REF!</v>
      </c>
      <c r="H399" s="343" t="str">
        <f t="array" ref="H399">IF(B399&lt;&gt;"",INDEX('Eingabe Meldungen'!$C$2:$J$492,MATCH(B399&amp;C399,'Eingabe Meldungen'!$C$2:$C$492&amp;'Eingabe Meldungen'!$D$2:$D$492,0),8),"")</f>
        <v/>
      </c>
      <c r="J399" s="357"/>
      <c r="K399" s="357"/>
      <c r="L399" s="357"/>
      <c r="M399" s="357"/>
      <c r="N399" s="357"/>
      <c r="O399" s="357"/>
      <c r="P399" s="357"/>
      <c r="Q399" s="357"/>
      <c r="R399" s="357"/>
      <c r="S399" s="357"/>
      <c r="T399" s="357"/>
      <c r="U399" s="357"/>
      <c r="V399" s="357"/>
      <c r="W399" s="357"/>
      <c r="X399" s="357"/>
      <c r="Y399" s="357"/>
      <c r="Z399" s="357"/>
      <c r="AA399" s="357"/>
      <c r="AB399" s="357"/>
      <c r="AC399" s="357"/>
      <c r="AD399" s="357"/>
      <c r="AE399" s="357"/>
      <c r="AF399" s="357"/>
      <c r="AG399" s="357"/>
      <c r="AH399" s="357"/>
      <c r="AI399" s="357"/>
      <c r="AJ399" s="333"/>
      <c r="AK399" s="333"/>
      <c r="AL399" s="333"/>
      <c r="AM399" s="333"/>
    </row>
    <row r="400" spans="2:39" s="316" customFormat="1" ht="26.25" hidden="1" customHeight="1" x14ac:dyDescent="0.2">
      <c r="B400" s="340" t="str">
        <f t="array" ref="B400">IF(ISERROR(INDEX('Eingabe Meldungen'!$C$2:$C$492,LARGE(('Eingabe Meldungen'!$A$2:$A$492=$B$372)*(ROW('Eingabe Meldungen'!$A$2:$A$492)-1),COUNTIF('Eingabe Meldungen'!$A$2:$A$492,$B$372)+1-ROW('Eingabe Meldungen'!A28)))),"",INDEX('Eingabe Meldungen'!$C$2:$C$492,LARGE(('Eingabe Meldungen'!$A$2:$A$492=$B$372)*(ROW('Eingabe Meldungen'!$A$2:$A$492)-1),COUNTIF('Eingabe Meldungen'!$A$2:$A$492,$B$372)+1-ROW('Eingabe Meldungen'!A28))))</f>
        <v/>
      </c>
      <c r="C400" s="316" t="str">
        <f t="array" ref="C400">IF(ISERROR(INDEX('Eingabe Meldungen'!$D$2:$D$492,LARGE(('Eingabe Meldungen'!$A$2:$A$492=$B$372)*(ROW('Eingabe Meldungen'!$A$2:$A$492)-1),COUNTIF('Eingabe Meldungen'!$A$2:$A$492,$B$372)+1-ROW('Eingabe Meldungen'!A28)))),"",INDEX('Eingabe Meldungen'!$D$2:$D$492,LARGE(('Eingabe Meldungen'!$A$2:$A$492=$B$372)*(ROW('Eingabe Meldungen'!$A$2:$A$492)-1),COUNTIF('Eingabe Meldungen'!$A$2:$A$492,$B$372)+1-ROW('Eingabe Meldungen'!A28))))</f>
        <v/>
      </c>
      <c r="D400" s="341" t="str">
        <f t="array" ref="D400">IF(B400&lt;&gt;"",INDEX('Eingabe Meldungen'!$C$2:$H$492,MATCH(B400&amp;C400,'Eingabe Meldungen'!$C$2:$C$492&amp;'Eingabe Meldungen'!$D$2:$D$492,0),6),"")</f>
        <v/>
      </c>
      <c r="E400" s="382" t="str">
        <f t="array" ref="E400">IF(B400&lt;&gt;"",INDEX('Eingabe Meldungen'!$C$2:$H$492,MATCH(B400&amp;C400,'Eingabe Meldungen'!$C$2:$C$492&amp;'Eingabe Meldungen'!$D$2:$D$492,0),4),"")</f>
        <v/>
      </c>
      <c r="F400" s="358" t="e">
        <f>IF(VLOOKUP(B400,Rennlisten!$B$265:$J$274,10,FALSE)=0,"",VLOOKUP(B400,Rennlisten!$B$265:$J$274,10,FALSE))</f>
        <v>#REF!</v>
      </c>
      <c r="G400" s="333" t="e">
        <f t="shared" si="42"/>
        <v>#REF!</v>
      </c>
      <c r="H400" s="343" t="str">
        <f t="array" ref="H400">IF(B400&lt;&gt;"",INDEX('Eingabe Meldungen'!$C$2:$J$492,MATCH(B400&amp;C400,'Eingabe Meldungen'!$C$2:$C$492&amp;'Eingabe Meldungen'!$D$2:$D$492,0),8),"")</f>
        <v/>
      </c>
      <c r="J400" s="357"/>
      <c r="K400" s="357"/>
      <c r="L400" s="357"/>
      <c r="M400" s="357"/>
      <c r="N400" s="357"/>
      <c r="O400" s="357"/>
      <c r="P400" s="357"/>
      <c r="Q400" s="357"/>
      <c r="R400" s="357"/>
      <c r="S400" s="357"/>
      <c r="T400" s="357"/>
      <c r="U400" s="357"/>
      <c r="V400" s="357"/>
      <c r="W400" s="357"/>
      <c r="X400" s="357"/>
      <c r="Y400" s="357"/>
      <c r="Z400" s="357"/>
      <c r="AA400" s="357"/>
      <c r="AB400" s="357"/>
      <c r="AC400" s="357"/>
      <c r="AD400" s="357"/>
      <c r="AE400" s="357"/>
      <c r="AF400" s="357"/>
      <c r="AG400" s="357"/>
      <c r="AH400" s="357"/>
      <c r="AI400" s="357"/>
      <c r="AJ400" s="333"/>
      <c r="AK400" s="333"/>
      <c r="AL400" s="333"/>
      <c r="AM400" s="333"/>
    </row>
    <row r="401" spans="2:39" s="316" customFormat="1" ht="26.25" hidden="1" customHeight="1" x14ac:dyDescent="0.2">
      <c r="B401" s="340" t="str">
        <f t="array" ref="B401">IF(ISERROR(INDEX('Eingabe Meldungen'!$C$2:$C$492,LARGE(('Eingabe Meldungen'!$A$2:$A$492=$B$372)*(ROW('Eingabe Meldungen'!$A$2:$A$492)-1),COUNTIF('Eingabe Meldungen'!$A$2:$A$492,$B$372)+1-ROW('Eingabe Meldungen'!A29)))),"",INDEX('Eingabe Meldungen'!$C$2:$C$492,LARGE(('Eingabe Meldungen'!$A$2:$A$492=$B$372)*(ROW('Eingabe Meldungen'!$A$2:$A$492)-1),COUNTIF('Eingabe Meldungen'!$A$2:$A$492,$B$372)+1-ROW('Eingabe Meldungen'!A29))))</f>
        <v/>
      </c>
      <c r="C401" s="316" t="str">
        <f t="array" ref="C401">IF(ISERROR(INDEX('Eingabe Meldungen'!$D$2:$D$492,LARGE(('Eingabe Meldungen'!$A$2:$A$492=$B$372)*(ROW('Eingabe Meldungen'!$A$2:$A$492)-1),COUNTIF('Eingabe Meldungen'!$A$2:$A$492,$B$372)+1-ROW('Eingabe Meldungen'!A29)))),"",INDEX('Eingabe Meldungen'!$D$2:$D$492,LARGE(('Eingabe Meldungen'!$A$2:$A$492=$B$372)*(ROW('Eingabe Meldungen'!$A$2:$A$492)-1),COUNTIF('Eingabe Meldungen'!$A$2:$A$492,$B$372)+1-ROW('Eingabe Meldungen'!A29))))</f>
        <v/>
      </c>
      <c r="D401" s="341" t="str">
        <f t="array" ref="D401">IF(B401&lt;&gt;"",INDEX('Eingabe Meldungen'!$C$2:$H$492,MATCH(B401&amp;C401,'Eingabe Meldungen'!$C$2:$C$492&amp;'Eingabe Meldungen'!$D$2:$D$492,0),6),"")</f>
        <v/>
      </c>
      <c r="E401" s="382" t="str">
        <f t="array" ref="E401">IF(B401&lt;&gt;"",INDEX('Eingabe Meldungen'!$C$2:$H$492,MATCH(B401&amp;C401,'Eingabe Meldungen'!$C$2:$C$492&amp;'Eingabe Meldungen'!$D$2:$D$492,0),4),"")</f>
        <v/>
      </c>
      <c r="F401" s="358" t="e">
        <f>IF(VLOOKUP(B401,Rennlisten!$B$265:$J$274,10,FALSE)=0,"",VLOOKUP(B401,Rennlisten!$B$265:$J$274,10,FALSE))</f>
        <v>#REF!</v>
      </c>
      <c r="G401" s="333" t="e">
        <f t="shared" si="42"/>
        <v>#REF!</v>
      </c>
      <c r="H401" s="343" t="str">
        <f t="array" ref="H401">IF(B401&lt;&gt;"",INDEX('Eingabe Meldungen'!$C$2:$J$492,MATCH(B401&amp;C401,'Eingabe Meldungen'!$C$2:$C$492&amp;'Eingabe Meldungen'!$D$2:$D$492,0),8),"")</f>
        <v/>
      </c>
      <c r="J401" s="357"/>
      <c r="K401" s="357"/>
      <c r="L401" s="357"/>
      <c r="M401" s="357"/>
      <c r="N401" s="357"/>
      <c r="O401" s="357"/>
      <c r="P401" s="357"/>
      <c r="Q401" s="357"/>
      <c r="R401" s="357"/>
      <c r="S401" s="357"/>
      <c r="T401" s="357"/>
      <c r="U401" s="357"/>
      <c r="V401" s="357"/>
      <c r="W401" s="357"/>
      <c r="X401" s="357"/>
      <c r="Y401" s="357"/>
      <c r="Z401" s="357"/>
      <c r="AA401" s="357"/>
      <c r="AB401" s="357"/>
      <c r="AC401" s="357"/>
      <c r="AD401" s="357"/>
      <c r="AE401" s="357"/>
      <c r="AF401" s="357"/>
      <c r="AG401" s="357"/>
      <c r="AH401" s="357"/>
      <c r="AI401" s="357"/>
      <c r="AJ401" s="333"/>
      <c r="AK401" s="333"/>
      <c r="AL401" s="333"/>
      <c r="AM401" s="333"/>
    </row>
    <row r="402" spans="2:39" s="316" customFormat="1" ht="26.25" hidden="1" customHeight="1" x14ac:dyDescent="0.2">
      <c r="B402" s="340" t="str">
        <f t="array" ref="B402">IF(ISERROR(INDEX('Eingabe Meldungen'!$C$2:$C$492,LARGE(('Eingabe Meldungen'!$A$2:$A$492=$B$372)*(ROW('Eingabe Meldungen'!$A$2:$A$492)-1),COUNTIF('Eingabe Meldungen'!$A$2:$A$492,$B$372)+1-ROW('Eingabe Meldungen'!#REF!)))),"",INDEX('Eingabe Meldungen'!$C$2:$C$492,LARGE(('Eingabe Meldungen'!$A$2:$A$492=$B$372)*(ROW('Eingabe Meldungen'!$A$2:$A$492)-1),COUNTIF('Eingabe Meldungen'!$A$2:$A$492,$B$372)+1-ROW('Eingabe Meldungen'!#REF!))))</f>
        <v/>
      </c>
      <c r="C402" s="316" t="str">
        <f t="array" ref="C402">IF(ISERROR(INDEX('Eingabe Meldungen'!$D$2:$D$492,LARGE(('Eingabe Meldungen'!$A$2:$A$492=$B$372)*(ROW('Eingabe Meldungen'!$A$2:$A$492)-1),COUNTIF('Eingabe Meldungen'!$A$2:$A$492,$B$372)+1-ROW('Eingabe Meldungen'!#REF!)))),"",INDEX('Eingabe Meldungen'!$D$2:$D$492,LARGE(('Eingabe Meldungen'!$A$2:$A$492=$B$372)*(ROW('Eingabe Meldungen'!$A$2:$A$492)-1),COUNTIF('Eingabe Meldungen'!$A$2:$A$492,$B$372)+1-ROW('Eingabe Meldungen'!#REF!))))</f>
        <v/>
      </c>
      <c r="D402" s="341" t="str">
        <f t="array" ref="D402">IF(B402&lt;&gt;"",INDEX('Eingabe Meldungen'!$C$2:$H$492,MATCH(B402&amp;C402,'Eingabe Meldungen'!$C$2:$C$492&amp;'Eingabe Meldungen'!$D$2:$D$492,0),6),"")</f>
        <v/>
      </c>
      <c r="E402" s="382" t="str">
        <f t="array" ref="E402">IF(B402&lt;&gt;"",INDEX('Eingabe Meldungen'!$C$2:$H$492,MATCH(B402&amp;C402,'Eingabe Meldungen'!$C$2:$C$492&amp;'Eingabe Meldungen'!$D$2:$D$492,0),4),"")</f>
        <v/>
      </c>
      <c r="F402" s="358" t="e">
        <f>IF(VLOOKUP(B402,Rennlisten!$B$265:$J$274,10,FALSE)=0,"",VLOOKUP(B402,Rennlisten!$B$265:$J$274,10,FALSE))</f>
        <v>#REF!</v>
      </c>
      <c r="G402" s="333" t="e">
        <f t="shared" si="42"/>
        <v>#REF!</v>
      </c>
      <c r="H402" s="343" t="str">
        <f t="array" ref="H402">IF(B402&lt;&gt;"",INDEX('Eingabe Meldungen'!$C$2:$J$492,MATCH(B402&amp;C402,'Eingabe Meldungen'!$C$2:$C$492&amp;'Eingabe Meldungen'!$D$2:$D$492,0),8),"")</f>
        <v/>
      </c>
      <c r="J402" s="357"/>
      <c r="K402" s="357"/>
      <c r="L402" s="357"/>
      <c r="M402" s="357"/>
      <c r="N402" s="357"/>
      <c r="O402" s="357"/>
      <c r="P402" s="357"/>
      <c r="Q402" s="357"/>
      <c r="R402" s="357"/>
      <c r="S402" s="357"/>
      <c r="T402" s="357"/>
      <c r="U402" s="357"/>
      <c r="V402" s="357"/>
      <c r="W402" s="357"/>
      <c r="X402" s="357"/>
      <c r="Y402" s="357"/>
      <c r="Z402" s="357"/>
      <c r="AA402" s="357"/>
      <c r="AB402" s="357"/>
      <c r="AC402" s="357"/>
      <c r="AD402" s="357"/>
      <c r="AE402" s="357"/>
      <c r="AF402" s="357"/>
      <c r="AG402" s="357"/>
      <c r="AH402" s="357"/>
      <c r="AI402" s="357"/>
      <c r="AJ402" s="333"/>
      <c r="AK402" s="333"/>
      <c r="AL402" s="333"/>
      <c r="AM402" s="333"/>
    </row>
    <row r="403" spans="2:39" s="316" customFormat="1" ht="26.25" hidden="1" customHeight="1" x14ac:dyDescent="0.2">
      <c r="B403" s="340" t="str">
        <f t="array" ref="B403">IF(ISERROR(INDEX('Eingabe Meldungen'!$C$2:$C$492,LARGE(('Eingabe Meldungen'!$A$2:$A$492=$B$372)*(ROW('Eingabe Meldungen'!$A$2:$A$492)-1),COUNTIF('Eingabe Meldungen'!$A$2:$A$492,$B$372)+1-ROW('Eingabe Meldungen'!A30)))),"",INDEX('Eingabe Meldungen'!$C$2:$C$492,LARGE(('Eingabe Meldungen'!$A$2:$A$492=$B$372)*(ROW('Eingabe Meldungen'!$A$2:$A$492)-1),COUNTIF('Eingabe Meldungen'!$A$2:$A$492,$B$372)+1-ROW('Eingabe Meldungen'!A30))))</f>
        <v/>
      </c>
      <c r="C403" s="316" t="str">
        <f t="array" ref="C403">IF(ISERROR(INDEX('Eingabe Meldungen'!$D$2:$D$492,LARGE(('Eingabe Meldungen'!$A$2:$A$492=$B$372)*(ROW('Eingabe Meldungen'!$A$2:$A$492)-1),COUNTIF('Eingabe Meldungen'!$A$2:$A$492,$B$372)+1-ROW('Eingabe Meldungen'!A30)))),"",INDEX('Eingabe Meldungen'!$D$2:$D$492,LARGE(('Eingabe Meldungen'!$A$2:$A$492=$B$372)*(ROW('Eingabe Meldungen'!$A$2:$A$492)-1),COUNTIF('Eingabe Meldungen'!$A$2:$A$492,$B$372)+1-ROW('Eingabe Meldungen'!A30))))</f>
        <v/>
      </c>
      <c r="D403" s="341" t="str">
        <f t="array" ref="D403">IF(B403&lt;&gt;"",INDEX('Eingabe Meldungen'!$C$2:$H$492,MATCH(B403&amp;C403,'Eingabe Meldungen'!$C$2:$C$492&amp;'Eingabe Meldungen'!$D$2:$D$492,0),6),"")</f>
        <v/>
      </c>
      <c r="E403" s="382" t="str">
        <f t="array" ref="E403">IF(B403&lt;&gt;"",INDEX('Eingabe Meldungen'!$C$2:$H$492,MATCH(B403&amp;C403,'Eingabe Meldungen'!$C$2:$C$492&amp;'Eingabe Meldungen'!$D$2:$D$492,0),4),"")</f>
        <v/>
      </c>
      <c r="F403" s="358" t="e">
        <f>IF(VLOOKUP(B403,Rennlisten!$B$265:$J$274,10,FALSE)=0,"",VLOOKUP(B403,Rennlisten!$B$265:$J$274,10,FALSE))</f>
        <v>#REF!</v>
      </c>
      <c r="G403" s="333" t="e">
        <f t="shared" si="42"/>
        <v>#REF!</v>
      </c>
      <c r="H403" s="343" t="str">
        <f t="array" ref="H403">IF(B403&lt;&gt;"",INDEX('Eingabe Meldungen'!$C$2:$J$492,MATCH(B403&amp;C403,'Eingabe Meldungen'!$C$2:$C$492&amp;'Eingabe Meldungen'!$D$2:$D$492,0),8),"")</f>
        <v/>
      </c>
      <c r="J403" s="357"/>
      <c r="K403" s="357"/>
      <c r="L403" s="357"/>
      <c r="M403" s="357"/>
      <c r="N403" s="357"/>
      <c r="O403" s="357"/>
      <c r="P403" s="357"/>
      <c r="Q403" s="357"/>
      <c r="R403" s="357"/>
      <c r="S403" s="357"/>
      <c r="T403" s="357"/>
      <c r="U403" s="357"/>
      <c r="V403" s="357"/>
      <c r="W403" s="357"/>
      <c r="X403" s="357"/>
      <c r="Y403" s="357"/>
      <c r="Z403" s="357"/>
      <c r="AA403" s="357"/>
      <c r="AB403" s="357"/>
      <c r="AC403" s="357"/>
      <c r="AD403" s="357"/>
      <c r="AE403" s="357"/>
      <c r="AF403" s="357"/>
      <c r="AG403" s="357"/>
      <c r="AH403" s="357"/>
      <c r="AI403" s="357"/>
      <c r="AJ403" s="333"/>
      <c r="AK403" s="333"/>
      <c r="AL403" s="333"/>
      <c r="AM403" s="333"/>
    </row>
    <row r="404" spans="2:39" s="316" customFormat="1" ht="26.25" hidden="1" customHeight="1" x14ac:dyDescent="0.2">
      <c r="B404" s="340" t="str">
        <f t="array" ref="B404">IF(ISERROR(INDEX('Eingabe Meldungen'!$C$2:$C$492,LARGE(('Eingabe Meldungen'!$A$2:$A$492=$B$372)*(ROW('Eingabe Meldungen'!$A$2:$A$492)-1),COUNTIF('Eingabe Meldungen'!$A$2:$A$492,$B$372)+1-ROW('Eingabe Meldungen'!#REF!)))),"",INDEX('Eingabe Meldungen'!$C$2:$C$492,LARGE(('Eingabe Meldungen'!$A$2:$A$492=$B$372)*(ROW('Eingabe Meldungen'!$A$2:$A$492)-1),COUNTIF('Eingabe Meldungen'!$A$2:$A$492,$B$372)+1-ROW('Eingabe Meldungen'!#REF!))))</f>
        <v/>
      </c>
      <c r="C404" s="316" t="str">
        <f t="array" ref="C404">IF(ISERROR(INDEX('Eingabe Meldungen'!$D$2:$D$492,LARGE(('Eingabe Meldungen'!$A$2:$A$492=$B$372)*(ROW('Eingabe Meldungen'!$A$2:$A$492)-1),COUNTIF('Eingabe Meldungen'!$A$2:$A$492,$B$372)+1-ROW('Eingabe Meldungen'!#REF!)))),"",INDEX('Eingabe Meldungen'!$D$2:$D$492,LARGE(('Eingabe Meldungen'!$A$2:$A$492=$B$372)*(ROW('Eingabe Meldungen'!$A$2:$A$492)-1),COUNTIF('Eingabe Meldungen'!$A$2:$A$492,$B$372)+1-ROW('Eingabe Meldungen'!#REF!))))</f>
        <v/>
      </c>
      <c r="D404" s="341" t="str">
        <f t="array" ref="D404">IF(B404&lt;&gt;"",INDEX('Eingabe Meldungen'!$C$2:$H$492,MATCH(B404&amp;C404,'Eingabe Meldungen'!$C$2:$C$492&amp;'Eingabe Meldungen'!$D$2:$D$492,0),6),"")</f>
        <v/>
      </c>
      <c r="E404" s="382" t="str">
        <f t="array" ref="E404">IF(B404&lt;&gt;"",INDEX('Eingabe Meldungen'!$C$2:$H$492,MATCH(B404&amp;C404,'Eingabe Meldungen'!$C$2:$C$492&amp;'Eingabe Meldungen'!$D$2:$D$492,0),4),"")</f>
        <v/>
      </c>
      <c r="F404" s="358" t="e">
        <f>IF(VLOOKUP(B404,Rennlisten!$B$265:$J$274,10,FALSE)=0,"",VLOOKUP(B404,Rennlisten!$B$265:$J$274,10,FALSE))</f>
        <v>#REF!</v>
      </c>
      <c r="G404" s="333" t="e">
        <f t="shared" si="42"/>
        <v>#REF!</v>
      </c>
      <c r="H404" s="343" t="str">
        <f t="array" ref="H404">IF(B404&lt;&gt;"",INDEX('Eingabe Meldungen'!$C$2:$J$492,MATCH(B404&amp;C404,'Eingabe Meldungen'!$C$2:$C$492&amp;'Eingabe Meldungen'!$D$2:$D$492,0),8),"")</f>
        <v/>
      </c>
      <c r="J404" s="357"/>
      <c r="K404" s="357"/>
      <c r="L404" s="357"/>
      <c r="M404" s="357"/>
      <c r="N404" s="357"/>
      <c r="O404" s="357"/>
      <c r="P404" s="357"/>
      <c r="Q404" s="357"/>
      <c r="R404" s="357"/>
      <c r="S404" s="357"/>
      <c r="T404" s="357"/>
      <c r="U404" s="357"/>
      <c r="V404" s="357"/>
      <c r="W404" s="357"/>
      <c r="X404" s="357"/>
      <c r="Y404" s="357"/>
      <c r="Z404" s="357"/>
      <c r="AA404" s="357"/>
      <c r="AB404" s="357"/>
      <c r="AC404" s="357"/>
      <c r="AD404" s="357"/>
      <c r="AE404" s="357"/>
      <c r="AF404" s="357"/>
      <c r="AG404" s="357"/>
      <c r="AH404" s="357"/>
      <c r="AI404" s="357"/>
      <c r="AJ404" s="333"/>
      <c r="AK404" s="333"/>
      <c r="AL404" s="333"/>
      <c r="AM404" s="333"/>
    </row>
    <row r="405" spans="2:39" s="316" customFormat="1" ht="26.25" hidden="1" customHeight="1" thickBot="1" x14ac:dyDescent="0.25">
      <c r="B405" s="344" t="str">
        <f t="array" ref="B405">IF(ISERROR(INDEX('Eingabe Meldungen'!$C$2:$C$492,LARGE(('Eingabe Meldungen'!$A$2:$A$492=$B$372)*(ROW('Eingabe Meldungen'!$A$2:$A$492)-1),COUNTIF('Eingabe Meldungen'!$A$2:$A$492,$B$372)+1-ROW('Eingabe Meldungen'!#REF!)))),"",INDEX('Eingabe Meldungen'!$C$2:$C$492,LARGE(('Eingabe Meldungen'!$A$2:$A$492=$B$372)*(ROW('Eingabe Meldungen'!$A$2:$A$492)-1),COUNTIF('Eingabe Meldungen'!$A$2:$A$492,$B$372)+1-ROW('Eingabe Meldungen'!#REF!))))</f>
        <v/>
      </c>
      <c r="C405" s="345" t="str">
        <f t="array" ref="C405">IF(ISERROR(INDEX('Eingabe Meldungen'!$D$2:$D$492,LARGE(('Eingabe Meldungen'!$A$2:$A$492=$B$372)*(ROW('Eingabe Meldungen'!$A$2:$A$492)-1),COUNTIF('Eingabe Meldungen'!$A$2:$A$492,$B$372)+1-ROW('Eingabe Meldungen'!#REF!)))),"",INDEX('Eingabe Meldungen'!$D$2:$D$492,LARGE(('Eingabe Meldungen'!$A$2:$A$492=$B$372)*(ROW('Eingabe Meldungen'!$A$2:$A$492)-1),COUNTIF('Eingabe Meldungen'!$A$2:$A$492,$B$372)+1-ROW('Eingabe Meldungen'!#REF!))))</f>
        <v/>
      </c>
      <c r="D405" s="346" t="str">
        <f t="array" ref="D405">IF(B405&lt;&gt;"",INDEX('Eingabe Meldungen'!$C$2:$H$492,MATCH(B405&amp;C405,'Eingabe Meldungen'!$C$2:$C$492&amp;'Eingabe Meldungen'!$D$2:$D$492,0),6),"")</f>
        <v/>
      </c>
      <c r="E405" s="383" t="str">
        <f t="array" ref="E405">IF(B405&lt;&gt;"",INDEX('Eingabe Meldungen'!$C$2:$H$492,MATCH(B405&amp;C405,'Eingabe Meldungen'!$C$2:$C$492&amp;'Eingabe Meldungen'!$D$2:$D$492,0),4),"")</f>
        <v/>
      </c>
      <c r="F405" s="358" t="e">
        <f>IF(VLOOKUP(B405,Rennlisten!$B$265:$J$274,10,FALSE)=0,"",VLOOKUP(B405,Rennlisten!$B$265:$J$274,10,FALSE))</f>
        <v>#REF!</v>
      </c>
      <c r="G405" s="348" t="e">
        <f t="shared" si="42"/>
        <v>#REF!</v>
      </c>
      <c r="H405" s="349" t="str">
        <f t="array" ref="H405">IF(B405&lt;&gt;"",INDEX('Eingabe Meldungen'!$C$2:$J$492,MATCH(B405&amp;C405,'Eingabe Meldungen'!$C$2:$C$492&amp;'Eingabe Meldungen'!$D$2:$D$492,0),8),"")</f>
        <v/>
      </c>
      <c r="J405" s="357"/>
      <c r="K405" s="357"/>
      <c r="L405" s="357"/>
      <c r="M405" s="357"/>
      <c r="N405" s="357"/>
      <c r="O405" s="357"/>
      <c r="P405" s="357"/>
      <c r="Q405" s="357"/>
      <c r="R405" s="357"/>
      <c r="S405" s="357"/>
      <c r="T405" s="357"/>
      <c r="U405" s="357"/>
      <c r="V405" s="357"/>
      <c r="W405" s="357"/>
      <c r="X405" s="357"/>
      <c r="Y405" s="357"/>
      <c r="Z405" s="357"/>
      <c r="AA405" s="357"/>
      <c r="AB405" s="357"/>
      <c r="AC405" s="357"/>
      <c r="AD405" s="357"/>
      <c r="AE405" s="357"/>
      <c r="AF405" s="357"/>
      <c r="AG405" s="357"/>
      <c r="AH405" s="357"/>
      <c r="AI405" s="357"/>
      <c r="AJ405" s="333"/>
      <c r="AK405" s="333"/>
      <c r="AL405" s="333"/>
      <c r="AM405" s="333"/>
    </row>
    <row r="406" spans="2:39" s="316" customFormat="1" ht="26.25" customHeight="1" thickBot="1" x14ac:dyDescent="0.25">
      <c r="B406" s="340"/>
      <c r="D406" s="341"/>
      <c r="E406" s="382"/>
      <c r="F406" s="359"/>
      <c r="G406" s="333"/>
      <c r="H406" s="343"/>
      <c r="J406" s="357"/>
      <c r="K406" s="357"/>
      <c r="L406" s="357"/>
      <c r="M406" s="357"/>
      <c r="N406" s="357"/>
      <c r="O406" s="357"/>
      <c r="P406" s="357"/>
      <c r="Q406" s="357"/>
      <c r="R406" s="357"/>
      <c r="S406" s="357"/>
      <c r="T406" s="357"/>
      <c r="U406" s="357"/>
      <c r="V406" s="357"/>
      <c r="W406" s="357"/>
      <c r="X406" s="357"/>
      <c r="Y406" s="357"/>
      <c r="Z406" s="357"/>
      <c r="AA406" s="357"/>
      <c r="AB406" s="357"/>
      <c r="AC406" s="357"/>
      <c r="AD406" s="357"/>
      <c r="AE406" s="357"/>
      <c r="AF406" s="357"/>
      <c r="AG406" s="357"/>
      <c r="AH406" s="357"/>
      <c r="AI406" s="357"/>
      <c r="AJ406" s="333"/>
      <c r="AK406" s="333"/>
      <c r="AL406" s="333"/>
      <c r="AM406" s="333"/>
    </row>
    <row r="407" spans="2:39" s="316" customFormat="1" ht="26.25" customHeight="1" x14ac:dyDescent="0.2">
      <c r="B407" s="326">
        <v>22</v>
      </c>
      <c r="C407" s="327" t="str">
        <f>VLOOKUP(B407,Ausschreibung!$B$5:$I$35,2,FALSE)</f>
        <v>Ergocup</v>
      </c>
      <c r="D407" s="328">
        <f>VLOOKUP(B407,Ausschreibung!$B$5:$I$35,3,FALSE)</f>
        <v>0.6416666666666665</v>
      </c>
      <c r="E407" s="327" t="str">
        <f>VLOOKUP(B407,Ausschreibung!$B$5:$I$35,4,FALSE)</f>
        <v>Seniorinnen A</v>
      </c>
      <c r="F407" s="329" t="str">
        <f>VLOOKUP(B407,Ausschreibung!$B$5:$I$35,5,FALSE)</f>
        <v>-</v>
      </c>
      <c r="G407" s="330" t="str">
        <f>VLOOKUP(B407,Ausschreibung!$B$5:$I$35,6,FALSE)</f>
        <v>19 und älter</v>
      </c>
      <c r="H407" s="331" t="str">
        <f>VLOOKUP(B407,Ausschreibung!$B$5:$I$35,8,FALSE)</f>
        <v>2000 m</v>
      </c>
      <c r="J407" s="357"/>
      <c r="K407" s="357"/>
      <c r="L407" s="357"/>
      <c r="M407" s="357"/>
      <c r="N407" s="357"/>
      <c r="O407" s="357"/>
      <c r="P407" s="357"/>
      <c r="Q407" s="357"/>
      <c r="R407" s="357"/>
      <c r="S407" s="357"/>
      <c r="T407" s="357"/>
      <c r="U407" s="357"/>
      <c r="V407" s="357"/>
      <c r="W407" s="357"/>
      <c r="X407" s="357"/>
      <c r="Y407" s="357"/>
      <c r="Z407" s="357"/>
      <c r="AA407" s="357"/>
      <c r="AB407" s="357"/>
      <c r="AC407" s="357"/>
      <c r="AD407" s="357"/>
      <c r="AE407" s="357"/>
      <c r="AF407" s="357"/>
      <c r="AG407" s="357"/>
      <c r="AH407" s="357"/>
      <c r="AI407" s="357"/>
      <c r="AJ407" s="333"/>
      <c r="AK407" s="333"/>
      <c r="AL407" s="333"/>
      <c r="AM407" s="333"/>
    </row>
    <row r="408" spans="2:39" s="316" customFormat="1" ht="26.25" customHeight="1" x14ac:dyDescent="0.2">
      <c r="B408" s="334" t="s">
        <v>1</v>
      </c>
      <c r="C408" s="335" t="s">
        <v>2</v>
      </c>
      <c r="D408" s="336" t="s">
        <v>49</v>
      </c>
      <c r="E408" s="381" t="s">
        <v>16</v>
      </c>
      <c r="F408" s="338" t="s">
        <v>50</v>
      </c>
      <c r="G408" s="338" t="s">
        <v>51</v>
      </c>
      <c r="H408" s="339" t="s">
        <v>17</v>
      </c>
      <c r="J408" s="357"/>
      <c r="K408" s="357"/>
      <c r="L408" s="357"/>
      <c r="M408" s="357"/>
      <c r="N408" s="357"/>
      <c r="O408" s="357"/>
      <c r="P408" s="357"/>
      <c r="Q408" s="357"/>
      <c r="R408" s="357"/>
      <c r="S408" s="357"/>
      <c r="T408" s="357"/>
      <c r="U408" s="357"/>
      <c r="V408" s="357"/>
      <c r="W408" s="357"/>
      <c r="X408" s="357"/>
      <c r="Y408" s="357"/>
      <c r="Z408" s="357"/>
      <c r="AA408" s="357"/>
      <c r="AB408" s="357"/>
      <c r="AC408" s="357"/>
      <c r="AD408" s="357"/>
      <c r="AE408" s="357"/>
      <c r="AF408" s="357"/>
      <c r="AG408" s="357"/>
      <c r="AH408" s="357"/>
      <c r="AI408" s="357"/>
      <c r="AJ408" s="333"/>
      <c r="AK408" s="333"/>
      <c r="AL408" s="333"/>
      <c r="AM408" s="333"/>
    </row>
    <row r="409" spans="2:39" s="316" customFormat="1" ht="26.25" customHeight="1" x14ac:dyDescent="0.2">
      <c r="B409" s="340" t="str">
        <f t="array" ref="B409">IF(ISERROR(INDEX('Eingabe Meldungen'!$C$2:$C$492,LARGE(('Eingabe Meldungen'!$A$2:$A$492=$B$407)*(ROW('Eingabe Meldungen'!$A$2:$A$492)-1),COUNTIF('Eingabe Meldungen'!$A$2:$A$492,$B$407)+1-ROW('Eingabe Meldungen'!A1)))),"",INDEX('Eingabe Meldungen'!$C$2:$C$492,LARGE(('Eingabe Meldungen'!$A$2:$A$492=$B$407)*(ROW('Eingabe Meldungen'!$A$2:$A$492)-1),COUNTIF('Eingabe Meldungen'!$A$2:$A$492,$B$407)+1-ROW('Eingabe Meldungen'!A1))))</f>
        <v>Marquardt</v>
      </c>
      <c r="C409" s="316" t="str">
        <f t="array" ref="C409">IF(ISERROR(INDEX('Eingabe Meldungen'!$D$2:$D$492,LARGE(('Eingabe Meldungen'!$A$2:$A$492=$B$407)*(ROW('Eingabe Meldungen'!$A$2:$A$492)-1),COUNTIF('Eingabe Meldungen'!$A$2:$A$492,$B$407)+1-ROW('Eingabe Meldungen'!A1)))),"",INDEX('Eingabe Meldungen'!$D$2:$D$492,LARGE(('Eingabe Meldungen'!$A$2:$A$492=$B$407)*(ROW('Eingabe Meldungen'!$A$2:$A$492)-1),COUNTIF('Eingabe Meldungen'!$A$2:$A$492,$B$407)+1-ROW('Eingabe Meldungen'!A1))))</f>
        <v>Linda</v>
      </c>
      <c r="D409" s="341">
        <f t="array" ref="D409">IF(B409&lt;&gt;"",INDEX('Eingabe Meldungen'!$C$2:$H$492,MATCH(B409&amp;C409,'Eingabe Meldungen'!$C$2:$C$492&amp;'Eingabe Meldungen'!$D$2:$D$492,0),6),"")</f>
        <v>1995</v>
      </c>
      <c r="E409" s="382" t="str">
        <f t="array" ref="E409">IF(B409&lt;&gt;"",INDEX('Eingabe Meldungen'!$C$2:$H$492,MATCH(B409&amp;C409,'Eingabe Meldungen'!$C$2:$C$492&amp;'Eingabe Meldungen'!$D$2:$D$492,0),4),"")</f>
        <v>-</v>
      </c>
      <c r="F409" s="358" t="e">
        <f>IF(VLOOKUP(B409,Rennlisten!#REF!,6,FALSE)=0,"",VLOOKUP(B409,Rennlisten!#REF!,6,FALSE))</f>
        <v>#REF!</v>
      </c>
      <c r="G409" s="333" t="e">
        <f>RANK(F409,$F$409:$F$424,1)</f>
        <v>#REF!</v>
      </c>
      <c r="H409" s="343" t="str">
        <f t="array" ref="H409">IF(B409&lt;&gt;"",INDEX('Eingabe Meldungen'!$C$2:$J$492,MATCH(B409&amp;C409,'Eingabe Meldungen'!$C$2:$C$492&amp;'Eingabe Meldungen'!$D$2:$D$492,0),8),"")</f>
        <v>Ruderverein Bad Wimpfen</v>
      </c>
      <c r="J409" s="357"/>
      <c r="K409" s="357"/>
      <c r="L409" s="357"/>
      <c r="M409" s="357"/>
      <c r="N409" s="357"/>
      <c r="O409" s="357"/>
      <c r="P409" s="357"/>
      <c r="Q409" s="357"/>
      <c r="R409" s="357"/>
      <c r="S409" s="357"/>
      <c r="T409" s="357"/>
      <c r="U409" s="357"/>
      <c r="V409" s="357"/>
      <c r="W409" s="357"/>
      <c r="X409" s="357"/>
      <c r="Y409" s="357"/>
      <c r="Z409" s="357"/>
      <c r="AA409" s="357"/>
      <c r="AB409" s="357"/>
      <c r="AC409" s="357"/>
      <c r="AD409" s="357"/>
      <c r="AE409" s="357"/>
      <c r="AF409" s="357"/>
      <c r="AG409" s="357"/>
      <c r="AH409" s="357"/>
      <c r="AI409" s="357"/>
      <c r="AJ409" s="333"/>
      <c r="AK409" s="333"/>
      <c r="AL409" s="333"/>
      <c r="AM409" s="333"/>
    </row>
    <row r="410" spans="2:39" s="316" customFormat="1" ht="26.25" customHeight="1" x14ac:dyDescent="0.2">
      <c r="B410" s="340" t="str">
        <f t="array" ref="B410">IF(ISERROR(INDEX('Eingabe Meldungen'!$C$2:$C$492,LARGE(('Eingabe Meldungen'!$A$2:$A$492=$B$407)*(ROW('Eingabe Meldungen'!$A$2:$A$492)-1),COUNTIF('Eingabe Meldungen'!$A$2:$A$492,$B$407)+1-ROW('Eingabe Meldungen'!A2)))),"",INDEX('Eingabe Meldungen'!$C$2:$C$492,LARGE(('Eingabe Meldungen'!$A$2:$A$492=$B$407)*(ROW('Eingabe Meldungen'!$A$2:$A$492)-1),COUNTIF('Eingabe Meldungen'!$A$2:$A$492,$B$407)+1-ROW('Eingabe Meldungen'!A2))))</f>
        <v>Jendrozek</v>
      </c>
      <c r="C410" s="316" t="str">
        <f t="array" ref="C410">IF(ISERROR(INDEX('Eingabe Meldungen'!$D$2:$D$492,LARGE(('Eingabe Meldungen'!$A$2:$A$492=$B$407)*(ROW('Eingabe Meldungen'!$A$2:$A$492)-1),COUNTIF('Eingabe Meldungen'!$A$2:$A$492,$B$407)+1-ROW('Eingabe Meldungen'!A2)))),"",INDEX('Eingabe Meldungen'!$D$2:$D$492,LARGE(('Eingabe Meldungen'!$A$2:$A$492=$B$407)*(ROW('Eingabe Meldungen'!$A$2:$A$492)-1),COUNTIF('Eingabe Meldungen'!$A$2:$A$492,$B$407)+1-ROW('Eingabe Meldungen'!A2))))</f>
        <v>Luisa</v>
      </c>
      <c r="D410" s="341">
        <f t="array" ref="D410">IF(B410&lt;&gt;"",INDEX('Eingabe Meldungen'!$C$2:$H$492,MATCH(B410&amp;C410,'Eingabe Meldungen'!$C$2:$C$492&amp;'Eingabe Meldungen'!$D$2:$D$492,0),6),"")</f>
        <v>1998</v>
      </c>
      <c r="E410" s="382" t="str">
        <f t="array" ref="E410">IF(B410&lt;&gt;"",INDEX('Eingabe Meldungen'!$C$2:$H$492,MATCH(B410&amp;C410,'Eingabe Meldungen'!$C$2:$C$492&amp;'Eingabe Meldungen'!$D$2:$D$492,0),4),"")</f>
        <v>-</v>
      </c>
      <c r="F410" s="358" t="e">
        <f>IF(VLOOKUP(B410,Rennlisten!#REF!,6,FALSE)=0,"",VLOOKUP(B410,Rennlisten!#REF!,6,FALSE))</f>
        <v>#REF!</v>
      </c>
      <c r="G410" s="333" t="e">
        <f t="shared" ref="G410:G421" si="44">RANK(F410,$F$409:$F$424,1)</f>
        <v>#REF!</v>
      </c>
      <c r="H410" s="343" t="str">
        <f t="array" ref="H410">IF(B410&lt;&gt;"",INDEX('Eingabe Meldungen'!$C$2:$J$492,MATCH(B410&amp;C410,'Eingabe Meldungen'!$C$2:$C$492&amp;'Eingabe Meldungen'!$D$2:$D$492,0),8),"")</f>
        <v>Stuttgarter RG</v>
      </c>
      <c r="J410" s="357"/>
      <c r="K410" s="357"/>
      <c r="L410" s="357"/>
      <c r="M410" s="357"/>
      <c r="N410" s="357"/>
      <c r="O410" s="357"/>
      <c r="P410" s="357"/>
      <c r="Q410" s="357"/>
      <c r="R410" s="357"/>
      <c r="S410" s="357"/>
      <c r="T410" s="357"/>
      <c r="U410" s="357"/>
      <c r="V410" s="357"/>
      <c r="W410" s="357"/>
      <c r="X410" s="357"/>
      <c r="Y410" s="357"/>
      <c r="Z410" s="357"/>
      <c r="AA410" s="357"/>
      <c r="AB410" s="357"/>
      <c r="AC410" s="357"/>
      <c r="AD410" s="357"/>
      <c r="AE410" s="357"/>
      <c r="AF410" s="357"/>
      <c r="AG410" s="357"/>
      <c r="AH410" s="357"/>
      <c r="AI410" s="357"/>
      <c r="AJ410" s="333"/>
      <c r="AK410" s="333"/>
      <c r="AL410" s="333"/>
      <c r="AM410" s="333"/>
    </row>
    <row r="411" spans="2:39" s="316" customFormat="1" ht="26.25" customHeight="1" x14ac:dyDescent="0.2">
      <c r="J411" s="357"/>
      <c r="K411" s="357"/>
      <c r="L411" s="357"/>
      <c r="M411" s="357"/>
      <c r="N411" s="357"/>
      <c r="O411" s="357"/>
      <c r="P411" s="357"/>
      <c r="Q411" s="357"/>
      <c r="R411" s="357"/>
      <c r="S411" s="357"/>
      <c r="T411" s="357"/>
      <c r="U411" s="357"/>
      <c r="V411" s="357"/>
      <c r="W411" s="357"/>
      <c r="X411" s="357"/>
      <c r="Y411" s="357"/>
      <c r="Z411" s="357"/>
      <c r="AA411" s="357"/>
      <c r="AB411" s="357"/>
      <c r="AC411" s="357"/>
      <c r="AD411" s="357"/>
      <c r="AE411" s="357"/>
      <c r="AF411" s="357"/>
      <c r="AG411" s="357"/>
      <c r="AH411" s="357"/>
      <c r="AI411" s="357"/>
      <c r="AJ411" s="333"/>
      <c r="AK411" s="333"/>
      <c r="AL411" s="333"/>
      <c r="AM411" s="333"/>
    </row>
    <row r="412" spans="2:39" s="316" customFormat="1" ht="26.25" customHeight="1" x14ac:dyDescent="0.2">
      <c r="B412" s="340" t="str">
        <f t="array" ref="B412">IF(ISERROR(INDEX('Eingabe Meldungen'!$C$2:$C$492,LARGE(('Eingabe Meldungen'!$A$2:$A$492=$B$407)*(ROW('Eingabe Meldungen'!$A$2:$A$492)-1),COUNTIF('Eingabe Meldungen'!$A$2:$A$492,$B$407)+1-ROW('Eingabe Meldungen'!A4)))),"",INDEX('Eingabe Meldungen'!$C$2:$C$492,LARGE(('Eingabe Meldungen'!$A$2:$A$492=$B$407)*(ROW('Eingabe Meldungen'!$A$2:$A$492)-1),COUNTIF('Eingabe Meldungen'!$A$2:$A$492,$B$407)+1-ROW('Eingabe Meldungen'!A4))))</f>
        <v/>
      </c>
      <c r="C412" s="316" t="str">
        <f t="array" ref="C412">IF(ISERROR(INDEX('Eingabe Meldungen'!$D$2:$D$492,LARGE(('Eingabe Meldungen'!$A$2:$A$492=$B$407)*(ROW('Eingabe Meldungen'!$A$2:$A$492)-1),COUNTIF('Eingabe Meldungen'!$A$2:$A$492,$B$407)+1-ROW('Eingabe Meldungen'!A4)))),"",INDEX('Eingabe Meldungen'!$D$2:$D$492,LARGE(('Eingabe Meldungen'!$A$2:$A$492=$B$407)*(ROW('Eingabe Meldungen'!$A$2:$A$492)-1),COUNTIF('Eingabe Meldungen'!$A$2:$A$492,$B$407)+1-ROW('Eingabe Meldungen'!A4))))</f>
        <v/>
      </c>
      <c r="D412" s="341" t="str">
        <f t="array" ref="D412">IF(B412&lt;&gt;"",INDEX('Eingabe Meldungen'!$C$2:$H$492,MATCH(B412&amp;C412,'Eingabe Meldungen'!$C$2:$C$492&amp;'Eingabe Meldungen'!$D$2:$D$492,0),6),"")</f>
        <v/>
      </c>
      <c r="E412" s="382" t="str">
        <f t="array" ref="E412">IF(B412&lt;&gt;"",INDEX('Eingabe Meldungen'!$C$2:$H$492,MATCH(B412&amp;C412,'Eingabe Meldungen'!$C$2:$C$492&amp;'Eingabe Meldungen'!$D$2:$D$492,0),4),"")</f>
        <v/>
      </c>
      <c r="F412" s="358" t="e">
        <f>IF(VLOOKUP(B412,Rennlisten!#REF!,6,FALSE)=0,"",VLOOKUP(B412,Rennlisten!#REF!,6,FALSE))</f>
        <v>#REF!</v>
      </c>
      <c r="G412" s="333" t="e">
        <f t="shared" si="44"/>
        <v>#REF!</v>
      </c>
      <c r="H412" s="343" t="str">
        <f t="array" ref="H412">IF(B412&lt;&gt;"",INDEX('Eingabe Meldungen'!$C$2:$J$492,MATCH(B412&amp;C412,'Eingabe Meldungen'!$C$2:$C$492&amp;'Eingabe Meldungen'!$D$2:$D$492,0),8),"")</f>
        <v/>
      </c>
      <c r="J412" s="357"/>
      <c r="K412" s="357"/>
      <c r="L412" s="357"/>
      <c r="M412" s="357"/>
      <c r="N412" s="357"/>
      <c r="O412" s="357"/>
      <c r="P412" s="357"/>
      <c r="Q412" s="357"/>
      <c r="R412" s="357"/>
      <c r="S412" s="357"/>
      <c r="T412" s="357"/>
      <c r="U412" s="357"/>
      <c r="V412" s="357"/>
      <c r="W412" s="357"/>
      <c r="X412" s="357"/>
      <c r="Y412" s="357"/>
      <c r="Z412" s="357"/>
      <c r="AA412" s="357"/>
      <c r="AB412" s="357"/>
      <c r="AC412" s="357"/>
      <c r="AD412" s="357"/>
      <c r="AE412" s="357"/>
      <c r="AF412" s="357"/>
      <c r="AG412" s="357"/>
      <c r="AH412" s="357"/>
      <c r="AI412" s="357"/>
      <c r="AJ412" s="333"/>
      <c r="AK412" s="333"/>
      <c r="AL412" s="333"/>
      <c r="AM412" s="333"/>
    </row>
    <row r="413" spans="2:39" s="316" customFormat="1" ht="26.25" customHeight="1" x14ac:dyDescent="0.2">
      <c r="B413" s="340" t="str">
        <f t="array" ref="B413">IF(ISERROR(INDEX('Eingabe Meldungen'!$C$2:$C$492,LARGE(('Eingabe Meldungen'!$A$2:$A$492=$B$407)*(ROW('Eingabe Meldungen'!$A$2:$A$492)-1),COUNTIF('Eingabe Meldungen'!$A$2:$A$492,$B$407)+1-ROW('Eingabe Meldungen'!A5)))),"",INDEX('Eingabe Meldungen'!$C$2:$C$492,LARGE(('Eingabe Meldungen'!$A$2:$A$492=$B$407)*(ROW('Eingabe Meldungen'!$A$2:$A$492)-1),COUNTIF('Eingabe Meldungen'!$A$2:$A$492,$B$407)+1-ROW('Eingabe Meldungen'!A5))))</f>
        <v/>
      </c>
      <c r="C413" s="316" t="str">
        <f t="array" ref="C413">IF(ISERROR(INDEX('Eingabe Meldungen'!$D$2:$D$492,LARGE(('Eingabe Meldungen'!$A$2:$A$492=$B$407)*(ROW('Eingabe Meldungen'!$A$2:$A$492)-1),COUNTIF('Eingabe Meldungen'!$A$2:$A$492,$B$407)+1-ROW('Eingabe Meldungen'!A5)))),"",INDEX('Eingabe Meldungen'!$D$2:$D$492,LARGE(('Eingabe Meldungen'!$A$2:$A$492=$B$407)*(ROW('Eingabe Meldungen'!$A$2:$A$492)-1),COUNTIF('Eingabe Meldungen'!$A$2:$A$492,$B$407)+1-ROW('Eingabe Meldungen'!A5))))</f>
        <v/>
      </c>
      <c r="D413" s="341" t="str">
        <f t="array" ref="D413">IF(B413&lt;&gt;"",INDEX('Eingabe Meldungen'!$C$2:$H$492,MATCH(B413&amp;C413,'Eingabe Meldungen'!$C$2:$C$492&amp;'Eingabe Meldungen'!$D$2:$D$492,0),6),"")</f>
        <v/>
      </c>
      <c r="E413" s="382" t="str">
        <f t="array" ref="E413">IF(B413&lt;&gt;"",INDEX('Eingabe Meldungen'!$C$2:$H$492,MATCH(B413&amp;C413,'Eingabe Meldungen'!$C$2:$C$492&amp;'Eingabe Meldungen'!$D$2:$D$492,0),4),"")</f>
        <v/>
      </c>
      <c r="F413" s="358" t="e">
        <f>IF(VLOOKUP(B413,Rennlisten!#REF!,6,FALSE)=0,"",VLOOKUP(B413,Rennlisten!#REF!,6,FALSE))</f>
        <v>#REF!</v>
      </c>
      <c r="G413" s="333" t="e">
        <f t="shared" si="44"/>
        <v>#REF!</v>
      </c>
      <c r="H413" s="343" t="str">
        <f t="array" ref="H413">IF(B413&lt;&gt;"",INDEX('Eingabe Meldungen'!$C$2:$J$492,MATCH(B413&amp;C413,'Eingabe Meldungen'!$C$2:$C$492&amp;'Eingabe Meldungen'!$D$2:$D$492,0),8),"")</f>
        <v/>
      </c>
      <c r="J413" s="357"/>
      <c r="K413" s="357"/>
      <c r="L413" s="357"/>
      <c r="M413" s="357"/>
      <c r="N413" s="357"/>
      <c r="O413" s="357"/>
      <c r="P413" s="357"/>
      <c r="Q413" s="357"/>
      <c r="R413" s="357"/>
      <c r="S413" s="357"/>
      <c r="T413" s="357"/>
      <c r="U413" s="357"/>
      <c r="V413" s="357"/>
      <c r="W413" s="357"/>
      <c r="X413" s="357"/>
      <c r="Y413" s="357"/>
      <c r="Z413" s="357"/>
      <c r="AA413" s="357"/>
      <c r="AB413" s="357"/>
      <c r="AC413" s="357"/>
      <c r="AD413" s="357"/>
      <c r="AE413" s="357"/>
      <c r="AF413" s="357"/>
      <c r="AG413" s="357"/>
      <c r="AH413" s="357"/>
      <c r="AI413" s="357"/>
      <c r="AJ413" s="333"/>
      <c r="AK413" s="333"/>
      <c r="AL413" s="333"/>
      <c r="AM413" s="333"/>
    </row>
    <row r="414" spans="2:39" s="316" customFormat="1" ht="26.25" customHeight="1" x14ac:dyDescent="0.2">
      <c r="B414" s="340" t="str">
        <f t="array" ref="B414">IF(ISERROR(INDEX('Eingabe Meldungen'!$C$2:$C$492,LARGE(('Eingabe Meldungen'!$A$2:$A$492=$B$407)*(ROW('Eingabe Meldungen'!$A$2:$A$492)-1),COUNTIF('Eingabe Meldungen'!$A$2:$A$492,$B$407)+1-ROW('Eingabe Meldungen'!A6)))),"",INDEX('Eingabe Meldungen'!$C$2:$C$492,LARGE(('Eingabe Meldungen'!$A$2:$A$492=$B$407)*(ROW('Eingabe Meldungen'!$A$2:$A$492)-1),COUNTIF('Eingabe Meldungen'!$A$2:$A$492,$B$407)+1-ROW('Eingabe Meldungen'!A6))))</f>
        <v/>
      </c>
      <c r="C414" s="316" t="str">
        <f t="array" ref="C414">IF(ISERROR(INDEX('Eingabe Meldungen'!$D$2:$D$492,LARGE(('Eingabe Meldungen'!$A$2:$A$492=$B$407)*(ROW('Eingabe Meldungen'!$A$2:$A$492)-1),COUNTIF('Eingabe Meldungen'!$A$2:$A$492,$B$407)+1-ROW('Eingabe Meldungen'!A6)))),"",INDEX('Eingabe Meldungen'!$D$2:$D$492,LARGE(('Eingabe Meldungen'!$A$2:$A$492=$B$407)*(ROW('Eingabe Meldungen'!$A$2:$A$492)-1),COUNTIF('Eingabe Meldungen'!$A$2:$A$492,$B$407)+1-ROW('Eingabe Meldungen'!A6))))</f>
        <v/>
      </c>
      <c r="D414" s="341" t="str">
        <f t="array" ref="D414">IF(B414&lt;&gt;"",INDEX('Eingabe Meldungen'!$C$2:$H$492,MATCH(B414&amp;C414,'Eingabe Meldungen'!$C$2:$C$492&amp;'Eingabe Meldungen'!$D$2:$D$492,0),6),"")</f>
        <v/>
      </c>
      <c r="E414" s="382" t="str">
        <f t="array" ref="E414">IF(B414&lt;&gt;"",INDEX('Eingabe Meldungen'!$C$2:$H$492,MATCH(B414&amp;C414,'Eingabe Meldungen'!$C$2:$C$492&amp;'Eingabe Meldungen'!$D$2:$D$492,0),4),"")</f>
        <v/>
      </c>
      <c r="F414" s="358" t="e">
        <f>IF(VLOOKUP(B414,Rennlisten!#REF!,6,FALSE)=0,"",VLOOKUP(B414,Rennlisten!#REF!,6,FALSE))</f>
        <v>#REF!</v>
      </c>
      <c r="G414" s="333" t="e">
        <f t="shared" si="44"/>
        <v>#REF!</v>
      </c>
      <c r="H414" s="343" t="str">
        <f t="array" ref="H414">IF(B414&lt;&gt;"",INDEX('Eingabe Meldungen'!$C$2:$J$492,MATCH(B414&amp;C414,'Eingabe Meldungen'!$C$2:$C$492&amp;'Eingabe Meldungen'!$D$2:$D$492,0),8),"")</f>
        <v/>
      </c>
      <c r="J414" s="357"/>
      <c r="K414" s="357"/>
      <c r="L414" s="357"/>
      <c r="M414" s="357"/>
      <c r="N414" s="357"/>
      <c r="O414" s="357"/>
      <c r="P414" s="357"/>
      <c r="Q414" s="357"/>
      <c r="R414" s="357"/>
      <c r="S414" s="357"/>
      <c r="T414" s="357"/>
      <c r="U414" s="357"/>
      <c r="V414" s="357"/>
      <c r="W414" s="357"/>
      <c r="X414" s="357"/>
      <c r="Y414" s="357"/>
      <c r="Z414" s="357"/>
      <c r="AA414" s="357"/>
      <c r="AB414" s="357"/>
      <c r="AC414" s="357"/>
      <c r="AD414" s="357"/>
      <c r="AE414" s="357"/>
      <c r="AF414" s="357"/>
      <c r="AG414" s="357"/>
      <c r="AH414" s="357"/>
      <c r="AI414" s="357"/>
      <c r="AJ414" s="333"/>
      <c r="AK414" s="333"/>
      <c r="AL414" s="333"/>
      <c r="AM414" s="333"/>
    </row>
    <row r="415" spans="2:39" s="316" customFormat="1" ht="26.25" customHeight="1" x14ac:dyDescent="0.2">
      <c r="B415" s="340" t="str">
        <f t="array" ref="B415">IF(ISERROR(INDEX('Eingabe Meldungen'!$C$2:$C$492,LARGE(('Eingabe Meldungen'!$A$2:$A$492=$B$407)*(ROW('Eingabe Meldungen'!$A$2:$A$492)-1),COUNTIF('Eingabe Meldungen'!$A$2:$A$492,$B$407)+1-ROW('Eingabe Meldungen'!A7)))),"",INDEX('Eingabe Meldungen'!$C$2:$C$492,LARGE(('Eingabe Meldungen'!$A$2:$A$492=$B$407)*(ROW('Eingabe Meldungen'!$A$2:$A$492)-1),COUNTIF('Eingabe Meldungen'!$A$2:$A$492,$B$407)+1-ROW('Eingabe Meldungen'!A7))))</f>
        <v/>
      </c>
      <c r="C415" s="316" t="str">
        <f t="array" ref="C415">IF(ISERROR(INDEX('Eingabe Meldungen'!$D$2:$D$492,LARGE(('Eingabe Meldungen'!$A$2:$A$492=$B$407)*(ROW('Eingabe Meldungen'!$A$2:$A$492)-1),COUNTIF('Eingabe Meldungen'!$A$2:$A$492,$B$407)+1-ROW('Eingabe Meldungen'!A7)))),"",INDEX('Eingabe Meldungen'!$D$2:$D$492,LARGE(('Eingabe Meldungen'!$A$2:$A$492=$B$407)*(ROW('Eingabe Meldungen'!$A$2:$A$492)-1),COUNTIF('Eingabe Meldungen'!$A$2:$A$492,$B$407)+1-ROW('Eingabe Meldungen'!A7))))</f>
        <v/>
      </c>
      <c r="D415" s="341" t="str">
        <f t="array" ref="D415">IF(B415&lt;&gt;"",INDEX('Eingabe Meldungen'!$C$2:$H$492,MATCH(B415&amp;C415,'Eingabe Meldungen'!$C$2:$C$492&amp;'Eingabe Meldungen'!$D$2:$D$492,0),6),"")</f>
        <v/>
      </c>
      <c r="E415" s="382" t="str">
        <f t="array" ref="E415">IF(B415&lt;&gt;"",INDEX('Eingabe Meldungen'!$C$2:$H$492,MATCH(B415&amp;C415,'Eingabe Meldungen'!$C$2:$C$492&amp;'Eingabe Meldungen'!$D$2:$D$492,0),4),"")</f>
        <v/>
      </c>
      <c r="F415" s="358" t="e">
        <f>IF(VLOOKUP(B415,Rennlisten!#REF!,6,FALSE)=0,"",VLOOKUP(B415,Rennlisten!#REF!,6,FALSE))</f>
        <v>#REF!</v>
      </c>
      <c r="G415" s="333" t="e">
        <f t="shared" si="44"/>
        <v>#REF!</v>
      </c>
      <c r="H415" s="343" t="str">
        <f t="array" ref="H415">IF(B415&lt;&gt;"",INDEX('Eingabe Meldungen'!$C$2:$J$492,MATCH(B415&amp;C415,'Eingabe Meldungen'!$C$2:$C$492&amp;'Eingabe Meldungen'!$D$2:$D$492,0),8),"")</f>
        <v/>
      </c>
      <c r="J415" s="357"/>
      <c r="K415" s="357"/>
      <c r="L415" s="357"/>
      <c r="M415" s="357"/>
      <c r="N415" s="357"/>
      <c r="O415" s="357"/>
      <c r="P415" s="357"/>
      <c r="Q415" s="357"/>
      <c r="R415" s="357"/>
      <c r="S415" s="357"/>
      <c r="T415" s="357"/>
      <c r="U415" s="357"/>
      <c r="V415" s="357"/>
      <c r="W415" s="357"/>
      <c r="X415" s="357"/>
      <c r="Y415" s="357"/>
      <c r="Z415" s="357"/>
      <c r="AA415" s="357"/>
      <c r="AB415" s="357"/>
      <c r="AC415" s="357"/>
      <c r="AD415" s="357"/>
      <c r="AE415" s="357"/>
      <c r="AF415" s="357"/>
      <c r="AG415" s="357"/>
      <c r="AH415" s="357"/>
      <c r="AI415" s="357"/>
      <c r="AJ415" s="333"/>
      <c r="AK415" s="333"/>
      <c r="AL415" s="333"/>
      <c r="AM415" s="333"/>
    </row>
    <row r="416" spans="2:39" s="316" customFormat="1" ht="26.25" customHeight="1" x14ac:dyDescent="0.2">
      <c r="B416" s="340" t="str">
        <f t="array" ref="B416">IF(ISERROR(INDEX('Eingabe Meldungen'!$C$2:$C$492,LARGE(('Eingabe Meldungen'!$A$2:$A$492=$B$407)*(ROW('Eingabe Meldungen'!$A$2:$A$492)-1),COUNTIF('Eingabe Meldungen'!$A$2:$A$492,$B$407)+1-ROW('Eingabe Meldungen'!A8)))),"",INDEX('Eingabe Meldungen'!$C$2:$C$492,LARGE(('Eingabe Meldungen'!$A$2:$A$492=$B$407)*(ROW('Eingabe Meldungen'!$A$2:$A$492)-1),COUNTIF('Eingabe Meldungen'!$A$2:$A$492,$B$407)+1-ROW('Eingabe Meldungen'!A8))))</f>
        <v/>
      </c>
      <c r="C416" s="316" t="str">
        <f t="array" ref="C416">IF(ISERROR(INDEX('Eingabe Meldungen'!$D$2:$D$492,LARGE(('Eingabe Meldungen'!$A$2:$A$492=$B$407)*(ROW('Eingabe Meldungen'!$A$2:$A$492)-1),COUNTIF('Eingabe Meldungen'!$A$2:$A$492,$B$407)+1-ROW('Eingabe Meldungen'!A8)))),"",INDEX('Eingabe Meldungen'!$D$2:$D$492,LARGE(('Eingabe Meldungen'!$A$2:$A$492=$B$407)*(ROW('Eingabe Meldungen'!$A$2:$A$492)-1),COUNTIF('Eingabe Meldungen'!$A$2:$A$492,$B$407)+1-ROW('Eingabe Meldungen'!A8))))</f>
        <v/>
      </c>
      <c r="D416" s="341" t="str">
        <f t="array" ref="D416">IF(B416&lt;&gt;"",INDEX('Eingabe Meldungen'!$C$2:$H$492,MATCH(B416&amp;C416,'Eingabe Meldungen'!$C$2:$C$492&amp;'Eingabe Meldungen'!$D$2:$D$492,0),6),"")</f>
        <v/>
      </c>
      <c r="E416" s="382" t="str">
        <f t="array" ref="E416">IF(B416&lt;&gt;"",INDEX('Eingabe Meldungen'!$C$2:$H$492,MATCH(B416&amp;C416,'Eingabe Meldungen'!$C$2:$C$492&amp;'Eingabe Meldungen'!$D$2:$D$492,0),4),"")</f>
        <v/>
      </c>
      <c r="F416" s="358" t="e">
        <f>IF(VLOOKUP(B416,Rennlisten!#REF!,6,FALSE)=0,"",VLOOKUP(B416,Rennlisten!#REF!,6,FALSE))</f>
        <v>#REF!</v>
      </c>
      <c r="G416" s="333" t="e">
        <f t="shared" si="44"/>
        <v>#REF!</v>
      </c>
      <c r="H416" s="343" t="str">
        <f t="array" ref="H416">IF(B416&lt;&gt;"",INDEX('Eingabe Meldungen'!$C$2:$J$492,MATCH(B416&amp;C416,'Eingabe Meldungen'!$C$2:$C$492&amp;'Eingabe Meldungen'!$D$2:$D$492,0),8),"")</f>
        <v/>
      </c>
      <c r="J416" s="357"/>
      <c r="K416" s="357"/>
      <c r="L416" s="357"/>
      <c r="M416" s="357"/>
      <c r="N416" s="357"/>
      <c r="O416" s="357"/>
      <c r="P416" s="357"/>
      <c r="Q416" s="357"/>
      <c r="R416" s="357"/>
      <c r="S416" s="357"/>
      <c r="T416" s="357"/>
      <c r="U416" s="357"/>
      <c r="V416" s="357"/>
      <c r="W416" s="357"/>
      <c r="X416" s="357"/>
      <c r="Y416" s="357"/>
      <c r="Z416" s="357"/>
      <c r="AA416" s="357"/>
      <c r="AB416" s="357"/>
      <c r="AC416" s="357"/>
      <c r="AD416" s="357"/>
      <c r="AE416" s="357"/>
      <c r="AF416" s="357"/>
      <c r="AG416" s="357"/>
      <c r="AH416" s="357"/>
      <c r="AI416" s="357"/>
      <c r="AJ416" s="333"/>
      <c r="AK416" s="333"/>
      <c r="AL416" s="333"/>
      <c r="AM416" s="333"/>
    </row>
    <row r="417" spans="2:39" s="316" customFormat="1" ht="26.25" customHeight="1" x14ac:dyDescent="0.2">
      <c r="B417" s="340" t="str">
        <f t="array" ref="B417">IF(ISERROR(INDEX('Eingabe Meldungen'!$C$2:$C$492,LARGE(('Eingabe Meldungen'!$A$2:$A$492=$B$407)*(ROW('Eingabe Meldungen'!$A$2:$A$492)-1),COUNTIF('Eingabe Meldungen'!$A$2:$A$492,$B$407)+1-ROW('Eingabe Meldungen'!A9)))),"",INDEX('Eingabe Meldungen'!$C$2:$C$492,LARGE(('Eingabe Meldungen'!$A$2:$A$492=$B$407)*(ROW('Eingabe Meldungen'!$A$2:$A$492)-1),COUNTIF('Eingabe Meldungen'!$A$2:$A$492,$B$407)+1-ROW('Eingabe Meldungen'!A9))))</f>
        <v/>
      </c>
      <c r="C417" s="316" t="str">
        <f t="array" ref="C417">IF(ISERROR(INDEX('Eingabe Meldungen'!$D$2:$D$492,LARGE(('Eingabe Meldungen'!$A$2:$A$492=$B$407)*(ROW('Eingabe Meldungen'!$A$2:$A$492)-1),COUNTIF('Eingabe Meldungen'!$A$2:$A$492,$B$407)+1-ROW('Eingabe Meldungen'!A9)))),"",INDEX('Eingabe Meldungen'!$D$2:$D$492,LARGE(('Eingabe Meldungen'!$A$2:$A$492=$B$407)*(ROW('Eingabe Meldungen'!$A$2:$A$492)-1),COUNTIF('Eingabe Meldungen'!$A$2:$A$492,$B$407)+1-ROW('Eingabe Meldungen'!A9))))</f>
        <v/>
      </c>
      <c r="D417" s="341" t="str">
        <f t="array" ref="D417">IF(B417&lt;&gt;"",INDEX('Eingabe Meldungen'!$C$2:$H$492,MATCH(B417&amp;C417,'Eingabe Meldungen'!$C$2:$C$492&amp;'Eingabe Meldungen'!$D$2:$D$492,0),6),"")</f>
        <v/>
      </c>
      <c r="E417" s="382" t="str">
        <f t="array" ref="E417">IF(B417&lt;&gt;"",INDEX('Eingabe Meldungen'!$C$2:$H$492,MATCH(B417&amp;C417,'Eingabe Meldungen'!$C$2:$C$492&amp;'Eingabe Meldungen'!$D$2:$D$492,0),4),"")</f>
        <v/>
      </c>
      <c r="F417" s="358" t="e">
        <f>IF(VLOOKUP(B417,Rennlisten!#REF!,6,FALSE)=0,"",VLOOKUP(B417,Rennlisten!#REF!,6,FALSE))</f>
        <v>#REF!</v>
      </c>
      <c r="G417" s="333" t="e">
        <f t="shared" si="44"/>
        <v>#REF!</v>
      </c>
      <c r="H417" s="343" t="str">
        <f t="array" ref="H417">IF(B417&lt;&gt;"",INDEX('Eingabe Meldungen'!$C$2:$J$492,MATCH(B417&amp;C417,'Eingabe Meldungen'!$C$2:$C$492&amp;'Eingabe Meldungen'!$D$2:$D$492,0),8),"")</f>
        <v/>
      </c>
      <c r="J417" s="357"/>
      <c r="K417" s="357"/>
      <c r="L417" s="357"/>
      <c r="M417" s="357"/>
      <c r="N417" s="357"/>
      <c r="O417" s="357"/>
      <c r="P417" s="357"/>
      <c r="Q417" s="357"/>
      <c r="R417" s="357"/>
      <c r="S417" s="357"/>
      <c r="T417" s="357"/>
      <c r="U417" s="357"/>
      <c r="V417" s="357"/>
      <c r="W417" s="357"/>
      <c r="X417" s="357"/>
      <c r="Y417" s="357"/>
      <c r="Z417" s="357"/>
      <c r="AA417" s="357"/>
      <c r="AB417" s="357"/>
      <c r="AC417" s="357"/>
      <c r="AD417" s="357"/>
      <c r="AE417" s="357"/>
      <c r="AF417" s="357"/>
      <c r="AG417" s="357"/>
      <c r="AH417" s="357"/>
      <c r="AI417" s="357"/>
      <c r="AJ417" s="333"/>
      <c r="AK417" s="333"/>
      <c r="AL417" s="333"/>
      <c r="AM417" s="333"/>
    </row>
    <row r="418" spans="2:39" s="316" customFormat="1" ht="26.25" customHeight="1" x14ac:dyDescent="0.2">
      <c r="B418" s="340" t="str">
        <f t="array" ref="B418">IF(ISERROR(INDEX('Eingabe Meldungen'!$C$2:$C$492,LARGE(('Eingabe Meldungen'!$A$2:$A$492=$B$407)*(ROW('Eingabe Meldungen'!$A$2:$A$492)-1),COUNTIF('Eingabe Meldungen'!$A$2:$A$492,$B$407)+1-ROW('Eingabe Meldungen'!A10)))),"",INDEX('Eingabe Meldungen'!$C$2:$C$492,LARGE(('Eingabe Meldungen'!$A$2:$A$492=$B$407)*(ROW('Eingabe Meldungen'!$A$2:$A$492)-1),COUNTIF('Eingabe Meldungen'!$A$2:$A$492,$B$407)+1-ROW('Eingabe Meldungen'!A10))))</f>
        <v/>
      </c>
      <c r="C418" s="316" t="str">
        <f t="array" ref="C418">IF(ISERROR(INDEX('Eingabe Meldungen'!$D$2:$D$492,LARGE(('Eingabe Meldungen'!$A$2:$A$492=$B$407)*(ROW('Eingabe Meldungen'!$A$2:$A$492)-1),COUNTIF('Eingabe Meldungen'!$A$2:$A$492,$B$407)+1-ROW('Eingabe Meldungen'!A10)))),"",INDEX('Eingabe Meldungen'!$D$2:$D$492,LARGE(('Eingabe Meldungen'!$A$2:$A$492=$B$407)*(ROW('Eingabe Meldungen'!$A$2:$A$492)-1),COUNTIF('Eingabe Meldungen'!$A$2:$A$492,$B$407)+1-ROW('Eingabe Meldungen'!A10))))</f>
        <v/>
      </c>
      <c r="D418" s="341" t="str">
        <f t="array" ref="D418">IF(B418&lt;&gt;"",INDEX('Eingabe Meldungen'!$C$2:$H$492,MATCH(B418&amp;C418,'Eingabe Meldungen'!$C$2:$C$492&amp;'Eingabe Meldungen'!$D$2:$D$492,0),6),"")</f>
        <v/>
      </c>
      <c r="E418" s="382" t="str">
        <f t="array" ref="E418">IF(B418&lt;&gt;"",INDEX('Eingabe Meldungen'!$C$2:$H$492,MATCH(B418&amp;C418,'Eingabe Meldungen'!$C$2:$C$492&amp;'Eingabe Meldungen'!$D$2:$D$492,0),4),"")</f>
        <v/>
      </c>
      <c r="F418" s="358" t="e">
        <f>IF(VLOOKUP(B418,Rennlisten!#REF!,6,FALSE)=0,"",VLOOKUP(B418,Rennlisten!#REF!,6,FALSE))</f>
        <v>#REF!</v>
      </c>
      <c r="G418" s="333" t="e">
        <f t="shared" si="44"/>
        <v>#REF!</v>
      </c>
      <c r="H418" s="343" t="str">
        <f t="array" ref="H418">IF(B418&lt;&gt;"",INDEX('Eingabe Meldungen'!$C$2:$J$492,MATCH(B418&amp;C418,'Eingabe Meldungen'!$C$2:$C$492&amp;'Eingabe Meldungen'!$D$2:$D$492,0),8),"")</f>
        <v/>
      </c>
      <c r="J418" s="357"/>
      <c r="K418" s="357"/>
      <c r="L418" s="357"/>
      <c r="M418" s="357"/>
      <c r="N418" s="357"/>
      <c r="O418" s="357"/>
      <c r="P418" s="357"/>
      <c r="Q418" s="357"/>
      <c r="R418" s="357"/>
      <c r="S418" s="357"/>
      <c r="T418" s="357"/>
      <c r="U418" s="357"/>
      <c r="V418" s="357"/>
      <c r="W418" s="357"/>
      <c r="X418" s="357"/>
      <c r="Y418" s="357"/>
      <c r="Z418" s="357"/>
      <c r="AA418" s="357"/>
      <c r="AB418" s="357"/>
      <c r="AC418" s="357"/>
      <c r="AD418" s="357"/>
      <c r="AE418" s="357"/>
      <c r="AF418" s="357"/>
      <c r="AG418" s="357"/>
      <c r="AH418" s="357"/>
      <c r="AI418" s="357"/>
      <c r="AJ418" s="333"/>
      <c r="AK418" s="333"/>
      <c r="AL418" s="333"/>
      <c r="AM418" s="333"/>
    </row>
    <row r="419" spans="2:39" s="316" customFormat="1" ht="26.25" customHeight="1" x14ac:dyDescent="0.2">
      <c r="B419" s="340" t="str">
        <f t="array" ref="B419">IF(ISERROR(INDEX('Eingabe Meldungen'!$C$2:$C$492,LARGE(('Eingabe Meldungen'!$A$2:$A$492=$B$407)*(ROW('Eingabe Meldungen'!$A$2:$A$492)-1),COUNTIF('Eingabe Meldungen'!$A$2:$A$492,$B$407)+1-ROW('Eingabe Meldungen'!A11)))),"",INDEX('Eingabe Meldungen'!$C$2:$C$492,LARGE(('Eingabe Meldungen'!$A$2:$A$492=$B$407)*(ROW('Eingabe Meldungen'!$A$2:$A$492)-1),COUNTIF('Eingabe Meldungen'!$A$2:$A$492,$B$407)+1-ROW('Eingabe Meldungen'!A11))))</f>
        <v/>
      </c>
      <c r="C419" s="316" t="str">
        <f t="array" ref="C419">IF(ISERROR(INDEX('Eingabe Meldungen'!$D$2:$D$492,LARGE(('Eingabe Meldungen'!$A$2:$A$492=$B$407)*(ROW('Eingabe Meldungen'!$A$2:$A$492)-1),COUNTIF('Eingabe Meldungen'!$A$2:$A$492,$B$407)+1-ROW('Eingabe Meldungen'!A11)))),"",INDEX('Eingabe Meldungen'!$D$2:$D$492,LARGE(('Eingabe Meldungen'!$A$2:$A$492=$B$407)*(ROW('Eingabe Meldungen'!$A$2:$A$492)-1),COUNTIF('Eingabe Meldungen'!$A$2:$A$492,$B$407)+1-ROW('Eingabe Meldungen'!A11))))</f>
        <v/>
      </c>
      <c r="D419" s="341" t="str">
        <f t="array" ref="D419">IF(B419&lt;&gt;"",INDEX('Eingabe Meldungen'!$C$2:$H$492,MATCH(B419&amp;C419,'Eingabe Meldungen'!$C$2:$C$492&amp;'Eingabe Meldungen'!$D$2:$D$492,0),6),"")</f>
        <v/>
      </c>
      <c r="E419" s="382" t="str">
        <f t="array" ref="E419">IF(B419&lt;&gt;"",INDEX('Eingabe Meldungen'!$C$2:$H$492,MATCH(B419&amp;C419,'Eingabe Meldungen'!$C$2:$C$492&amp;'Eingabe Meldungen'!$D$2:$D$492,0),4),"")</f>
        <v/>
      </c>
      <c r="F419" s="358" t="e">
        <f>IF(VLOOKUP(B419,Rennlisten!#REF!,6,FALSE)=0,"",VLOOKUP(B419,Rennlisten!#REF!,6,FALSE))</f>
        <v>#REF!</v>
      </c>
      <c r="G419" s="333" t="e">
        <f t="shared" si="44"/>
        <v>#REF!</v>
      </c>
      <c r="H419" s="343" t="str">
        <f t="array" ref="H419">IF(B419&lt;&gt;"",INDEX('Eingabe Meldungen'!$C$2:$J$492,MATCH(B419&amp;C419,'Eingabe Meldungen'!$C$2:$C$492&amp;'Eingabe Meldungen'!$D$2:$D$492,0),8),"")</f>
        <v/>
      </c>
      <c r="J419" s="357"/>
      <c r="K419" s="357"/>
      <c r="L419" s="357"/>
      <c r="M419" s="357"/>
      <c r="N419" s="357"/>
      <c r="O419" s="357"/>
      <c r="P419" s="357"/>
      <c r="Q419" s="357"/>
      <c r="R419" s="357"/>
      <c r="S419" s="357"/>
      <c r="T419" s="357"/>
      <c r="U419" s="357"/>
      <c r="V419" s="357"/>
      <c r="W419" s="357"/>
      <c r="X419" s="357"/>
      <c r="Y419" s="357"/>
      <c r="Z419" s="357"/>
      <c r="AA419" s="357"/>
      <c r="AB419" s="357"/>
      <c r="AC419" s="357"/>
      <c r="AD419" s="357"/>
      <c r="AE419" s="357"/>
      <c r="AF419" s="357"/>
      <c r="AG419" s="357"/>
      <c r="AH419" s="357"/>
      <c r="AI419" s="357"/>
      <c r="AJ419" s="333"/>
      <c r="AK419" s="333"/>
      <c r="AL419" s="333"/>
      <c r="AM419" s="333"/>
    </row>
    <row r="420" spans="2:39" s="316" customFormat="1" ht="26.25" customHeight="1" x14ac:dyDescent="0.2">
      <c r="B420" s="340" t="str">
        <f t="array" ref="B420">IF(ISERROR(INDEX('Eingabe Meldungen'!$C$2:$C$492,LARGE(('Eingabe Meldungen'!$A$2:$A$492=$B$407)*(ROW('Eingabe Meldungen'!$A$2:$A$492)-1),COUNTIF('Eingabe Meldungen'!$A$2:$A$492,$B$407)+1-ROW('Eingabe Meldungen'!A12)))),"",INDEX('Eingabe Meldungen'!$C$2:$C$492,LARGE(('Eingabe Meldungen'!$A$2:$A$492=$B$407)*(ROW('Eingabe Meldungen'!$A$2:$A$492)-1),COUNTIF('Eingabe Meldungen'!$A$2:$A$492,$B$407)+1-ROW('Eingabe Meldungen'!A12))))</f>
        <v/>
      </c>
      <c r="C420" s="316" t="str">
        <f t="array" ref="C420">IF(ISERROR(INDEX('Eingabe Meldungen'!$D$2:$D$492,LARGE(('Eingabe Meldungen'!$A$2:$A$492=$B$407)*(ROW('Eingabe Meldungen'!$A$2:$A$492)-1),COUNTIF('Eingabe Meldungen'!$A$2:$A$492,$B$407)+1-ROW('Eingabe Meldungen'!A12)))),"",INDEX('Eingabe Meldungen'!$D$2:$D$492,LARGE(('Eingabe Meldungen'!$A$2:$A$492=$B$407)*(ROW('Eingabe Meldungen'!$A$2:$A$492)-1),COUNTIF('Eingabe Meldungen'!$A$2:$A$492,$B$407)+1-ROW('Eingabe Meldungen'!A12))))</f>
        <v/>
      </c>
      <c r="D420" s="341" t="str">
        <f t="array" ref="D420">IF(B420&lt;&gt;"",INDEX('Eingabe Meldungen'!$C$2:$H$492,MATCH(B420&amp;C420,'Eingabe Meldungen'!$C$2:$C$492&amp;'Eingabe Meldungen'!$D$2:$D$492,0),6),"")</f>
        <v/>
      </c>
      <c r="E420" s="382" t="str">
        <f t="array" ref="E420">IF(B420&lt;&gt;"",INDEX('Eingabe Meldungen'!$C$2:$H$492,MATCH(B420&amp;C420,'Eingabe Meldungen'!$C$2:$C$492&amp;'Eingabe Meldungen'!$D$2:$D$492,0),4),"")</f>
        <v/>
      </c>
      <c r="F420" s="358" t="e">
        <f>IF(VLOOKUP(B420,Rennlisten!#REF!,6,FALSE)=0,"",VLOOKUP(B420,Rennlisten!#REF!,6,FALSE))</f>
        <v>#REF!</v>
      </c>
      <c r="G420" s="333" t="e">
        <f>RANK(F420,$F$409:$F$424,1)</f>
        <v>#REF!</v>
      </c>
      <c r="H420" s="343" t="str">
        <f t="array" ref="H420">IF(B420&lt;&gt;"",INDEX('Eingabe Meldungen'!$C$2:$J$492,MATCH(B420&amp;C420,'Eingabe Meldungen'!$C$2:$C$492&amp;'Eingabe Meldungen'!$D$2:$D$492,0),8),"")</f>
        <v/>
      </c>
      <c r="J420" s="357"/>
      <c r="K420" s="357"/>
      <c r="L420" s="357"/>
      <c r="M420" s="357"/>
      <c r="N420" s="357"/>
      <c r="O420" s="357"/>
      <c r="P420" s="357"/>
      <c r="Q420" s="357"/>
      <c r="R420" s="357"/>
      <c r="S420" s="357"/>
      <c r="T420" s="357"/>
      <c r="U420" s="357"/>
      <c r="V420" s="357"/>
      <c r="W420" s="357"/>
      <c r="X420" s="357"/>
      <c r="Y420" s="357"/>
      <c r="Z420" s="357"/>
      <c r="AA420" s="357"/>
      <c r="AB420" s="357"/>
      <c r="AC420" s="357"/>
      <c r="AD420" s="357"/>
      <c r="AE420" s="357"/>
      <c r="AF420" s="357"/>
      <c r="AG420" s="357"/>
      <c r="AH420" s="357"/>
      <c r="AI420" s="357"/>
      <c r="AJ420" s="333"/>
      <c r="AK420" s="333"/>
      <c r="AL420" s="333"/>
      <c r="AM420" s="333"/>
    </row>
    <row r="421" spans="2:39" s="316" customFormat="1" ht="26.25" customHeight="1" x14ac:dyDescent="0.2">
      <c r="B421" s="340" t="str">
        <f t="array" ref="B421">IF(ISERROR(INDEX('Eingabe Meldungen'!$C$2:$C$492,LARGE(('Eingabe Meldungen'!$A$2:$A$492=$B$407)*(ROW('Eingabe Meldungen'!$A$2:$A$492)-1),COUNTIF('Eingabe Meldungen'!$A$2:$A$492,$B$407)+1-ROW('Eingabe Meldungen'!A13)))),"",INDEX('Eingabe Meldungen'!$C$2:$C$492,LARGE(('Eingabe Meldungen'!$A$2:$A$492=$B$407)*(ROW('Eingabe Meldungen'!$A$2:$A$492)-1),COUNTIF('Eingabe Meldungen'!$A$2:$A$492,$B$407)+1-ROW('Eingabe Meldungen'!A13))))</f>
        <v/>
      </c>
      <c r="C421" s="316" t="str">
        <f t="array" ref="C421">IF(ISERROR(INDEX('Eingabe Meldungen'!$D$2:$D$492,LARGE(('Eingabe Meldungen'!$A$2:$A$492=$B$407)*(ROW('Eingabe Meldungen'!$A$2:$A$492)-1),COUNTIF('Eingabe Meldungen'!$A$2:$A$492,$B$407)+1-ROW('Eingabe Meldungen'!A13)))),"",INDEX('Eingabe Meldungen'!$D$2:$D$492,LARGE(('Eingabe Meldungen'!$A$2:$A$492=$B$407)*(ROW('Eingabe Meldungen'!$A$2:$A$492)-1),COUNTIF('Eingabe Meldungen'!$A$2:$A$492,$B$407)+1-ROW('Eingabe Meldungen'!A13))))</f>
        <v/>
      </c>
      <c r="D421" s="341" t="str">
        <f t="array" ref="D421">IF(B421&lt;&gt;"",INDEX('Eingabe Meldungen'!$C$2:$H$492,MATCH(B421&amp;C421,'Eingabe Meldungen'!$C$2:$C$492&amp;'Eingabe Meldungen'!$D$2:$D$492,0),6),"")</f>
        <v/>
      </c>
      <c r="E421" s="382" t="str">
        <f t="array" ref="E421">IF(B421&lt;&gt;"",INDEX('Eingabe Meldungen'!$C$2:$H$492,MATCH(B421&amp;C421,'Eingabe Meldungen'!$C$2:$C$492&amp;'Eingabe Meldungen'!$D$2:$D$492,0),4),"")</f>
        <v/>
      </c>
      <c r="F421" s="358" t="e">
        <f>IF(VLOOKUP(B421,Rennlisten!#REF!,6,FALSE)=0,"",VLOOKUP(B421,Rennlisten!#REF!,6,FALSE))</f>
        <v>#REF!</v>
      </c>
      <c r="G421" s="333" t="e">
        <f t="shared" si="44"/>
        <v>#REF!</v>
      </c>
      <c r="H421" s="343" t="str">
        <f t="array" ref="H421">IF(B421&lt;&gt;"",INDEX('Eingabe Meldungen'!$C$2:$J$492,MATCH(B421&amp;C421,'Eingabe Meldungen'!$C$2:$C$492&amp;'Eingabe Meldungen'!$D$2:$D$492,0),8),"")</f>
        <v/>
      </c>
      <c r="J421" s="357"/>
      <c r="K421" s="357"/>
      <c r="L421" s="357"/>
      <c r="M421" s="357"/>
      <c r="N421" s="357"/>
      <c r="O421" s="357"/>
      <c r="P421" s="357"/>
      <c r="Q421" s="357"/>
      <c r="R421" s="357"/>
      <c r="S421" s="357"/>
      <c r="T421" s="357"/>
      <c r="U421" s="357"/>
      <c r="V421" s="357"/>
      <c r="W421" s="357"/>
      <c r="X421" s="357"/>
      <c r="Y421" s="357"/>
      <c r="Z421" s="357"/>
      <c r="AA421" s="357"/>
      <c r="AB421" s="357"/>
      <c r="AC421" s="357"/>
      <c r="AD421" s="357"/>
      <c r="AE421" s="357"/>
      <c r="AF421" s="357"/>
      <c r="AG421" s="357"/>
      <c r="AH421" s="357"/>
      <c r="AI421" s="357"/>
      <c r="AJ421" s="333"/>
      <c r="AK421" s="333"/>
      <c r="AL421" s="333"/>
      <c r="AM421" s="333"/>
    </row>
    <row r="422" spans="2:39" s="316" customFormat="1" ht="26.25" customHeight="1" x14ac:dyDescent="0.2">
      <c r="B422" s="340" t="str">
        <f t="array" ref="B422">IF(ISERROR(INDEX('Eingabe Meldungen'!$C$2:$C$492,LARGE(('Eingabe Meldungen'!$A$2:$A$492=$B$407)*(ROW('Eingabe Meldungen'!$A$2:$A$492)-1),COUNTIF('Eingabe Meldungen'!$A$2:$A$492,$B$407)+1-ROW('Eingabe Meldungen'!A15)))),"",INDEX('Eingabe Meldungen'!$C$2:$C$492,LARGE(('Eingabe Meldungen'!$A$2:$A$492=$B$407)*(ROW('Eingabe Meldungen'!$A$2:$A$492)-1),COUNTIF('Eingabe Meldungen'!$A$2:$A$492,$B$407)+1-ROW('Eingabe Meldungen'!A15))))</f>
        <v/>
      </c>
      <c r="C422" s="316" t="str">
        <f t="array" ref="C422">IF(ISERROR(INDEX('Eingabe Meldungen'!$D$2:$D$492,LARGE(('Eingabe Meldungen'!$A$2:$A$492=$B$407)*(ROW('Eingabe Meldungen'!$A$2:$A$492)-1),COUNTIF('Eingabe Meldungen'!$A$2:$A$492,$B$407)+1-ROW('Eingabe Meldungen'!A15)))),"",INDEX('Eingabe Meldungen'!$D$2:$D$492,LARGE(('Eingabe Meldungen'!$A$2:$A$492=$B$407)*(ROW('Eingabe Meldungen'!$A$2:$A$492)-1),COUNTIF('Eingabe Meldungen'!$A$2:$A$492,$B$407)+1-ROW('Eingabe Meldungen'!A15))))</f>
        <v/>
      </c>
      <c r="D422" s="341" t="str">
        <f t="array" ref="D422">IF(B422&lt;&gt;"",INDEX('Eingabe Meldungen'!$C$2:$H$492,MATCH(B422&amp;C422,'Eingabe Meldungen'!$C$2:$C$492&amp;'Eingabe Meldungen'!$D$2:$D$492,0),6),"")</f>
        <v/>
      </c>
      <c r="E422" s="382" t="str">
        <f t="array" ref="E422">IF(B422&lt;&gt;"",INDEX('Eingabe Meldungen'!$C$2:$H$492,MATCH(B422&amp;C422,'Eingabe Meldungen'!$C$2:$C$492&amp;'Eingabe Meldungen'!$D$2:$D$492,0),4),"")</f>
        <v/>
      </c>
      <c r="F422" s="358" t="e">
        <f>IF(VLOOKUP(B422,Rennlisten!#REF!,6,FALSE)=0,"",VLOOKUP(B422,Rennlisten!#REF!,6,FALSE))</f>
        <v>#REF!</v>
      </c>
      <c r="G422" s="333" t="e">
        <f t="shared" ref="G422:G424" si="45">RANK(F422,$F$409:$F$424,1)</f>
        <v>#REF!</v>
      </c>
      <c r="H422" s="343" t="str">
        <f t="array" ref="H422">IF(B422&lt;&gt;"",INDEX('Eingabe Meldungen'!$C$2:$J$492,MATCH(B422&amp;C422,'Eingabe Meldungen'!$C$2:$C$492&amp;'Eingabe Meldungen'!$D$2:$D$492,0),8),"")</f>
        <v/>
      </c>
      <c r="J422" s="357"/>
      <c r="K422" s="357"/>
      <c r="L422" s="357"/>
      <c r="M422" s="357"/>
      <c r="N422" s="357"/>
      <c r="O422" s="357"/>
      <c r="P422" s="357"/>
      <c r="Q422" s="357"/>
      <c r="R422" s="357"/>
      <c r="S422" s="357"/>
      <c r="T422" s="357"/>
      <c r="U422" s="357"/>
      <c r="V422" s="357"/>
      <c r="W422" s="357"/>
      <c r="X422" s="357"/>
      <c r="Y422" s="357"/>
      <c r="Z422" s="357"/>
      <c r="AA422" s="357"/>
      <c r="AB422" s="357"/>
      <c r="AC422" s="357"/>
      <c r="AD422" s="357"/>
      <c r="AE422" s="357"/>
      <c r="AF422" s="357"/>
      <c r="AG422" s="357"/>
      <c r="AH422" s="357"/>
      <c r="AI422" s="357"/>
      <c r="AJ422" s="333"/>
      <c r="AK422" s="333"/>
      <c r="AL422" s="333"/>
      <c r="AM422" s="333"/>
    </row>
    <row r="423" spans="2:39" s="316" customFormat="1" ht="26.25" customHeight="1" x14ac:dyDescent="0.2">
      <c r="B423" s="340" t="str">
        <f t="array" ref="B423">IF(ISERROR(INDEX('Eingabe Meldungen'!$C$2:$C$492,LARGE(('Eingabe Meldungen'!$A$2:$A$492=$B$407)*(ROW('Eingabe Meldungen'!$A$2:$A$492)-1),COUNTIF('Eingabe Meldungen'!$A$2:$A$492,$B$407)+1-ROW('Eingabe Meldungen'!A16)))),"",INDEX('Eingabe Meldungen'!$C$2:$C$492,LARGE(('Eingabe Meldungen'!$A$2:$A$492=$B$407)*(ROW('Eingabe Meldungen'!$A$2:$A$492)-1),COUNTIF('Eingabe Meldungen'!$A$2:$A$492,$B$407)+1-ROW('Eingabe Meldungen'!A16))))</f>
        <v/>
      </c>
      <c r="C423" s="316" t="str">
        <f t="array" ref="C423">IF(ISERROR(INDEX('Eingabe Meldungen'!$D$2:$D$492,LARGE(('Eingabe Meldungen'!$A$2:$A$492=$B$407)*(ROW('Eingabe Meldungen'!$A$2:$A$492)-1),COUNTIF('Eingabe Meldungen'!$A$2:$A$492,$B$407)+1-ROW('Eingabe Meldungen'!A16)))),"",INDEX('Eingabe Meldungen'!$D$2:$D$492,LARGE(('Eingabe Meldungen'!$A$2:$A$492=$B$407)*(ROW('Eingabe Meldungen'!$A$2:$A$492)-1),COUNTIF('Eingabe Meldungen'!$A$2:$A$492,$B$407)+1-ROW('Eingabe Meldungen'!A16))))</f>
        <v/>
      </c>
      <c r="D423" s="341" t="str">
        <f t="array" ref="D423">IF(B423&lt;&gt;"",INDEX('Eingabe Meldungen'!$C$2:$H$492,MATCH(B423&amp;C423,'Eingabe Meldungen'!$C$2:$C$492&amp;'Eingabe Meldungen'!$D$2:$D$492,0),6),"")</f>
        <v/>
      </c>
      <c r="E423" s="382" t="str">
        <f t="array" ref="E423">IF(B423&lt;&gt;"",INDEX('Eingabe Meldungen'!$C$2:$H$492,MATCH(B423&amp;C423,'Eingabe Meldungen'!$C$2:$C$492&amp;'Eingabe Meldungen'!$D$2:$D$492,0),4),"")</f>
        <v/>
      </c>
      <c r="F423" s="358" t="e">
        <f>IF(VLOOKUP(B423,Rennlisten!#REF!,6,FALSE)=0,"",VLOOKUP(B423,Rennlisten!#REF!,6,FALSE))</f>
        <v>#REF!</v>
      </c>
      <c r="G423" s="333" t="e">
        <f t="shared" si="45"/>
        <v>#REF!</v>
      </c>
      <c r="H423" s="343" t="str">
        <f t="array" ref="H423">IF(B423&lt;&gt;"",INDEX('Eingabe Meldungen'!$C$2:$J$492,MATCH(B423&amp;C423,'Eingabe Meldungen'!$C$2:$C$492&amp;'Eingabe Meldungen'!$D$2:$D$492,0),8),"")</f>
        <v/>
      </c>
      <c r="J423" s="357"/>
      <c r="K423" s="357"/>
      <c r="L423" s="357"/>
      <c r="M423" s="357"/>
      <c r="N423" s="357"/>
      <c r="O423" s="357"/>
      <c r="P423" s="357"/>
      <c r="Q423" s="357"/>
      <c r="R423" s="357"/>
      <c r="S423" s="357"/>
      <c r="T423" s="357"/>
      <c r="U423" s="357"/>
      <c r="V423" s="357"/>
      <c r="W423" s="357"/>
      <c r="X423" s="357"/>
      <c r="Y423" s="357"/>
      <c r="Z423" s="357"/>
      <c r="AA423" s="357"/>
      <c r="AB423" s="357"/>
      <c r="AC423" s="357"/>
      <c r="AD423" s="357"/>
      <c r="AE423" s="357"/>
      <c r="AF423" s="357"/>
      <c r="AG423" s="357"/>
      <c r="AH423" s="357"/>
      <c r="AI423" s="357"/>
      <c r="AJ423" s="333"/>
      <c r="AK423" s="333"/>
      <c r="AL423" s="333"/>
      <c r="AM423" s="333"/>
    </row>
    <row r="424" spans="2:39" s="316" customFormat="1" ht="26.25" customHeight="1" thickBot="1" x14ac:dyDescent="0.25">
      <c r="B424" s="344" t="str">
        <f t="array" ref="B424">IF(ISERROR(INDEX('Eingabe Meldungen'!$C$2:$C$492,LARGE(('Eingabe Meldungen'!$A$2:$A$492=$B$407)*(ROW('Eingabe Meldungen'!$A$2:$A$492)-1),COUNTIF('Eingabe Meldungen'!$A$2:$A$492,$B$407)+1-ROW('Eingabe Meldungen'!A17)))),"",INDEX('Eingabe Meldungen'!$C$2:$C$492,LARGE(('Eingabe Meldungen'!$A$2:$A$492=$B$407)*(ROW('Eingabe Meldungen'!$A$2:$A$492)-1),COUNTIF('Eingabe Meldungen'!$A$2:$A$492,$B$407)+1-ROW('Eingabe Meldungen'!A17))))</f>
        <v/>
      </c>
      <c r="C424" s="345" t="str">
        <f t="array" ref="C424">IF(ISERROR(INDEX('Eingabe Meldungen'!$D$2:$D$492,LARGE(('Eingabe Meldungen'!$A$2:$A$492=$B$407)*(ROW('Eingabe Meldungen'!$A$2:$A$492)-1),COUNTIF('Eingabe Meldungen'!$A$2:$A$492,$B$407)+1-ROW('Eingabe Meldungen'!A17)))),"",INDEX('Eingabe Meldungen'!$D$2:$D$492,LARGE(('Eingabe Meldungen'!$A$2:$A$492=$B$407)*(ROW('Eingabe Meldungen'!$A$2:$A$492)-1),COUNTIF('Eingabe Meldungen'!$A$2:$A$492,$B$407)+1-ROW('Eingabe Meldungen'!A17))))</f>
        <v/>
      </c>
      <c r="D424" s="346" t="str">
        <f t="array" ref="D424">IF(B424&lt;&gt;"",INDEX('Eingabe Meldungen'!$C$2:$H$492,MATCH(B424&amp;C424,'Eingabe Meldungen'!$C$2:$C$492&amp;'Eingabe Meldungen'!$D$2:$D$492,0),6),"")</f>
        <v/>
      </c>
      <c r="E424" s="383" t="str">
        <f t="array" ref="E424">IF(B424&lt;&gt;"",INDEX('Eingabe Meldungen'!$C$2:$H$492,MATCH(B424&amp;C424,'Eingabe Meldungen'!$C$2:$C$492&amp;'Eingabe Meldungen'!$D$2:$D$492,0),4),"")</f>
        <v/>
      </c>
      <c r="F424" s="360" t="e">
        <f>IF(VLOOKUP(B424,Rennlisten!#REF!,6,FALSE)=0,"",VLOOKUP(B424,Rennlisten!#REF!,6,FALSE))</f>
        <v>#REF!</v>
      </c>
      <c r="G424" s="348" t="e">
        <f t="shared" si="45"/>
        <v>#REF!</v>
      </c>
      <c r="H424" s="349" t="str">
        <f t="array" ref="H424">IF(B424&lt;&gt;"",INDEX('Eingabe Meldungen'!$C$2:$J$492,MATCH(B424&amp;C424,'Eingabe Meldungen'!$C$2:$C$492&amp;'Eingabe Meldungen'!$D$2:$D$492,0),8),"")</f>
        <v/>
      </c>
      <c r="J424" s="357"/>
      <c r="K424" s="357"/>
      <c r="L424" s="357"/>
      <c r="M424" s="357"/>
      <c r="N424" s="357"/>
      <c r="O424" s="357"/>
      <c r="P424" s="357"/>
      <c r="Q424" s="357"/>
      <c r="R424" s="357"/>
      <c r="S424" s="357"/>
      <c r="T424" s="357"/>
      <c r="U424" s="357"/>
      <c r="V424" s="357"/>
      <c r="W424" s="357"/>
      <c r="X424" s="357"/>
      <c r="Y424" s="357"/>
      <c r="Z424" s="357"/>
      <c r="AA424" s="357"/>
      <c r="AB424" s="357"/>
      <c r="AC424" s="357"/>
      <c r="AD424" s="357"/>
      <c r="AE424" s="357"/>
      <c r="AF424" s="357"/>
      <c r="AG424" s="357"/>
      <c r="AH424" s="357"/>
      <c r="AI424" s="357"/>
      <c r="AJ424" s="333"/>
      <c r="AK424" s="333"/>
      <c r="AL424" s="333"/>
      <c r="AM424" s="333"/>
    </row>
    <row r="425" spans="2:39" s="316" customFormat="1" ht="26.25" customHeight="1" thickBot="1" x14ac:dyDescent="0.25">
      <c r="E425" s="352"/>
      <c r="F425" s="333"/>
      <c r="G425" s="333"/>
      <c r="J425" s="333"/>
      <c r="K425" s="333"/>
      <c r="L425" s="333"/>
      <c r="M425" s="333"/>
      <c r="N425" s="333"/>
      <c r="O425" s="333"/>
      <c r="P425" s="333"/>
      <c r="Q425" s="333"/>
      <c r="R425" s="333"/>
      <c r="S425" s="333"/>
      <c r="T425" s="333"/>
      <c r="U425" s="333"/>
      <c r="V425" s="333"/>
      <c r="W425" s="333"/>
      <c r="X425" s="333"/>
      <c r="Y425" s="333"/>
      <c r="Z425" s="333"/>
      <c r="AA425" s="333"/>
      <c r="AB425" s="333"/>
      <c r="AC425" s="333"/>
      <c r="AD425" s="333"/>
      <c r="AE425" s="333"/>
      <c r="AF425" s="333"/>
      <c r="AG425" s="333"/>
      <c r="AH425" s="333"/>
      <c r="AI425" s="333"/>
      <c r="AJ425" s="333"/>
      <c r="AK425" s="333"/>
      <c r="AL425" s="333"/>
      <c r="AM425" s="333"/>
    </row>
    <row r="426" spans="2:39" s="316" customFormat="1" ht="26.25" customHeight="1" x14ac:dyDescent="0.2">
      <c r="B426" s="326">
        <v>17</v>
      </c>
      <c r="C426" s="327" t="str">
        <f>VLOOKUP(B426,Ausschreibung!$B$5:$I$35,2,FALSE)</f>
        <v>Ergocup</v>
      </c>
      <c r="D426" s="328">
        <f>VLOOKUP(B426,Ausschreibung!$B$5:$I$35,3,FALSE)</f>
        <v>0.62083333333333324</v>
      </c>
      <c r="E426" s="327" t="str">
        <f>VLOOKUP(B426,Ausschreibung!$B$5:$I$35,4,FALSE)</f>
        <v>Juniorinnen A U19</v>
      </c>
      <c r="F426" s="329" t="str">
        <f>VLOOKUP(B426,Ausschreibung!$B$5:$I$35,5,FALSE)</f>
        <v>LGW. bis 60 kg</v>
      </c>
      <c r="G426" s="330" t="str">
        <f>VLOOKUP(B426,Ausschreibung!$B$5:$I$35,6,FALSE)</f>
        <v>17-18</v>
      </c>
      <c r="H426" s="331" t="str">
        <f>VLOOKUP(B426,Ausschreibung!$B$5:$I$35,8,FALSE)</f>
        <v>2000 m</v>
      </c>
      <c r="J426" s="332"/>
      <c r="K426" s="332"/>
      <c r="L426" s="332"/>
      <c r="M426" s="332"/>
      <c r="N426" s="332"/>
      <c r="O426" s="332"/>
      <c r="P426" s="332"/>
      <c r="Q426" s="332"/>
      <c r="R426" s="332"/>
      <c r="S426" s="332"/>
      <c r="T426" s="332"/>
      <c r="U426" s="332"/>
      <c r="V426" s="332"/>
      <c r="W426" s="332"/>
      <c r="X426" s="332"/>
      <c r="Y426" s="332"/>
      <c r="Z426" s="332"/>
      <c r="AA426" s="332"/>
      <c r="AB426" s="332"/>
      <c r="AC426" s="332"/>
      <c r="AD426" s="332"/>
      <c r="AE426" s="332"/>
      <c r="AF426" s="332"/>
      <c r="AG426" s="332"/>
      <c r="AH426" s="332"/>
      <c r="AI426" s="332"/>
      <c r="AJ426" s="333"/>
      <c r="AK426" s="333"/>
      <c r="AL426" s="333"/>
      <c r="AM426" s="333"/>
    </row>
    <row r="427" spans="2:39" s="316" customFormat="1" ht="26.25" customHeight="1" x14ac:dyDescent="0.2">
      <c r="B427" s="334" t="s">
        <v>1</v>
      </c>
      <c r="C427" s="335" t="s">
        <v>2</v>
      </c>
      <c r="D427" s="336" t="s">
        <v>49</v>
      </c>
      <c r="E427" s="381" t="s">
        <v>16</v>
      </c>
      <c r="F427" s="337" t="s">
        <v>50</v>
      </c>
      <c r="G427" s="338" t="s">
        <v>51</v>
      </c>
      <c r="H427" s="339" t="s">
        <v>17</v>
      </c>
      <c r="J427" s="332"/>
      <c r="K427" s="332"/>
      <c r="L427" s="332"/>
      <c r="M427" s="332"/>
      <c r="N427" s="332"/>
      <c r="O427" s="332"/>
      <c r="P427" s="332"/>
      <c r="Q427" s="332"/>
      <c r="R427" s="332"/>
      <c r="S427" s="332"/>
      <c r="T427" s="332"/>
      <c r="U427" s="332"/>
      <c r="V427" s="332"/>
      <c r="W427" s="332"/>
      <c r="X427" s="332"/>
      <c r="Y427" s="332"/>
      <c r="Z427" s="332"/>
      <c r="AA427" s="332"/>
      <c r="AB427" s="332"/>
      <c r="AC427" s="332"/>
      <c r="AD427" s="332"/>
      <c r="AE427" s="332"/>
      <c r="AF427" s="332"/>
      <c r="AG427" s="332"/>
      <c r="AH427" s="332"/>
      <c r="AI427" s="332"/>
      <c r="AJ427" s="333"/>
      <c r="AK427" s="333"/>
      <c r="AL427" s="333"/>
      <c r="AM427" s="333"/>
    </row>
    <row r="428" spans="2:39" s="316" customFormat="1" ht="26.25" customHeight="1" x14ac:dyDescent="0.2">
      <c r="B428" s="340" t="str">
        <f t="array" ref="B428">IF(ISERROR(INDEX('Eingabe Meldungen'!$C$2:$C$492,LARGE(('Eingabe Meldungen'!$A$2:$A$492=$B$426)*(ROW('Eingabe Meldungen'!$A$2:$A$492)-1),COUNTIF('Eingabe Meldungen'!$A$2:$A$492,$B$426)+1-ROW('Eingabe Meldungen'!A1)))),"",INDEX('Eingabe Meldungen'!$C$2:$C$492,LARGE(('Eingabe Meldungen'!$A$2:$A$492=$B$426)*(ROW('Eingabe Meldungen'!$A$2:$A$492)-1),COUNTIF('Eingabe Meldungen'!$A$2:$A$492,$B$426)+1-ROW('Eingabe Meldungen'!A1))))</f>
        <v>Röhling</v>
      </c>
      <c r="C428" s="316" t="str">
        <f t="array" ref="C428">IF(ISERROR(INDEX('Eingabe Meldungen'!$D$2:$D$492,LARGE(('Eingabe Meldungen'!$A$2:$A$492=$B$426)*(ROW('Eingabe Meldungen'!$A$2:$A$492)-1),COUNTIF('Eingabe Meldungen'!$A$2:$A$492,$B$426)+1-ROW('Eingabe Meldungen'!A1)))),"",INDEX('Eingabe Meldungen'!$D$2:$D$492,LARGE(('Eingabe Meldungen'!$A$2:$A$492=$B$426)*(ROW('Eingabe Meldungen'!$A$2:$A$492)-1),COUNTIF('Eingabe Meldungen'!$A$2:$A$492,$B$426)+1-ROW('Eingabe Meldungen'!A1))))</f>
        <v>Nina</v>
      </c>
      <c r="D428" s="341">
        <f t="array" ref="D428">IF(B428&lt;&gt;"",INDEX('Eingabe Meldungen'!$C$2:$H$492,MATCH(B428&amp;C428,'Eingabe Meldungen'!$C$2:$C$492&amp;'Eingabe Meldungen'!$D$2:$D$492,0),6),"")</f>
        <v>2003</v>
      </c>
      <c r="E428" s="382" t="str">
        <f t="array" ref="E428">IF(B428&lt;&gt;"",INDEX('Eingabe Meldungen'!$C$2:$H$492,MATCH(B428&amp;C428,'Eingabe Meldungen'!$C$2:$C$492&amp;'Eingabe Meldungen'!$D$2:$D$492,0),4),"")</f>
        <v>LGW. bis 60 kg</v>
      </c>
      <c r="F428" s="353" t="s">
        <v>626</v>
      </c>
      <c r="G428" s="333">
        <v>1</v>
      </c>
      <c r="H428" s="343" t="str">
        <f t="array" ref="H428">IF(B428&lt;&gt;"",INDEX('Eingabe Meldungen'!$C$2:$J$492,MATCH(B428&amp;C428,'Eingabe Meldungen'!$C$2:$C$492&amp;'Eingabe Meldungen'!$D$2:$D$492,0),8),"")</f>
        <v>RG Eberbach</v>
      </c>
      <c r="J428" s="332"/>
      <c r="K428" s="332"/>
      <c r="L428" s="332"/>
      <c r="M428" s="332"/>
      <c r="N428" s="332"/>
      <c r="O428" s="332"/>
      <c r="P428" s="332"/>
      <c r="Q428" s="332"/>
      <c r="R428" s="332"/>
      <c r="S428" s="332"/>
      <c r="T428" s="332"/>
      <c r="U428" s="332">
        <v>1</v>
      </c>
      <c r="V428" s="332"/>
      <c r="W428" s="332"/>
      <c r="X428" s="332"/>
      <c r="Y428" s="332"/>
      <c r="Z428" s="332"/>
      <c r="AA428" s="332"/>
      <c r="AB428" s="332"/>
      <c r="AC428" s="332"/>
      <c r="AD428" s="332"/>
      <c r="AE428" s="332"/>
      <c r="AF428" s="332"/>
      <c r="AG428" s="332"/>
      <c r="AH428" s="332"/>
      <c r="AI428" s="332"/>
      <c r="AJ428" s="333"/>
      <c r="AK428" s="333"/>
      <c r="AL428" s="333"/>
      <c r="AM428" s="333"/>
    </row>
    <row r="429" spans="2:39" s="316" customFormat="1" ht="26.25" customHeight="1" x14ac:dyDescent="0.2">
      <c r="B429" s="340" t="str">
        <f t="array" ref="B429">IF(ISERROR(INDEX('Eingabe Meldungen'!$C$2:$C$492,LARGE(('Eingabe Meldungen'!$A$2:$A$492=$B$426)*(ROW('Eingabe Meldungen'!$A$2:$A$492)-1),COUNTIF('Eingabe Meldungen'!$A$2:$A$492,$B$426)+1-ROW('Eingabe Meldungen'!A2)))),"",INDEX('Eingabe Meldungen'!$C$2:$C$492,LARGE(('Eingabe Meldungen'!$A$2:$A$492=$B$426)*(ROW('Eingabe Meldungen'!$A$2:$A$492)-1),COUNTIF('Eingabe Meldungen'!$A$2:$A$492,$B$426)+1-ROW('Eingabe Meldungen'!A2))))</f>
        <v/>
      </c>
      <c r="C429" s="316" t="str">
        <f t="array" ref="C429">IF(ISERROR(INDEX('Eingabe Meldungen'!$D$2:$D$492,LARGE(('Eingabe Meldungen'!$A$2:$A$492=$B$426)*(ROW('Eingabe Meldungen'!$A$2:$A$492)-1),COUNTIF('Eingabe Meldungen'!$A$2:$A$492,$B$426)+1-ROW('Eingabe Meldungen'!A2)))),"",INDEX('Eingabe Meldungen'!$D$2:$D$492,LARGE(('Eingabe Meldungen'!$A$2:$A$492=$B$426)*(ROW('Eingabe Meldungen'!$A$2:$A$492)-1),COUNTIF('Eingabe Meldungen'!$A$2:$A$492,$B$426)+1-ROW('Eingabe Meldungen'!A2))))</f>
        <v/>
      </c>
      <c r="D429" s="341" t="str">
        <f t="array" ref="D429">IF(B429&lt;&gt;"",INDEX('Eingabe Meldungen'!$C$2:$H$492,MATCH(B429&amp;C429,'Eingabe Meldungen'!$C$2:$C$492&amp;'Eingabe Meldungen'!$D$2:$D$492,0),6),"")</f>
        <v/>
      </c>
      <c r="E429" s="382" t="str">
        <f t="array" ref="E429">IF(B429&lt;&gt;"",INDEX('Eingabe Meldungen'!$C$2:$H$492,MATCH(B429&amp;C429,'Eingabe Meldungen'!$C$2:$C$492&amp;'Eingabe Meldungen'!$D$2:$D$492,0),4),"")</f>
        <v/>
      </c>
      <c r="F429" s="353" t="str">
        <f>IF(VLOOKUP(B429,Rennlisten!$B$278:$H$279,6,FALSE)=0,"",VLOOKUP(B429,Rennlisten!$B$278:$H$279,6,FALSE))</f>
        <v/>
      </c>
      <c r="G429" s="333" t="e">
        <f t="shared" ref="G429:G440" si="46">RANK(F429,$F$428:$F$443,1)</f>
        <v>#VALUE!</v>
      </c>
      <c r="H429" s="343" t="str">
        <f t="array" ref="H429">IF(B429&lt;&gt;"",INDEX('Eingabe Meldungen'!$C$2:$J$492,MATCH(B429&amp;C429,'Eingabe Meldungen'!$C$2:$C$492&amp;'Eingabe Meldungen'!$D$2:$D$492,0),8),"")</f>
        <v/>
      </c>
      <c r="J429" s="332"/>
      <c r="K429" s="332"/>
      <c r="L429" s="332"/>
      <c r="M429" s="332"/>
      <c r="N429" s="332"/>
      <c r="O429" s="332"/>
      <c r="P429" s="332"/>
      <c r="Q429" s="332"/>
      <c r="R429" s="332"/>
      <c r="S429" s="332"/>
      <c r="T429" s="332"/>
      <c r="U429" s="332"/>
      <c r="V429" s="332"/>
      <c r="W429" s="332"/>
      <c r="X429" s="332"/>
      <c r="Y429" s="332"/>
      <c r="Z429" s="332"/>
      <c r="AA429" s="332"/>
      <c r="AB429" s="332"/>
      <c r="AC429" s="332"/>
      <c r="AD429" s="332"/>
      <c r="AE429" s="332"/>
      <c r="AF429" s="332"/>
      <c r="AG429" s="332"/>
      <c r="AH429" s="332"/>
      <c r="AI429" s="332"/>
      <c r="AJ429" s="333"/>
      <c r="AK429" s="333"/>
      <c r="AL429" s="333"/>
      <c r="AM429" s="333"/>
    </row>
    <row r="430" spans="2:39" s="316" customFormat="1" ht="26.25" customHeight="1" x14ac:dyDescent="0.2">
      <c r="B430" s="340" t="str">
        <f t="array" ref="B430">IF(ISERROR(INDEX('Eingabe Meldungen'!$C$2:$C$492,LARGE(('Eingabe Meldungen'!$A$2:$A$492=$B$426)*(ROW('Eingabe Meldungen'!$A$2:$A$492)-1),COUNTIF('Eingabe Meldungen'!$A$2:$A$492,$B$426)+1-ROW('Eingabe Meldungen'!A3)))),"",INDEX('Eingabe Meldungen'!$C$2:$C$492,LARGE(('Eingabe Meldungen'!$A$2:$A$492=$B$426)*(ROW('Eingabe Meldungen'!$A$2:$A$492)-1),COUNTIF('Eingabe Meldungen'!$A$2:$A$492,$B$426)+1-ROW('Eingabe Meldungen'!A3))))</f>
        <v/>
      </c>
      <c r="C430" s="316" t="str">
        <f t="array" ref="C430">IF(ISERROR(INDEX('Eingabe Meldungen'!$D$2:$D$492,LARGE(('Eingabe Meldungen'!$A$2:$A$492=$B$426)*(ROW('Eingabe Meldungen'!$A$2:$A$492)-1),COUNTIF('Eingabe Meldungen'!$A$2:$A$492,$B$426)+1-ROW('Eingabe Meldungen'!A3)))),"",INDEX('Eingabe Meldungen'!$D$2:$D$492,LARGE(('Eingabe Meldungen'!$A$2:$A$492=$B$426)*(ROW('Eingabe Meldungen'!$A$2:$A$492)-1),COUNTIF('Eingabe Meldungen'!$A$2:$A$492,$B$426)+1-ROW('Eingabe Meldungen'!A3))))</f>
        <v/>
      </c>
      <c r="D430" s="341" t="str">
        <f t="array" ref="D430">IF(B430&lt;&gt;"",INDEX('Eingabe Meldungen'!$C$2:$H$492,MATCH(B430&amp;C430,'Eingabe Meldungen'!$C$2:$C$492&amp;'Eingabe Meldungen'!$D$2:$D$492,0),6),"")</f>
        <v/>
      </c>
      <c r="E430" s="382" t="str">
        <f t="array" ref="E430">IF(B430&lt;&gt;"",INDEX('Eingabe Meldungen'!$C$2:$H$492,MATCH(B430&amp;C430,'Eingabe Meldungen'!$C$2:$C$492&amp;'Eingabe Meldungen'!$D$2:$D$492,0),4),"")</f>
        <v/>
      </c>
      <c r="F430" s="353" t="str">
        <f>IF(VLOOKUP(B430,Rennlisten!$B$278:$H$279,6,FALSE)=0,"",VLOOKUP(B430,Rennlisten!$B$278:$H$279,6,FALSE))</f>
        <v/>
      </c>
      <c r="G430" s="333" t="e">
        <f t="shared" si="46"/>
        <v>#VALUE!</v>
      </c>
      <c r="H430" s="343" t="str">
        <f t="array" ref="H430">IF(B430&lt;&gt;"",INDEX('Eingabe Meldungen'!$C$2:$J$492,MATCH(B430&amp;C430,'Eingabe Meldungen'!$C$2:$C$492&amp;'Eingabe Meldungen'!$D$2:$D$492,0),8),"")</f>
        <v/>
      </c>
      <c r="J430" s="332"/>
      <c r="K430" s="332"/>
      <c r="L430" s="332"/>
      <c r="M430" s="332"/>
      <c r="N430" s="332"/>
      <c r="O430" s="332"/>
      <c r="P430" s="332"/>
      <c r="Q430" s="332"/>
      <c r="R430" s="332"/>
      <c r="S430" s="332"/>
      <c r="T430" s="332"/>
      <c r="U430" s="332"/>
      <c r="V430" s="332"/>
      <c r="W430" s="332"/>
      <c r="X430" s="332"/>
      <c r="Y430" s="332"/>
      <c r="Z430" s="332"/>
      <c r="AA430" s="332"/>
      <c r="AB430" s="332"/>
      <c r="AC430" s="332"/>
      <c r="AD430" s="332"/>
      <c r="AE430" s="332"/>
      <c r="AF430" s="332"/>
      <c r="AG430" s="332"/>
      <c r="AH430" s="332"/>
      <c r="AI430" s="332"/>
      <c r="AJ430" s="333"/>
      <c r="AK430" s="333"/>
      <c r="AL430" s="333"/>
      <c r="AM430" s="333"/>
    </row>
    <row r="431" spans="2:39" s="316" customFormat="1" ht="26.25" customHeight="1" x14ac:dyDescent="0.2">
      <c r="B431" s="340" t="str">
        <f t="array" ref="B431">IF(ISERROR(INDEX('Eingabe Meldungen'!$C$2:$C$492,LARGE(('Eingabe Meldungen'!$A$2:$A$492=$B$426)*(ROW('Eingabe Meldungen'!$A$2:$A$492)-1),COUNTIF('Eingabe Meldungen'!$A$2:$A$492,$B$426)+1-ROW('Eingabe Meldungen'!A4)))),"",INDEX('Eingabe Meldungen'!$C$2:$C$492,LARGE(('Eingabe Meldungen'!$A$2:$A$492=$B$426)*(ROW('Eingabe Meldungen'!$A$2:$A$492)-1),COUNTIF('Eingabe Meldungen'!$A$2:$A$492,$B$426)+1-ROW('Eingabe Meldungen'!A4))))</f>
        <v/>
      </c>
      <c r="C431" s="316" t="str">
        <f t="array" ref="C431">IF(ISERROR(INDEX('Eingabe Meldungen'!$D$2:$D$492,LARGE(('Eingabe Meldungen'!$A$2:$A$492=$B$426)*(ROW('Eingabe Meldungen'!$A$2:$A$492)-1),COUNTIF('Eingabe Meldungen'!$A$2:$A$492,$B$426)+1-ROW('Eingabe Meldungen'!A4)))),"",INDEX('Eingabe Meldungen'!$D$2:$D$492,LARGE(('Eingabe Meldungen'!$A$2:$A$492=$B$426)*(ROW('Eingabe Meldungen'!$A$2:$A$492)-1),COUNTIF('Eingabe Meldungen'!$A$2:$A$492,$B$426)+1-ROW('Eingabe Meldungen'!A4))))</f>
        <v/>
      </c>
      <c r="D431" s="341" t="str">
        <f t="array" ref="D431">IF(B431&lt;&gt;"",INDEX('Eingabe Meldungen'!$C$2:$H$492,MATCH(B431&amp;C431,'Eingabe Meldungen'!$C$2:$C$492&amp;'Eingabe Meldungen'!$D$2:$D$492,0),6),"")</f>
        <v/>
      </c>
      <c r="E431" s="382" t="str">
        <f t="array" ref="E431">IF(B431&lt;&gt;"",INDEX('Eingabe Meldungen'!$C$2:$H$492,MATCH(B431&amp;C431,'Eingabe Meldungen'!$C$2:$C$492&amp;'Eingabe Meldungen'!$D$2:$D$492,0),4),"")</f>
        <v/>
      </c>
      <c r="F431" s="353" t="str">
        <f>IF(VLOOKUP(B431,Rennlisten!$B$278:$H$279,6,FALSE)=0,"",VLOOKUP(B431,Rennlisten!$B$278:$H$279,6,FALSE))</f>
        <v/>
      </c>
      <c r="G431" s="333" t="e">
        <f t="shared" si="46"/>
        <v>#VALUE!</v>
      </c>
      <c r="H431" s="343" t="str">
        <f t="array" ref="H431">IF(B431&lt;&gt;"",INDEX('Eingabe Meldungen'!$C$2:$J$492,MATCH(B431&amp;C431,'Eingabe Meldungen'!$C$2:$C$492&amp;'Eingabe Meldungen'!$D$2:$D$492,0),8),"")</f>
        <v/>
      </c>
      <c r="J431" s="332"/>
      <c r="K431" s="332"/>
      <c r="L431" s="332"/>
      <c r="M431" s="332"/>
      <c r="N431" s="332"/>
      <c r="O431" s="332"/>
      <c r="P431" s="332"/>
      <c r="Q431" s="332"/>
      <c r="R431" s="332"/>
      <c r="S431" s="332"/>
      <c r="T431" s="332"/>
      <c r="U431" s="332"/>
      <c r="V431" s="332"/>
      <c r="W431" s="332"/>
      <c r="X431" s="332"/>
      <c r="Y431" s="332"/>
      <c r="Z431" s="332"/>
      <c r="AA431" s="332"/>
      <c r="AB431" s="332"/>
      <c r="AC431" s="332"/>
      <c r="AD431" s="332"/>
      <c r="AE431" s="332"/>
      <c r="AF431" s="332"/>
      <c r="AG431" s="332"/>
      <c r="AH431" s="332"/>
      <c r="AI431" s="332"/>
      <c r="AJ431" s="333"/>
      <c r="AK431" s="333"/>
      <c r="AL431" s="333"/>
      <c r="AM431" s="333"/>
    </row>
    <row r="432" spans="2:39" s="316" customFormat="1" ht="26.25" customHeight="1" x14ac:dyDescent="0.2">
      <c r="B432" s="340" t="str">
        <f t="array" ref="B432">IF(ISERROR(INDEX('Eingabe Meldungen'!$C$2:$C$492,LARGE(('Eingabe Meldungen'!$A$2:$A$492=$B$426)*(ROW('Eingabe Meldungen'!$A$2:$A$492)-1),COUNTIF('Eingabe Meldungen'!$A$2:$A$492,$B$426)+1-ROW('Eingabe Meldungen'!A5)))),"",INDEX('Eingabe Meldungen'!$C$2:$C$492,LARGE(('Eingabe Meldungen'!$A$2:$A$492=$B$426)*(ROW('Eingabe Meldungen'!$A$2:$A$492)-1),COUNTIF('Eingabe Meldungen'!$A$2:$A$492,$B$426)+1-ROW('Eingabe Meldungen'!A5))))</f>
        <v/>
      </c>
      <c r="C432" s="316" t="str">
        <f t="array" ref="C432">IF(ISERROR(INDEX('Eingabe Meldungen'!$D$2:$D$492,LARGE(('Eingabe Meldungen'!$A$2:$A$492=$B$426)*(ROW('Eingabe Meldungen'!$A$2:$A$492)-1),COUNTIF('Eingabe Meldungen'!$A$2:$A$492,$B$426)+1-ROW('Eingabe Meldungen'!A5)))),"",INDEX('Eingabe Meldungen'!$D$2:$D$492,LARGE(('Eingabe Meldungen'!$A$2:$A$492=$B$426)*(ROW('Eingabe Meldungen'!$A$2:$A$492)-1),COUNTIF('Eingabe Meldungen'!$A$2:$A$492,$B$426)+1-ROW('Eingabe Meldungen'!A5))))</f>
        <v/>
      </c>
      <c r="D432" s="341" t="str">
        <f t="array" ref="D432">IF(B432&lt;&gt;"",INDEX('Eingabe Meldungen'!$C$2:$H$492,MATCH(B432&amp;C432,'Eingabe Meldungen'!$C$2:$C$492&amp;'Eingabe Meldungen'!$D$2:$D$492,0),6),"")</f>
        <v/>
      </c>
      <c r="E432" s="382" t="str">
        <f t="array" ref="E432">IF(B432&lt;&gt;"",INDEX('Eingabe Meldungen'!$C$2:$H$492,MATCH(B432&amp;C432,'Eingabe Meldungen'!$C$2:$C$492&amp;'Eingabe Meldungen'!$D$2:$D$492,0),4),"")</f>
        <v/>
      </c>
      <c r="F432" s="353" t="str">
        <f>IF(VLOOKUP(B432,Rennlisten!$B$278:$H$279,6,FALSE)=0,"",VLOOKUP(B432,Rennlisten!$B$278:$H$279,6,FALSE))</f>
        <v/>
      </c>
      <c r="G432" s="333" t="e">
        <f t="shared" si="46"/>
        <v>#VALUE!</v>
      </c>
      <c r="H432" s="343" t="str">
        <f t="array" ref="H432">IF(B432&lt;&gt;"",INDEX('Eingabe Meldungen'!$C$2:$J$492,MATCH(B432&amp;C432,'Eingabe Meldungen'!$C$2:$C$492&amp;'Eingabe Meldungen'!$D$2:$D$492,0),8),"")</f>
        <v/>
      </c>
      <c r="J432" s="332"/>
      <c r="K432" s="332"/>
      <c r="L432" s="332"/>
      <c r="M432" s="332"/>
      <c r="N432" s="332"/>
      <c r="O432" s="332"/>
      <c r="P432" s="332"/>
      <c r="Q432" s="332"/>
      <c r="R432" s="332"/>
      <c r="S432" s="332"/>
      <c r="T432" s="332"/>
      <c r="U432" s="332"/>
      <c r="V432" s="332"/>
      <c r="W432" s="332"/>
      <c r="X432" s="332"/>
      <c r="Y432" s="332"/>
      <c r="Z432" s="332"/>
      <c r="AA432" s="332"/>
      <c r="AB432" s="332"/>
      <c r="AC432" s="332"/>
      <c r="AD432" s="332"/>
      <c r="AE432" s="332"/>
      <c r="AF432" s="332"/>
      <c r="AG432" s="332"/>
      <c r="AH432" s="332"/>
      <c r="AI432" s="332"/>
      <c r="AJ432" s="333"/>
      <c r="AK432" s="333"/>
      <c r="AL432" s="333"/>
      <c r="AM432" s="333"/>
    </row>
    <row r="433" spans="2:39" s="316" customFormat="1" ht="26.25" customHeight="1" x14ac:dyDescent="0.2">
      <c r="B433" s="340" t="str">
        <f t="array" ref="B433">IF(ISERROR(INDEX('Eingabe Meldungen'!$C$2:$C$492,LARGE(('Eingabe Meldungen'!$A$2:$A$492=$B$426)*(ROW('Eingabe Meldungen'!$A$2:$A$492)-1),COUNTIF('Eingabe Meldungen'!$A$2:$A$492,$B$426)+1-ROW('Eingabe Meldungen'!A6)))),"",INDEX('Eingabe Meldungen'!$C$2:$C$492,LARGE(('Eingabe Meldungen'!$A$2:$A$492=$B$426)*(ROW('Eingabe Meldungen'!$A$2:$A$492)-1),COUNTIF('Eingabe Meldungen'!$A$2:$A$492,$B$426)+1-ROW('Eingabe Meldungen'!A6))))</f>
        <v/>
      </c>
      <c r="C433" s="316" t="str">
        <f t="array" ref="C433">IF(ISERROR(INDEX('Eingabe Meldungen'!$D$2:$D$492,LARGE(('Eingabe Meldungen'!$A$2:$A$492=$B$426)*(ROW('Eingabe Meldungen'!$A$2:$A$492)-1),COUNTIF('Eingabe Meldungen'!$A$2:$A$492,$B$426)+1-ROW('Eingabe Meldungen'!A6)))),"",INDEX('Eingabe Meldungen'!$D$2:$D$492,LARGE(('Eingabe Meldungen'!$A$2:$A$492=$B$426)*(ROW('Eingabe Meldungen'!$A$2:$A$492)-1),COUNTIF('Eingabe Meldungen'!$A$2:$A$492,$B$426)+1-ROW('Eingabe Meldungen'!A6))))</f>
        <v/>
      </c>
      <c r="D433" s="341" t="str">
        <f t="array" ref="D433">IF(B433&lt;&gt;"",INDEX('Eingabe Meldungen'!$C$2:$H$492,MATCH(B433&amp;C433,'Eingabe Meldungen'!$C$2:$C$492&amp;'Eingabe Meldungen'!$D$2:$D$492,0),6),"")</f>
        <v/>
      </c>
      <c r="E433" s="382" t="str">
        <f t="array" ref="E433">IF(B433&lt;&gt;"",INDEX('Eingabe Meldungen'!$C$2:$H$492,MATCH(B433&amp;C433,'Eingabe Meldungen'!$C$2:$C$492&amp;'Eingabe Meldungen'!$D$2:$D$492,0),4),"")</f>
        <v/>
      </c>
      <c r="F433" s="353" t="str">
        <f>IF(VLOOKUP(B433,Rennlisten!$B$278:$H$279,6,FALSE)=0,"",VLOOKUP(B433,Rennlisten!$B$278:$H$279,6,FALSE))</f>
        <v/>
      </c>
      <c r="G433" s="333" t="e">
        <f t="shared" si="46"/>
        <v>#VALUE!</v>
      </c>
      <c r="H433" s="343" t="str">
        <f t="array" ref="H433">IF(B433&lt;&gt;"",INDEX('Eingabe Meldungen'!$C$2:$J$492,MATCH(B433&amp;C433,'Eingabe Meldungen'!$C$2:$C$492&amp;'Eingabe Meldungen'!$D$2:$D$492,0),8),"")</f>
        <v/>
      </c>
      <c r="J433" s="332"/>
      <c r="K433" s="332"/>
      <c r="L433" s="332"/>
      <c r="M433" s="332"/>
      <c r="N433" s="332"/>
      <c r="O433" s="332"/>
      <c r="P433" s="332"/>
      <c r="Q433" s="332"/>
      <c r="R433" s="332"/>
      <c r="S433" s="332"/>
      <c r="T433" s="332"/>
      <c r="U433" s="332"/>
      <c r="V433" s="332"/>
      <c r="W433" s="332"/>
      <c r="X433" s="332"/>
      <c r="Y433" s="332"/>
      <c r="Z433" s="332"/>
      <c r="AA433" s="332"/>
      <c r="AB433" s="332"/>
      <c r="AC433" s="332"/>
      <c r="AD433" s="332"/>
      <c r="AE433" s="332"/>
      <c r="AF433" s="332"/>
      <c r="AG433" s="332"/>
      <c r="AH433" s="332"/>
      <c r="AI433" s="332"/>
      <c r="AJ433" s="333"/>
      <c r="AK433" s="333"/>
      <c r="AL433" s="333"/>
      <c r="AM433" s="333"/>
    </row>
    <row r="434" spans="2:39" s="316" customFormat="1" ht="26.25" customHeight="1" x14ac:dyDescent="0.2">
      <c r="B434" s="340" t="str">
        <f t="array" ref="B434">IF(ISERROR(INDEX('Eingabe Meldungen'!$C$2:$C$492,LARGE(('Eingabe Meldungen'!$A$2:$A$492=$B$426)*(ROW('Eingabe Meldungen'!$A$2:$A$492)-1),COUNTIF('Eingabe Meldungen'!$A$2:$A$492,$B$426)+1-ROW('Eingabe Meldungen'!A7)))),"",INDEX('Eingabe Meldungen'!$C$2:$C$492,LARGE(('Eingabe Meldungen'!$A$2:$A$492=$B$426)*(ROW('Eingabe Meldungen'!$A$2:$A$492)-1),COUNTIF('Eingabe Meldungen'!$A$2:$A$492,$B$426)+1-ROW('Eingabe Meldungen'!A7))))</f>
        <v/>
      </c>
      <c r="C434" s="316" t="str">
        <f t="array" ref="C434">IF(ISERROR(INDEX('Eingabe Meldungen'!$D$2:$D$492,LARGE(('Eingabe Meldungen'!$A$2:$A$492=$B$426)*(ROW('Eingabe Meldungen'!$A$2:$A$492)-1),COUNTIF('Eingabe Meldungen'!$A$2:$A$492,$B$426)+1-ROW('Eingabe Meldungen'!A7)))),"",INDEX('Eingabe Meldungen'!$D$2:$D$492,LARGE(('Eingabe Meldungen'!$A$2:$A$492=$B$426)*(ROW('Eingabe Meldungen'!$A$2:$A$492)-1),COUNTIF('Eingabe Meldungen'!$A$2:$A$492,$B$426)+1-ROW('Eingabe Meldungen'!A7))))</f>
        <v/>
      </c>
      <c r="D434" s="341" t="str">
        <f t="array" ref="D434">IF(B434&lt;&gt;"",INDEX('Eingabe Meldungen'!$C$2:$H$492,MATCH(B434&amp;C434,'Eingabe Meldungen'!$C$2:$C$492&amp;'Eingabe Meldungen'!$D$2:$D$492,0),6),"")</f>
        <v/>
      </c>
      <c r="E434" s="382" t="str">
        <f t="array" ref="E434">IF(B434&lt;&gt;"",INDEX('Eingabe Meldungen'!$C$2:$H$492,MATCH(B434&amp;C434,'Eingabe Meldungen'!$C$2:$C$492&amp;'Eingabe Meldungen'!$D$2:$D$492,0),4),"")</f>
        <v/>
      </c>
      <c r="F434" s="353" t="str">
        <f>IF(VLOOKUP(B434,Rennlisten!$B$278:$H$279,6,FALSE)=0,"",VLOOKUP(B434,Rennlisten!$B$278:$H$279,6,FALSE))</f>
        <v/>
      </c>
      <c r="G434" s="333" t="e">
        <f t="shared" si="46"/>
        <v>#VALUE!</v>
      </c>
      <c r="H434" s="343" t="str">
        <f t="array" ref="H434">IF(B434&lt;&gt;"",INDEX('Eingabe Meldungen'!$C$2:$J$492,MATCH(B434&amp;C434,'Eingabe Meldungen'!$C$2:$C$492&amp;'Eingabe Meldungen'!$D$2:$D$492,0),8),"")</f>
        <v/>
      </c>
      <c r="J434" s="332"/>
      <c r="K434" s="332"/>
      <c r="L434" s="332"/>
      <c r="M434" s="332"/>
      <c r="N434" s="332"/>
      <c r="O434" s="332"/>
      <c r="P434" s="332"/>
      <c r="Q434" s="332"/>
      <c r="R434" s="332"/>
      <c r="S434" s="332"/>
      <c r="T434" s="332"/>
      <c r="U434" s="332"/>
      <c r="V434" s="332"/>
      <c r="W434" s="332"/>
      <c r="X434" s="332"/>
      <c r="Y434" s="332"/>
      <c r="Z434" s="332"/>
      <c r="AA434" s="332"/>
      <c r="AB434" s="332"/>
      <c r="AC434" s="332"/>
      <c r="AD434" s="332"/>
      <c r="AE434" s="332"/>
      <c r="AF434" s="332"/>
      <c r="AG434" s="332"/>
      <c r="AH434" s="332"/>
      <c r="AI434" s="332"/>
      <c r="AJ434" s="333"/>
      <c r="AK434" s="333"/>
      <c r="AL434" s="333"/>
      <c r="AM434" s="333"/>
    </row>
    <row r="435" spans="2:39" s="316" customFormat="1" ht="26.25" customHeight="1" x14ac:dyDescent="0.2">
      <c r="B435" s="340" t="str">
        <f t="array" ref="B435">IF(ISERROR(INDEX('Eingabe Meldungen'!$C$2:$C$492,LARGE(('Eingabe Meldungen'!$A$2:$A$492=$B$426)*(ROW('Eingabe Meldungen'!$A$2:$A$492)-1),COUNTIF('Eingabe Meldungen'!$A$2:$A$492,$B$426)+1-ROW('Eingabe Meldungen'!A8)))),"",INDEX('Eingabe Meldungen'!$C$2:$C$492,LARGE(('Eingabe Meldungen'!$A$2:$A$492=$B$426)*(ROW('Eingabe Meldungen'!$A$2:$A$492)-1),COUNTIF('Eingabe Meldungen'!$A$2:$A$492,$B$426)+1-ROW('Eingabe Meldungen'!A8))))</f>
        <v/>
      </c>
      <c r="C435" s="316" t="str">
        <f t="array" ref="C435">IF(ISERROR(INDEX('Eingabe Meldungen'!$D$2:$D$492,LARGE(('Eingabe Meldungen'!$A$2:$A$492=$B$426)*(ROW('Eingabe Meldungen'!$A$2:$A$492)-1),COUNTIF('Eingabe Meldungen'!$A$2:$A$492,$B$426)+1-ROW('Eingabe Meldungen'!A8)))),"",INDEX('Eingabe Meldungen'!$D$2:$D$492,LARGE(('Eingabe Meldungen'!$A$2:$A$492=$B$426)*(ROW('Eingabe Meldungen'!$A$2:$A$492)-1),COUNTIF('Eingabe Meldungen'!$A$2:$A$492,$B$426)+1-ROW('Eingabe Meldungen'!A8))))</f>
        <v/>
      </c>
      <c r="D435" s="341" t="str">
        <f t="array" ref="D435">IF(B435&lt;&gt;"",INDEX('Eingabe Meldungen'!$C$2:$H$492,MATCH(B435&amp;C435,'Eingabe Meldungen'!$C$2:$C$492&amp;'Eingabe Meldungen'!$D$2:$D$492,0),6),"")</f>
        <v/>
      </c>
      <c r="E435" s="382" t="str">
        <f t="array" ref="E435">IF(B435&lt;&gt;"",INDEX('Eingabe Meldungen'!$C$2:$H$492,MATCH(B435&amp;C435,'Eingabe Meldungen'!$C$2:$C$492&amp;'Eingabe Meldungen'!$D$2:$D$492,0),4),"")</f>
        <v/>
      </c>
      <c r="F435" s="353" t="str">
        <f>IF(VLOOKUP(B435,Rennlisten!$B$278:$H$279,6,FALSE)=0,"",VLOOKUP(B435,Rennlisten!$B$278:$H$279,6,FALSE))</f>
        <v/>
      </c>
      <c r="G435" s="333" t="e">
        <f t="shared" si="46"/>
        <v>#VALUE!</v>
      </c>
      <c r="H435" s="343" t="str">
        <f t="array" ref="H435">IF(B435&lt;&gt;"",INDEX('Eingabe Meldungen'!$C$2:$J$492,MATCH(B435&amp;C435,'Eingabe Meldungen'!$C$2:$C$492&amp;'Eingabe Meldungen'!$D$2:$D$492,0),8),"")</f>
        <v/>
      </c>
      <c r="J435" s="332"/>
      <c r="K435" s="332"/>
      <c r="L435" s="332"/>
      <c r="M435" s="332"/>
      <c r="N435" s="332"/>
      <c r="O435" s="332"/>
      <c r="P435" s="332"/>
      <c r="Q435" s="332"/>
      <c r="R435" s="332"/>
      <c r="S435" s="332"/>
      <c r="T435" s="332"/>
      <c r="U435" s="332"/>
      <c r="V435" s="332"/>
      <c r="W435" s="332"/>
      <c r="X435" s="332"/>
      <c r="Y435" s="332"/>
      <c r="Z435" s="332"/>
      <c r="AA435" s="332"/>
      <c r="AB435" s="332"/>
      <c r="AC435" s="332"/>
      <c r="AD435" s="332"/>
      <c r="AE435" s="332"/>
      <c r="AF435" s="332"/>
      <c r="AG435" s="332"/>
      <c r="AH435" s="332"/>
      <c r="AI435" s="332"/>
      <c r="AJ435" s="333"/>
      <c r="AK435" s="333"/>
      <c r="AL435" s="333"/>
      <c r="AM435" s="333"/>
    </row>
    <row r="436" spans="2:39" s="316" customFormat="1" ht="26.25" customHeight="1" x14ac:dyDescent="0.2">
      <c r="B436" s="340" t="str">
        <f t="array" ref="B436">IF(ISERROR(INDEX('Eingabe Meldungen'!$C$2:$C$492,LARGE(('Eingabe Meldungen'!$A$2:$A$492=$B$426)*(ROW('Eingabe Meldungen'!$A$2:$A$492)-1),COUNTIF('Eingabe Meldungen'!$A$2:$A$492,$B$426)+1-ROW('Eingabe Meldungen'!A9)))),"",INDEX('Eingabe Meldungen'!$C$2:$C$492,LARGE(('Eingabe Meldungen'!$A$2:$A$492=$B$426)*(ROW('Eingabe Meldungen'!$A$2:$A$492)-1),COUNTIF('Eingabe Meldungen'!$A$2:$A$492,$B$426)+1-ROW('Eingabe Meldungen'!A9))))</f>
        <v/>
      </c>
      <c r="C436" s="316" t="str">
        <f t="array" ref="C436">IF(ISERROR(INDEX('Eingabe Meldungen'!$D$2:$D$492,LARGE(('Eingabe Meldungen'!$A$2:$A$492=$B$426)*(ROW('Eingabe Meldungen'!$A$2:$A$492)-1),COUNTIF('Eingabe Meldungen'!$A$2:$A$492,$B$426)+1-ROW('Eingabe Meldungen'!A9)))),"",INDEX('Eingabe Meldungen'!$D$2:$D$492,LARGE(('Eingabe Meldungen'!$A$2:$A$492=$B$426)*(ROW('Eingabe Meldungen'!$A$2:$A$492)-1),COUNTIF('Eingabe Meldungen'!$A$2:$A$492,$B$426)+1-ROW('Eingabe Meldungen'!A9))))</f>
        <v/>
      </c>
      <c r="D436" s="341" t="str">
        <f t="array" ref="D436">IF(B436&lt;&gt;"",INDEX('Eingabe Meldungen'!$C$2:$H$492,MATCH(B436&amp;C436,'Eingabe Meldungen'!$C$2:$C$492&amp;'Eingabe Meldungen'!$D$2:$D$492,0),6),"")</f>
        <v/>
      </c>
      <c r="E436" s="382" t="str">
        <f t="array" ref="E436">IF(B436&lt;&gt;"",INDEX('Eingabe Meldungen'!$C$2:$H$492,MATCH(B436&amp;C436,'Eingabe Meldungen'!$C$2:$C$492&amp;'Eingabe Meldungen'!$D$2:$D$492,0),4),"")</f>
        <v/>
      </c>
      <c r="F436" s="353" t="str">
        <f>IF(VLOOKUP(B436,Rennlisten!$B$278:$H$279,6,FALSE)=0,"",VLOOKUP(B436,Rennlisten!$B$278:$H$279,6,FALSE))</f>
        <v/>
      </c>
      <c r="G436" s="333" t="e">
        <f t="shared" si="46"/>
        <v>#VALUE!</v>
      </c>
      <c r="H436" s="343" t="str">
        <f t="array" ref="H436">IF(B436&lt;&gt;"",INDEX('Eingabe Meldungen'!$C$2:$J$492,MATCH(B436&amp;C436,'Eingabe Meldungen'!$C$2:$C$492&amp;'Eingabe Meldungen'!$D$2:$D$492,0),8),"")</f>
        <v/>
      </c>
      <c r="J436" s="332"/>
      <c r="K436" s="332"/>
      <c r="L436" s="332"/>
      <c r="M436" s="332"/>
      <c r="N436" s="332"/>
      <c r="O436" s="332"/>
      <c r="P436" s="332"/>
      <c r="Q436" s="332"/>
      <c r="R436" s="332"/>
      <c r="S436" s="332"/>
      <c r="T436" s="332"/>
      <c r="U436" s="332"/>
      <c r="V436" s="332"/>
      <c r="W436" s="332"/>
      <c r="X436" s="332"/>
      <c r="Y436" s="332"/>
      <c r="Z436" s="332"/>
      <c r="AA436" s="332"/>
      <c r="AB436" s="332"/>
      <c r="AC436" s="332"/>
      <c r="AD436" s="332"/>
      <c r="AE436" s="332"/>
      <c r="AF436" s="332"/>
      <c r="AG436" s="332"/>
      <c r="AH436" s="332"/>
      <c r="AI436" s="332"/>
      <c r="AJ436" s="333"/>
      <c r="AK436" s="333"/>
      <c r="AL436" s="333"/>
      <c r="AM436" s="333"/>
    </row>
    <row r="437" spans="2:39" s="316" customFormat="1" ht="26.25" customHeight="1" x14ac:dyDescent="0.2">
      <c r="B437" s="340" t="str">
        <f t="array" ref="B437">IF(ISERROR(INDEX('Eingabe Meldungen'!$C$2:$C$492,LARGE(('Eingabe Meldungen'!$A$2:$A$492=$B$426)*(ROW('Eingabe Meldungen'!$A$2:$A$492)-1),COUNTIF('Eingabe Meldungen'!$A$2:$A$492,$B$426)+1-ROW('Eingabe Meldungen'!A10)))),"",INDEX('Eingabe Meldungen'!$C$2:$C$492,LARGE(('Eingabe Meldungen'!$A$2:$A$492=$B$426)*(ROW('Eingabe Meldungen'!$A$2:$A$492)-1),COUNTIF('Eingabe Meldungen'!$A$2:$A$492,$B$426)+1-ROW('Eingabe Meldungen'!A10))))</f>
        <v/>
      </c>
      <c r="C437" s="316" t="str">
        <f t="array" ref="C437">IF(ISERROR(INDEX('Eingabe Meldungen'!$D$2:$D$492,LARGE(('Eingabe Meldungen'!$A$2:$A$492=$B$426)*(ROW('Eingabe Meldungen'!$A$2:$A$492)-1),COUNTIF('Eingabe Meldungen'!$A$2:$A$492,$B$426)+1-ROW('Eingabe Meldungen'!A10)))),"",INDEX('Eingabe Meldungen'!$D$2:$D$492,LARGE(('Eingabe Meldungen'!$A$2:$A$492=$B$426)*(ROW('Eingabe Meldungen'!$A$2:$A$492)-1),COUNTIF('Eingabe Meldungen'!$A$2:$A$492,$B$426)+1-ROW('Eingabe Meldungen'!A10))))</f>
        <v/>
      </c>
      <c r="D437" s="341" t="str">
        <f t="array" ref="D437">IF(B437&lt;&gt;"",INDEX('Eingabe Meldungen'!$C$2:$H$492,MATCH(B437&amp;C437,'Eingabe Meldungen'!$C$2:$C$492&amp;'Eingabe Meldungen'!$D$2:$D$492,0),6),"")</f>
        <v/>
      </c>
      <c r="E437" s="382" t="str">
        <f t="array" ref="E437">IF(B437&lt;&gt;"",INDEX('Eingabe Meldungen'!$C$2:$H$492,MATCH(B437&amp;C437,'Eingabe Meldungen'!$C$2:$C$492&amp;'Eingabe Meldungen'!$D$2:$D$492,0),4),"")</f>
        <v/>
      </c>
      <c r="F437" s="353" t="str">
        <f>IF(VLOOKUP(B437,Rennlisten!$B$278:$H$279,6,FALSE)=0,"",VLOOKUP(B437,Rennlisten!$B$278:$H$279,6,FALSE))</f>
        <v/>
      </c>
      <c r="G437" s="333" t="e">
        <f t="shared" si="46"/>
        <v>#VALUE!</v>
      </c>
      <c r="H437" s="343" t="str">
        <f t="array" ref="H437">IF(B437&lt;&gt;"",INDEX('Eingabe Meldungen'!$C$2:$J$492,MATCH(B437&amp;C437,'Eingabe Meldungen'!$C$2:$C$492&amp;'Eingabe Meldungen'!$D$2:$D$492,0),8),"")</f>
        <v/>
      </c>
      <c r="J437" s="332"/>
      <c r="K437" s="332"/>
      <c r="L437" s="332"/>
      <c r="M437" s="332"/>
      <c r="N437" s="332"/>
      <c r="O437" s="332"/>
      <c r="P437" s="332"/>
      <c r="Q437" s="332"/>
      <c r="R437" s="332"/>
      <c r="S437" s="332"/>
      <c r="T437" s="332"/>
      <c r="U437" s="332"/>
      <c r="V437" s="332"/>
      <c r="W437" s="332"/>
      <c r="X437" s="332"/>
      <c r="Y437" s="332"/>
      <c r="Z437" s="332"/>
      <c r="AA437" s="332"/>
      <c r="AB437" s="332"/>
      <c r="AC437" s="332"/>
      <c r="AD437" s="332"/>
      <c r="AE437" s="332"/>
      <c r="AF437" s="332"/>
      <c r="AG437" s="332"/>
      <c r="AH437" s="332"/>
      <c r="AI437" s="332"/>
      <c r="AJ437" s="333"/>
      <c r="AK437" s="333"/>
      <c r="AL437" s="333"/>
      <c r="AM437" s="333"/>
    </row>
    <row r="438" spans="2:39" s="316" customFormat="1" ht="26.25" customHeight="1" x14ac:dyDescent="0.2">
      <c r="B438" s="340" t="str">
        <f t="array" ref="B438">IF(ISERROR(INDEX('Eingabe Meldungen'!$C$2:$C$492,LARGE(('Eingabe Meldungen'!$A$2:$A$492=$B$426)*(ROW('Eingabe Meldungen'!$A$2:$A$492)-1),COUNTIF('Eingabe Meldungen'!$A$2:$A$492,$B$426)+1-ROW('Eingabe Meldungen'!A11)))),"",INDEX('Eingabe Meldungen'!$C$2:$C$492,LARGE(('Eingabe Meldungen'!$A$2:$A$492=$B$426)*(ROW('Eingabe Meldungen'!$A$2:$A$492)-1),COUNTIF('Eingabe Meldungen'!$A$2:$A$492,$B$426)+1-ROW('Eingabe Meldungen'!A11))))</f>
        <v/>
      </c>
      <c r="C438" s="316" t="str">
        <f t="array" ref="C438">IF(ISERROR(INDEX('Eingabe Meldungen'!$D$2:$D$492,LARGE(('Eingabe Meldungen'!$A$2:$A$492=$B$426)*(ROW('Eingabe Meldungen'!$A$2:$A$492)-1),COUNTIF('Eingabe Meldungen'!$A$2:$A$492,$B$426)+1-ROW('Eingabe Meldungen'!A11)))),"",INDEX('Eingabe Meldungen'!$D$2:$D$492,LARGE(('Eingabe Meldungen'!$A$2:$A$492=$B$426)*(ROW('Eingabe Meldungen'!$A$2:$A$492)-1),COUNTIF('Eingabe Meldungen'!$A$2:$A$492,$B$426)+1-ROW('Eingabe Meldungen'!A11))))</f>
        <v/>
      </c>
      <c r="D438" s="341" t="str">
        <f t="array" ref="D438">IF(B438&lt;&gt;"",INDEX('Eingabe Meldungen'!$C$2:$H$492,MATCH(B438&amp;C438,'Eingabe Meldungen'!$C$2:$C$492&amp;'Eingabe Meldungen'!$D$2:$D$492,0),6),"")</f>
        <v/>
      </c>
      <c r="E438" s="382" t="str">
        <f t="array" ref="E438">IF(B438&lt;&gt;"",INDEX('Eingabe Meldungen'!$C$2:$H$492,MATCH(B438&amp;C438,'Eingabe Meldungen'!$C$2:$C$492&amp;'Eingabe Meldungen'!$D$2:$D$492,0),4),"")</f>
        <v/>
      </c>
      <c r="F438" s="353" t="str">
        <f>IF(VLOOKUP(B438,Rennlisten!$B$278:$H$279,6,FALSE)=0,"",VLOOKUP(B438,Rennlisten!$B$278:$H$279,6,FALSE))</f>
        <v/>
      </c>
      <c r="G438" s="333" t="e">
        <f t="shared" si="46"/>
        <v>#VALUE!</v>
      </c>
      <c r="H438" s="343" t="str">
        <f t="array" ref="H438">IF(B438&lt;&gt;"",INDEX('Eingabe Meldungen'!$C$2:$J$492,MATCH(B438&amp;C438,'Eingabe Meldungen'!$C$2:$C$492&amp;'Eingabe Meldungen'!$D$2:$D$492,0),8),"")</f>
        <v/>
      </c>
      <c r="J438" s="332"/>
      <c r="K438" s="332"/>
      <c r="L438" s="332"/>
      <c r="M438" s="332"/>
      <c r="N438" s="332"/>
      <c r="O438" s="332"/>
      <c r="P438" s="332"/>
      <c r="Q438" s="332"/>
      <c r="R438" s="332"/>
      <c r="S438" s="332"/>
      <c r="T438" s="332"/>
      <c r="U438" s="332"/>
      <c r="V438" s="332"/>
      <c r="W438" s="332"/>
      <c r="X438" s="332"/>
      <c r="Y438" s="332"/>
      <c r="Z438" s="332"/>
      <c r="AA438" s="332"/>
      <c r="AB438" s="332"/>
      <c r="AC438" s="332"/>
      <c r="AD438" s="332"/>
      <c r="AE438" s="332"/>
      <c r="AF438" s="332"/>
      <c r="AG438" s="332"/>
      <c r="AH438" s="332"/>
      <c r="AI438" s="332"/>
      <c r="AJ438" s="333"/>
      <c r="AK438" s="333"/>
      <c r="AL438" s="333"/>
      <c r="AM438" s="333"/>
    </row>
    <row r="439" spans="2:39" s="316" customFormat="1" ht="26.25" customHeight="1" x14ac:dyDescent="0.2">
      <c r="B439" s="340" t="str">
        <f t="array" ref="B439">IF(ISERROR(INDEX('Eingabe Meldungen'!$C$2:$C$492,LARGE(('Eingabe Meldungen'!$A$2:$A$492=$B$426)*(ROW('Eingabe Meldungen'!$A$2:$A$492)-1),COUNTIF('Eingabe Meldungen'!$A$2:$A$492,$B$426)+1-ROW('Eingabe Meldungen'!A12)))),"",INDEX('Eingabe Meldungen'!$C$2:$C$492,LARGE(('Eingabe Meldungen'!$A$2:$A$492=$B$426)*(ROW('Eingabe Meldungen'!$A$2:$A$492)-1),COUNTIF('Eingabe Meldungen'!$A$2:$A$492,$B$426)+1-ROW('Eingabe Meldungen'!A12))))</f>
        <v/>
      </c>
      <c r="C439" s="316" t="str">
        <f t="array" ref="C439">IF(ISERROR(INDEX('Eingabe Meldungen'!$D$2:$D$492,LARGE(('Eingabe Meldungen'!$A$2:$A$492=$B$426)*(ROW('Eingabe Meldungen'!$A$2:$A$492)-1),COUNTIF('Eingabe Meldungen'!$A$2:$A$492,$B$426)+1-ROW('Eingabe Meldungen'!A12)))),"",INDEX('Eingabe Meldungen'!$D$2:$D$492,LARGE(('Eingabe Meldungen'!$A$2:$A$492=$B$426)*(ROW('Eingabe Meldungen'!$A$2:$A$492)-1),COUNTIF('Eingabe Meldungen'!$A$2:$A$492,$B$426)+1-ROW('Eingabe Meldungen'!A12))))</f>
        <v/>
      </c>
      <c r="D439" s="341" t="str">
        <f t="array" ref="D439">IF(B439&lt;&gt;"",INDEX('Eingabe Meldungen'!$C$2:$H$492,MATCH(B439&amp;C439,'Eingabe Meldungen'!$C$2:$C$492&amp;'Eingabe Meldungen'!$D$2:$D$492,0),6),"")</f>
        <v/>
      </c>
      <c r="E439" s="382" t="str">
        <f t="array" ref="E439">IF(B439&lt;&gt;"",INDEX('Eingabe Meldungen'!$C$2:$H$492,MATCH(B439&amp;C439,'Eingabe Meldungen'!$C$2:$C$492&amp;'Eingabe Meldungen'!$D$2:$D$492,0),4),"")</f>
        <v/>
      </c>
      <c r="F439" s="353" t="str">
        <f>IF(VLOOKUP(B439,Rennlisten!$B$278:$H$279,6,FALSE)=0,"",VLOOKUP(B439,Rennlisten!$B$278:$H$279,6,FALSE))</f>
        <v/>
      </c>
      <c r="G439" s="333" t="e">
        <f t="shared" si="46"/>
        <v>#VALUE!</v>
      </c>
      <c r="H439" s="343" t="str">
        <f t="array" ref="H439">IF(B439&lt;&gt;"",INDEX('Eingabe Meldungen'!$C$2:$J$492,MATCH(B439&amp;C439,'Eingabe Meldungen'!$C$2:$C$492&amp;'Eingabe Meldungen'!$D$2:$D$492,0),8),"")</f>
        <v/>
      </c>
      <c r="J439" s="332"/>
      <c r="K439" s="332"/>
      <c r="L439" s="332"/>
      <c r="M439" s="332"/>
      <c r="N439" s="332"/>
      <c r="O439" s="332"/>
      <c r="P439" s="332"/>
      <c r="Q439" s="332"/>
      <c r="R439" s="332"/>
      <c r="S439" s="332"/>
      <c r="T439" s="332"/>
      <c r="U439" s="332"/>
      <c r="V439" s="332"/>
      <c r="W439" s="332"/>
      <c r="X439" s="332"/>
      <c r="Y439" s="332"/>
      <c r="Z439" s="332"/>
      <c r="AA439" s="332"/>
      <c r="AB439" s="332"/>
      <c r="AC439" s="332"/>
      <c r="AD439" s="332"/>
      <c r="AE439" s="332"/>
      <c r="AF439" s="332"/>
      <c r="AG439" s="332"/>
      <c r="AH439" s="332"/>
      <c r="AI439" s="332"/>
      <c r="AJ439" s="333"/>
      <c r="AK439" s="333"/>
      <c r="AL439" s="333"/>
      <c r="AM439" s="333"/>
    </row>
    <row r="440" spans="2:39" s="316" customFormat="1" ht="26.25" customHeight="1" x14ac:dyDescent="0.2">
      <c r="B440" s="340" t="str">
        <f t="array" ref="B440">IF(ISERROR(INDEX('Eingabe Meldungen'!$C$2:$C$492,LARGE(('Eingabe Meldungen'!$A$2:$A$492=$B$426)*(ROW('Eingabe Meldungen'!$A$2:$A$492)-1),COUNTIF('Eingabe Meldungen'!$A$2:$A$492,$B$426)+1-ROW('Eingabe Meldungen'!A13)))),"",INDEX('Eingabe Meldungen'!$C$2:$C$492,LARGE(('Eingabe Meldungen'!$A$2:$A$492=$B$426)*(ROW('Eingabe Meldungen'!$A$2:$A$492)-1),COUNTIF('Eingabe Meldungen'!$A$2:$A$492,$B$426)+1-ROW('Eingabe Meldungen'!A13))))</f>
        <v/>
      </c>
      <c r="C440" s="316" t="str">
        <f t="array" ref="C440">IF(ISERROR(INDEX('Eingabe Meldungen'!$D$2:$D$492,LARGE(('Eingabe Meldungen'!$A$2:$A$492=$B$426)*(ROW('Eingabe Meldungen'!$A$2:$A$492)-1),COUNTIF('Eingabe Meldungen'!$A$2:$A$492,$B$426)+1-ROW('Eingabe Meldungen'!A13)))),"",INDEX('Eingabe Meldungen'!$D$2:$D$492,LARGE(('Eingabe Meldungen'!$A$2:$A$492=$B$426)*(ROW('Eingabe Meldungen'!$A$2:$A$492)-1),COUNTIF('Eingabe Meldungen'!$A$2:$A$492,$B$426)+1-ROW('Eingabe Meldungen'!A13))))</f>
        <v/>
      </c>
      <c r="D440" s="341" t="str">
        <f t="array" ref="D440">IF(B440&lt;&gt;"",INDEX('Eingabe Meldungen'!$C$2:$H$492,MATCH(B440&amp;C440,'Eingabe Meldungen'!$C$2:$C$492&amp;'Eingabe Meldungen'!$D$2:$D$492,0),6),"")</f>
        <v/>
      </c>
      <c r="E440" s="382" t="str">
        <f t="array" ref="E440">IF(B440&lt;&gt;"",INDEX('Eingabe Meldungen'!$C$2:$H$492,MATCH(B440&amp;C440,'Eingabe Meldungen'!$C$2:$C$492&amp;'Eingabe Meldungen'!$D$2:$D$492,0),4),"")</f>
        <v/>
      </c>
      <c r="F440" s="353" t="str">
        <f>IF(VLOOKUP(B440,Rennlisten!$B$278:$H$279,6,FALSE)=0,"",VLOOKUP(B440,Rennlisten!$B$278:$H$279,6,FALSE))</f>
        <v/>
      </c>
      <c r="G440" s="333" t="e">
        <f t="shared" si="46"/>
        <v>#VALUE!</v>
      </c>
      <c r="H440" s="343" t="str">
        <f t="array" ref="H440">IF(B440&lt;&gt;"",INDEX('Eingabe Meldungen'!$C$2:$J$492,MATCH(B440&amp;C440,'Eingabe Meldungen'!$C$2:$C$492&amp;'Eingabe Meldungen'!$D$2:$D$492,0),8),"")</f>
        <v/>
      </c>
      <c r="J440" s="332"/>
      <c r="K440" s="332"/>
      <c r="L440" s="332"/>
      <c r="M440" s="332"/>
      <c r="N440" s="332"/>
      <c r="O440" s="332"/>
      <c r="P440" s="332"/>
      <c r="Q440" s="332"/>
      <c r="R440" s="332"/>
      <c r="S440" s="332"/>
      <c r="T440" s="332"/>
      <c r="U440" s="332"/>
      <c r="V440" s="332"/>
      <c r="W440" s="332"/>
      <c r="X440" s="332"/>
      <c r="Y440" s="332"/>
      <c r="Z440" s="332"/>
      <c r="AA440" s="332"/>
      <c r="AB440" s="332"/>
      <c r="AC440" s="332"/>
      <c r="AD440" s="332"/>
      <c r="AE440" s="332"/>
      <c r="AF440" s="332"/>
      <c r="AG440" s="332"/>
      <c r="AH440" s="332"/>
      <c r="AI440" s="332"/>
      <c r="AJ440" s="333"/>
      <c r="AK440" s="333"/>
      <c r="AL440" s="333"/>
      <c r="AM440" s="333"/>
    </row>
    <row r="441" spans="2:39" s="316" customFormat="1" ht="26.25" customHeight="1" x14ac:dyDescent="0.2">
      <c r="B441" s="340" t="str">
        <f t="array" ref="B441">IF(ISERROR(INDEX('Eingabe Meldungen'!$C$2:$C$492,LARGE(('Eingabe Meldungen'!$A$2:$A$492=$B$426)*(ROW('Eingabe Meldungen'!$A$2:$A$492)-1),COUNTIF('Eingabe Meldungen'!$A$2:$A$492,$B$426)+1-ROW('Eingabe Meldungen'!A14)))),"",INDEX('Eingabe Meldungen'!$C$2:$C$492,LARGE(('Eingabe Meldungen'!$A$2:$A$492=$B$426)*(ROW('Eingabe Meldungen'!$A$2:$A$492)-1),COUNTIF('Eingabe Meldungen'!$A$2:$A$492,$B$426)+1-ROW('Eingabe Meldungen'!A14))))</f>
        <v/>
      </c>
      <c r="C441" s="316" t="str">
        <f t="array" ref="C441">IF(ISERROR(INDEX('Eingabe Meldungen'!$D$2:$D$492,LARGE(('Eingabe Meldungen'!$A$2:$A$492=$B$426)*(ROW('Eingabe Meldungen'!$A$2:$A$492)-1),COUNTIF('Eingabe Meldungen'!$A$2:$A$492,$B$426)+1-ROW('Eingabe Meldungen'!A14)))),"",INDEX('Eingabe Meldungen'!$D$2:$D$492,LARGE(('Eingabe Meldungen'!$A$2:$A$492=$B$426)*(ROW('Eingabe Meldungen'!$A$2:$A$492)-1),COUNTIF('Eingabe Meldungen'!$A$2:$A$492,$B$426)+1-ROW('Eingabe Meldungen'!A14))))</f>
        <v/>
      </c>
      <c r="D441" s="341" t="str">
        <f t="array" ref="D441">IF(B441&lt;&gt;"",INDEX('Eingabe Meldungen'!$C$2:$H$492,MATCH(B441&amp;C441,'Eingabe Meldungen'!$C$2:$C$492&amp;'Eingabe Meldungen'!$D$2:$D$492,0),6),"")</f>
        <v/>
      </c>
      <c r="E441" s="382" t="str">
        <f t="array" ref="E441">IF(B441&lt;&gt;"",INDEX('Eingabe Meldungen'!$C$2:$H$492,MATCH(B441&amp;C441,'Eingabe Meldungen'!$C$2:$C$492&amp;'Eingabe Meldungen'!$D$2:$D$492,0),4),"")</f>
        <v/>
      </c>
      <c r="F441" s="353" t="str">
        <f>IF(VLOOKUP(B441,Rennlisten!$B$278:$H$279,6,FALSE)=0,"",VLOOKUP(B441,Rennlisten!$B$278:$H$279,6,FALSE))</f>
        <v/>
      </c>
      <c r="G441" s="333" t="e">
        <f t="shared" ref="G441:G443" si="47">RANK(F441,$F$428:$F$443,1)</f>
        <v>#VALUE!</v>
      </c>
      <c r="H441" s="343" t="str">
        <f t="array" ref="H441">IF(B441&lt;&gt;"",INDEX('Eingabe Meldungen'!$C$2:$J$492,MATCH(B441&amp;C441,'Eingabe Meldungen'!$C$2:$C$492&amp;'Eingabe Meldungen'!$D$2:$D$492,0),8),"")</f>
        <v/>
      </c>
      <c r="J441" s="332"/>
      <c r="K441" s="332"/>
      <c r="L441" s="332"/>
      <c r="M441" s="332"/>
      <c r="N441" s="332"/>
      <c r="O441" s="332"/>
      <c r="P441" s="332"/>
      <c r="Q441" s="332"/>
      <c r="R441" s="332"/>
      <c r="S441" s="332"/>
      <c r="T441" s="332"/>
      <c r="U441" s="332"/>
      <c r="V441" s="332"/>
      <c r="W441" s="332"/>
      <c r="X441" s="332"/>
      <c r="Y441" s="332"/>
      <c r="Z441" s="332"/>
      <c r="AA441" s="332"/>
      <c r="AB441" s="332"/>
      <c r="AC441" s="332"/>
      <c r="AD441" s="332"/>
      <c r="AE441" s="332"/>
      <c r="AF441" s="332"/>
      <c r="AG441" s="332"/>
      <c r="AH441" s="332"/>
      <c r="AI441" s="332"/>
      <c r="AJ441" s="333"/>
      <c r="AK441" s="333"/>
      <c r="AL441" s="333"/>
      <c r="AM441" s="333"/>
    </row>
    <row r="442" spans="2:39" s="316" customFormat="1" ht="26.25" customHeight="1" x14ac:dyDescent="0.2">
      <c r="B442" s="340" t="str">
        <f t="array" ref="B442">IF(ISERROR(INDEX('Eingabe Meldungen'!$C$2:$C$492,LARGE(('Eingabe Meldungen'!$A$2:$A$492=$B$426)*(ROW('Eingabe Meldungen'!$A$2:$A$492)-1),COUNTIF('Eingabe Meldungen'!$A$2:$A$492,$B$426)+1-ROW('Eingabe Meldungen'!A15)))),"",INDEX('Eingabe Meldungen'!$C$2:$C$492,LARGE(('Eingabe Meldungen'!$A$2:$A$492=$B$426)*(ROW('Eingabe Meldungen'!$A$2:$A$492)-1),COUNTIF('Eingabe Meldungen'!$A$2:$A$492,$B$426)+1-ROW('Eingabe Meldungen'!A15))))</f>
        <v/>
      </c>
      <c r="C442" s="316" t="str">
        <f t="array" ref="C442">IF(ISERROR(INDEX('Eingabe Meldungen'!$D$2:$D$492,LARGE(('Eingabe Meldungen'!$A$2:$A$492=$B$426)*(ROW('Eingabe Meldungen'!$A$2:$A$492)-1),COUNTIF('Eingabe Meldungen'!$A$2:$A$492,$B$426)+1-ROW('Eingabe Meldungen'!A15)))),"",INDEX('Eingabe Meldungen'!$D$2:$D$492,LARGE(('Eingabe Meldungen'!$A$2:$A$492=$B$426)*(ROW('Eingabe Meldungen'!$A$2:$A$492)-1),COUNTIF('Eingabe Meldungen'!$A$2:$A$492,$B$426)+1-ROW('Eingabe Meldungen'!A15))))</f>
        <v/>
      </c>
      <c r="D442" s="341" t="str">
        <f t="array" ref="D442">IF(B442&lt;&gt;"",INDEX('Eingabe Meldungen'!$C$2:$H$492,MATCH(B442&amp;C442,'Eingabe Meldungen'!$C$2:$C$492&amp;'Eingabe Meldungen'!$D$2:$D$492,0),6),"")</f>
        <v/>
      </c>
      <c r="E442" s="382" t="str">
        <f t="array" ref="E442">IF(B442&lt;&gt;"",INDEX('Eingabe Meldungen'!$C$2:$H$492,MATCH(B442&amp;C442,'Eingabe Meldungen'!$C$2:$C$492&amp;'Eingabe Meldungen'!$D$2:$D$492,0),4),"")</f>
        <v/>
      </c>
      <c r="F442" s="353" t="str">
        <f>IF(VLOOKUP(B442,Rennlisten!$B$278:$H$279,6,FALSE)=0,"",VLOOKUP(B442,Rennlisten!$B$278:$H$279,6,FALSE))</f>
        <v/>
      </c>
      <c r="G442" s="333" t="e">
        <f t="shared" si="47"/>
        <v>#VALUE!</v>
      </c>
      <c r="H442" s="343" t="str">
        <f t="array" ref="H442">IF(B442&lt;&gt;"",INDEX('Eingabe Meldungen'!$C$2:$J$492,MATCH(B442&amp;C442,'Eingabe Meldungen'!$C$2:$C$492&amp;'Eingabe Meldungen'!$D$2:$D$492,0),8),"")</f>
        <v/>
      </c>
      <c r="J442" s="332"/>
      <c r="K442" s="332"/>
      <c r="L442" s="332"/>
      <c r="M442" s="332"/>
      <c r="N442" s="332"/>
      <c r="O442" s="332"/>
      <c r="P442" s="332"/>
      <c r="Q442" s="332"/>
      <c r="R442" s="332"/>
      <c r="S442" s="332"/>
      <c r="T442" s="332"/>
      <c r="U442" s="332"/>
      <c r="V442" s="332"/>
      <c r="W442" s="332"/>
      <c r="X442" s="332"/>
      <c r="Y442" s="332"/>
      <c r="Z442" s="332"/>
      <c r="AA442" s="332"/>
      <c r="AB442" s="332"/>
      <c r="AC442" s="332"/>
      <c r="AD442" s="332"/>
      <c r="AE442" s="332"/>
      <c r="AF442" s="332"/>
      <c r="AG442" s="332"/>
      <c r="AH442" s="332"/>
      <c r="AI442" s="332"/>
      <c r="AJ442" s="333"/>
      <c r="AK442" s="333"/>
      <c r="AL442" s="333"/>
      <c r="AM442" s="333"/>
    </row>
    <row r="443" spans="2:39" s="316" customFormat="1" ht="26.25" customHeight="1" thickBot="1" x14ac:dyDescent="0.25">
      <c r="B443" s="344" t="str">
        <f t="array" ref="B443">IF(ISERROR(INDEX('Eingabe Meldungen'!$C$2:$C$492,LARGE(('Eingabe Meldungen'!$A$2:$A$492=$B$426)*(ROW('Eingabe Meldungen'!$A$2:$A$492)-1),COUNTIF('Eingabe Meldungen'!$A$2:$A$492,$B$426)+1-ROW('Eingabe Meldungen'!A16)))),"",INDEX('Eingabe Meldungen'!$C$2:$C$492,LARGE(('Eingabe Meldungen'!$A$2:$A$492=$B$426)*(ROW('Eingabe Meldungen'!$A$2:$A$492)-1),COUNTIF('Eingabe Meldungen'!$A$2:$A$492,$B$426)+1-ROW('Eingabe Meldungen'!A16))))</f>
        <v/>
      </c>
      <c r="C443" s="345" t="str">
        <f t="array" ref="C443">IF(ISERROR(INDEX('Eingabe Meldungen'!$D$2:$D$492,LARGE(('Eingabe Meldungen'!$A$2:$A$492=$B$426)*(ROW('Eingabe Meldungen'!$A$2:$A$492)-1),COUNTIF('Eingabe Meldungen'!$A$2:$A$492,$B$426)+1-ROW('Eingabe Meldungen'!A16)))),"",INDEX('Eingabe Meldungen'!$D$2:$D$492,LARGE(('Eingabe Meldungen'!$A$2:$A$492=$B$426)*(ROW('Eingabe Meldungen'!$A$2:$A$492)-1),COUNTIF('Eingabe Meldungen'!$A$2:$A$492,$B$426)+1-ROW('Eingabe Meldungen'!A16))))</f>
        <v/>
      </c>
      <c r="D443" s="346" t="str">
        <f t="array" ref="D443">IF(B443&lt;&gt;"",INDEX('Eingabe Meldungen'!$C$2:$H$492,MATCH(B443&amp;C443,'Eingabe Meldungen'!$C$2:$C$492&amp;'Eingabe Meldungen'!$D$2:$D$492,0),6),"")</f>
        <v/>
      </c>
      <c r="E443" s="383" t="str">
        <f t="array" ref="E443">IF(B443&lt;&gt;"",INDEX('Eingabe Meldungen'!$C$2:$H$492,MATCH(B443&amp;C443,'Eingabe Meldungen'!$C$2:$C$492&amp;'Eingabe Meldungen'!$D$2:$D$492,0),4),"")</f>
        <v/>
      </c>
      <c r="F443" s="354" t="str">
        <f>IF(VLOOKUP(B443,Rennlisten!$B$278:$H$279,6,FALSE)=0,"",VLOOKUP(B443,Rennlisten!$B$278:$H$279,6,FALSE))</f>
        <v/>
      </c>
      <c r="G443" s="348" t="e">
        <f t="shared" si="47"/>
        <v>#VALUE!</v>
      </c>
      <c r="H443" s="349" t="str">
        <f t="array" ref="H443">IF(B443&lt;&gt;"",INDEX('Eingabe Meldungen'!$C$2:$J$492,MATCH(B443&amp;C443,'Eingabe Meldungen'!$C$2:$C$492&amp;'Eingabe Meldungen'!$D$2:$D$492,0),8),"")</f>
        <v/>
      </c>
      <c r="J443" s="332"/>
      <c r="K443" s="332"/>
      <c r="L443" s="332"/>
      <c r="M443" s="332"/>
      <c r="N443" s="332"/>
      <c r="O443" s="332"/>
      <c r="P443" s="332"/>
      <c r="Q443" s="332"/>
      <c r="R443" s="332"/>
      <c r="S443" s="332"/>
      <c r="T443" s="332"/>
      <c r="U443" s="332"/>
      <c r="V443" s="332"/>
      <c r="W443" s="332"/>
      <c r="X443" s="332"/>
      <c r="Y443" s="332"/>
      <c r="Z443" s="332"/>
      <c r="AA443" s="332"/>
      <c r="AB443" s="332"/>
      <c r="AC443" s="332"/>
      <c r="AD443" s="332"/>
      <c r="AE443" s="332"/>
      <c r="AF443" s="332"/>
      <c r="AG443" s="332"/>
      <c r="AH443" s="332"/>
      <c r="AI443" s="332"/>
      <c r="AJ443" s="333"/>
      <c r="AK443" s="333"/>
      <c r="AL443" s="333"/>
      <c r="AM443" s="333"/>
    </row>
    <row r="444" spans="2:39" s="316" customFormat="1" ht="26.25" customHeight="1" thickBot="1" x14ac:dyDescent="0.25">
      <c r="E444" s="352"/>
      <c r="F444" s="333"/>
      <c r="G444" s="333"/>
      <c r="J444" s="333"/>
      <c r="K444" s="333"/>
      <c r="L444" s="333"/>
      <c r="M444" s="333"/>
      <c r="N444" s="333"/>
      <c r="O444" s="333"/>
      <c r="P444" s="333"/>
      <c r="Q444" s="333"/>
      <c r="R444" s="333"/>
      <c r="S444" s="333"/>
      <c r="T444" s="333"/>
      <c r="U444" s="333"/>
      <c r="V444" s="333"/>
      <c r="W444" s="333"/>
      <c r="X444" s="333"/>
      <c r="Y444" s="333"/>
      <c r="Z444" s="333"/>
      <c r="AA444" s="333"/>
      <c r="AB444" s="333"/>
      <c r="AC444" s="333"/>
      <c r="AD444" s="333"/>
      <c r="AE444" s="333"/>
      <c r="AF444" s="333"/>
      <c r="AG444" s="333"/>
      <c r="AH444" s="333"/>
      <c r="AI444" s="333"/>
      <c r="AJ444" s="333"/>
      <c r="AK444" s="333"/>
      <c r="AL444" s="333"/>
      <c r="AM444" s="333"/>
    </row>
    <row r="445" spans="2:39" s="316" customFormat="1" ht="26.25" customHeight="1" x14ac:dyDescent="0.2">
      <c r="B445" s="326">
        <f>B426+1</f>
        <v>18</v>
      </c>
      <c r="C445" s="327" t="str">
        <f>VLOOKUP(B445,Ausschreibung!$B$5:$I$35,2,FALSE)</f>
        <v>Ergocup</v>
      </c>
      <c r="D445" s="328">
        <f>VLOOKUP(B445,Ausschreibung!$B$5:$I$35,3,FALSE)</f>
        <v>0.62083333333333324</v>
      </c>
      <c r="E445" s="327" t="str">
        <f>VLOOKUP(B445,Ausschreibung!$B$5:$I$35,4,FALSE)</f>
        <v>Juniorinnen A U19</v>
      </c>
      <c r="F445" s="329" t="str">
        <f>VLOOKUP(B445,Ausschreibung!$B$5:$I$35,5,FALSE)</f>
        <v>-</v>
      </c>
      <c r="G445" s="330" t="str">
        <f>VLOOKUP(B445,Ausschreibung!$B$5:$I$35,6,FALSE)</f>
        <v>17-18</v>
      </c>
      <c r="H445" s="331" t="str">
        <f>VLOOKUP(B445,Ausschreibung!$B$5:$I$35,8,FALSE)</f>
        <v>2000 m</v>
      </c>
      <c r="J445" s="332"/>
      <c r="K445" s="332"/>
      <c r="L445" s="332"/>
      <c r="M445" s="332"/>
      <c r="N445" s="332"/>
      <c r="O445" s="332"/>
      <c r="P445" s="332"/>
      <c r="Q445" s="332"/>
      <c r="R445" s="332"/>
      <c r="S445" s="332"/>
      <c r="T445" s="332"/>
      <c r="U445" s="332"/>
      <c r="V445" s="332"/>
      <c r="W445" s="332"/>
      <c r="X445" s="332"/>
      <c r="Y445" s="332"/>
      <c r="Z445" s="332"/>
      <c r="AA445" s="332"/>
      <c r="AB445" s="332"/>
      <c r="AC445" s="332"/>
      <c r="AD445" s="332"/>
      <c r="AE445" s="332"/>
      <c r="AF445" s="332"/>
      <c r="AG445" s="332"/>
      <c r="AH445" s="332"/>
      <c r="AI445" s="332"/>
      <c r="AJ445" s="333"/>
      <c r="AK445" s="333"/>
      <c r="AL445" s="333"/>
      <c r="AM445" s="333"/>
    </row>
    <row r="446" spans="2:39" s="316" customFormat="1" ht="26.25" customHeight="1" x14ac:dyDescent="0.2">
      <c r="B446" s="334" t="s">
        <v>1</v>
      </c>
      <c r="C446" s="335" t="s">
        <v>2</v>
      </c>
      <c r="D446" s="336" t="s">
        <v>49</v>
      </c>
      <c r="E446" s="381" t="s">
        <v>16</v>
      </c>
      <c r="F446" s="337" t="s">
        <v>50</v>
      </c>
      <c r="G446" s="338" t="s">
        <v>51</v>
      </c>
      <c r="H446" s="339" t="s">
        <v>17</v>
      </c>
      <c r="J446" s="332"/>
      <c r="K446" s="332"/>
      <c r="L446" s="332"/>
      <c r="M446" s="332"/>
      <c r="N446" s="332"/>
      <c r="O446" s="332"/>
      <c r="P446" s="332"/>
      <c r="Q446" s="332"/>
      <c r="R446" s="332"/>
      <c r="S446" s="332"/>
      <c r="T446" s="332"/>
      <c r="U446" s="332"/>
      <c r="V446" s="332"/>
      <c r="W446" s="332"/>
      <c r="X446" s="332"/>
      <c r="Y446" s="332"/>
      <c r="Z446" s="332"/>
      <c r="AA446" s="332"/>
      <c r="AB446" s="332"/>
      <c r="AC446" s="332"/>
      <c r="AD446" s="332"/>
      <c r="AE446" s="332"/>
      <c r="AF446" s="332"/>
      <c r="AG446" s="332"/>
      <c r="AH446" s="332"/>
      <c r="AI446" s="332"/>
      <c r="AJ446" s="333"/>
      <c r="AK446" s="333"/>
      <c r="AL446" s="333"/>
      <c r="AM446" s="333"/>
    </row>
    <row r="447" spans="2:39" s="316" customFormat="1" ht="26.25" customHeight="1" x14ac:dyDescent="0.2">
      <c r="B447" s="340" t="str">
        <f t="array" ref="B447">IF(ISERROR(INDEX('Eingabe Meldungen'!$C$2:$C$492,LARGE(('Eingabe Meldungen'!$A$2:$A$492=$B$445)*(ROW('Eingabe Meldungen'!$A$2:$A$492)-1),COUNTIF('Eingabe Meldungen'!$A$2:$A$492,$B$445)+1-ROW('Eingabe Meldungen'!A1)))),"",INDEX('Eingabe Meldungen'!$C$2:$C$492,LARGE(('Eingabe Meldungen'!$A$2:$A$492=$B$445)*(ROW('Eingabe Meldungen'!$A$2:$A$492)-1),COUNTIF('Eingabe Meldungen'!$A$2:$A$492,$B$445)+1-ROW('Eingabe Meldungen'!A1))))</f>
        <v>Löwer</v>
      </c>
      <c r="C447" s="316" t="str">
        <f t="array" ref="C447">IF(ISERROR(INDEX('Eingabe Meldungen'!$D$2:$D$492,LARGE(('Eingabe Meldungen'!$A$2:$A$492=$B$445)*(ROW('Eingabe Meldungen'!$A$2:$A$492)-1),COUNTIF('Eingabe Meldungen'!$A$2:$A$492,$B$445)+1-ROW('Eingabe Meldungen'!A1)))),"",INDEX('Eingabe Meldungen'!$D$2:$D$492,LARGE(('Eingabe Meldungen'!$A$2:$A$492=$B$445)*(ROW('Eingabe Meldungen'!$A$2:$A$492)-1),COUNTIF('Eingabe Meldungen'!$A$2:$A$492,$B$445)+1-ROW('Eingabe Meldungen'!A1))))</f>
        <v>Kim</v>
      </c>
      <c r="D447" s="341">
        <f t="array" ref="D447">IF(B447&lt;&gt;"",INDEX('Eingabe Meldungen'!$C$2:$H$492,MATCH(B447&amp;C447,'Eingabe Meldungen'!$C$2:$C$492&amp;'Eingabe Meldungen'!$D$2:$D$492,0),6),"")</f>
        <v>2002</v>
      </c>
      <c r="E447" s="382" t="str">
        <f t="array" ref="E447">IF(B447&lt;&gt;"",INDEX('Eingabe Meldungen'!$C$2:$H$492,MATCH(B447&amp;C447,'Eingabe Meldungen'!$C$2:$C$492&amp;'Eingabe Meldungen'!$D$2:$D$492,0),4),"")</f>
        <v>-</v>
      </c>
      <c r="F447" s="353" t="s">
        <v>628</v>
      </c>
      <c r="G447" s="333">
        <v>2</v>
      </c>
      <c r="H447" s="343" t="str">
        <f t="array" ref="H447">IF(B447&lt;&gt;"",INDEX('Eingabe Meldungen'!$C$2:$J$492,MATCH(B447&amp;C447,'Eingabe Meldungen'!$C$2:$C$492&amp;'Eingabe Meldungen'!$D$2:$D$492,0),8),"")</f>
        <v>Marbacher Ruderverein</v>
      </c>
      <c r="J447" s="332"/>
      <c r="K447" s="332"/>
      <c r="L447" s="332"/>
      <c r="M447" s="332"/>
      <c r="N447" s="332"/>
      <c r="O447" s="332">
        <v>4</v>
      </c>
      <c r="P447" s="332"/>
      <c r="Q447" s="332"/>
      <c r="R447" s="332"/>
      <c r="S447" s="332"/>
      <c r="T447" s="332"/>
      <c r="U447" s="332"/>
      <c r="V447" s="332"/>
      <c r="W447" s="332"/>
      <c r="X447" s="332"/>
      <c r="Y447" s="332"/>
      <c r="Z447" s="332"/>
      <c r="AA447" s="332"/>
      <c r="AB447" s="332"/>
      <c r="AC447" s="332"/>
      <c r="AD447" s="332"/>
      <c r="AE447" s="332"/>
      <c r="AF447" s="332"/>
      <c r="AG447" s="332"/>
      <c r="AH447" s="332"/>
      <c r="AI447" s="332"/>
      <c r="AJ447" s="333"/>
      <c r="AK447" s="333"/>
      <c r="AL447" s="333"/>
      <c r="AM447" s="333"/>
    </row>
    <row r="448" spans="2:39" s="316" customFormat="1" ht="26.25" customHeight="1" x14ac:dyDescent="0.2">
      <c r="B448" s="340" t="str">
        <f t="array" ref="B448">IF(ISERROR(INDEX('Eingabe Meldungen'!$C$2:$C$492,LARGE(('Eingabe Meldungen'!$A$2:$A$492=$B$445)*(ROW('Eingabe Meldungen'!$A$2:$A$492)-1),COUNTIF('Eingabe Meldungen'!$A$2:$A$492,$B$445)+1-ROW('Eingabe Meldungen'!A2)))),"",INDEX('Eingabe Meldungen'!$C$2:$C$492,LARGE(('Eingabe Meldungen'!$A$2:$A$492=$B$445)*(ROW('Eingabe Meldungen'!$A$2:$A$492)-1),COUNTIF('Eingabe Meldungen'!$A$2:$A$492,$B$445)+1-ROW('Eingabe Meldungen'!A2))))</f>
        <v>Groß</v>
      </c>
      <c r="C448" s="316" t="str">
        <f t="array" ref="C448">IF(ISERROR(INDEX('Eingabe Meldungen'!$D$2:$D$492,LARGE(('Eingabe Meldungen'!$A$2:$A$492=$B$445)*(ROW('Eingabe Meldungen'!$A$2:$A$492)-1),COUNTIF('Eingabe Meldungen'!$A$2:$A$492,$B$445)+1-ROW('Eingabe Meldungen'!A2)))),"",INDEX('Eingabe Meldungen'!$D$2:$D$492,LARGE(('Eingabe Meldungen'!$A$2:$A$492=$B$445)*(ROW('Eingabe Meldungen'!$A$2:$A$492)-1),COUNTIF('Eingabe Meldungen'!$A$2:$A$492,$B$445)+1-ROW('Eingabe Meldungen'!A2))))</f>
        <v>Amelie</v>
      </c>
      <c r="D448" s="341">
        <f t="array" ref="D448">IF(B448&lt;&gt;"",INDEX('Eingabe Meldungen'!$C$2:$H$492,MATCH(B448&amp;C448,'Eingabe Meldungen'!$C$2:$C$492&amp;'Eingabe Meldungen'!$D$2:$D$492,0),6),"")</f>
        <v>2003</v>
      </c>
      <c r="E448" s="382" t="str">
        <f t="array" ref="E448">IF(B448&lt;&gt;"",INDEX('Eingabe Meldungen'!$C$2:$H$492,MATCH(B448&amp;C448,'Eingabe Meldungen'!$C$2:$C$492&amp;'Eingabe Meldungen'!$D$2:$D$492,0),4),"")</f>
        <v>-</v>
      </c>
      <c r="F448" s="353" t="s">
        <v>627</v>
      </c>
      <c r="G448" s="333">
        <v>1</v>
      </c>
      <c r="H448" s="343" t="str">
        <f t="array" ref="H448">IF(B448&lt;&gt;"",INDEX('Eingabe Meldungen'!$C$2:$J$492,MATCH(B448&amp;C448,'Eingabe Meldungen'!$C$2:$C$492&amp;'Eingabe Meldungen'!$D$2:$D$492,0),8),"")</f>
        <v>Marbacher Ruderverein</v>
      </c>
      <c r="J448" s="332"/>
      <c r="K448" s="332"/>
      <c r="L448" s="332"/>
      <c r="M448" s="332"/>
      <c r="N448" s="332"/>
      <c r="O448" s="332">
        <v>6</v>
      </c>
      <c r="P448" s="332"/>
      <c r="Q448" s="332"/>
      <c r="R448" s="332"/>
      <c r="S448" s="332"/>
      <c r="T448" s="332"/>
      <c r="U448" s="332"/>
      <c r="V448" s="332"/>
      <c r="W448" s="332"/>
      <c r="X448" s="332"/>
      <c r="Y448" s="332"/>
      <c r="Z448" s="332"/>
      <c r="AA448" s="332"/>
      <c r="AB448" s="332"/>
      <c r="AC448" s="332"/>
      <c r="AD448" s="332"/>
      <c r="AE448" s="332"/>
      <c r="AF448" s="332"/>
      <c r="AG448" s="332"/>
      <c r="AH448" s="332"/>
      <c r="AI448" s="332"/>
      <c r="AJ448" s="333"/>
      <c r="AK448" s="333"/>
      <c r="AL448" s="333"/>
      <c r="AM448" s="333"/>
    </row>
    <row r="449" spans="2:39" s="316" customFormat="1" ht="26.25" customHeight="1" x14ac:dyDescent="0.2">
      <c r="B449" s="340" t="str">
        <f t="array" ref="B449">IF(ISERROR(INDEX('Eingabe Meldungen'!$C$2:$C$492,LARGE(('Eingabe Meldungen'!$A$2:$A$492=$B$445)*(ROW('Eingabe Meldungen'!$A$2:$A$492)-1),COUNTIF('Eingabe Meldungen'!$A$2:$A$492,$B$445)+1-ROW('Eingabe Meldungen'!A3)))),"",INDEX('Eingabe Meldungen'!$C$2:$C$492,LARGE(('Eingabe Meldungen'!$A$2:$A$492=$B$445)*(ROW('Eingabe Meldungen'!$A$2:$A$492)-1),COUNTIF('Eingabe Meldungen'!$A$2:$A$492,$B$445)+1-ROW('Eingabe Meldungen'!A3))))</f>
        <v>Ross</v>
      </c>
      <c r="C449" s="316" t="str">
        <f t="array" ref="C449">IF(ISERROR(INDEX('Eingabe Meldungen'!$D$2:$D$492,LARGE(('Eingabe Meldungen'!$A$2:$A$492=$B$445)*(ROW('Eingabe Meldungen'!$A$2:$A$492)-1),COUNTIF('Eingabe Meldungen'!$A$2:$A$492,$B$445)+1-ROW('Eingabe Meldungen'!A3)))),"",INDEX('Eingabe Meldungen'!$D$2:$D$492,LARGE(('Eingabe Meldungen'!$A$2:$A$492=$B$445)*(ROW('Eingabe Meldungen'!$A$2:$A$492)-1),COUNTIF('Eingabe Meldungen'!$A$2:$A$492,$B$445)+1-ROW('Eingabe Meldungen'!A3))))</f>
        <v>Charlotte</v>
      </c>
      <c r="D449" s="341">
        <f t="array" ref="D449">IF(B449&lt;&gt;"",INDEX('Eingabe Meldungen'!$C$2:$H$492,MATCH(B449&amp;C449,'Eingabe Meldungen'!$C$2:$C$492&amp;'Eingabe Meldungen'!$D$2:$D$492,0),6),"")</f>
        <v>2003</v>
      </c>
      <c r="E449" s="382" t="str">
        <f t="array" ref="E449">IF(B449&lt;&gt;"",INDEX('Eingabe Meldungen'!$C$2:$H$492,MATCH(B449&amp;C449,'Eingabe Meldungen'!$C$2:$C$492&amp;'Eingabe Meldungen'!$D$2:$D$492,0),4),"")</f>
        <v>-</v>
      </c>
      <c r="F449" s="353" t="s">
        <v>629</v>
      </c>
      <c r="G449" s="333">
        <v>3</v>
      </c>
      <c r="H449" s="343" t="str">
        <f t="array" ref="H449">IF(B449&lt;&gt;"",INDEX('Eingabe Meldungen'!$C$2:$J$492,MATCH(B449&amp;C449,'Eingabe Meldungen'!$C$2:$C$492&amp;'Eingabe Meldungen'!$D$2:$D$492,0),8),"")</f>
        <v>RC Nürtingen</v>
      </c>
      <c r="J449" s="332"/>
      <c r="K449" s="332"/>
      <c r="L449" s="332"/>
      <c r="M449" s="332">
        <v>2</v>
      </c>
      <c r="N449" s="332"/>
      <c r="O449" s="332"/>
      <c r="P449" s="332"/>
      <c r="Q449" s="332"/>
      <c r="R449" s="332"/>
      <c r="S449" s="332"/>
      <c r="T449" s="332"/>
      <c r="U449" s="332"/>
      <c r="V449" s="332"/>
      <c r="W449" s="332"/>
      <c r="X449" s="332"/>
      <c r="Y449" s="332"/>
      <c r="Z449" s="332"/>
      <c r="AA449" s="332"/>
      <c r="AB449" s="332"/>
      <c r="AC449" s="332"/>
      <c r="AD449" s="332"/>
      <c r="AE449" s="332"/>
      <c r="AF449" s="332"/>
      <c r="AG449" s="332"/>
      <c r="AH449" s="332"/>
      <c r="AI449" s="332"/>
      <c r="AJ449" s="333"/>
      <c r="AK449" s="333"/>
      <c r="AL449" s="333"/>
      <c r="AM449" s="333"/>
    </row>
    <row r="450" spans="2:39" s="316" customFormat="1" ht="26.25" customHeight="1" x14ac:dyDescent="0.2">
      <c r="B450" s="340" t="str">
        <f t="array" ref="B450">IF(ISERROR(INDEX('Eingabe Meldungen'!$C$2:$C$492,LARGE(('Eingabe Meldungen'!$A$2:$A$492=$B$445)*(ROW('Eingabe Meldungen'!$A$2:$A$492)-1),COUNTIF('Eingabe Meldungen'!$A$2:$A$492,$B$445)+1-ROW('Eingabe Meldungen'!A4)))),"",INDEX('Eingabe Meldungen'!$C$2:$C$492,LARGE(('Eingabe Meldungen'!$A$2:$A$492=$B$445)*(ROW('Eingabe Meldungen'!$A$2:$A$492)-1),COUNTIF('Eingabe Meldungen'!$A$2:$A$492,$B$445)+1-ROW('Eingabe Meldungen'!A4))))</f>
        <v>Stephan</v>
      </c>
      <c r="C450" s="316" t="str">
        <f t="array" ref="C450">IF(ISERROR(INDEX('Eingabe Meldungen'!$D$2:$D$492,LARGE(('Eingabe Meldungen'!$A$2:$A$492=$B$445)*(ROW('Eingabe Meldungen'!$A$2:$A$492)-1),COUNTIF('Eingabe Meldungen'!$A$2:$A$492,$B$445)+1-ROW('Eingabe Meldungen'!A4)))),"",INDEX('Eingabe Meldungen'!$D$2:$D$492,LARGE(('Eingabe Meldungen'!$A$2:$A$492=$B$445)*(ROW('Eingabe Meldungen'!$A$2:$A$492)-1),COUNTIF('Eingabe Meldungen'!$A$2:$A$492,$B$445)+1-ROW('Eingabe Meldungen'!A4))))</f>
        <v>Julia</v>
      </c>
      <c r="D450" s="341">
        <f t="array" ref="D450">IF(B450&lt;&gt;"",INDEX('Eingabe Meldungen'!$C$2:$H$492,MATCH(B450&amp;C450,'Eingabe Meldungen'!$C$2:$C$492&amp;'Eingabe Meldungen'!$D$2:$D$492,0),6),"")</f>
        <v>2003</v>
      </c>
      <c r="E450" s="382" t="str">
        <f t="array" ref="E450">IF(B450&lt;&gt;"",INDEX('Eingabe Meldungen'!$C$2:$H$492,MATCH(B450&amp;C450,'Eingabe Meldungen'!$C$2:$C$492&amp;'Eingabe Meldungen'!$D$2:$D$492,0),4),"")</f>
        <v>-</v>
      </c>
      <c r="F450" s="353" t="s">
        <v>630</v>
      </c>
      <c r="G450" s="333">
        <v>4</v>
      </c>
      <c r="H450" s="343" t="str">
        <f t="array" ref="H450">IF(B450&lt;&gt;"",INDEX('Eingabe Meldungen'!$C$2:$J$492,MATCH(B450&amp;C450,'Eingabe Meldungen'!$C$2:$C$492&amp;'Eingabe Meldungen'!$D$2:$D$492,0),8),"")</f>
        <v>Ruderverein Bad Wimpfen</v>
      </c>
      <c r="J450" s="332">
        <v>1</v>
      </c>
      <c r="K450" s="332"/>
      <c r="L450" s="332"/>
      <c r="M450" s="332"/>
      <c r="N450" s="332"/>
      <c r="O450" s="332"/>
      <c r="P450" s="332"/>
      <c r="Q450" s="332"/>
      <c r="R450" s="332"/>
      <c r="S450" s="332"/>
      <c r="T450" s="332"/>
      <c r="U450" s="332"/>
      <c r="V450" s="332"/>
      <c r="W450" s="332"/>
      <c r="X450" s="332"/>
      <c r="Y450" s="332"/>
      <c r="Z450" s="332"/>
      <c r="AA450" s="332"/>
      <c r="AB450" s="332"/>
      <c r="AC450" s="332"/>
      <c r="AD450" s="332"/>
      <c r="AE450" s="332"/>
      <c r="AF450" s="332"/>
      <c r="AG450" s="332"/>
      <c r="AH450" s="332"/>
      <c r="AI450" s="332"/>
      <c r="AJ450" s="333"/>
      <c r="AK450" s="333"/>
      <c r="AL450" s="333"/>
      <c r="AM450" s="333"/>
    </row>
    <row r="451" spans="2:39" s="316" customFormat="1" ht="26.25" customHeight="1" x14ac:dyDescent="0.2">
      <c r="B451" s="340" t="str">
        <f t="array" ref="B451">IF(ISERROR(INDEX('Eingabe Meldungen'!$C$2:$C$492,LARGE(('Eingabe Meldungen'!$A$2:$A$492=$B$445)*(ROW('Eingabe Meldungen'!$A$2:$A$492)-1),COUNTIF('Eingabe Meldungen'!$A$2:$A$492,$B$445)+1-ROW('Eingabe Meldungen'!A5)))),"",INDEX('Eingabe Meldungen'!$C$2:$C$492,LARGE(('Eingabe Meldungen'!$A$2:$A$492=$B$445)*(ROW('Eingabe Meldungen'!$A$2:$A$492)-1),COUNTIF('Eingabe Meldungen'!$A$2:$A$492,$B$445)+1-ROW('Eingabe Meldungen'!A5))))</f>
        <v/>
      </c>
      <c r="C451" s="316" t="str">
        <f t="array" ref="C451">IF(ISERROR(INDEX('Eingabe Meldungen'!$D$2:$D$492,LARGE(('Eingabe Meldungen'!$A$2:$A$492=$B$445)*(ROW('Eingabe Meldungen'!$A$2:$A$492)-1),COUNTIF('Eingabe Meldungen'!$A$2:$A$492,$B$445)+1-ROW('Eingabe Meldungen'!A5)))),"",INDEX('Eingabe Meldungen'!$D$2:$D$492,LARGE(('Eingabe Meldungen'!$A$2:$A$492=$B$445)*(ROW('Eingabe Meldungen'!$A$2:$A$492)-1),COUNTIF('Eingabe Meldungen'!$A$2:$A$492,$B$445)+1-ROW('Eingabe Meldungen'!A5))))</f>
        <v/>
      </c>
      <c r="D451" s="341" t="str">
        <f t="array" ref="D451">IF(B451&lt;&gt;"",INDEX('Eingabe Meldungen'!$C$2:$H$492,MATCH(B451&amp;C451,'Eingabe Meldungen'!$C$2:$C$492&amp;'Eingabe Meldungen'!$D$2:$D$492,0),6),"")</f>
        <v/>
      </c>
      <c r="E451" s="382" t="str">
        <f t="array" ref="E451">IF(B451&lt;&gt;"",INDEX('Eingabe Meldungen'!$C$2:$H$492,MATCH(B451&amp;C451,'Eingabe Meldungen'!$C$2:$C$492&amp;'Eingabe Meldungen'!$D$2:$D$492,0),4),"")</f>
        <v/>
      </c>
      <c r="F451" s="353" t="str">
        <f>IF(VLOOKUP(B451,Rennlisten!$B$283:$H$290,6,FALSE)=0,"",VLOOKUP(B451,Rennlisten!$B$283:$H$290,6,FALSE))</f>
        <v/>
      </c>
      <c r="G451" s="333" t="e">
        <f t="shared" ref="G451:G460" si="48">RANK(F451,$F$447:$F$462,1)</f>
        <v>#VALUE!</v>
      </c>
      <c r="H451" s="343" t="str">
        <f t="array" ref="H451">IF(B451&lt;&gt;"",INDEX('Eingabe Meldungen'!$C$2:$J$492,MATCH(B451&amp;C451,'Eingabe Meldungen'!$C$2:$C$492&amp;'Eingabe Meldungen'!$D$2:$D$492,0),8),"")</f>
        <v/>
      </c>
      <c r="J451" s="332"/>
      <c r="K451" s="332"/>
      <c r="L451" s="332"/>
      <c r="M451" s="332"/>
      <c r="N451" s="332"/>
      <c r="O451" s="332"/>
      <c r="P451" s="332"/>
      <c r="Q451" s="332"/>
      <c r="R451" s="332"/>
      <c r="S451" s="332"/>
      <c r="T451" s="332"/>
      <c r="U451" s="332"/>
      <c r="V451" s="332"/>
      <c r="W451" s="332"/>
      <c r="X451" s="332"/>
      <c r="Y451" s="332"/>
      <c r="Z451" s="332"/>
      <c r="AA451" s="332"/>
      <c r="AB451" s="332"/>
      <c r="AC451" s="332"/>
      <c r="AD451" s="332"/>
      <c r="AE451" s="332"/>
      <c r="AF451" s="332"/>
      <c r="AG451" s="332"/>
      <c r="AH451" s="332"/>
      <c r="AI451" s="332"/>
      <c r="AJ451" s="333"/>
      <c r="AK451" s="333"/>
      <c r="AL451" s="333"/>
      <c r="AM451" s="333"/>
    </row>
    <row r="452" spans="2:39" s="316" customFormat="1" ht="26.25" customHeight="1" x14ac:dyDescent="0.2">
      <c r="B452" s="340" t="str">
        <f t="array" ref="B452">IF(ISERROR(INDEX('Eingabe Meldungen'!$C$2:$C$492,LARGE(('Eingabe Meldungen'!$A$2:$A$492=$B$445)*(ROW('Eingabe Meldungen'!$A$2:$A$492)-1),COUNTIF('Eingabe Meldungen'!$A$2:$A$492,$B$445)+1-ROW('Eingabe Meldungen'!A6)))),"",INDEX('Eingabe Meldungen'!$C$2:$C$492,LARGE(('Eingabe Meldungen'!$A$2:$A$492=$B$445)*(ROW('Eingabe Meldungen'!$A$2:$A$492)-1),COUNTIF('Eingabe Meldungen'!$A$2:$A$492,$B$445)+1-ROW('Eingabe Meldungen'!A6))))</f>
        <v/>
      </c>
      <c r="C452" s="316" t="str">
        <f t="array" ref="C452">IF(ISERROR(INDEX('Eingabe Meldungen'!$D$2:$D$492,LARGE(('Eingabe Meldungen'!$A$2:$A$492=$B$445)*(ROW('Eingabe Meldungen'!$A$2:$A$492)-1),COUNTIF('Eingabe Meldungen'!$A$2:$A$492,$B$445)+1-ROW('Eingabe Meldungen'!A6)))),"",INDEX('Eingabe Meldungen'!$D$2:$D$492,LARGE(('Eingabe Meldungen'!$A$2:$A$492=$B$445)*(ROW('Eingabe Meldungen'!$A$2:$A$492)-1),COUNTIF('Eingabe Meldungen'!$A$2:$A$492,$B$445)+1-ROW('Eingabe Meldungen'!A6))))</f>
        <v/>
      </c>
      <c r="D452" s="341" t="str">
        <f t="array" ref="D452">IF(B452&lt;&gt;"",INDEX('Eingabe Meldungen'!$C$2:$H$492,MATCH(B452&amp;C452,'Eingabe Meldungen'!$C$2:$C$492&amp;'Eingabe Meldungen'!$D$2:$D$492,0),6),"")</f>
        <v/>
      </c>
      <c r="E452" s="382" t="str">
        <f t="array" ref="E452">IF(B452&lt;&gt;"",INDEX('Eingabe Meldungen'!$C$2:$H$492,MATCH(B452&amp;C452,'Eingabe Meldungen'!$C$2:$C$492&amp;'Eingabe Meldungen'!$D$2:$D$492,0),4),"")</f>
        <v/>
      </c>
      <c r="F452" s="353" t="str">
        <f>IF(VLOOKUP(B452,Rennlisten!$B$283:$H$290,6,FALSE)=0,"",VLOOKUP(B452,Rennlisten!$B$283:$H$290,6,FALSE))</f>
        <v/>
      </c>
      <c r="G452" s="333" t="e">
        <f t="shared" si="48"/>
        <v>#VALUE!</v>
      </c>
      <c r="H452" s="343" t="str">
        <f t="array" ref="H452">IF(B452&lt;&gt;"",INDEX('Eingabe Meldungen'!$C$2:$J$492,MATCH(B452&amp;C452,'Eingabe Meldungen'!$C$2:$C$492&amp;'Eingabe Meldungen'!$D$2:$D$492,0),8),"")</f>
        <v/>
      </c>
      <c r="J452" s="332"/>
      <c r="K452" s="332"/>
      <c r="L452" s="332"/>
      <c r="M452" s="332"/>
      <c r="N452" s="332"/>
      <c r="O452" s="332"/>
      <c r="P452" s="332"/>
      <c r="Q452" s="332"/>
      <c r="R452" s="332"/>
      <c r="S452" s="332"/>
      <c r="T452" s="332"/>
      <c r="U452" s="332"/>
      <c r="V452" s="332"/>
      <c r="W452" s="332"/>
      <c r="X452" s="332"/>
      <c r="Y452" s="332"/>
      <c r="Z452" s="332"/>
      <c r="AA452" s="332"/>
      <c r="AB452" s="332"/>
      <c r="AC452" s="332"/>
      <c r="AD452" s="332"/>
      <c r="AE452" s="332"/>
      <c r="AF452" s="332"/>
      <c r="AG452" s="332"/>
      <c r="AH452" s="332"/>
      <c r="AI452" s="332"/>
      <c r="AJ452" s="333"/>
      <c r="AK452" s="333"/>
      <c r="AL452" s="333"/>
      <c r="AM452" s="333"/>
    </row>
    <row r="453" spans="2:39" s="316" customFormat="1" ht="26.25" customHeight="1" x14ac:dyDescent="0.2">
      <c r="B453" s="340" t="str">
        <f t="array" ref="B453">IF(ISERROR(INDEX('Eingabe Meldungen'!$C$2:$C$492,LARGE(('Eingabe Meldungen'!$A$2:$A$492=$B$445)*(ROW('Eingabe Meldungen'!$A$2:$A$492)-1),COUNTIF('Eingabe Meldungen'!$A$2:$A$492,$B$445)+1-ROW('Eingabe Meldungen'!A7)))),"",INDEX('Eingabe Meldungen'!$C$2:$C$492,LARGE(('Eingabe Meldungen'!$A$2:$A$492=$B$445)*(ROW('Eingabe Meldungen'!$A$2:$A$492)-1),COUNTIF('Eingabe Meldungen'!$A$2:$A$492,$B$445)+1-ROW('Eingabe Meldungen'!A7))))</f>
        <v/>
      </c>
      <c r="C453" s="316" t="str">
        <f t="array" ref="C453">IF(ISERROR(INDEX('Eingabe Meldungen'!$D$2:$D$492,LARGE(('Eingabe Meldungen'!$A$2:$A$492=$B$445)*(ROW('Eingabe Meldungen'!$A$2:$A$492)-1),COUNTIF('Eingabe Meldungen'!$A$2:$A$492,$B$445)+1-ROW('Eingabe Meldungen'!A7)))),"",INDEX('Eingabe Meldungen'!$D$2:$D$492,LARGE(('Eingabe Meldungen'!$A$2:$A$492=$B$445)*(ROW('Eingabe Meldungen'!$A$2:$A$492)-1),COUNTIF('Eingabe Meldungen'!$A$2:$A$492,$B$445)+1-ROW('Eingabe Meldungen'!A7))))</f>
        <v/>
      </c>
      <c r="D453" s="341" t="str">
        <f t="array" ref="D453">IF(B453&lt;&gt;"",INDEX('Eingabe Meldungen'!$C$2:$H$492,MATCH(B453&amp;C453,'Eingabe Meldungen'!$C$2:$C$492&amp;'Eingabe Meldungen'!$D$2:$D$492,0),6),"")</f>
        <v/>
      </c>
      <c r="E453" s="382" t="str">
        <f t="array" ref="E453">IF(B453&lt;&gt;"",INDEX('Eingabe Meldungen'!$C$2:$H$492,MATCH(B453&amp;C453,'Eingabe Meldungen'!$C$2:$C$492&amp;'Eingabe Meldungen'!$D$2:$D$492,0),4),"")</f>
        <v/>
      </c>
      <c r="F453" s="353" t="str">
        <f>IF(VLOOKUP(B453,Rennlisten!$B$283:$H$290,6,FALSE)=0,"",VLOOKUP(B453,Rennlisten!$B$283:$H$290,6,FALSE))</f>
        <v/>
      </c>
      <c r="G453" s="333" t="e">
        <f t="shared" si="48"/>
        <v>#VALUE!</v>
      </c>
      <c r="H453" s="343" t="str">
        <f t="array" ref="H453">IF(B453&lt;&gt;"",INDEX('Eingabe Meldungen'!$C$2:$J$492,MATCH(B453&amp;C453,'Eingabe Meldungen'!$C$2:$C$492&amp;'Eingabe Meldungen'!$D$2:$D$492,0),8),"")</f>
        <v/>
      </c>
      <c r="J453" s="332"/>
      <c r="K453" s="332"/>
      <c r="L453" s="332"/>
      <c r="M453" s="332"/>
      <c r="N453" s="332"/>
      <c r="O453" s="332"/>
      <c r="P453" s="332"/>
      <c r="Q453" s="332"/>
      <c r="R453" s="332"/>
      <c r="S453" s="332"/>
      <c r="T453" s="332"/>
      <c r="U453" s="332"/>
      <c r="V453" s="332"/>
      <c r="W453" s="332"/>
      <c r="X453" s="332"/>
      <c r="Y453" s="332"/>
      <c r="Z453" s="332"/>
      <c r="AA453" s="332"/>
      <c r="AB453" s="332"/>
      <c r="AC453" s="332"/>
      <c r="AD453" s="332"/>
      <c r="AE453" s="332"/>
      <c r="AF453" s="332"/>
      <c r="AG453" s="332"/>
      <c r="AH453" s="332"/>
      <c r="AI453" s="332"/>
      <c r="AJ453" s="333"/>
      <c r="AK453" s="333"/>
      <c r="AL453" s="333"/>
      <c r="AM453" s="333"/>
    </row>
    <row r="454" spans="2:39" s="316" customFormat="1" ht="26.25" customHeight="1" x14ac:dyDescent="0.2">
      <c r="B454" s="340" t="str">
        <f t="array" ref="B454">IF(ISERROR(INDEX('Eingabe Meldungen'!$C$2:$C$492,LARGE(('Eingabe Meldungen'!$A$2:$A$492=$B$445)*(ROW('Eingabe Meldungen'!$A$2:$A$492)-1),COUNTIF('Eingabe Meldungen'!$A$2:$A$492,$B$445)+1-ROW('Eingabe Meldungen'!A8)))),"",INDEX('Eingabe Meldungen'!$C$2:$C$492,LARGE(('Eingabe Meldungen'!$A$2:$A$492=$B$445)*(ROW('Eingabe Meldungen'!$A$2:$A$492)-1),COUNTIF('Eingabe Meldungen'!$A$2:$A$492,$B$445)+1-ROW('Eingabe Meldungen'!A8))))</f>
        <v/>
      </c>
      <c r="C454" s="316" t="str">
        <f t="array" ref="C454">IF(ISERROR(INDEX('Eingabe Meldungen'!$D$2:$D$492,LARGE(('Eingabe Meldungen'!$A$2:$A$492=$B$445)*(ROW('Eingabe Meldungen'!$A$2:$A$492)-1),COUNTIF('Eingabe Meldungen'!$A$2:$A$492,$B$445)+1-ROW('Eingabe Meldungen'!A8)))),"",INDEX('Eingabe Meldungen'!$D$2:$D$492,LARGE(('Eingabe Meldungen'!$A$2:$A$492=$B$445)*(ROW('Eingabe Meldungen'!$A$2:$A$492)-1),COUNTIF('Eingabe Meldungen'!$A$2:$A$492,$B$445)+1-ROW('Eingabe Meldungen'!A8))))</f>
        <v/>
      </c>
      <c r="D454" s="341" t="str">
        <f t="array" ref="D454">IF(B454&lt;&gt;"",INDEX('Eingabe Meldungen'!$C$2:$H$492,MATCH(B454&amp;C454,'Eingabe Meldungen'!$C$2:$C$492&amp;'Eingabe Meldungen'!$D$2:$D$492,0),6),"")</f>
        <v/>
      </c>
      <c r="E454" s="382" t="str">
        <f t="array" ref="E454">IF(B454&lt;&gt;"",INDEX('Eingabe Meldungen'!$C$2:$H$492,MATCH(B454&amp;C454,'Eingabe Meldungen'!$C$2:$C$492&amp;'Eingabe Meldungen'!$D$2:$D$492,0),4),"")</f>
        <v/>
      </c>
      <c r="F454" s="353" t="str">
        <f>IF(VLOOKUP(B454,Rennlisten!$B$283:$H$290,6,FALSE)=0,"",VLOOKUP(B454,Rennlisten!$B$283:$H$290,6,FALSE))</f>
        <v/>
      </c>
      <c r="G454" s="333" t="e">
        <f t="shared" si="48"/>
        <v>#VALUE!</v>
      </c>
      <c r="H454" s="343" t="str">
        <f t="array" ref="H454">IF(B454&lt;&gt;"",INDEX('Eingabe Meldungen'!$C$2:$J$492,MATCH(B454&amp;C454,'Eingabe Meldungen'!$C$2:$C$492&amp;'Eingabe Meldungen'!$D$2:$D$492,0),8),"")</f>
        <v/>
      </c>
      <c r="J454" s="332"/>
      <c r="K454" s="332"/>
      <c r="L454" s="332"/>
      <c r="M454" s="332"/>
      <c r="N454" s="332"/>
      <c r="O454" s="332"/>
      <c r="P454" s="332"/>
      <c r="Q454" s="332"/>
      <c r="R454" s="332"/>
      <c r="S454" s="332"/>
      <c r="T454" s="332"/>
      <c r="U454" s="332"/>
      <c r="V454" s="332"/>
      <c r="W454" s="332"/>
      <c r="X454" s="332"/>
      <c r="Y454" s="332"/>
      <c r="Z454" s="332"/>
      <c r="AA454" s="332"/>
      <c r="AB454" s="332"/>
      <c r="AC454" s="332"/>
      <c r="AD454" s="332"/>
      <c r="AE454" s="332"/>
      <c r="AF454" s="332"/>
      <c r="AG454" s="332"/>
      <c r="AH454" s="332"/>
      <c r="AI454" s="332"/>
      <c r="AJ454" s="333"/>
      <c r="AK454" s="333"/>
      <c r="AL454" s="333"/>
      <c r="AM454" s="333"/>
    </row>
    <row r="455" spans="2:39" s="316" customFormat="1" ht="26.25" customHeight="1" x14ac:dyDescent="0.2">
      <c r="B455" s="340" t="str">
        <f t="array" ref="B455">IF(ISERROR(INDEX('Eingabe Meldungen'!$C$2:$C$492,LARGE(('Eingabe Meldungen'!$A$2:$A$492=$B$445)*(ROW('Eingabe Meldungen'!$A$2:$A$492)-1),COUNTIF('Eingabe Meldungen'!$A$2:$A$492,$B$445)+1-ROW('Eingabe Meldungen'!A9)))),"",INDEX('Eingabe Meldungen'!$C$2:$C$492,LARGE(('Eingabe Meldungen'!$A$2:$A$492=$B$445)*(ROW('Eingabe Meldungen'!$A$2:$A$492)-1),COUNTIF('Eingabe Meldungen'!$A$2:$A$492,$B$445)+1-ROW('Eingabe Meldungen'!A9))))</f>
        <v/>
      </c>
      <c r="C455" s="316" t="str">
        <f t="array" ref="C455">IF(ISERROR(INDEX('Eingabe Meldungen'!$D$2:$D$492,LARGE(('Eingabe Meldungen'!$A$2:$A$492=$B$445)*(ROW('Eingabe Meldungen'!$A$2:$A$492)-1),COUNTIF('Eingabe Meldungen'!$A$2:$A$492,$B$445)+1-ROW('Eingabe Meldungen'!A9)))),"",INDEX('Eingabe Meldungen'!$D$2:$D$492,LARGE(('Eingabe Meldungen'!$A$2:$A$492=$B$445)*(ROW('Eingabe Meldungen'!$A$2:$A$492)-1),COUNTIF('Eingabe Meldungen'!$A$2:$A$492,$B$445)+1-ROW('Eingabe Meldungen'!A9))))</f>
        <v/>
      </c>
      <c r="D455" s="341" t="str">
        <f t="array" ref="D455">IF(B455&lt;&gt;"",INDEX('Eingabe Meldungen'!$C$2:$H$492,MATCH(B455&amp;C455,'Eingabe Meldungen'!$C$2:$C$492&amp;'Eingabe Meldungen'!$D$2:$D$492,0),6),"")</f>
        <v/>
      </c>
      <c r="E455" s="382" t="str">
        <f t="array" ref="E455">IF(B455&lt;&gt;"",INDEX('Eingabe Meldungen'!$C$2:$H$492,MATCH(B455&amp;C455,'Eingabe Meldungen'!$C$2:$C$492&amp;'Eingabe Meldungen'!$D$2:$D$492,0),4),"")</f>
        <v/>
      </c>
      <c r="F455" s="353" t="str">
        <f>IF(VLOOKUP(B455,Rennlisten!$B$283:$H$290,6,FALSE)=0,"",VLOOKUP(B455,Rennlisten!$B$283:$H$290,6,FALSE))</f>
        <v/>
      </c>
      <c r="G455" s="333" t="e">
        <f t="shared" si="48"/>
        <v>#VALUE!</v>
      </c>
      <c r="H455" s="343" t="str">
        <f t="array" ref="H455">IF(B455&lt;&gt;"",INDEX('Eingabe Meldungen'!$C$2:$J$492,MATCH(B455&amp;C455,'Eingabe Meldungen'!$C$2:$C$492&amp;'Eingabe Meldungen'!$D$2:$D$492,0),8),"")</f>
        <v/>
      </c>
      <c r="J455" s="332"/>
      <c r="K455" s="332"/>
      <c r="L455" s="332"/>
      <c r="M455" s="332"/>
      <c r="N455" s="332"/>
      <c r="O455" s="332"/>
      <c r="P455" s="332"/>
      <c r="Q455" s="332"/>
      <c r="R455" s="332"/>
      <c r="S455" s="332"/>
      <c r="T455" s="332"/>
      <c r="U455" s="332"/>
      <c r="V455" s="332"/>
      <c r="W455" s="332"/>
      <c r="X455" s="332"/>
      <c r="Y455" s="332"/>
      <c r="Z455" s="332"/>
      <c r="AA455" s="332"/>
      <c r="AB455" s="332"/>
      <c r="AC455" s="332"/>
      <c r="AD455" s="332"/>
      <c r="AE455" s="332"/>
      <c r="AF455" s="332"/>
      <c r="AG455" s="332"/>
      <c r="AH455" s="332"/>
      <c r="AI455" s="332"/>
      <c r="AJ455" s="333"/>
      <c r="AK455" s="333"/>
      <c r="AL455" s="333"/>
      <c r="AM455" s="333"/>
    </row>
    <row r="456" spans="2:39" s="316" customFormat="1" ht="26.25" customHeight="1" x14ac:dyDescent="0.2">
      <c r="B456" s="340" t="str">
        <f t="array" ref="B456">IF(ISERROR(INDEX('Eingabe Meldungen'!$C$2:$C$492,LARGE(('Eingabe Meldungen'!$A$2:$A$492=$B$445)*(ROW('Eingabe Meldungen'!$A$2:$A$492)-1),COUNTIF('Eingabe Meldungen'!$A$2:$A$492,$B$445)+1-ROW('Eingabe Meldungen'!A10)))),"",INDEX('Eingabe Meldungen'!$C$2:$C$492,LARGE(('Eingabe Meldungen'!$A$2:$A$492=$B$445)*(ROW('Eingabe Meldungen'!$A$2:$A$492)-1),COUNTIF('Eingabe Meldungen'!$A$2:$A$492,$B$445)+1-ROW('Eingabe Meldungen'!A10))))</f>
        <v/>
      </c>
      <c r="C456" s="316" t="str">
        <f t="array" ref="C456">IF(ISERROR(INDEX('Eingabe Meldungen'!$D$2:$D$492,LARGE(('Eingabe Meldungen'!$A$2:$A$492=$B$445)*(ROW('Eingabe Meldungen'!$A$2:$A$492)-1),COUNTIF('Eingabe Meldungen'!$A$2:$A$492,$B$445)+1-ROW('Eingabe Meldungen'!A10)))),"",INDEX('Eingabe Meldungen'!$D$2:$D$492,LARGE(('Eingabe Meldungen'!$A$2:$A$492=$B$445)*(ROW('Eingabe Meldungen'!$A$2:$A$492)-1),COUNTIF('Eingabe Meldungen'!$A$2:$A$492,$B$445)+1-ROW('Eingabe Meldungen'!A10))))</f>
        <v/>
      </c>
      <c r="D456" s="341" t="str">
        <f t="array" ref="D456">IF(B456&lt;&gt;"",INDEX('Eingabe Meldungen'!$C$2:$H$492,MATCH(B456&amp;C456,'Eingabe Meldungen'!$C$2:$C$492&amp;'Eingabe Meldungen'!$D$2:$D$492,0),6),"")</f>
        <v/>
      </c>
      <c r="E456" s="382" t="str">
        <f t="array" ref="E456">IF(B456&lt;&gt;"",INDEX('Eingabe Meldungen'!$C$2:$H$492,MATCH(B456&amp;C456,'Eingabe Meldungen'!$C$2:$C$492&amp;'Eingabe Meldungen'!$D$2:$D$492,0),4),"")</f>
        <v/>
      </c>
      <c r="F456" s="353" t="str">
        <f>IF(VLOOKUP(B456,Rennlisten!$B$283:$H$290,6,FALSE)=0,"",VLOOKUP(B456,Rennlisten!$B$283:$H$290,6,FALSE))</f>
        <v/>
      </c>
      <c r="G456" s="333" t="e">
        <f t="shared" si="48"/>
        <v>#VALUE!</v>
      </c>
      <c r="H456" s="343" t="str">
        <f t="array" ref="H456">IF(B456&lt;&gt;"",INDEX('Eingabe Meldungen'!$C$2:$J$492,MATCH(B456&amp;C456,'Eingabe Meldungen'!$C$2:$C$492&amp;'Eingabe Meldungen'!$D$2:$D$492,0),8),"")</f>
        <v/>
      </c>
      <c r="J456" s="332"/>
      <c r="K456" s="332"/>
      <c r="L456" s="332"/>
      <c r="M456" s="332"/>
      <c r="N456" s="332"/>
      <c r="O456" s="332"/>
      <c r="P456" s="332"/>
      <c r="Q456" s="332"/>
      <c r="R456" s="332"/>
      <c r="S456" s="332"/>
      <c r="T456" s="332"/>
      <c r="U456" s="332"/>
      <c r="V456" s="332"/>
      <c r="W456" s="332"/>
      <c r="X456" s="332"/>
      <c r="Y456" s="332"/>
      <c r="Z456" s="332"/>
      <c r="AA456" s="332"/>
      <c r="AB456" s="332"/>
      <c r="AC456" s="332"/>
      <c r="AD456" s="332"/>
      <c r="AE456" s="332"/>
      <c r="AF456" s="332"/>
      <c r="AG456" s="332"/>
      <c r="AH456" s="332"/>
      <c r="AI456" s="332"/>
      <c r="AJ456" s="333"/>
      <c r="AK456" s="333"/>
      <c r="AL456" s="333"/>
      <c r="AM456" s="333"/>
    </row>
    <row r="457" spans="2:39" s="316" customFormat="1" ht="26.25" customHeight="1" x14ac:dyDescent="0.2">
      <c r="B457" s="340" t="str">
        <f t="array" ref="B457">IF(ISERROR(INDEX('Eingabe Meldungen'!$C$2:$C$492,LARGE(('Eingabe Meldungen'!$A$2:$A$492=$B$445)*(ROW('Eingabe Meldungen'!$A$2:$A$492)-1),COUNTIF('Eingabe Meldungen'!$A$2:$A$492,$B$445)+1-ROW('Eingabe Meldungen'!A11)))),"",INDEX('Eingabe Meldungen'!$C$2:$C$492,LARGE(('Eingabe Meldungen'!$A$2:$A$492=$B$445)*(ROW('Eingabe Meldungen'!$A$2:$A$492)-1),COUNTIF('Eingabe Meldungen'!$A$2:$A$492,$B$445)+1-ROW('Eingabe Meldungen'!A11))))</f>
        <v/>
      </c>
      <c r="C457" s="316" t="str">
        <f t="array" ref="C457">IF(ISERROR(INDEX('Eingabe Meldungen'!$D$2:$D$492,LARGE(('Eingabe Meldungen'!$A$2:$A$492=$B$445)*(ROW('Eingabe Meldungen'!$A$2:$A$492)-1),COUNTIF('Eingabe Meldungen'!$A$2:$A$492,$B$445)+1-ROW('Eingabe Meldungen'!A11)))),"",INDEX('Eingabe Meldungen'!$D$2:$D$492,LARGE(('Eingabe Meldungen'!$A$2:$A$492=$B$445)*(ROW('Eingabe Meldungen'!$A$2:$A$492)-1),COUNTIF('Eingabe Meldungen'!$A$2:$A$492,$B$445)+1-ROW('Eingabe Meldungen'!A11))))</f>
        <v/>
      </c>
      <c r="D457" s="341" t="str">
        <f t="array" ref="D457">IF(B457&lt;&gt;"",INDEX('Eingabe Meldungen'!$C$2:$H$492,MATCH(B457&amp;C457,'Eingabe Meldungen'!$C$2:$C$492&amp;'Eingabe Meldungen'!$D$2:$D$492,0),6),"")</f>
        <v/>
      </c>
      <c r="E457" s="382" t="str">
        <f t="array" ref="E457">IF(B457&lt;&gt;"",INDEX('Eingabe Meldungen'!$C$2:$H$492,MATCH(B457&amp;C457,'Eingabe Meldungen'!$C$2:$C$492&amp;'Eingabe Meldungen'!$D$2:$D$492,0),4),"")</f>
        <v/>
      </c>
      <c r="F457" s="353" t="str">
        <f>IF(VLOOKUP(B457,Rennlisten!$B$283:$H$290,6,FALSE)=0,"",VLOOKUP(B457,Rennlisten!$B$283:$H$290,6,FALSE))</f>
        <v/>
      </c>
      <c r="G457" s="333" t="e">
        <f t="shared" si="48"/>
        <v>#VALUE!</v>
      </c>
      <c r="H457" s="343" t="str">
        <f t="array" ref="H457">IF(B457&lt;&gt;"",INDEX('Eingabe Meldungen'!$C$2:$J$492,MATCH(B457&amp;C457,'Eingabe Meldungen'!$C$2:$C$492&amp;'Eingabe Meldungen'!$D$2:$D$492,0),8),"")</f>
        <v/>
      </c>
      <c r="J457" s="332"/>
      <c r="K457" s="332"/>
      <c r="L457" s="332"/>
      <c r="M457" s="332"/>
      <c r="N457" s="332"/>
      <c r="O457" s="332"/>
      <c r="P457" s="332"/>
      <c r="Q457" s="332"/>
      <c r="R457" s="332"/>
      <c r="S457" s="332"/>
      <c r="T457" s="332"/>
      <c r="U457" s="332"/>
      <c r="V457" s="332"/>
      <c r="W457" s="332"/>
      <c r="X457" s="332"/>
      <c r="Y457" s="332"/>
      <c r="Z457" s="332"/>
      <c r="AA457" s="332"/>
      <c r="AB457" s="332"/>
      <c r="AC457" s="332"/>
      <c r="AD457" s="332"/>
      <c r="AE457" s="332"/>
      <c r="AF457" s="332"/>
      <c r="AG457" s="332"/>
      <c r="AH457" s="332"/>
      <c r="AI457" s="332"/>
      <c r="AJ457" s="333"/>
      <c r="AK457" s="333"/>
      <c r="AL457" s="333"/>
      <c r="AM457" s="333"/>
    </row>
    <row r="458" spans="2:39" s="316" customFormat="1" ht="26.25" customHeight="1" x14ac:dyDescent="0.2">
      <c r="B458" s="340" t="str">
        <f t="array" ref="B458">IF(ISERROR(INDEX('Eingabe Meldungen'!$C$2:$C$492,LARGE(('Eingabe Meldungen'!$A$2:$A$492=$B$445)*(ROW('Eingabe Meldungen'!$A$2:$A$492)-1),COUNTIF('Eingabe Meldungen'!$A$2:$A$492,$B$445)+1-ROW('Eingabe Meldungen'!A12)))),"",INDEX('Eingabe Meldungen'!$C$2:$C$492,LARGE(('Eingabe Meldungen'!$A$2:$A$492=$B$445)*(ROW('Eingabe Meldungen'!$A$2:$A$492)-1),COUNTIF('Eingabe Meldungen'!$A$2:$A$492,$B$445)+1-ROW('Eingabe Meldungen'!A12))))</f>
        <v/>
      </c>
      <c r="C458" s="316" t="str">
        <f t="array" ref="C458">IF(ISERROR(INDEX('Eingabe Meldungen'!$D$2:$D$492,LARGE(('Eingabe Meldungen'!$A$2:$A$492=$B$445)*(ROW('Eingabe Meldungen'!$A$2:$A$492)-1),COUNTIF('Eingabe Meldungen'!$A$2:$A$492,$B$445)+1-ROW('Eingabe Meldungen'!A12)))),"",INDEX('Eingabe Meldungen'!$D$2:$D$492,LARGE(('Eingabe Meldungen'!$A$2:$A$492=$B$445)*(ROW('Eingabe Meldungen'!$A$2:$A$492)-1),COUNTIF('Eingabe Meldungen'!$A$2:$A$492,$B$445)+1-ROW('Eingabe Meldungen'!A12))))</f>
        <v/>
      </c>
      <c r="D458" s="341" t="str">
        <f t="array" ref="D458">IF(B458&lt;&gt;"",INDEX('Eingabe Meldungen'!$C$2:$H$492,MATCH(B458&amp;C458,'Eingabe Meldungen'!$C$2:$C$492&amp;'Eingabe Meldungen'!$D$2:$D$492,0),6),"")</f>
        <v/>
      </c>
      <c r="E458" s="382" t="str">
        <f t="array" ref="E458">IF(B458&lt;&gt;"",INDEX('Eingabe Meldungen'!$C$2:$H$492,MATCH(B458&amp;C458,'Eingabe Meldungen'!$C$2:$C$492&amp;'Eingabe Meldungen'!$D$2:$D$492,0),4),"")</f>
        <v/>
      </c>
      <c r="F458" s="353" t="str">
        <f>IF(VLOOKUP(B458,Rennlisten!$B$283:$H$290,6,FALSE)=0,"",VLOOKUP(B458,Rennlisten!$B$283:$H$290,6,FALSE))</f>
        <v/>
      </c>
      <c r="G458" s="333" t="e">
        <f t="shared" si="48"/>
        <v>#VALUE!</v>
      </c>
      <c r="H458" s="343" t="str">
        <f t="array" ref="H458">IF(B458&lt;&gt;"",INDEX('Eingabe Meldungen'!$C$2:$J$492,MATCH(B458&amp;C458,'Eingabe Meldungen'!$C$2:$C$492&amp;'Eingabe Meldungen'!$D$2:$D$492,0),8),"")</f>
        <v/>
      </c>
      <c r="J458" s="332"/>
      <c r="K458" s="332"/>
      <c r="L458" s="332"/>
      <c r="M458" s="332"/>
      <c r="N458" s="332"/>
      <c r="O458" s="332"/>
      <c r="P458" s="332"/>
      <c r="Q458" s="332"/>
      <c r="R458" s="332"/>
      <c r="S458" s="332"/>
      <c r="T458" s="332"/>
      <c r="U458" s="332"/>
      <c r="V458" s="332"/>
      <c r="W458" s="332"/>
      <c r="X458" s="332"/>
      <c r="Y458" s="332"/>
      <c r="Z458" s="332"/>
      <c r="AA458" s="332"/>
      <c r="AB458" s="332"/>
      <c r="AC458" s="332"/>
      <c r="AD458" s="332"/>
      <c r="AE458" s="332"/>
      <c r="AF458" s="332"/>
      <c r="AG458" s="332"/>
      <c r="AH458" s="332"/>
      <c r="AI458" s="332"/>
      <c r="AJ458" s="333"/>
      <c r="AK458" s="333"/>
      <c r="AL458" s="333"/>
      <c r="AM458" s="333"/>
    </row>
    <row r="459" spans="2:39" s="316" customFormat="1" ht="26.25" customHeight="1" x14ac:dyDescent="0.2">
      <c r="B459" s="340" t="str">
        <f t="array" ref="B459">IF(ISERROR(INDEX('Eingabe Meldungen'!$C$2:$C$492,LARGE(('Eingabe Meldungen'!$A$2:$A$492=$B$445)*(ROW('Eingabe Meldungen'!$A$2:$A$492)-1),COUNTIF('Eingabe Meldungen'!$A$2:$A$492,$B$445)+1-ROW('Eingabe Meldungen'!A13)))),"",INDEX('Eingabe Meldungen'!$C$2:$C$492,LARGE(('Eingabe Meldungen'!$A$2:$A$492=$B$445)*(ROW('Eingabe Meldungen'!$A$2:$A$492)-1),COUNTIF('Eingabe Meldungen'!$A$2:$A$492,$B$445)+1-ROW('Eingabe Meldungen'!A13))))</f>
        <v/>
      </c>
      <c r="C459" s="316" t="str">
        <f t="array" ref="C459">IF(ISERROR(INDEX('Eingabe Meldungen'!$D$2:$D$492,LARGE(('Eingabe Meldungen'!$A$2:$A$492=$B$445)*(ROW('Eingabe Meldungen'!$A$2:$A$492)-1),COUNTIF('Eingabe Meldungen'!$A$2:$A$492,$B$445)+1-ROW('Eingabe Meldungen'!A13)))),"",INDEX('Eingabe Meldungen'!$D$2:$D$492,LARGE(('Eingabe Meldungen'!$A$2:$A$492=$B$445)*(ROW('Eingabe Meldungen'!$A$2:$A$492)-1),COUNTIF('Eingabe Meldungen'!$A$2:$A$492,$B$445)+1-ROW('Eingabe Meldungen'!A13))))</f>
        <v/>
      </c>
      <c r="D459" s="341" t="str">
        <f t="array" ref="D459">IF(B459&lt;&gt;"",INDEX('Eingabe Meldungen'!$C$2:$H$492,MATCH(B459&amp;C459,'Eingabe Meldungen'!$C$2:$C$492&amp;'Eingabe Meldungen'!$D$2:$D$492,0),6),"")</f>
        <v/>
      </c>
      <c r="E459" s="382" t="str">
        <f t="array" ref="E459">IF(B459&lt;&gt;"",INDEX('Eingabe Meldungen'!$C$2:$H$492,MATCH(B459&amp;C459,'Eingabe Meldungen'!$C$2:$C$492&amp;'Eingabe Meldungen'!$D$2:$D$492,0),4),"")</f>
        <v/>
      </c>
      <c r="F459" s="353" t="str">
        <f>IF(VLOOKUP(B459,Rennlisten!$B$283:$H$290,6,FALSE)=0,"",VLOOKUP(B459,Rennlisten!$B$283:$H$290,6,FALSE))</f>
        <v/>
      </c>
      <c r="G459" s="333" t="e">
        <f t="shared" si="48"/>
        <v>#VALUE!</v>
      </c>
      <c r="H459" s="343" t="str">
        <f t="array" ref="H459">IF(B459&lt;&gt;"",INDEX('Eingabe Meldungen'!$C$2:$J$492,MATCH(B459&amp;C459,'Eingabe Meldungen'!$C$2:$C$492&amp;'Eingabe Meldungen'!$D$2:$D$492,0),8),"")</f>
        <v/>
      </c>
      <c r="J459" s="332"/>
      <c r="K459" s="332"/>
      <c r="L459" s="332"/>
      <c r="M459" s="332"/>
      <c r="N459" s="332"/>
      <c r="O459" s="332"/>
      <c r="P459" s="332"/>
      <c r="Q459" s="332"/>
      <c r="R459" s="332"/>
      <c r="S459" s="332"/>
      <c r="T459" s="332"/>
      <c r="U459" s="332"/>
      <c r="V459" s="332"/>
      <c r="W459" s="332"/>
      <c r="X459" s="332"/>
      <c r="Y459" s="332"/>
      <c r="Z459" s="332"/>
      <c r="AA459" s="332"/>
      <c r="AB459" s="332"/>
      <c r="AC459" s="332"/>
      <c r="AD459" s="332"/>
      <c r="AE459" s="332"/>
      <c r="AF459" s="332"/>
      <c r="AG459" s="332"/>
      <c r="AH459" s="332"/>
      <c r="AI459" s="332"/>
      <c r="AJ459" s="333"/>
      <c r="AK459" s="333"/>
      <c r="AL459" s="333"/>
      <c r="AM459" s="333"/>
    </row>
    <row r="460" spans="2:39" s="316" customFormat="1" ht="26.25" customHeight="1" x14ac:dyDescent="0.2">
      <c r="B460" s="340" t="str">
        <f t="array" ref="B460">IF(ISERROR(INDEX('Eingabe Meldungen'!$C$2:$C$492,LARGE(('Eingabe Meldungen'!$A$2:$A$492=$B$445)*(ROW('Eingabe Meldungen'!$A$2:$A$492)-1),COUNTIF('Eingabe Meldungen'!$A$2:$A$492,$B$445)+1-ROW('Eingabe Meldungen'!A14)))),"",INDEX('Eingabe Meldungen'!$C$2:$C$492,LARGE(('Eingabe Meldungen'!$A$2:$A$492=$B$445)*(ROW('Eingabe Meldungen'!$A$2:$A$492)-1),COUNTIF('Eingabe Meldungen'!$A$2:$A$492,$B$445)+1-ROW('Eingabe Meldungen'!A14))))</f>
        <v/>
      </c>
      <c r="C460" s="316" t="str">
        <f t="array" ref="C460">IF(ISERROR(INDEX('Eingabe Meldungen'!$D$2:$D$492,LARGE(('Eingabe Meldungen'!$A$2:$A$492=$B$445)*(ROW('Eingabe Meldungen'!$A$2:$A$492)-1),COUNTIF('Eingabe Meldungen'!$A$2:$A$492,$B$445)+1-ROW('Eingabe Meldungen'!A14)))),"",INDEX('Eingabe Meldungen'!$D$2:$D$492,LARGE(('Eingabe Meldungen'!$A$2:$A$492=$B$445)*(ROW('Eingabe Meldungen'!$A$2:$A$492)-1),COUNTIF('Eingabe Meldungen'!$A$2:$A$492,$B$445)+1-ROW('Eingabe Meldungen'!A14))))</f>
        <v/>
      </c>
      <c r="D460" s="341" t="str">
        <f t="array" ref="D460">IF(B460&lt;&gt;"",INDEX('Eingabe Meldungen'!$C$2:$H$492,MATCH(B460&amp;C460,'Eingabe Meldungen'!$C$2:$C$492&amp;'Eingabe Meldungen'!$D$2:$D$492,0),6),"")</f>
        <v/>
      </c>
      <c r="E460" s="382" t="str">
        <f t="array" ref="E460">IF(B460&lt;&gt;"",INDEX('Eingabe Meldungen'!$C$2:$H$492,MATCH(B460&amp;C460,'Eingabe Meldungen'!$C$2:$C$492&amp;'Eingabe Meldungen'!$D$2:$D$492,0),4),"")</f>
        <v/>
      </c>
      <c r="F460" s="353" t="str">
        <f>IF(VLOOKUP(B460,Rennlisten!$B$283:$H$290,6,FALSE)=0,"",VLOOKUP(B460,Rennlisten!$B$283:$H$290,6,FALSE))</f>
        <v/>
      </c>
      <c r="G460" s="333" t="e">
        <f t="shared" si="48"/>
        <v>#VALUE!</v>
      </c>
      <c r="H460" s="343" t="str">
        <f t="array" ref="H460">IF(B460&lt;&gt;"",INDEX('Eingabe Meldungen'!$C$2:$J$492,MATCH(B460&amp;C460,'Eingabe Meldungen'!$C$2:$C$492&amp;'Eingabe Meldungen'!$D$2:$D$492,0),8),"")</f>
        <v/>
      </c>
      <c r="J460" s="332"/>
      <c r="K460" s="332"/>
      <c r="L460" s="332"/>
      <c r="M460" s="332"/>
      <c r="N460" s="332"/>
      <c r="O460" s="332"/>
      <c r="P460" s="332"/>
      <c r="Q460" s="332"/>
      <c r="R460" s="332"/>
      <c r="S460" s="332"/>
      <c r="T460" s="332"/>
      <c r="U460" s="332"/>
      <c r="V460" s="332"/>
      <c r="W460" s="332"/>
      <c r="X460" s="332"/>
      <c r="Y460" s="332"/>
      <c r="Z460" s="332"/>
      <c r="AA460" s="332"/>
      <c r="AB460" s="332"/>
      <c r="AC460" s="332"/>
      <c r="AD460" s="332"/>
      <c r="AE460" s="332"/>
      <c r="AF460" s="332"/>
      <c r="AG460" s="332"/>
      <c r="AH460" s="332"/>
      <c r="AI460" s="332"/>
      <c r="AJ460" s="333"/>
      <c r="AK460" s="333"/>
      <c r="AL460" s="333"/>
      <c r="AM460" s="333"/>
    </row>
    <row r="461" spans="2:39" s="316" customFormat="1" ht="26.25" customHeight="1" x14ac:dyDescent="0.2">
      <c r="B461" s="340" t="str">
        <f t="array" ref="B461">IF(ISERROR(INDEX('Eingabe Meldungen'!$C$2:$C$492,LARGE(('Eingabe Meldungen'!$A$2:$A$492=$B$445)*(ROW('Eingabe Meldungen'!$A$2:$A$492)-1),COUNTIF('Eingabe Meldungen'!$A$2:$A$492,$B$445)+1-ROW('Eingabe Meldungen'!A16)))),"",INDEX('Eingabe Meldungen'!$C$2:$C$492,LARGE(('Eingabe Meldungen'!$A$2:$A$492=$B$445)*(ROW('Eingabe Meldungen'!$A$2:$A$492)-1),COUNTIF('Eingabe Meldungen'!$A$2:$A$492,$B$445)+1-ROW('Eingabe Meldungen'!A16))))</f>
        <v/>
      </c>
      <c r="C461" s="316" t="str">
        <f t="array" ref="C461">IF(ISERROR(INDEX('Eingabe Meldungen'!$D$2:$D$492,LARGE(('Eingabe Meldungen'!$A$2:$A$492=$B$445)*(ROW('Eingabe Meldungen'!$A$2:$A$492)-1),COUNTIF('Eingabe Meldungen'!$A$2:$A$492,$B$445)+1-ROW('Eingabe Meldungen'!A16)))),"",INDEX('Eingabe Meldungen'!$D$2:$D$492,LARGE(('Eingabe Meldungen'!$A$2:$A$492=$B$445)*(ROW('Eingabe Meldungen'!$A$2:$A$492)-1),COUNTIF('Eingabe Meldungen'!$A$2:$A$492,$B$445)+1-ROW('Eingabe Meldungen'!A16))))</f>
        <v/>
      </c>
      <c r="D461" s="341" t="str">
        <f t="array" ref="D461">IF(B461&lt;&gt;"",INDEX('Eingabe Meldungen'!$C$2:$H$492,MATCH(B461&amp;C461,'Eingabe Meldungen'!$C$2:$C$492&amp;'Eingabe Meldungen'!$D$2:$D$492,0),6),"")</f>
        <v/>
      </c>
      <c r="E461" s="382" t="str">
        <f t="array" ref="E461">IF(B461&lt;&gt;"",INDEX('Eingabe Meldungen'!$C$2:$H$492,MATCH(B461&amp;C461,'Eingabe Meldungen'!$C$2:$C$492&amp;'Eingabe Meldungen'!$D$2:$D$492,0),4),"")</f>
        <v/>
      </c>
      <c r="F461" s="353" t="str">
        <f>IF(VLOOKUP(B461,Rennlisten!$B$283:$H$290,6,FALSE)=0,"",VLOOKUP(B461,Rennlisten!$B$283:$H$290,6,FALSE))</f>
        <v/>
      </c>
      <c r="G461" s="333" t="e">
        <f t="shared" ref="G461:G462" si="49">RANK(F461,$F$447:$F$462,1)</f>
        <v>#VALUE!</v>
      </c>
      <c r="H461" s="343" t="str">
        <f t="array" ref="H461">IF(B461&lt;&gt;"",INDEX('Eingabe Meldungen'!$C$2:$J$492,MATCH(B461&amp;C461,'Eingabe Meldungen'!$C$2:$C$492&amp;'Eingabe Meldungen'!$D$2:$D$492,0),8),"")</f>
        <v/>
      </c>
      <c r="J461" s="332"/>
      <c r="K461" s="332"/>
      <c r="L461" s="332"/>
      <c r="M461" s="332"/>
      <c r="N461" s="332"/>
      <c r="O461" s="332"/>
      <c r="P461" s="332"/>
      <c r="Q461" s="332"/>
      <c r="R461" s="332"/>
      <c r="S461" s="332"/>
      <c r="T461" s="332"/>
      <c r="U461" s="332"/>
      <c r="V461" s="332"/>
      <c r="W461" s="332"/>
      <c r="X461" s="332"/>
      <c r="Y461" s="332"/>
      <c r="Z461" s="332"/>
      <c r="AA461" s="332"/>
      <c r="AB461" s="332"/>
      <c r="AC461" s="332"/>
      <c r="AD461" s="332"/>
      <c r="AE461" s="332"/>
      <c r="AF461" s="332"/>
      <c r="AG461" s="332"/>
      <c r="AH461" s="332"/>
      <c r="AI461" s="332"/>
      <c r="AJ461" s="333"/>
      <c r="AK461" s="333"/>
      <c r="AL461" s="333"/>
      <c r="AM461" s="333"/>
    </row>
    <row r="462" spans="2:39" s="316" customFormat="1" ht="26.25" customHeight="1" thickBot="1" x14ac:dyDescent="0.25">
      <c r="B462" s="344" t="str">
        <f t="array" ref="B462">IF(ISERROR(INDEX('Eingabe Meldungen'!$C$2:$C$492,LARGE(('Eingabe Meldungen'!$A$2:$A$492=$B$445)*(ROW('Eingabe Meldungen'!$A$2:$A$492)-1),COUNTIF('Eingabe Meldungen'!$A$2:$A$492,$B$445)+1-ROW('Eingabe Meldungen'!A17)))),"",INDEX('Eingabe Meldungen'!$C$2:$C$492,LARGE(('Eingabe Meldungen'!$A$2:$A$492=$B$445)*(ROW('Eingabe Meldungen'!$A$2:$A$492)-1),COUNTIF('Eingabe Meldungen'!$A$2:$A$492,$B$445)+1-ROW('Eingabe Meldungen'!A17))))</f>
        <v/>
      </c>
      <c r="C462" s="345" t="str">
        <f t="array" ref="C462">IF(ISERROR(INDEX('Eingabe Meldungen'!$D$2:$D$492,LARGE(('Eingabe Meldungen'!$A$2:$A$492=$B$445)*(ROW('Eingabe Meldungen'!$A$2:$A$492)-1),COUNTIF('Eingabe Meldungen'!$A$2:$A$492,$B$445)+1-ROW('Eingabe Meldungen'!A17)))),"",INDEX('Eingabe Meldungen'!$D$2:$D$492,LARGE(('Eingabe Meldungen'!$A$2:$A$492=$B$445)*(ROW('Eingabe Meldungen'!$A$2:$A$492)-1),COUNTIF('Eingabe Meldungen'!$A$2:$A$492,$B$445)+1-ROW('Eingabe Meldungen'!A17))))</f>
        <v/>
      </c>
      <c r="D462" s="346" t="str">
        <f t="array" ref="D462">IF(B462&lt;&gt;"",INDEX('Eingabe Meldungen'!$C$2:$H$492,MATCH(B462&amp;C462,'Eingabe Meldungen'!$C$2:$C$492&amp;'Eingabe Meldungen'!$D$2:$D$492,0),6),"")</f>
        <v/>
      </c>
      <c r="E462" s="383" t="str">
        <f t="array" ref="E462">IF(B462&lt;&gt;"",INDEX('Eingabe Meldungen'!$C$2:$H$492,MATCH(B462&amp;C462,'Eingabe Meldungen'!$C$2:$C$492&amp;'Eingabe Meldungen'!$D$2:$D$492,0),4),"")</f>
        <v/>
      </c>
      <c r="F462" s="360" t="str">
        <f>IF(VLOOKUP(B462,Rennlisten!$B$283:$H$290,6,FALSE)=0,"",VLOOKUP(B462,Rennlisten!$B$283:$H$290,6,FALSE))</f>
        <v/>
      </c>
      <c r="G462" s="348" t="e">
        <f t="shared" si="49"/>
        <v>#VALUE!</v>
      </c>
      <c r="H462" s="349" t="str">
        <f t="array" ref="H462">IF(B462&lt;&gt;"",INDEX('Eingabe Meldungen'!$C$2:$J$492,MATCH(B462&amp;C462,'Eingabe Meldungen'!$C$2:$C$492&amp;'Eingabe Meldungen'!$D$2:$D$492,0),8),"")</f>
        <v/>
      </c>
      <c r="J462" s="332"/>
      <c r="K462" s="332"/>
      <c r="L462" s="332"/>
      <c r="M462" s="332"/>
      <c r="N462" s="332"/>
      <c r="O462" s="332"/>
      <c r="P462" s="332"/>
      <c r="Q462" s="332"/>
      <c r="R462" s="332"/>
      <c r="S462" s="332"/>
      <c r="T462" s="332"/>
      <c r="U462" s="332"/>
      <c r="V462" s="332"/>
      <c r="W462" s="332"/>
      <c r="X462" s="332"/>
      <c r="Y462" s="332"/>
      <c r="Z462" s="332"/>
      <c r="AA462" s="332"/>
      <c r="AB462" s="332"/>
      <c r="AC462" s="332"/>
      <c r="AD462" s="332"/>
      <c r="AE462" s="332"/>
      <c r="AF462" s="332"/>
      <c r="AG462" s="332"/>
      <c r="AH462" s="332"/>
      <c r="AI462" s="332"/>
      <c r="AJ462" s="333"/>
      <c r="AK462" s="333"/>
      <c r="AL462" s="333"/>
      <c r="AM462" s="333"/>
    </row>
    <row r="463" spans="2:39" s="316" customFormat="1" ht="26.25" customHeight="1" thickBot="1" x14ac:dyDescent="0.25">
      <c r="E463" s="352"/>
      <c r="F463" s="333"/>
      <c r="G463" s="333"/>
      <c r="J463" s="333"/>
      <c r="K463" s="333"/>
      <c r="L463" s="333"/>
      <c r="M463" s="333"/>
      <c r="N463" s="333"/>
      <c r="O463" s="333"/>
      <c r="P463" s="333"/>
      <c r="Q463" s="333"/>
      <c r="R463" s="333"/>
      <c r="S463" s="333"/>
      <c r="T463" s="333"/>
      <c r="U463" s="333"/>
      <c r="V463" s="333"/>
      <c r="W463" s="333"/>
      <c r="X463" s="333"/>
      <c r="Y463" s="333"/>
      <c r="Z463" s="333"/>
      <c r="AA463" s="333"/>
      <c r="AB463" s="333"/>
      <c r="AC463" s="333"/>
      <c r="AD463" s="333"/>
      <c r="AE463" s="333"/>
      <c r="AF463" s="333"/>
      <c r="AG463" s="333"/>
      <c r="AH463" s="333"/>
      <c r="AI463" s="333"/>
      <c r="AJ463" s="333"/>
      <c r="AK463" s="333"/>
      <c r="AL463" s="333"/>
      <c r="AM463" s="333"/>
    </row>
    <row r="464" spans="2:39" s="316" customFormat="1" ht="26.25" customHeight="1" x14ac:dyDescent="0.2">
      <c r="B464" s="326">
        <f>B445+1</f>
        <v>19</v>
      </c>
      <c r="C464" s="327" t="str">
        <f>VLOOKUP(B464,Ausschreibung!$B$5:$I$35,2,FALSE)</f>
        <v>Ergocup</v>
      </c>
      <c r="D464" s="328">
        <f>VLOOKUP(B464,Ausschreibung!$B$5:$I$35,3,FALSE)</f>
        <v>0.63124999999999987</v>
      </c>
      <c r="E464" s="327" t="str">
        <f>VLOOKUP(B464,Ausschreibung!$B$5:$I$35,4,FALSE)</f>
        <v>Junioren A U19</v>
      </c>
      <c r="F464" s="329" t="str">
        <f>VLOOKUP(B464,Ausschreibung!$B$5:$I$35,5,FALSE)</f>
        <v>LGW. bis 70 kg</v>
      </c>
      <c r="G464" s="330" t="str">
        <f>VLOOKUP(B464,Ausschreibung!$B$5:$I$35,6,FALSE)</f>
        <v>17-18</v>
      </c>
      <c r="H464" s="331" t="str">
        <f>VLOOKUP(B464,Ausschreibung!$B$5:$I$35,8,FALSE)</f>
        <v>2000 m</v>
      </c>
      <c r="J464" s="332"/>
      <c r="K464" s="332"/>
      <c r="L464" s="332"/>
      <c r="M464" s="332"/>
      <c r="N464" s="332"/>
      <c r="O464" s="332"/>
      <c r="P464" s="332"/>
      <c r="Q464" s="332"/>
      <c r="R464" s="332"/>
      <c r="S464" s="332"/>
      <c r="T464" s="332"/>
      <c r="U464" s="332"/>
      <c r="V464" s="332"/>
      <c r="W464" s="332"/>
      <c r="X464" s="332"/>
      <c r="Y464" s="332"/>
      <c r="Z464" s="332"/>
      <c r="AA464" s="332"/>
      <c r="AB464" s="332"/>
      <c r="AC464" s="332"/>
      <c r="AD464" s="332"/>
      <c r="AE464" s="332"/>
      <c r="AF464" s="332"/>
      <c r="AG464" s="332"/>
      <c r="AH464" s="332"/>
      <c r="AI464" s="332"/>
      <c r="AJ464" s="333"/>
      <c r="AK464" s="333"/>
      <c r="AL464" s="333"/>
      <c r="AM464" s="333"/>
    </row>
    <row r="465" spans="2:39" s="316" customFormat="1" ht="26.25" customHeight="1" x14ac:dyDescent="0.2">
      <c r="B465" s="334" t="s">
        <v>1</v>
      </c>
      <c r="C465" s="335" t="s">
        <v>2</v>
      </c>
      <c r="D465" s="336" t="s">
        <v>49</v>
      </c>
      <c r="E465" s="381" t="s">
        <v>16</v>
      </c>
      <c r="F465" s="337" t="s">
        <v>50</v>
      </c>
      <c r="G465" s="338" t="s">
        <v>51</v>
      </c>
      <c r="H465" s="339" t="s">
        <v>17</v>
      </c>
      <c r="J465" s="332"/>
      <c r="K465" s="332"/>
      <c r="L465" s="332"/>
      <c r="M465" s="332"/>
      <c r="N465" s="332"/>
      <c r="O465" s="332"/>
      <c r="P465" s="332"/>
      <c r="Q465" s="332"/>
      <c r="R465" s="332"/>
      <c r="S465" s="332"/>
      <c r="T465" s="332"/>
      <c r="U465" s="332"/>
      <c r="V465" s="332"/>
      <c r="W465" s="332"/>
      <c r="X465" s="332"/>
      <c r="Y465" s="332"/>
      <c r="Z465" s="332"/>
      <c r="AA465" s="332"/>
      <c r="AB465" s="332"/>
      <c r="AC465" s="332"/>
      <c r="AD465" s="332"/>
      <c r="AE465" s="332"/>
      <c r="AF465" s="332"/>
      <c r="AG465" s="332"/>
      <c r="AH465" s="332"/>
      <c r="AI465" s="332"/>
      <c r="AJ465" s="333"/>
      <c r="AK465" s="333"/>
      <c r="AL465" s="333"/>
      <c r="AM465" s="333"/>
    </row>
    <row r="466" spans="2:39" s="316" customFormat="1" ht="26.25" customHeight="1" x14ac:dyDescent="0.2">
      <c r="B466" s="340" t="str">
        <f t="array" ref="B466">IF(ISERROR(INDEX('Eingabe Meldungen'!$C$2:$C$492,LARGE(('Eingabe Meldungen'!$A$2:$A$492=$B$464)*(ROW('Eingabe Meldungen'!$A$2:$A$492)-1),COUNTIF('Eingabe Meldungen'!$A$2:$A$492,$B$464)+1-ROW('Eingabe Meldungen'!A1)))),"",INDEX('Eingabe Meldungen'!$C$2:$C$492,LARGE(('Eingabe Meldungen'!$A$2:$A$492=$B$464)*(ROW('Eingabe Meldungen'!$A$2:$A$492)-1),COUNTIF('Eingabe Meldungen'!$A$2:$A$492,$B$464)+1-ROW('Eingabe Meldungen'!A1))))</f>
        <v>Walz</v>
      </c>
      <c r="C466" s="316" t="str">
        <f t="array" ref="C466">IF(ISERROR(INDEX('Eingabe Meldungen'!$D$2:$D$492,LARGE(('Eingabe Meldungen'!$A$2:$A$492=$B$464)*(ROW('Eingabe Meldungen'!$A$2:$A$492)-1),COUNTIF('Eingabe Meldungen'!$A$2:$A$492,$B$464)+1-ROW('Eingabe Meldungen'!A1)))),"",INDEX('Eingabe Meldungen'!$D$2:$D$492,LARGE(('Eingabe Meldungen'!$A$2:$A$492=$B$464)*(ROW('Eingabe Meldungen'!$A$2:$A$492)-1),COUNTIF('Eingabe Meldungen'!$A$2:$A$492,$B$464)+1-ROW('Eingabe Meldungen'!A1))))</f>
        <v>Jona</v>
      </c>
      <c r="D466" s="341">
        <f t="array" ref="D466">IF(B466&lt;&gt;"",INDEX('Eingabe Meldungen'!$C$2:$H$492,MATCH(B466&amp;C466,'Eingabe Meldungen'!$C$2:$C$492&amp;'Eingabe Meldungen'!$D$2:$D$492,0),6),"")</f>
        <v>2003</v>
      </c>
      <c r="E466" s="382" t="str">
        <f t="array" ref="E466">IF(B466&lt;&gt;"",INDEX('Eingabe Meldungen'!$C$2:$H$492,MATCH(B466&amp;C466,'Eingabe Meldungen'!$C$2:$C$492&amp;'Eingabe Meldungen'!$D$2:$D$492,0),4),"")</f>
        <v>LGW. bis 70 kg</v>
      </c>
      <c r="F466" s="353" t="s">
        <v>632</v>
      </c>
      <c r="G466" s="333">
        <v>2</v>
      </c>
      <c r="H466" s="343" t="str">
        <f t="array" ref="H466">IF(B466&lt;&gt;"",INDEX('Eingabe Meldungen'!$C$2:$J$492,MATCH(B466&amp;C466,'Eingabe Meldungen'!$C$2:$C$492&amp;'Eingabe Meldungen'!$D$2:$D$492,0),8),"")</f>
        <v>RC Nürtingen</v>
      </c>
      <c r="J466" s="332"/>
      <c r="K466" s="332"/>
      <c r="L466" s="332"/>
      <c r="M466" s="332">
        <v>1</v>
      </c>
      <c r="N466" s="332"/>
      <c r="O466" s="332"/>
      <c r="P466" s="332"/>
      <c r="Q466" s="332"/>
      <c r="R466" s="332"/>
      <c r="S466" s="332"/>
      <c r="T466" s="332"/>
      <c r="U466" s="332"/>
      <c r="V466" s="332"/>
      <c r="W466" s="332"/>
      <c r="X466" s="332"/>
      <c r="Y466" s="332"/>
      <c r="Z466" s="332"/>
      <c r="AA466" s="332"/>
      <c r="AB466" s="332"/>
      <c r="AC466" s="332"/>
      <c r="AD466" s="332"/>
      <c r="AE466" s="332"/>
      <c r="AF466" s="332"/>
      <c r="AG466" s="332"/>
      <c r="AH466" s="332"/>
      <c r="AI466" s="332"/>
      <c r="AJ466" s="333"/>
      <c r="AK466" s="333"/>
      <c r="AL466" s="333"/>
      <c r="AM466" s="333"/>
    </row>
    <row r="467" spans="2:39" s="316" customFormat="1" ht="26.25" customHeight="1" x14ac:dyDescent="0.2">
      <c r="B467" s="340" t="str">
        <f t="array" ref="B467">IF(ISERROR(INDEX('Eingabe Meldungen'!$C$2:$C$492,LARGE(('Eingabe Meldungen'!$A$2:$A$492=$B$464)*(ROW('Eingabe Meldungen'!$A$2:$A$492)-1),COUNTIF('Eingabe Meldungen'!$A$2:$A$492,$B$464)+1-ROW('Eingabe Meldungen'!A2)))),"",INDEX('Eingabe Meldungen'!$C$2:$C$492,LARGE(('Eingabe Meldungen'!$A$2:$A$492=$B$464)*(ROW('Eingabe Meldungen'!$A$2:$A$492)-1),COUNTIF('Eingabe Meldungen'!$A$2:$A$492,$B$464)+1-ROW('Eingabe Meldungen'!A2))))</f>
        <v>Weber</v>
      </c>
      <c r="C467" s="316" t="str">
        <f t="array" ref="C467">IF(ISERROR(INDEX('Eingabe Meldungen'!$D$2:$D$492,LARGE(('Eingabe Meldungen'!$A$2:$A$492=$B$464)*(ROW('Eingabe Meldungen'!$A$2:$A$492)-1),COUNTIF('Eingabe Meldungen'!$A$2:$A$492,$B$464)+1-ROW('Eingabe Meldungen'!A2)))),"",INDEX('Eingabe Meldungen'!$D$2:$D$492,LARGE(('Eingabe Meldungen'!$A$2:$A$492=$B$464)*(ROW('Eingabe Meldungen'!$A$2:$A$492)-1),COUNTIF('Eingabe Meldungen'!$A$2:$A$492,$B$464)+1-ROW('Eingabe Meldungen'!A2))))</f>
        <v>Nils</v>
      </c>
      <c r="D467" s="341">
        <f t="array" ref="D467">IF(B467&lt;&gt;"",INDEX('Eingabe Meldungen'!$C$2:$H$492,MATCH(B467&amp;C467,'Eingabe Meldungen'!$C$2:$C$492&amp;'Eingabe Meldungen'!$D$2:$D$492,0),6),"")</f>
        <v>2003</v>
      </c>
      <c r="E467" s="382" t="str">
        <f t="array" ref="E467">IF(B467&lt;&gt;"",INDEX('Eingabe Meldungen'!$C$2:$H$492,MATCH(B467&amp;C467,'Eingabe Meldungen'!$C$2:$C$492&amp;'Eingabe Meldungen'!$D$2:$D$492,0),4),"")</f>
        <v>LGW. bis 70 kg</v>
      </c>
      <c r="F467" s="353" t="s">
        <v>631</v>
      </c>
      <c r="G467" s="333">
        <v>1</v>
      </c>
      <c r="H467" s="343" t="str">
        <f t="array" ref="H467">IF(B467&lt;&gt;"",INDEX('Eingabe Meldungen'!$C$2:$J$492,MATCH(B467&amp;C467,'Eingabe Meldungen'!$C$2:$C$492&amp;'Eingabe Meldungen'!$D$2:$D$492,0),8),"")</f>
        <v>RG Eberbach</v>
      </c>
      <c r="J467" s="332"/>
      <c r="K467" s="332"/>
      <c r="L467" s="332"/>
      <c r="M467" s="332"/>
      <c r="N467" s="332"/>
      <c r="O467" s="332"/>
      <c r="P467" s="332"/>
      <c r="Q467" s="332"/>
      <c r="R467" s="332"/>
      <c r="S467" s="332"/>
      <c r="T467" s="332"/>
      <c r="U467" s="332">
        <v>3</v>
      </c>
      <c r="V467" s="332"/>
      <c r="W467" s="332"/>
      <c r="X467" s="332"/>
      <c r="Y467" s="332"/>
      <c r="Z467" s="332"/>
      <c r="AA467" s="332"/>
      <c r="AB467" s="332"/>
      <c r="AC467" s="332"/>
      <c r="AD467" s="332"/>
      <c r="AE467" s="332"/>
      <c r="AF467" s="332"/>
      <c r="AG467" s="332"/>
      <c r="AH467" s="332"/>
      <c r="AI467" s="332"/>
      <c r="AJ467" s="333"/>
      <c r="AK467" s="333"/>
      <c r="AL467" s="333"/>
      <c r="AM467" s="333"/>
    </row>
    <row r="468" spans="2:39" s="316" customFormat="1" ht="26.25" customHeight="1" x14ac:dyDescent="0.2">
      <c r="B468" s="340" t="str">
        <f t="array" ref="B468">IF(ISERROR(INDEX('Eingabe Meldungen'!$C$2:$C$492,LARGE(('Eingabe Meldungen'!$A$2:$A$492=$B$464)*(ROW('Eingabe Meldungen'!$A$2:$A$492)-1),COUNTIF('Eingabe Meldungen'!$A$2:$A$492,$B$464)+1-ROW('Eingabe Meldungen'!A3)))),"",INDEX('Eingabe Meldungen'!$C$2:$C$492,LARGE(('Eingabe Meldungen'!$A$2:$A$492=$B$464)*(ROW('Eingabe Meldungen'!$A$2:$A$492)-1),COUNTIF('Eingabe Meldungen'!$A$2:$A$492,$B$464)+1-ROW('Eingabe Meldungen'!A3))))</f>
        <v/>
      </c>
      <c r="C468" s="316" t="str">
        <f t="array" ref="C468">IF(ISERROR(INDEX('Eingabe Meldungen'!$D$2:$D$492,LARGE(('Eingabe Meldungen'!$A$2:$A$492=$B$464)*(ROW('Eingabe Meldungen'!$A$2:$A$492)-1),COUNTIF('Eingabe Meldungen'!$A$2:$A$492,$B$464)+1-ROW('Eingabe Meldungen'!A3)))),"",INDEX('Eingabe Meldungen'!$D$2:$D$492,LARGE(('Eingabe Meldungen'!$A$2:$A$492=$B$464)*(ROW('Eingabe Meldungen'!$A$2:$A$492)-1),COUNTIF('Eingabe Meldungen'!$A$2:$A$492,$B$464)+1-ROW('Eingabe Meldungen'!A3))))</f>
        <v/>
      </c>
      <c r="D468" s="341" t="str">
        <f t="array" ref="D468">IF(B468&lt;&gt;"",INDEX('Eingabe Meldungen'!$C$2:$H$492,MATCH(B468&amp;C468,'Eingabe Meldungen'!$C$2:$C$492&amp;'Eingabe Meldungen'!$D$2:$D$492,0),6),"")</f>
        <v/>
      </c>
      <c r="E468" s="382" t="str">
        <f t="array" ref="E468">IF(B468&lt;&gt;"",INDEX('Eingabe Meldungen'!$C$2:$H$492,MATCH(B468&amp;C468,'Eingabe Meldungen'!$C$2:$C$492&amp;'Eingabe Meldungen'!$D$2:$D$492,0),4),"")</f>
        <v/>
      </c>
      <c r="F468" s="353" t="e">
        <f>IF(VLOOKUP(B468,Rennlisten!$B$294:$H$295,6,FALSE)=0,"",VLOOKUP(B468,Rennlisten!$B$294:$H$295,6,FALSE))</f>
        <v>#N/A</v>
      </c>
      <c r="G468" s="333" t="e">
        <f t="shared" ref="G468:G479" si="50">RANK(F468,$F$466:$F$481,1)</f>
        <v>#N/A</v>
      </c>
      <c r="H468" s="343" t="str">
        <f t="array" ref="H468">IF(B468&lt;&gt;"",INDEX('Eingabe Meldungen'!$C$2:$J$492,MATCH(B468&amp;C468,'Eingabe Meldungen'!$C$2:$C$492&amp;'Eingabe Meldungen'!$D$2:$D$492,0),8),"")</f>
        <v/>
      </c>
      <c r="J468" s="332"/>
      <c r="K468" s="332"/>
      <c r="L468" s="332"/>
      <c r="M468" s="332"/>
      <c r="N468" s="332"/>
      <c r="O468" s="332"/>
      <c r="P468" s="332"/>
      <c r="Q468" s="332"/>
      <c r="R468" s="332"/>
      <c r="S468" s="332"/>
      <c r="T468" s="332"/>
      <c r="U468" s="332"/>
      <c r="V468" s="332"/>
      <c r="W468" s="332"/>
      <c r="X468" s="332"/>
      <c r="Y468" s="332"/>
      <c r="Z468" s="332"/>
      <c r="AA468" s="332"/>
      <c r="AB468" s="332"/>
      <c r="AC468" s="332"/>
      <c r="AD468" s="332"/>
      <c r="AE468" s="332"/>
      <c r="AF468" s="332"/>
      <c r="AG468" s="332"/>
      <c r="AH468" s="332"/>
      <c r="AI468" s="332"/>
      <c r="AJ468" s="333"/>
      <c r="AK468" s="333"/>
      <c r="AL468" s="333"/>
      <c r="AM468" s="333"/>
    </row>
    <row r="469" spans="2:39" s="316" customFormat="1" ht="26.25" customHeight="1" x14ac:dyDescent="0.2">
      <c r="B469" s="340" t="str">
        <f t="array" ref="B469">IF(ISERROR(INDEX('Eingabe Meldungen'!$C$2:$C$492,LARGE(('Eingabe Meldungen'!$A$2:$A$492=$B$464)*(ROW('Eingabe Meldungen'!$A$2:$A$492)-1),COUNTIF('Eingabe Meldungen'!$A$2:$A$492,$B$464)+1-ROW('Eingabe Meldungen'!A4)))),"",INDEX('Eingabe Meldungen'!$C$2:$C$492,LARGE(('Eingabe Meldungen'!$A$2:$A$492=$B$464)*(ROW('Eingabe Meldungen'!$A$2:$A$492)-1),COUNTIF('Eingabe Meldungen'!$A$2:$A$492,$B$464)+1-ROW('Eingabe Meldungen'!A4))))</f>
        <v/>
      </c>
      <c r="C469" s="316" t="str">
        <f t="array" ref="C469">IF(ISERROR(INDEX('Eingabe Meldungen'!$D$2:$D$492,LARGE(('Eingabe Meldungen'!$A$2:$A$492=$B$464)*(ROW('Eingabe Meldungen'!$A$2:$A$492)-1),COUNTIF('Eingabe Meldungen'!$A$2:$A$492,$B$464)+1-ROW('Eingabe Meldungen'!A4)))),"",INDEX('Eingabe Meldungen'!$D$2:$D$492,LARGE(('Eingabe Meldungen'!$A$2:$A$492=$B$464)*(ROW('Eingabe Meldungen'!$A$2:$A$492)-1),COUNTIF('Eingabe Meldungen'!$A$2:$A$492,$B$464)+1-ROW('Eingabe Meldungen'!A4))))</f>
        <v/>
      </c>
      <c r="D469" s="341" t="str">
        <f t="array" ref="D469">IF(B469&lt;&gt;"",INDEX('Eingabe Meldungen'!$C$2:$H$492,MATCH(B469&amp;C469,'Eingabe Meldungen'!$C$2:$C$492&amp;'Eingabe Meldungen'!$D$2:$D$492,0),6),"")</f>
        <v/>
      </c>
      <c r="E469" s="382" t="str">
        <f t="array" ref="E469">IF(B469&lt;&gt;"",INDEX('Eingabe Meldungen'!$C$2:$H$492,MATCH(B469&amp;C469,'Eingabe Meldungen'!$C$2:$C$492&amp;'Eingabe Meldungen'!$D$2:$D$492,0),4),"")</f>
        <v/>
      </c>
      <c r="F469" s="353" t="e">
        <f>IF(VLOOKUP(B469,Rennlisten!$B$294:$H$295,6,FALSE)=0,"",VLOOKUP(B469,Rennlisten!$B$294:$H$295,6,FALSE))</f>
        <v>#N/A</v>
      </c>
      <c r="G469" s="333" t="e">
        <f t="shared" si="50"/>
        <v>#N/A</v>
      </c>
      <c r="H469" s="343" t="str">
        <f t="array" ref="H469">IF(B469&lt;&gt;"",INDEX('Eingabe Meldungen'!$C$2:$J$492,MATCH(B469&amp;C469,'Eingabe Meldungen'!$C$2:$C$492&amp;'Eingabe Meldungen'!$D$2:$D$492,0),8),"")</f>
        <v/>
      </c>
      <c r="J469" s="332"/>
      <c r="K469" s="332"/>
      <c r="L469" s="332"/>
      <c r="M469" s="332"/>
      <c r="N469" s="332"/>
      <c r="O469" s="332"/>
      <c r="P469" s="332"/>
      <c r="Q469" s="332"/>
      <c r="R469" s="332"/>
      <c r="S469" s="332"/>
      <c r="T469" s="332"/>
      <c r="U469" s="332"/>
      <c r="V469" s="332"/>
      <c r="W469" s="332"/>
      <c r="X469" s="332"/>
      <c r="Y469" s="332"/>
      <c r="Z469" s="332"/>
      <c r="AA469" s="332"/>
      <c r="AB469" s="332"/>
      <c r="AC469" s="332"/>
      <c r="AD469" s="332"/>
      <c r="AE469" s="332"/>
      <c r="AF469" s="332"/>
      <c r="AG469" s="332"/>
      <c r="AH469" s="332"/>
      <c r="AI469" s="332"/>
      <c r="AJ469" s="333"/>
      <c r="AK469" s="333"/>
      <c r="AL469" s="333"/>
      <c r="AM469" s="333"/>
    </row>
    <row r="470" spans="2:39" s="316" customFormat="1" ht="26.25" customHeight="1" x14ac:dyDescent="0.2">
      <c r="B470" s="340" t="str">
        <f t="array" ref="B470">IF(ISERROR(INDEX('Eingabe Meldungen'!$C$2:$C$492,LARGE(('Eingabe Meldungen'!$A$2:$A$492=$B$464)*(ROW('Eingabe Meldungen'!$A$2:$A$492)-1),COUNTIF('Eingabe Meldungen'!$A$2:$A$492,$B$464)+1-ROW('Eingabe Meldungen'!A5)))),"",INDEX('Eingabe Meldungen'!$C$2:$C$492,LARGE(('Eingabe Meldungen'!$A$2:$A$492=$B$464)*(ROW('Eingabe Meldungen'!$A$2:$A$492)-1),COUNTIF('Eingabe Meldungen'!$A$2:$A$492,$B$464)+1-ROW('Eingabe Meldungen'!A5))))</f>
        <v/>
      </c>
      <c r="C470" s="316" t="str">
        <f t="array" ref="C470">IF(ISERROR(INDEX('Eingabe Meldungen'!$D$2:$D$492,LARGE(('Eingabe Meldungen'!$A$2:$A$492=$B$464)*(ROW('Eingabe Meldungen'!$A$2:$A$492)-1),COUNTIF('Eingabe Meldungen'!$A$2:$A$492,$B$464)+1-ROW('Eingabe Meldungen'!A5)))),"",INDEX('Eingabe Meldungen'!$D$2:$D$492,LARGE(('Eingabe Meldungen'!$A$2:$A$492=$B$464)*(ROW('Eingabe Meldungen'!$A$2:$A$492)-1),COUNTIF('Eingabe Meldungen'!$A$2:$A$492,$B$464)+1-ROW('Eingabe Meldungen'!A5))))</f>
        <v/>
      </c>
      <c r="D470" s="341" t="str">
        <f t="array" ref="D470">IF(B470&lt;&gt;"",INDEX('Eingabe Meldungen'!$C$2:$H$492,MATCH(B470&amp;C470,'Eingabe Meldungen'!$C$2:$C$492&amp;'Eingabe Meldungen'!$D$2:$D$492,0),6),"")</f>
        <v/>
      </c>
      <c r="E470" s="382" t="str">
        <f t="array" ref="E470">IF(B470&lt;&gt;"",INDEX('Eingabe Meldungen'!$C$2:$H$492,MATCH(B470&amp;C470,'Eingabe Meldungen'!$C$2:$C$492&amp;'Eingabe Meldungen'!$D$2:$D$492,0),4),"")</f>
        <v/>
      </c>
      <c r="F470" s="353" t="e">
        <f>IF(VLOOKUP(B470,Rennlisten!$B$294:$H$295,6,FALSE)=0,"",VLOOKUP(B470,Rennlisten!$B$294:$H$295,6,FALSE))</f>
        <v>#N/A</v>
      </c>
      <c r="G470" s="333" t="e">
        <f t="shared" si="50"/>
        <v>#N/A</v>
      </c>
      <c r="H470" s="343" t="str">
        <f t="array" ref="H470">IF(B470&lt;&gt;"",INDEX('Eingabe Meldungen'!$C$2:$J$492,MATCH(B470&amp;C470,'Eingabe Meldungen'!$C$2:$C$492&amp;'Eingabe Meldungen'!$D$2:$D$492,0),8),"")</f>
        <v/>
      </c>
      <c r="J470" s="332"/>
      <c r="K470" s="332"/>
      <c r="L470" s="332"/>
      <c r="M470" s="332"/>
      <c r="N470" s="332"/>
      <c r="O470" s="332"/>
      <c r="P470" s="332"/>
      <c r="Q470" s="332"/>
      <c r="R470" s="332"/>
      <c r="S470" s="332"/>
      <c r="T470" s="332"/>
      <c r="U470" s="332"/>
      <c r="V470" s="332"/>
      <c r="W470" s="332"/>
      <c r="X470" s="332"/>
      <c r="Y470" s="332"/>
      <c r="Z470" s="332"/>
      <c r="AA470" s="332"/>
      <c r="AB470" s="332"/>
      <c r="AC470" s="332"/>
      <c r="AD470" s="332"/>
      <c r="AE470" s="332"/>
      <c r="AF470" s="332"/>
      <c r="AG470" s="332"/>
      <c r="AH470" s="332"/>
      <c r="AI470" s="332"/>
      <c r="AJ470" s="333"/>
      <c r="AK470" s="333"/>
      <c r="AL470" s="333"/>
      <c r="AM470" s="333"/>
    </row>
    <row r="471" spans="2:39" s="316" customFormat="1" ht="26.25" customHeight="1" x14ac:dyDescent="0.2">
      <c r="B471" s="340" t="str">
        <f t="array" ref="B471">IF(ISERROR(INDEX('Eingabe Meldungen'!$C$2:$C$492,LARGE(('Eingabe Meldungen'!$A$2:$A$492=$B$464)*(ROW('Eingabe Meldungen'!$A$2:$A$492)-1),COUNTIF('Eingabe Meldungen'!$A$2:$A$492,$B$464)+1-ROW('Eingabe Meldungen'!A6)))),"",INDEX('Eingabe Meldungen'!$C$2:$C$492,LARGE(('Eingabe Meldungen'!$A$2:$A$492=$B$464)*(ROW('Eingabe Meldungen'!$A$2:$A$492)-1),COUNTIF('Eingabe Meldungen'!$A$2:$A$492,$B$464)+1-ROW('Eingabe Meldungen'!A6))))</f>
        <v/>
      </c>
      <c r="C471" s="316" t="str">
        <f t="array" ref="C471">IF(ISERROR(INDEX('Eingabe Meldungen'!$D$2:$D$492,LARGE(('Eingabe Meldungen'!$A$2:$A$492=$B$464)*(ROW('Eingabe Meldungen'!$A$2:$A$492)-1),COUNTIF('Eingabe Meldungen'!$A$2:$A$492,$B$464)+1-ROW('Eingabe Meldungen'!A6)))),"",INDEX('Eingabe Meldungen'!$D$2:$D$492,LARGE(('Eingabe Meldungen'!$A$2:$A$492=$B$464)*(ROW('Eingabe Meldungen'!$A$2:$A$492)-1),COUNTIF('Eingabe Meldungen'!$A$2:$A$492,$B$464)+1-ROW('Eingabe Meldungen'!A6))))</f>
        <v/>
      </c>
      <c r="D471" s="341" t="str">
        <f t="array" ref="D471">IF(B471&lt;&gt;"",INDEX('Eingabe Meldungen'!$C$2:$H$492,MATCH(B471&amp;C471,'Eingabe Meldungen'!$C$2:$C$492&amp;'Eingabe Meldungen'!$D$2:$D$492,0),6),"")</f>
        <v/>
      </c>
      <c r="E471" s="382" t="str">
        <f t="array" ref="E471">IF(B471&lt;&gt;"",INDEX('Eingabe Meldungen'!$C$2:$H$492,MATCH(B471&amp;C471,'Eingabe Meldungen'!$C$2:$C$492&amp;'Eingabe Meldungen'!$D$2:$D$492,0),4),"")</f>
        <v/>
      </c>
      <c r="F471" s="353" t="e">
        <f>IF(VLOOKUP(B471,Rennlisten!$B$294:$H$295,6,FALSE)=0,"",VLOOKUP(B471,Rennlisten!$B$294:$H$295,6,FALSE))</f>
        <v>#N/A</v>
      </c>
      <c r="G471" s="333" t="e">
        <f t="shared" si="50"/>
        <v>#N/A</v>
      </c>
      <c r="H471" s="343" t="str">
        <f t="array" ref="H471">IF(B471&lt;&gt;"",INDEX('Eingabe Meldungen'!$C$2:$J$492,MATCH(B471&amp;C471,'Eingabe Meldungen'!$C$2:$C$492&amp;'Eingabe Meldungen'!$D$2:$D$492,0),8),"")</f>
        <v/>
      </c>
      <c r="J471" s="332"/>
      <c r="K471" s="332"/>
      <c r="L471" s="332"/>
      <c r="M471" s="332"/>
      <c r="N471" s="332"/>
      <c r="O471" s="332"/>
      <c r="P471" s="332"/>
      <c r="Q471" s="332"/>
      <c r="R471" s="332"/>
      <c r="S471" s="332"/>
      <c r="T471" s="332"/>
      <c r="U471" s="332"/>
      <c r="V471" s="332"/>
      <c r="W471" s="332"/>
      <c r="X471" s="332"/>
      <c r="Y471" s="332"/>
      <c r="Z471" s="332"/>
      <c r="AA471" s="332"/>
      <c r="AB471" s="332"/>
      <c r="AC471" s="332"/>
      <c r="AD471" s="332"/>
      <c r="AE471" s="332"/>
      <c r="AF471" s="332"/>
      <c r="AG471" s="332"/>
      <c r="AH471" s="332"/>
      <c r="AI471" s="332"/>
      <c r="AJ471" s="333"/>
      <c r="AK471" s="333"/>
      <c r="AL471" s="333"/>
      <c r="AM471" s="333"/>
    </row>
    <row r="472" spans="2:39" s="316" customFormat="1" ht="26.25" customHeight="1" x14ac:dyDescent="0.2">
      <c r="B472" s="340" t="str">
        <f t="array" ref="B472">IF(ISERROR(INDEX('Eingabe Meldungen'!$C$2:$C$492,LARGE(('Eingabe Meldungen'!$A$2:$A$492=$B$464)*(ROW('Eingabe Meldungen'!$A$2:$A$492)-1),COUNTIF('Eingabe Meldungen'!$A$2:$A$492,$B$464)+1-ROW('Eingabe Meldungen'!A7)))),"",INDEX('Eingabe Meldungen'!$C$2:$C$492,LARGE(('Eingabe Meldungen'!$A$2:$A$492=$B$464)*(ROW('Eingabe Meldungen'!$A$2:$A$492)-1),COUNTIF('Eingabe Meldungen'!$A$2:$A$492,$B$464)+1-ROW('Eingabe Meldungen'!A7))))</f>
        <v/>
      </c>
      <c r="C472" s="316" t="str">
        <f t="array" ref="C472">IF(ISERROR(INDEX('Eingabe Meldungen'!$D$2:$D$492,LARGE(('Eingabe Meldungen'!$A$2:$A$492=$B$464)*(ROW('Eingabe Meldungen'!$A$2:$A$492)-1),COUNTIF('Eingabe Meldungen'!$A$2:$A$492,$B$464)+1-ROW('Eingabe Meldungen'!A7)))),"",INDEX('Eingabe Meldungen'!$D$2:$D$492,LARGE(('Eingabe Meldungen'!$A$2:$A$492=$B$464)*(ROW('Eingabe Meldungen'!$A$2:$A$492)-1),COUNTIF('Eingabe Meldungen'!$A$2:$A$492,$B$464)+1-ROW('Eingabe Meldungen'!A7))))</f>
        <v/>
      </c>
      <c r="D472" s="341" t="str">
        <f t="array" ref="D472">IF(B472&lt;&gt;"",INDEX('Eingabe Meldungen'!$C$2:$H$492,MATCH(B472&amp;C472,'Eingabe Meldungen'!$C$2:$C$492&amp;'Eingabe Meldungen'!$D$2:$D$492,0),6),"")</f>
        <v/>
      </c>
      <c r="E472" s="382" t="str">
        <f t="array" ref="E472">IF(B472&lt;&gt;"",INDEX('Eingabe Meldungen'!$C$2:$H$492,MATCH(B472&amp;C472,'Eingabe Meldungen'!$C$2:$C$492&amp;'Eingabe Meldungen'!$D$2:$D$492,0),4),"")</f>
        <v/>
      </c>
      <c r="F472" s="353" t="e">
        <f>IF(VLOOKUP(B472,Rennlisten!$B$294:$H$295,6,FALSE)=0,"",VLOOKUP(B472,Rennlisten!$B$294:$H$295,6,FALSE))</f>
        <v>#N/A</v>
      </c>
      <c r="G472" s="333" t="e">
        <f t="shared" si="50"/>
        <v>#N/A</v>
      </c>
      <c r="H472" s="343" t="str">
        <f t="array" ref="H472">IF(B472&lt;&gt;"",INDEX('Eingabe Meldungen'!$C$2:$J$492,MATCH(B472&amp;C472,'Eingabe Meldungen'!$C$2:$C$492&amp;'Eingabe Meldungen'!$D$2:$D$492,0),8),"")</f>
        <v/>
      </c>
      <c r="J472" s="332"/>
      <c r="K472" s="332"/>
      <c r="L472" s="332"/>
      <c r="M472" s="332"/>
      <c r="N472" s="332"/>
      <c r="O472" s="332"/>
      <c r="P472" s="332"/>
      <c r="Q472" s="332"/>
      <c r="R472" s="332"/>
      <c r="S472" s="332"/>
      <c r="T472" s="332"/>
      <c r="U472" s="332"/>
      <c r="V472" s="332"/>
      <c r="W472" s="332"/>
      <c r="X472" s="332"/>
      <c r="Y472" s="332"/>
      <c r="Z472" s="332"/>
      <c r="AA472" s="332"/>
      <c r="AB472" s="332"/>
      <c r="AC472" s="332"/>
      <c r="AD472" s="332"/>
      <c r="AE472" s="332"/>
      <c r="AF472" s="332"/>
      <c r="AG472" s="332"/>
      <c r="AH472" s="332"/>
      <c r="AI472" s="332"/>
      <c r="AJ472" s="333"/>
      <c r="AK472" s="333"/>
      <c r="AL472" s="333"/>
      <c r="AM472" s="333"/>
    </row>
    <row r="473" spans="2:39" s="316" customFormat="1" ht="26.25" customHeight="1" x14ac:dyDescent="0.2">
      <c r="B473" s="340" t="str">
        <f t="array" ref="B473">IF(ISERROR(INDEX('Eingabe Meldungen'!$C$2:$C$492,LARGE(('Eingabe Meldungen'!$A$2:$A$492=$B$464)*(ROW('Eingabe Meldungen'!$A$2:$A$492)-1),COUNTIF('Eingabe Meldungen'!$A$2:$A$492,$B$464)+1-ROW('Eingabe Meldungen'!A8)))),"",INDEX('Eingabe Meldungen'!$C$2:$C$492,LARGE(('Eingabe Meldungen'!$A$2:$A$492=$B$464)*(ROW('Eingabe Meldungen'!$A$2:$A$492)-1),COUNTIF('Eingabe Meldungen'!$A$2:$A$492,$B$464)+1-ROW('Eingabe Meldungen'!A8))))</f>
        <v/>
      </c>
      <c r="C473" s="316" t="str">
        <f t="array" ref="C473">IF(ISERROR(INDEX('Eingabe Meldungen'!$D$2:$D$492,LARGE(('Eingabe Meldungen'!$A$2:$A$492=$B$464)*(ROW('Eingabe Meldungen'!$A$2:$A$492)-1),COUNTIF('Eingabe Meldungen'!$A$2:$A$492,$B$464)+1-ROW('Eingabe Meldungen'!A8)))),"",INDEX('Eingabe Meldungen'!$D$2:$D$492,LARGE(('Eingabe Meldungen'!$A$2:$A$492=$B$464)*(ROW('Eingabe Meldungen'!$A$2:$A$492)-1),COUNTIF('Eingabe Meldungen'!$A$2:$A$492,$B$464)+1-ROW('Eingabe Meldungen'!A8))))</f>
        <v/>
      </c>
      <c r="D473" s="341" t="str">
        <f t="array" ref="D473">IF(B473&lt;&gt;"",INDEX('Eingabe Meldungen'!$C$2:$H$492,MATCH(B473&amp;C473,'Eingabe Meldungen'!$C$2:$C$492&amp;'Eingabe Meldungen'!$D$2:$D$492,0),6),"")</f>
        <v/>
      </c>
      <c r="E473" s="382" t="str">
        <f t="array" ref="E473">IF(B473&lt;&gt;"",INDEX('Eingabe Meldungen'!$C$2:$H$492,MATCH(B473&amp;C473,'Eingabe Meldungen'!$C$2:$C$492&amp;'Eingabe Meldungen'!$D$2:$D$492,0),4),"")</f>
        <v/>
      </c>
      <c r="F473" s="353" t="e">
        <f>IF(VLOOKUP(B473,Rennlisten!$B$294:$H$295,6,FALSE)=0,"",VLOOKUP(B473,Rennlisten!$B$294:$H$295,6,FALSE))</f>
        <v>#N/A</v>
      </c>
      <c r="G473" s="333" t="e">
        <f t="shared" si="50"/>
        <v>#N/A</v>
      </c>
      <c r="H473" s="343" t="str">
        <f t="array" ref="H473">IF(B473&lt;&gt;"",INDEX('Eingabe Meldungen'!$C$2:$J$492,MATCH(B473&amp;C473,'Eingabe Meldungen'!$C$2:$C$492&amp;'Eingabe Meldungen'!$D$2:$D$492,0),8),"")</f>
        <v/>
      </c>
      <c r="J473" s="332"/>
      <c r="K473" s="332"/>
      <c r="L473" s="332"/>
      <c r="M473" s="332"/>
      <c r="N473" s="332"/>
      <c r="O473" s="332"/>
      <c r="P473" s="332"/>
      <c r="Q473" s="332"/>
      <c r="R473" s="332"/>
      <c r="S473" s="332"/>
      <c r="T473" s="332"/>
      <c r="U473" s="332"/>
      <c r="V473" s="332"/>
      <c r="W473" s="332"/>
      <c r="X473" s="332"/>
      <c r="Y473" s="332"/>
      <c r="Z473" s="332"/>
      <c r="AA473" s="332"/>
      <c r="AB473" s="332"/>
      <c r="AC473" s="332"/>
      <c r="AD473" s="332"/>
      <c r="AE473" s="332"/>
      <c r="AF473" s="332"/>
      <c r="AG473" s="332"/>
      <c r="AH473" s="332"/>
      <c r="AI473" s="332"/>
      <c r="AJ473" s="333"/>
      <c r="AK473" s="333"/>
      <c r="AL473" s="333"/>
      <c r="AM473" s="333"/>
    </row>
    <row r="474" spans="2:39" s="316" customFormat="1" ht="26.25" customHeight="1" x14ac:dyDescent="0.2">
      <c r="B474" s="340" t="str">
        <f t="array" ref="B474">IF(ISERROR(INDEX('Eingabe Meldungen'!$C$2:$C$492,LARGE(('Eingabe Meldungen'!$A$2:$A$492=$B$464)*(ROW('Eingabe Meldungen'!$A$2:$A$492)-1),COUNTIF('Eingabe Meldungen'!$A$2:$A$492,$B$464)+1-ROW('Eingabe Meldungen'!A9)))),"",INDEX('Eingabe Meldungen'!$C$2:$C$492,LARGE(('Eingabe Meldungen'!$A$2:$A$492=$B$464)*(ROW('Eingabe Meldungen'!$A$2:$A$492)-1),COUNTIF('Eingabe Meldungen'!$A$2:$A$492,$B$464)+1-ROW('Eingabe Meldungen'!A9))))</f>
        <v/>
      </c>
      <c r="C474" s="316" t="str">
        <f t="array" ref="C474">IF(ISERROR(INDEX('Eingabe Meldungen'!$D$2:$D$492,LARGE(('Eingabe Meldungen'!$A$2:$A$492=$B$464)*(ROW('Eingabe Meldungen'!$A$2:$A$492)-1),COUNTIF('Eingabe Meldungen'!$A$2:$A$492,$B$464)+1-ROW('Eingabe Meldungen'!A9)))),"",INDEX('Eingabe Meldungen'!$D$2:$D$492,LARGE(('Eingabe Meldungen'!$A$2:$A$492=$B$464)*(ROW('Eingabe Meldungen'!$A$2:$A$492)-1),COUNTIF('Eingabe Meldungen'!$A$2:$A$492,$B$464)+1-ROW('Eingabe Meldungen'!A9))))</f>
        <v/>
      </c>
      <c r="D474" s="341" t="str">
        <f t="array" ref="D474">IF(B474&lt;&gt;"",INDEX('Eingabe Meldungen'!$C$2:$H$492,MATCH(B474&amp;C474,'Eingabe Meldungen'!$C$2:$C$492&amp;'Eingabe Meldungen'!$D$2:$D$492,0),6),"")</f>
        <v/>
      </c>
      <c r="E474" s="382" t="str">
        <f t="array" ref="E474">IF(B474&lt;&gt;"",INDEX('Eingabe Meldungen'!$C$2:$H$492,MATCH(B474&amp;C474,'Eingabe Meldungen'!$C$2:$C$492&amp;'Eingabe Meldungen'!$D$2:$D$492,0),4),"")</f>
        <v/>
      </c>
      <c r="F474" s="353" t="e">
        <f>IF(VLOOKUP(B474,Rennlisten!$B$294:$H$295,6,FALSE)=0,"",VLOOKUP(B474,Rennlisten!$B$294:$H$295,6,FALSE))</f>
        <v>#N/A</v>
      </c>
      <c r="G474" s="333" t="e">
        <f t="shared" si="50"/>
        <v>#N/A</v>
      </c>
      <c r="H474" s="343" t="str">
        <f t="array" ref="H474">IF(B474&lt;&gt;"",INDEX('Eingabe Meldungen'!$C$2:$J$492,MATCH(B474&amp;C474,'Eingabe Meldungen'!$C$2:$C$492&amp;'Eingabe Meldungen'!$D$2:$D$492,0),8),"")</f>
        <v/>
      </c>
      <c r="J474" s="332"/>
      <c r="K474" s="332"/>
      <c r="L474" s="332"/>
      <c r="M474" s="332"/>
      <c r="N474" s="332"/>
      <c r="O474" s="332"/>
      <c r="P474" s="332"/>
      <c r="Q474" s="332"/>
      <c r="R474" s="332"/>
      <c r="S474" s="332"/>
      <c r="T474" s="332"/>
      <c r="U474" s="332"/>
      <c r="V474" s="332"/>
      <c r="W474" s="332"/>
      <c r="X474" s="332"/>
      <c r="Y474" s="332"/>
      <c r="Z474" s="332"/>
      <c r="AA474" s="332"/>
      <c r="AB474" s="332"/>
      <c r="AC474" s="332"/>
      <c r="AD474" s="332"/>
      <c r="AE474" s="332"/>
      <c r="AF474" s="332"/>
      <c r="AG474" s="332"/>
      <c r="AH474" s="332"/>
      <c r="AI474" s="332"/>
      <c r="AJ474" s="333"/>
      <c r="AK474" s="333"/>
      <c r="AL474" s="333"/>
      <c r="AM474" s="333"/>
    </row>
    <row r="475" spans="2:39" s="316" customFormat="1" ht="26.25" customHeight="1" x14ac:dyDescent="0.2">
      <c r="B475" s="340" t="str">
        <f t="array" ref="B475">IF(ISERROR(INDEX('Eingabe Meldungen'!$C$2:$C$492,LARGE(('Eingabe Meldungen'!$A$2:$A$492=$B$464)*(ROW('Eingabe Meldungen'!$A$2:$A$492)-1),COUNTIF('Eingabe Meldungen'!$A$2:$A$492,$B$464)+1-ROW('Eingabe Meldungen'!A10)))),"",INDEX('Eingabe Meldungen'!$C$2:$C$492,LARGE(('Eingabe Meldungen'!$A$2:$A$492=$B$464)*(ROW('Eingabe Meldungen'!$A$2:$A$492)-1),COUNTIF('Eingabe Meldungen'!$A$2:$A$492,$B$464)+1-ROW('Eingabe Meldungen'!A10))))</f>
        <v/>
      </c>
      <c r="C475" s="316" t="str">
        <f t="array" ref="C475">IF(ISERROR(INDEX('Eingabe Meldungen'!$D$2:$D$492,LARGE(('Eingabe Meldungen'!$A$2:$A$492=$B$464)*(ROW('Eingabe Meldungen'!$A$2:$A$492)-1),COUNTIF('Eingabe Meldungen'!$A$2:$A$492,$B$464)+1-ROW('Eingabe Meldungen'!A10)))),"",INDEX('Eingabe Meldungen'!$D$2:$D$492,LARGE(('Eingabe Meldungen'!$A$2:$A$492=$B$464)*(ROW('Eingabe Meldungen'!$A$2:$A$492)-1),COUNTIF('Eingabe Meldungen'!$A$2:$A$492,$B$464)+1-ROW('Eingabe Meldungen'!A10))))</f>
        <v/>
      </c>
      <c r="D475" s="341" t="str">
        <f t="array" ref="D475">IF(B475&lt;&gt;"",INDEX('Eingabe Meldungen'!$C$2:$H$492,MATCH(B475&amp;C475,'Eingabe Meldungen'!$C$2:$C$492&amp;'Eingabe Meldungen'!$D$2:$D$492,0),6),"")</f>
        <v/>
      </c>
      <c r="E475" s="382" t="str">
        <f t="array" ref="E475">IF(B475&lt;&gt;"",INDEX('Eingabe Meldungen'!$C$2:$H$492,MATCH(B475&amp;C475,'Eingabe Meldungen'!$C$2:$C$492&amp;'Eingabe Meldungen'!$D$2:$D$492,0),4),"")</f>
        <v/>
      </c>
      <c r="F475" s="353" t="e">
        <f>IF(VLOOKUP(B475,Rennlisten!$B$294:$H$295,6,FALSE)=0,"",VLOOKUP(B475,Rennlisten!$B$294:$H$295,6,FALSE))</f>
        <v>#N/A</v>
      </c>
      <c r="G475" s="333" t="e">
        <f t="shared" si="50"/>
        <v>#N/A</v>
      </c>
      <c r="H475" s="343" t="str">
        <f t="array" ref="H475">IF(B475&lt;&gt;"",INDEX('Eingabe Meldungen'!$C$2:$J$492,MATCH(B475&amp;C475,'Eingabe Meldungen'!$C$2:$C$492&amp;'Eingabe Meldungen'!$D$2:$D$492,0),8),"")</f>
        <v/>
      </c>
      <c r="J475" s="332"/>
      <c r="K475" s="332"/>
      <c r="L475" s="332"/>
      <c r="M475" s="332"/>
      <c r="N475" s="332"/>
      <c r="O475" s="332"/>
      <c r="P475" s="332"/>
      <c r="Q475" s="332"/>
      <c r="R475" s="332"/>
      <c r="S475" s="332"/>
      <c r="T475" s="332"/>
      <c r="U475" s="332"/>
      <c r="V475" s="332"/>
      <c r="W475" s="332"/>
      <c r="X475" s="332"/>
      <c r="Y475" s="332"/>
      <c r="Z475" s="332"/>
      <c r="AA475" s="332"/>
      <c r="AB475" s="332"/>
      <c r="AC475" s="332"/>
      <c r="AD475" s="332"/>
      <c r="AE475" s="332"/>
      <c r="AF475" s="332"/>
      <c r="AG475" s="332"/>
      <c r="AH475" s="332"/>
      <c r="AI475" s="332"/>
      <c r="AJ475" s="333"/>
      <c r="AK475" s="333"/>
      <c r="AL475" s="333"/>
      <c r="AM475" s="333"/>
    </row>
    <row r="476" spans="2:39" s="316" customFormat="1" ht="26.25" customHeight="1" x14ac:dyDescent="0.2">
      <c r="B476" s="340" t="str">
        <f t="array" ref="B476">IF(ISERROR(INDEX('Eingabe Meldungen'!$C$2:$C$492,LARGE(('Eingabe Meldungen'!$A$2:$A$492=$B$464)*(ROW('Eingabe Meldungen'!$A$2:$A$492)-1),COUNTIF('Eingabe Meldungen'!$A$2:$A$492,$B$464)+1-ROW('Eingabe Meldungen'!A11)))),"",INDEX('Eingabe Meldungen'!$C$2:$C$492,LARGE(('Eingabe Meldungen'!$A$2:$A$492=$B$464)*(ROW('Eingabe Meldungen'!$A$2:$A$492)-1),COUNTIF('Eingabe Meldungen'!$A$2:$A$492,$B$464)+1-ROW('Eingabe Meldungen'!A11))))</f>
        <v/>
      </c>
      <c r="C476" s="316" t="str">
        <f t="array" ref="C476">IF(ISERROR(INDEX('Eingabe Meldungen'!$D$2:$D$492,LARGE(('Eingabe Meldungen'!$A$2:$A$492=$B$464)*(ROW('Eingabe Meldungen'!$A$2:$A$492)-1),COUNTIF('Eingabe Meldungen'!$A$2:$A$492,$B$464)+1-ROW('Eingabe Meldungen'!A11)))),"",INDEX('Eingabe Meldungen'!$D$2:$D$492,LARGE(('Eingabe Meldungen'!$A$2:$A$492=$B$464)*(ROW('Eingabe Meldungen'!$A$2:$A$492)-1),COUNTIF('Eingabe Meldungen'!$A$2:$A$492,$B$464)+1-ROW('Eingabe Meldungen'!A11))))</f>
        <v/>
      </c>
      <c r="D476" s="341" t="str">
        <f t="array" ref="D476">IF(B476&lt;&gt;"",INDEX('Eingabe Meldungen'!$C$2:$H$492,MATCH(B476&amp;C476,'Eingabe Meldungen'!$C$2:$C$492&amp;'Eingabe Meldungen'!$D$2:$D$492,0),6),"")</f>
        <v/>
      </c>
      <c r="E476" s="382" t="str">
        <f t="array" ref="E476">IF(B476&lt;&gt;"",INDEX('Eingabe Meldungen'!$C$2:$H$492,MATCH(B476&amp;C476,'Eingabe Meldungen'!$C$2:$C$492&amp;'Eingabe Meldungen'!$D$2:$D$492,0),4),"")</f>
        <v/>
      </c>
      <c r="F476" s="353" t="e">
        <f>IF(VLOOKUP(B476,Rennlisten!$B$294:$H$295,6,FALSE)=0,"",VLOOKUP(B476,Rennlisten!$B$294:$H$295,6,FALSE))</f>
        <v>#N/A</v>
      </c>
      <c r="G476" s="333" t="e">
        <f t="shared" si="50"/>
        <v>#N/A</v>
      </c>
      <c r="H476" s="343" t="str">
        <f t="array" ref="H476">IF(B476&lt;&gt;"",INDEX('Eingabe Meldungen'!$C$2:$J$492,MATCH(B476&amp;C476,'Eingabe Meldungen'!$C$2:$C$492&amp;'Eingabe Meldungen'!$D$2:$D$492,0),8),"")</f>
        <v/>
      </c>
      <c r="J476" s="332"/>
      <c r="K476" s="332"/>
      <c r="L476" s="332"/>
      <c r="M476" s="332"/>
      <c r="N476" s="332"/>
      <c r="O476" s="332"/>
      <c r="P476" s="332"/>
      <c r="Q476" s="332"/>
      <c r="R476" s="332"/>
      <c r="S476" s="332"/>
      <c r="T476" s="332"/>
      <c r="U476" s="332"/>
      <c r="V476" s="332"/>
      <c r="W476" s="332"/>
      <c r="X476" s="332"/>
      <c r="Y476" s="332"/>
      <c r="Z476" s="332"/>
      <c r="AA476" s="332"/>
      <c r="AB476" s="332"/>
      <c r="AC476" s="332"/>
      <c r="AD476" s="332"/>
      <c r="AE476" s="332"/>
      <c r="AF476" s="332"/>
      <c r="AG476" s="332"/>
      <c r="AH476" s="332"/>
      <c r="AI476" s="332"/>
      <c r="AJ476" s="333"/>
      <c r="AK476" s="333"/>
      <c r="AL476" s="333"/>
      <c r="AM476" s="333"/>
    </row>
    <row r="477" spans="2:39" s="316" customFormat="1" ht="26.25" customHeight="1" x14ac:dyDescent="0.2">
      <c r="B477" s="340" t="str">
        <f t="array" ref="B477">IF(ISERROR(INDEX('Eingabe Meldungen'!$C$2:$C$492,LARGE(('Eingabe Meldungen'!$A$2:$A$492=$B$464)*(ROW('Eingabe Meldungen'!$A$2:$A$492)-1),COUNTIF('Eingabe Meldungen'!$A$2:$A$492,$B$464)+1-ROW('Eingabe Meldungen'!A12)))),"",INDEX('Eingabe Meldungen'!$C$2:$C$492,LARGE(('Eingabe Meldungen'!$A$2:$A$492=$B$464)*(ROW('Eingabe Meldungen'!$A$2:$A$492)-1),COUNTIF('Eingabe Meldungen'!$A$2:$A$492,$B$464)+1-ROW('Eingabe Meldungen'!A12))))</f>
        <v/>
      </c>
      <c r="C477" s="316" t="str">
        <f t="array" ref="C477">IF(ISERROR(INDEX('Eingabe Meldungen'!$D$2:$D$492,LARGE(('Eingabe Meldungen'!$A$2:$A$492=$B$464)*(ROW('Eingabe Meldungen'!$A$2:$A$492)-1),COUNTIF('Eingabe Meldungen'!$A$2:$A$492,$B$464)+1-ROW('Eingabe Meldungen'!A12)))),"",INDEX('Eingabe Meldungen'!$D$2:$D$492,LARGE(('Eingabe Meldungen'!$A$2:$A$492=$B$464)*(ROW('Eingabe Meldungen'!$A$2:$A$492)-1),COUNTIF('Eingabe Meldungen'!$A$2:$A$492,$B$464)+1-ROW('Eingabe Meldungen'!A12))))</f>
        <v/>
      </c>
      <c r="D477" s="341" t="str">
        <f t="array" ref="D477">IF(B477&lt;&gt;"",INDEX('Eingabe Meldungen'!$C$2:$H$492,MATCH(B477&amp;C477,'Eingabe Meldungen'!$C$2:$C$492&amp;'Eingabe Meldungen'!$D$2:$D$492,0),6),"")</f>
        <v/>
      </c>
      <c r="E477" s="382" t="str">
        <f t="array" ref="E477">IF(B477&lt;&gt;"",INDEX('Eingabe Meldungen'!$C$2:$H$492,MATCH(B477&amp;C477,'Eingabe Meldungen'!$C$2:$C$492&amp;'Eingabe Meldungen'!$D$2:$D$492,0),4),"")</f>
        <v/>
      </c>
      <c r="F477" s="353" t="e">
        <f>IF(VLOOKUP(B477,Rennlisten!$B$294:$H$295,6,FALSE)=0,"",VLOOKUP(B477,Rennlisten!$B$294:$H$295,6,FALSE))</f>
        <v>#N/A</v>
      </c>
      <c r="G477" s="333" t="e">
        <f t="shared" si="50"/>
        <v>#N/A</v>
      </c>
      <c r="H477" s="343" t="str">
        <f t="array" ref="H477">IF(B477&lt;&gt;"",INDEX('Eingabe Meldungen'!$C$2:$J$492,MATCH(B477&amp;C477,'Eingabe Meldungen'!$C$2:$C$492&amp;'Eingabe Meldungen'!$D$2:$D$492,0),8),"")</f>
        <v/>
      </c>
      <c r="J477" s="332"/>
      <c r="K477" s="332"/>
      <c r="L477" s="332"/>
      <c r="M477" s="332"/>
      <c r="N477" s="332"/>
      <c r="O477" s="332"/>
      <c r="P477" s="332"/>
      <c r="Q477" s="332"/>
      <c r="R477" s="332"/>
      <c r="S477" s="332"/>
      <c r="T477" s="332"/>
      <c r="U477" s="332"/>
      <c r="V477" s="332"/>
      <c r="W477" s="332"/>
      <c r="X477" s="332"/>
      <c r="Y477" s="332"/>
      <c r="Z477" s="332"/>
      <c r="AA477" s="332"/>
      <c r="AB477" s="332"/>
      <c r="AC477" s="332"/>
      <c r="AD477" s="332"/>
      <c r="AE477" s="332"/>
      <c r="AF477" s="332"/>
      <c r="AG477" s="332"/>
      <c r="AH477" s="332"/>
      <c r="AI477" s="332"/>
      <c r="AJ477" s="333"/>
      <c r="AK477" s="333"/>
      <c r="AL477" s="333"/>
      <c r="AM477" s="333"/>
    </row>
    <row r="478" spans="2:39" s="316" customFormat="1" ht="26.25" customHeight="1" x14ac:dyDescent="0.2">
      <c r="B478" s="340" t="str">
        <f t="array" ref="B478">IF(ISERROR(INDEX('Eingabe Meldungen'!$C$2:$C$492,LARGE(('Eingabe Meldungen'!$A$2:$A$492=$B$464)*(ROW('Eingabe Meldungen'!$A$2:$A$492)-1),COUNTIF('Eingabe Meldungen'!$A$2:$A$492,$B$464)+1-ROW('Eingabe Meldungen'!A13)))),"",INDEX('Eingabe Meldungen'!$C$2:$C$492,LARGE(('Eingabe Meldungen'!$A$2:$A$492=$B$464)*(ROW('Eingabe Meldungen'!$A$2:$A$492)-1),COUNTIF('Eingabe Meldungen'!$A$2:$A$492,$B$464)+1-ROW('Eingabe Meldungen'!A13))))</f>
        <v/>
      </c>
      <c r="C478" s="316" t="str">
        <f t="array" ref="C478">IF(ISERROR(INDEX('Eingabe Meldungen'!$D$2:$D$492,LARGE(('Eingabe Meldungen'!$A$2:$A$492=$B$464)*(ROW('Eingabe Meldungen'!$A$2:$A$492)-1),COUNTIF('Eingabe Meldungen'!$A$2:$A$492,$B$464)+1-ROW('Eingabe Meldungen'!A13)))),"",INDEX('Eingabe Meldungen'!$D$2:$D$492,LARGE(('Eingabe Meldungen'!$A$2:$A$492=$B$464)*(ROW('Eingabe Meldungen'!$A$2:$A$492)-1),COUNTIF('Eingabe Meldungen'!$A$2:$A$492,$B$464)+1-ROW('Eingabe Meldungen'!A13))))</f>
        <v/>
      </c>
      <c r="D478" s="341" t="str">
        <f t="array" ref="D478">IF(B478&lt;&gt;"",INDEX('Eingabe Meldungen'!$C$2:$H$492,MATCH(B478&amp;C478,'Eingabe Meldungen'!$C$2:$C$492&amp;'Eingabe Meldungen'!$D$2:$D$492,0),6),"")</f>
        <v/>
      </c>
      <c r="E478" s="382" t="str">
        <f t="array" ref="E478">IF(B478&lt;&gt;"",INDEX('Eingabe Meldungen'!$C$2:$H$492,MATCH(B478&amp;C478,'Eingabe Meldungen'!$C$2:$C$492&amp;'Eingabe Meldungen'!$D$2:$D$492,0),4),"")</f>
        <v/>
      </c>
      <c r="F478" s="353" t="e">
        <f>IF(VLOOKUP(B478,Rennlisten!$B$294:$H$295,6,FALSE)=0,"",VLOOKUP(B478,Rennlisten!$B$294:$H$295,6,FALSE))</f>
        <v>#N/A</v>
      </c>
      <c r="G478" s="333" t="e">
        <f t="shared" si="50"/>
        <v>#N/A</v>
      </c>
      <c r="H478" s="343" t="str">
        <f t="array" ref="H478">IF(B478&lt;&gt;"",INDEX('Eingabe Meldungen'!$C$2:$J$492,MATCH(B478&amp;C478,'Eingabe Meldungen'!$C$2:$C$492&amp;'Eingabe Meldungen'!$D$2:$D$492,0),8),"")</f>
        <v/>
      </c>
      <c r="J478" s="332"/>
      <c r="K478" s="332"/>
      <c r="L478" s="332"/>
      <c r="M478" s="332"/>
      <c r="N478" s="332"/>
      <c r="O478" s="332"/>
      <c r="P478" s="332"/>
      <c r="Q478" s="332"/>
      <c r="R478" s="332"/>
      <c r="S478" s="332"/>
      <c r="T478" s="332"/>
      <c r="U478" s="332"/>
      <c r="V478" s="332"/>
      <c r="W478" s="332"/>
      <c r="X478" s="332"/>
      <c r="Y478" s="332"/>
      <c r="Z478" s="332"/>
      <c r="AA478" s="332"/>
      <c r="AB478" s="332"/>
      <c r="AC478" s="332"/>
      <c r="AD478" s="332"/>
      <c r="AE478" s="332"/>
      <c r="AF478" s="332"/>
      <c r="AG478" s="332"/>
      <c r="AH478" s="332"/>
      <c r="AI478" s="332"/>
      <c r="AJ478" s="333"/>
      <c r="AK478" s="333"/>
      <c r="AL478" s="333"/>
      <c r="AM478" s="333"/>
    </row>
    <row r="479" spans="2:39" s="316" customFormat="1" ht="26.25" customHeight="1" x14ac:dyDescent="0.2">
      <c r="B479" s="340" t="str">
        <f t="array" ref="B479">IF(ISERROR(INDEX('Eingabe Meldungen'!$C$2:$C$492,LARGE(('Eingabe Meldungen'!$A$2:$A$492=$B$464)*(ROW('Eingabe Meldungen'!$A$2:$A$492)-1),COUNTIF('Eingabe Meldungen'!$A$2:$A$492,$B$464)+1-ROW('Eingabe Meldungen'!A14)))),"",INDEX('Eingabe Meldungen'!$C$2:$C$492,LARGE(('Eingabe Meldungen'!$A$2:$A$492=$B$464)*(ROW('Eingabe Meldungen'!$A$2:$A$492)-1),COUNTIF('Eingabe Meldungen'!$A$2:$A$492,$B$464)+1-ROW('Eingabe Meldungen'!A14))))</f>
        <v/>
      </c>
      <c r="C479" s="316" t="str">
        <f t="array" ref="C479">IF(ISERROR(INDEX('Eingabe Meldungen'!$D$2:$D$492,LARGE(('Eingabe Meldungen'!$A$2:$A$492=$B$464)*(ROW('Eingabe Meldungen'!$A$2:$A$492)-1),COUNTIF('Eingabe Meldungen'!$A$2:$A$492,$B$464)+1-ROW('Eingabe Meldungen'!A14)))),"",INDEX('Eingabe Meldungen'!$D$2:$D$492,LARGE(('Eingabe Meldungen'!$A$2:$A$492=$B$464)*(ROW('Eingabe Meldungen'!$A$2:$A$492)-1),COUNTIF('Eingabe Meldungen'!$A$2:$A$492,$B$464)+1-ROW('Eingabe Meldungen'!A14))))</f>
        <v/>
      </c>
      <c r="D479" s="341" t="str">
        <f t="array" ref="D479">IF(B479&lt;&gt;"",INDEX('Eingabe Meldungen'!$C$2:$H$492,MATCH(B479&amp;C479,'Eingabe Meldungen'!$C$2:$C$492&amp;'Eingabe Meldungen'!$D$2:$D$492,0),6),"")</f>
        <v/>
      </c>
      <c r="E479" s="382" t="str">
        <f t="array" ref="E479">IF(B479&lt;&gt;"",INDEX('Eingabe Meldungen'!$C$2:$H$492,MATCH(B479&amp;C479,'Eingabe Meldungen'!$C$2:$C$492&amp;'Eingabe Meldungen'!$D$2:$D$492,0),4),"")</f>
        <v/>
      </c>
      <c r="F479" s="353" t="e">
        <f>IF(VLOOKUP(B479,Rennlisten!$B$294:$H$295,6,FALSE)=0,"",VLOOKUP(B479,Rennlisten!$B$294:$H$295,6,FALSE))</f>
        <v>#N/A</v>
      </c>
      <c r="G479" s="333" t="e">
        <f t="shared" si="50"/>
        <v>#N/A</v>
      </c>
      <c r="H479" s="343" t="str">
        <f t="array" ref="H479">IF(B479&lt;&gt;"",INDEX('Eingabe Meldungen'!$C$2:$J$492,MATCH(B479&amp;C479,'Eingabe Meldungen'!$C$2:$C$492&amp;'Eingabe Meldungen'!$D$2:$D$492,0),8),"")</f>
        <v/>
      </c>
      <c r="J479" s="332"/>
      <c r="K479" s="332"/>
      <c r="L479" s="332"/>
      <c r="M479" s="332"/>
      <c r="N479" s="332"/>
      <c r="O479" s="332"/>
      <c r="P479" s="332"/>
      <c r="Q479" s="332"/>
      <c r="R479" s="332"/>
      <c r="S479" s="332"/>
      <c r="T479" s="332"/>
      <c r="U479" s="332"/>
      <c r="V479" s="332"/>
      <c r="W479" s="332"/>
      <c r="X479" s="332"/>
      <c r="Y479" s="332"/>
      <c r="Z479" s="332"/>
      <c r="AA479" s="332"/>
      <c r="AB479" s="332"/>
      <c r="AC479" s="332"/>
      <c r="AD479" s="332"/>
      <c r="AE479" s="332"/>
      <c r="AF479" s="332"/>
      <c r="AG479" s="332"/>
      <c r="AH479" s="332"/>
      <c r="AI479" s="332"/>
      <c r="AJ479" s="333"/>
      <c r="AK479" s="333"/>
      <c r="AL479" s="333"/>
      <c r="AM479" s="333"/>
    </row>
    <row r="480" spans="2:39" s="316" customFormat="1" ht="26.25" customHeight="1" x14ac:dyDescent="0.2">
      <c r="B480" s="340" t="str">
        <f t="array" ref="B480">IF(ISERROR(INDEX('Eingabe Meldungen'!$C$2:$C$492,LARGE(('Eingabe Meldungen'!$A$2:$A$492=$B$464)*(ROW('Eingabe Meldungen'!$A$2:$A$492)-1),COUNTIF('Eingabe Meldungen'!$A$2:$A$492,$B$464)+1-ROW('Eingabe Meldungen'!A15)))),"",INDEX('Eingabe Meldungen'!$C$2:$C$492,LARGE(('Eingabe Meldungen'!$A$2:$A$492=$B$464)*(ROW('Eingabe Meldungen'!$A$2:$A$492)-1),COUNTIF('Eingabe Meldungen'!$A$2:$A$492,$B$464)+1-ROW('Eingabe Meldungen'!A15))))</f>
        <v/>
      </c>
      <c r="C480" s="316" t="str">
        <f t="array" ref="C480">IF(ISERROR(INDEX('Eingabe Meldungen'!$D$2:$D$492,LARGE(('Eingabe Meldungen'!$A$2:$A$492=$B$464)*(ROW('Eingabe Meldungen'!$A$2:$A$492)-1),COUNTIF('Eingabe Meldungen'!$A$2:$A$492,$B$464)+1-ROW('Eingabe Meldungen'!A15)))),"",INDEX('Eingabe Meldungen'!$D$2:$D$492,LARGE(('Eingabe Meldungen'!$A$2:$A$492=$B$464)*(ROW('Eingabe Meldungen'!$A$2:$A$492)-1),COUNTIF('Eingabe Meldungen'!$A$2:$A$492,$B$464)+1-ROW('Eingabe Meldungen'!A15))))</f>
        <v/>
      </c>
      <c r="D480" s="341" t="str">
        <f t="array" ref="D480">IF(B480&lt;&gt;"",INDEX('Eingabe Meldungen'!$C$2:$H$492,MATCH(B480&amp;C480,'Eingabe Meldungen'!$C$2:$C$492&amp;'Eingabe Meldungen'!$D$2:$D$492,0),6),"")</f>
        <v/>
      </c>
      <c r="E480" s="382" t="str">
        <f t="array" ref="E480">IF(B480&lt;&gt;"",INDEX('Eingabe Meldungen'!$C$2:$H$492,MATCH(B480&amp;C480,'Eingabe Meldungen'!$C$2:$C$492&amp;'Eingabe Meldungen'!$D$2:$D$492,0),4),"")</f>
        <v/>
      </c>
      <c r="F480" s="353" t="e">
        <f>IF(VLOOKUP(B480,Rennlisten!$B$294:$H$295,6,FALSE)=0,"",VLOOKUP(B480,Rennlisten!$B$294:$H$295,6,FALSE))</f>
        <v>#N/A</v>
      </c>
      <c r="G480" s="333" t="e">
        <f t="shared" ref="G480" si="51">RANK(F480,$F$466:$F$481,1)</f>
        <v>#N/A</v>
      </c>
      <c r="H480" s="343" t="str">
        <f t="array" ref="H480">IF(B480&lt;&gt;"",INDEX('Eingabe Meldungen'!$C$2:$J$492,MATCH(B480&amp;C480,'Eingabe Meldungen'!$C$2:$C$492&amp;'Eingabe Meldungen'!$D$2:$D$492,0),8),"")</f>
        <v/>
      </c>
      <c r="J480" s="332"/>
      <c r="K480" s="332"/>
      <c r="L480" s="332"/>
      <c r="M480" s="332"/>
      <c r="N480" s="332"/>
      <c r="O480" s="332"/>
      <c r="P480" s="332"/>
      <c r="Q480" s="332"/>
      <c r="R480" s="332"/>
      <c r="S480" s="332"/>
      <c r="T480" s="332"/>
      <c r="U480" s="332"/>
      <c r="V480" s="332"/>
      <c r="W480" s="332"/>
      <c r="X480" s="332"/>
      <c r="Y480" s="332"/>
      <c r="Z480" s="332"/>
      <c r="AA480" s="332"/>
      <c r="AB480" s="332"/>
      <c r="AC480" s="332"/>
      <c r="AD480" s="332"/>
      <c r="AE480" s="332"/>
      <c r="AF480" s="332"/>
      <c r="AG480" s="332"/>
      <c r="AH480" s="332"/>
      <c r="AI480" s="332"/>
      <c r="AJ480" s="333"/>
      <c r="AK480" s="333"/>
      <c r="AL480" s="333"/>
      <c r="AM480" s="333"/>
    </row>
    <row r="481" spans="2:39" s="316" customFormat="1" ht="26.25" customHeight="1" thickBot="1" x14ac:dyDescent="0.25">
      <c r="B481" s="344" t="str">
        <f t="array" ref="B481">IF(ISERROR(INDEX('Eingabe Meldungen'!$C$2:$C$492,LARGE(('Eingabe Meldungen'!$A$2:$A$492=$B$464)*(ROW('Eingabe Meldungen'!$A$2:$A$492)-1),COUNTIF('Eingabe Meldungen'!$A$2:$A$492,$B$464)+1-ROW('Eingabe Meldungen'!A17)))),"",INDEX('Eingabe Meldungen'!$C$2:$C$492,LARGE(('Eingabe Meldungen'!$A$2:$A$492=$B$464)*(ROW('Eingabe Meldungen'!$A$2:$A$492)-1),COUNTIF('Eingabe Meldungen'!$A$2:$A$492,$B$464)+1-ROW('Eingabe Meldungen'!A17))))</f>
        <v/>
      </c>
      <c r="C481" s="345" t="str">
        <f t="array" ref="C481">IF(ISERROR(INDEX('Eingabe Meldungen'!$D$2:$D$492,LARGE(('Eingabe Meldungen'!$A$2:$A$492=$B$464)*(ROW('Eingabe Meldungen'!$A$2:$A$492)-1),COUNTIF('Eingabe Meldungen'!$A$2:$A$492,$B$464)+1-ROW('Eingabe Meldungen'!A17)))),"",INDEX('Eingabe Meldungen'!$D$2:$D$492,LARGE(('Eingabe Meldungen'!$A$2:$A$492=$B$464)*(ROW('Eingabe Meldungen'!$A$2:$A$492)-1),COUNTIF('Eingabe Meldungen'!$A$2:$A$492,$B$464)+1-ROW('Eingabe Meldungen'!A17))))</f>
        <v/>
      </c>
      <c r="D481" s="346" t="str">
        <f t="array" ref="D481">IF(B481&lt;&gt;"",INDEX('Eingabe Meldungen'!$C$2:$H$492,MATCH(B481&amp;C481,'Eingabe Meldungen'!$C$2:$C$492&amp;'Eingabe Meldungen'!$D$2:$D$492,0),6),"")</f>
        <v/>
      </c>
      <c r="E481" s="383" t="str">
        <f t="array" ref="E481">IF(B481&lt;&gt;"",INDEX('Eingabe Meldungen'!$C$2:$H$492,MATCH(B481&amp;C481,'Eingabe Meldungen'!$C$2:$C$492&amp;'Eingabe Meldungen'!$D$2:$D$492,0),4),"")</f>
        <v/>
      </c>
      <c r="F481" s="354" t="e">
        <f>IF(VLOOKUP(B481,Rennlisten!$B$294:$H$295,6,FALSE)=0,"",VLOOKUP(B481,Rennlisten!$B$294:$H$295,6,FALSE))</f>
        <v>#N/A</v>
      </c>
      <c r="G481" s="348" t="e">
        <f t="shared" ref="G481" si="52">RANK(F481,$F$466:$F$481,1)</f>
        <v>#N/A</v>
      </c>
      <c r="H481" s="349" t="str">
        <f t="array" ref="H481">IF(B481&lt;&gt;"",INDEX('Eingabe Meldungen'!$C$2:$J$492,MATCH(B481&amp;C481,'Eingabe Meldungen'!$C$2:$C$492&amp;'Eingabe Meldungen'!$D$2:$D$492,0),8),"")</f>
        <v/>
      </c>
      <c r="J481" s="332"/>
      <c r="K481" s="332"/>
      <c r="L481" s="332"/>
      <c r="M481" s="332"/>
      <c r="N481" s="332"/>
      <c r="O481" s="332"/>
      <c r="P481" s="332"/>
      <c r="Q481" s="332"/>
      <c r="R481" s="332"/>
      <c r="S481" s="332"/>
      <c r="T481" s="332"/>
      <c r="U481" s="332"/>
      <c r="V481" s="332"/>
      <c r="W481" s="332"/>
      <c r="X481" s="332"/>
      <c r="Y481" s="332"/>
      <c r="Z481" s="332"/>
      <c r="AA481" s="332"/>
      <c r="AB481" s="332"/>
      <c r="AC481" s="332"/>
      <c r="AD481" s="332"/>
      <c r="AE481" s="332"/>
      <c r="AF481" s="332"/>
      <c r="AG481" s="332"/>
      <c r="AH481" s="332"/>
      <c r="AI481" s="332"/>
      <c r="AJ481" s="333"/>
      <c r="AK481" s="333"/>
      <c r="AL481" s="333"/>
      <c r="AM481" s="333"/>
    </row>
    <row r="482" spans="2:39" s="316" customFormat="1" ht="26.25" customHeight="1" thickBot="1" x14ac:dyDescent="0.25">
      <c r="E482" s="352"/>
      <c r="F482" s="333"/>
      <c r="G482" s="333"/>
      <c r="J482" s="333"/>
      <c r="K482" s="333"/>
      <c r="L482" s="333"/>
      <c r="M482" s="333"/>
      <c r="N482" s="333"/>
      <c r="O482" s="333"/>
      <c r="P482" s="333"/>
      <c r="Q482" s="333"/>
      <c r="R482" s="333"/>
      <c r="S482" s="333"/>
      <c r="T482" s="333"/>
      <c r="U482" s="333"/>
      <c r="V482" s="333"/>
      <c r="W482" s="333"/>
      <c r="X482" s="333"/>
      <c r="Y482" s="333"/>
      <c r="Z482" s="333"/>
      <c r="AA482" s="333"/>
      <c r="AB482" s="333"/>
      <c r="AC482" s="333"/>
      <c r="AD482" s="333"/>
      <c r="AE482" s="333"/>
      <c r="AF482" s="333"/>
      <c r="AG482" s="333"/>
      <c r="AH482" s="333"/>
      <c r="AI482" s="333"/>
      <c r="AJ482" s="333"/>
      <c r="AK482" s="333"/>
      <c r="AL482" s="333"/>
      <c r="AM482" s="333"/>
    </row>
    <row r="483" spans="2:39" s="316" customFormat="1" ht="26.25" customHeight="1" x14ac:dyDescent="0.2">
      <c r="B483" s="326">
        <f>B464+1</f>
        <v>20</v>
      </c>
      <c r="C483" s="327" t="str">
        <f>VLOOKUP(B483,Ausschreibung!$B$5:$I$35,2,FALSE)</f>
        <v>Ergocup</v>
      </c>
      <c r="D483" s="328">
        <f>VLOOKUP(B483,Ausschreibung!$B$5:$I$35,3,FALSE)</f>
        <v>0.63124999999999987</v>
      </c>
      <c r="E483" s="327" t="str">
        <f>VLOOKUP(B483,Ausschreibung!$B$5:$I$35,4,FALSE)</f>
        <v>Junioren A U19</v>
      </c>
      <c r="F483" s="329" t="str">
        <f>VLOOKUP(B483,Ausschreibung!$B$5:$I$35,5,FALSE)</f>
        <v>-</v>
      </c>
      <c r="G483" s="330" t="str">
        <f>VLOOKUP(B483,Ausschreibung!$B$5:$I$35,6,FALSE)</f>
        <v>17-18</v>
      </c>
      <c r="H483" s="331" t="str">
        <f>VLOOKUP(B483,Ausschreibung!$B$5:$I$35,8,FALSE)</f>
        <v>2000 m</v>
      </c>
      <c r="J483" s="332"/>
      <c r="K483" s="332"/>
      <c r="L483" s="332"/>
      <c r="M483" s="332"/>
      <c r="N483" s="332"/>
      <c r="O483" s="332"/>
      <c r="P483" s="332"/>
      <c r="Q483" s="332"/>
      <c r="R483" s="332"/>
      <c r="S483" s="332"/>
      <c r="T483" s="332"/>
      <c r="U483" s="332"/>
      <c r="V483" s="332"/>
      <c r="W483" s="332"/>
      <c r="X483" s="332"/>
      <c r="Y483" s="332"/>
      <c r="Z483" s="332"/>
      <c r="AA483" s="332"/>
      <c r="AB483" s="332"/>
      <c r="AC483" s="332"/>
      <c r="AD483" s="332"/>
      <c r="AE483" s="332"/>
      <c r="AF483" s="332"/>
      <c r="AG483" s="332"/>
      <c r="AH483" s="332"/>
      <c r="AI483" s="332"/>
      <c r="AJ483" s="333"/>
      <c r="AK483" s="333"/>
      <c r="AL483" s="333"/>
      <c r="AM483" s="333"/>
    </row>
    <row r="484" spans="2:39" s="316" customFormat="1" ht="26.25" customHeight="1" x14ac:dyDescent="0.2">
      <c r="B484" s="334" t="s">
        <v>1</v>
      </c>
      <c r="C484" s="335" t="s">
        <v>2</v>
      </c>
      <c r="D484" s="336" t="s">
        <v>49</v>
      </c>
      <c r="E484" s="381" t="s">
        <v>16</v>
      </c>
      <c r="F484" s="337" t="s">
        <v>50</v>
      </c>
      <c r="G484" s="338" t="s">
        <v>51</v>
      </c>
      <c r="H484" s="339" t="s">
        <v>17</v>
      </c>
      <c r="J484" s="332"/>
      <c r="K484" s="332"/>
      <c r="L484" s="332"/>
      <c r="M484" s="332"/>
      <c r="N484" s="332"/>
      <c r="O484" s="332"/>
      <c r="P484" s="332"/>
      <c r="Q484" s="332"/>
      <c r="R484" s="332"/>
      <c r="S484" s="332"/>
      <c r="T484" s="332"/>
      <c r="U484" s="332"/>
      <c r="V484" s="332"/>
      <c r="W484" s="332"/>
      <c r="X484" s="332"/>
      <c r="Y484" s="332"/>
      <c r="Z484" s="332"/>
      <c r="AA484" s="332"/>
      <c r="AB484" s="332"/>
      <c r="AC484" s="332"/>
      <c r="AD484" s="332"/>
      <c r="AE484" s="332"/>
      <c r="AF484" s="332"/>
      <c r="AG484" s="332"/>
      <c r="AH484" s="332"/>
      <c r="AI484" s="332"/>
      <c r="AJ484" s="333"/>
      <c r="AK484" s="333"/>
      <c r="AL484" s="333"/>
      <c r="AM484" s="333"/>
    </row>
    <row r="485" spans="2:39" s="316" customFormat="1" ht="26.25" customHeight="1" x14ac:dyDescent="0.2">
      <c r="B485" s="340" t="str">
        <f t="array" ref="B485">IF(ISERROR(INDEX('Eingabe Meldungen'!$C$2:$C$492,LARGE(('Eingabe Meldungen'!$A$2:$A$492=$B$483)*(ROW('Eingabe Meldungen'!$A$2:$A$492)-1),COUNTIF('Eingabe Meldungen'!$A$2:$A$492,$B$483)+1-ROW('Eingabe Meldungen'!A1)))),"",INDEX('Eingabe Meldungen'!$C$2:$C$492,LARGE(('Eingabe Meldungen'!$A$2:$A$492=$B$483)*(ROW('Eingabe Meldungen'!$A$2:$A$492)-1),COUNTIF('Eingabe Meldungen'!$A$2:$A$492,$B$483)+1-ROW('Eingabe Meldungen'!A1))))</f>
        <v>Bachmann</v>
      </c>
      <c r="C485" s="316" t="str">
        <f t="array" ref="C485">IF(ISERROR(INDEX('Eingabe Meldungen'!$D$2:$D$492,LARGE(('Eingabe Meldungen'!$A$2:$A$492=$B$483)*(ROW('Eingabe Meldungen'!$A$2:$A$492)-1),COUNTIF('Eingabe Meldungen'!$A$2:$A$492,$B$483)+1-ROW('Eingabe Meldungen'!A1)))),"",INDEX('Eingabe Meldungen'!$D$2:$D$492,LARGE(('Eingabe Meldungen'!$A$2:$A$492=$B$483)*(ROW('Eingabe Meldungen'!$A$2:$A$492)-1),COUNTIF('Eingabe Meldungen'!$A$2:$A$492,$B$483)+1-ROW('Eingabe Meldungen'!A1))))</f>
        <v>Julius</v>
      </c>
      <c r="D485" s="341">
        <f t="array" ref="D485">IF(B485&lt;&gt;"",INDEX('Eingabe Meldungen'!$C$2:$H$492,MATCH(B485&amp;C485,'Eingabe Meldungen'!$C$2:$C$492&amp;'Eingabe Meldungen'!$D$2:$D$492,0),6),"")</f>
        <v>2002</v>
      </c>
      <c r="E485" s="382" t="str">
        <f t="array" ref="E485">IF(B485&lt;&gt;"",INDEX('Eingabe Meldungen'!$C$2:$H$492,MATCH(B485&amp;C485,'Eingabe Meldungen'!$C$2:$C$492&amp;'Eingabe Meldungen'!$D$2:$D$492,0),4),"")</f>
        <v>-</v>
      </c>
      <c r="F485" s="353" t="s">
        <v>635</v>
      </c>
      <c r="G485" s="333">
        <v>3</v>
      </c>
      <c r="H485" s="343" t="str">
        <f t="array" ref="H485">IF(B485&lt;&gt;"",INDEX('Eingabe Meldungen'!$C$2:$J$492,MATCH(B485&amp;C485,'Eingabe Meldungen'!$C$2:$C$492&amp;'Eingabe Meldungen'!$D$2:$D$492,0),8),"")</f>
        <v>HRG Schwaben</v>
      </c>
      <c r="J485" s="332"/>
      <c r="K485" s="332"/>
      <c r="L485" s="332"/>
      <c r="M485" s="332"/>
      <c r="N485" s="332"/>
      <c r="O485" s="332"/>
      <c r="P485" s="332"/>
      <c r="Q485" s="332">
        <v>3</v>
      </c>
      <c r="R485" s="332"/>
      <c r="S485" s="332"/>
      <c r="T485" s="332"/>
      <c r="U485" s="332"/>
      <c r="V485" s="332"/>
      <c r="W485" s="332"/>
      <c r="X485" s="332"/>
      <c r="Y485" s="332"/>
      <c r="Z485" s="332"/>
      <c r="AA485" s="332"/>
      <c r="AB485" s="332"/>
      <c r="AC485" s="332"/>
      <c r="AD485" s="332"/>
      <c r="AE485" s="332"/>
      <c r="AF485" s="332"/>
      <c r="AG485" s="332"/>
      <c r="AH485" s="332"/>
      <c r="AI485" s="332"/>
      <c r="AJ485" s="333"/>
      <c r="AK485" s="333"/>
      <c r="AL485" s="333"/>
      <c r="AM485" s="333"/>
    </row>
    <row r="486" spans="2:39" s="316" customFormat="1" ht="26.25" customHeight="1" x14ac:dyDescent="0.2">
      <c r="B486" s="340" t="str">
        <f t="array" ref="B486">IF(ISERROR(INDEX('Eingabe Meldungen'!$C$2:$C$492,LARGE(('Eingabe Meldungen'!$A$2:$A$492=$B$483)*(ROW('Eingabe Meldungen'!$A$2:$A$492)-1),COUNTIF('Eingabe Meldungen'!$A$2:$A$492,$B$483)+1-ROW('Eingabe Meldungen'!A2)))),"",INDEX('Eingabe Meldungen'!$C$2:$C$492,LARGE(('Eingabe Meldungen'!$A$2:$A$492=$B$483)*(ROW('Eingabe Meldungen'!$A$2:$A$492)-1),COUNTIF('Eingabe Meldungen'!$A$2:$A$492,$B$483)+1-ROW('Eingabe Meldungen'!A2))))</f>
        <v>Hamzaoui</v>
      </c>
      <c r="C486" s="316" t="str">
        <f t="array" ref="C486">IF(ISERROR(INDEX('Eingabe Meldungen'!$D$2:$D$492,LARGE(('Eingabe Meldungen'!$A$2:$A$492=$B$483)*(ROW('Eingabe Meldungen'!$A$2:$A$492)-1),COUNTIF('Eingabe Meldungen'!$A$2:$A$492,$B$483)+1-ROW('Eingabe Meldungen'!A2)))),"",INDEX('Eingabe Meldungen'!$D$2:$D$492,LARGE(('Eingabe Meldungen'!$A$2:$A$492=$B$483)*(ROW('Eingabe Meldungen'!$A$2:$A$492)-1),COUNTIF('Eingabe Meldungen'!$A$2:$A$492,$B$483)+1-ROW('Eingabe Meldungen'!A2))))</f>
        <v>Latif</v>
      </c>
      <c r="D486" s="341">
        <f t="array" ref="D486">IF(B486&lt;&gt;"",INDEX('Eingabe Meldungen'!$C$2:$H$492,MATCH(B486&amp;C486,'Eingabe Meldungen'!$C$2:$C$492&amp;'Eingabe Meldungen'!$D$2:$D$492,0),6),"")</f>
        <v>2003</v>
      </c>
      <c r="E486" s="382" t="str">
        <f t="array" ref="E486">IF(B486&lt;&gt;"",INDEX('Eingabe Meldungen'!$C$2:$H$492,MATCH(B486&amp;C486,'Eingabe Meldungen'!$C$2:$C$492&amp;'Eingabe Meldungen'!$D$2:$D$492,0),4),"")</f>
        <v>-</v>
      </c>
      <c r="F486" s="353" t="s">
        <v>636</v>
      </c>
      <c r="G486" s="333">
        <v>4</v>
      </c>
      <c r="H486" s="343" t="str">
        <f t="array" ref="H486">IF(B486&lt;&gt;"",INDEX('Eingabe Meldungen'!$C$2:$J$492,MATCH(B486&amp;C486,'Eingabe Meldungen'!$C$2:$C$492&amp;'Eingabe Meldungen'!$D$2:$D$492,0),8),"")</f>
        <v>RG Eberbach</v>
      </c>
      <c r="J486" s="332"/>
      <c r="K486" s="332"/>
      <c r="L486" s="332"/>
      <c r="M486" s="332"/>
      <c r="N486" s="332"/>
      <c r="O486" s="332"/>
      <c r="P486" s="332"/>
      <c r="Q486" s="332"/>
      <c r="R486" s="332"/>
      <c r="S486" s="332"/>
      <c r="T486" s="332"/>
      <c r="U486" s="332">
        <v>2</v>
      </c>
      <c r="V486" s="332"/>
      <c r="W486" s="332"/>
      <c r="X486" s="332"/>
      <c r="Y486" s="332"/>
      <c r="Z486" s="332"/>
      <c r="AA486" s="332"/>
      <c r="AB486" s="332"/>
      <c r="AC486" s="332"/>
      <c r="AD486" s="332"/>
      <c r="AE486" s="332"/>
      <c r="AF486" s="332"/>
      <c r="AG486" s="332"/>
      <c r="AH486" s="332"/>
      <c r="AI486" s="332"/>
      <c r="AJ486" s="333"/>
      <c r="AK486" s="333"/>
      <c r="AL486" s="333"/>
      <c r="AM486" s="333"/>
    </row>
    <row r="487" spans="2:39" s="316" customFormat="1" ht="26.25" customHeight="1" x14ac:dyDescent="0.2">
      <c r="B487" s="340" t="str">
        <f t="array" ref="B487">IF(ISERROR(INDEX('Eingabe Meldungen'!$C$2:$C$492,LARGE(('Eingabe Meldungen'!$A$2:$A$492=$B$483)*(ROW('Eingabe Meldungen'!$A$2:$A$492)-1),COUNTIF('Eingabe Meldungen'!$A$2:$A$492,$B$483)+1-ROW('Eingabe Meldungen'!A3)))),"",INDEX('Eingabe Meldungen'!$C$2:$C$492,LARGE(('Eingabe Meldungen'!$A$2:$A$492=$B$483)*(ROW('Eingabe Meldungen'!$A$2:$A$492)-1),COUNTIF('Eingabe Meldungen'!$A$2:$A$492,$B$483)+1-ROW('Eingabe Meldungen'!A3))))</f>
        <v>Spandel</v>
      </c>
      <c r="C487" s="316" t="str">
        <f t="array" ref="C487">IF(ISERROR(INDEX('Eingabe Meldungen'!$D$2:$D$492,LARGE(('Eingabe Meldungen'!$A$2:$A$492=$B$483)*(ROW('Eingabe Meldungen'!$A$2:$A$492)-1),COUNTIF('Eingabe Meldungen'!$A$2:$A$492,$B$483)+1-ROW('Eingabe Meldungen'!A3)))),"",INDEX('Eingabe Meldungen'!$D$2:$D$492,LARGE(('Eingabe Meldungen'!$A$2:$A$492=$B$483)*(ROW('Eingabe Meldungen'!$A$2:$A$492)-1),COUNTIF('Eingabe Meldungen'!$A$2:$A$492,$B$483)+1-ROW('Eingabe Meldungen'!A3))))</f>
        <v>Maximilian</v>
      </c>
      <c r="D487" s="341">
        <f t="array" ref="D487">IF(B487&lt;&gt;"",INDEX('Eingabe Meldungen'!$C$2:$H$492,MATCH(B487&amp;C487,'Eingabe Meldungen'!$C$2:$C$492&amp;'Eingabe Meldungen'!$D$2:$D$492,0),6),"")</f>
        <v>2003</v>
      </c>
      <c r="E487" s="382" t="str">
        <f t="array" ref="E487">IF(B487&lt;&gt;"",INDEX('Eingabe Meldungen'!$C$2:$H$492,MATCH(B487&amp;C487,'Eingabe Meldungen'!$C$2:$C$492&amp;'Eingabe Meldungen'!$D$2:$D$492,0),4),"")</f>
        <v>-</v>
      </c>
      <c r="F487" s="353" t="s">
        <v>639</v>
      </c>
      <c r="G487" s="333">
        <v>7</v>
      </c>
      <c r="H487" s="343" t="str">
        <f t="array" ref="H487">IF(B487&lt;&gt;"",INDEX('Eingabe Meldungen'!$C$2:$J$492,MATCH(B487&amp;C487,'Eingabe Meldungen'!$C$2:$C$492&amp;'Eingabe Meldungen'!$D$2:$D$492,0),8),"")</f>
        <v>Marbacher Ruderverein</v>
      </c>
      <c r="J487" s="332"/>
      <c r="K487" s="332"/>
      <c r="L487" s="332"/>
      <c r="M487" s="332"/>
      <c r="N487" s="332"/>
      <c r="O487" s="332"/>
      <c r="P487" s="332"/>
      <c r="Q487" s="332"/>
      <c r="R487" s="332"/>
      <c r="S487" s="332"/>
      <c r="T487" s="332"/>
      <c r="U487" s="332"/>
      <c r="V487" s="332"/>
      <c r="W487" s="332"/>
      <c r="X487" s="332"/>
      <c r="Y487" s="332"/>
      <c r="Z487" s="332"/>
      <c r="AA487" s="332"/>
      <c r="AB487" s="332"/>
      <c r="AC487" s="332"/>
      <c r="AD487" s="332"/>
      <c r="AE487" s="332"/>
      <c r="AF487" s="332"/>
      <c r="AG487" s="332"/>
      <c r="AH487" s="332"/>
      <c r="AI487" s="332"/>
      <c r="AJ487" s="333"/>
      <c r="AK487" s="333"/>
      <c r="AL487" s="333"/>
      <c r="AM487" s="333"/>
    </row>
    <row r="488" spans="2:39" s="316" customFormat="1" ht="26.25" customHeight="1" x14ac:dyDescent="0.2">
      <c r="B488" s="340" t="str">
        <f t="array" ref="B488">IF(ISERROR(INDEX('Eingabe Meldungen'!$C$2:$C$492,LARGE(('Eingabe Meldungen'!$A$2:$A$492=$B$483)*(ROW('Eingabe Meldungen'!$A$2:$A$492)-1),COUNTIF('Eingabe Meldungen'!$A$2:$A$492,$B$483)+1-ROW('Eingabe Meldungen'!A4)))),"",INDEX('Eingabe Meldungen'!$C$2:$C$492,LARGE(('Eingabe Meldungen'!$A$2:$A$492=$B$483)*(ROW('Eingabe Meldungen'!$A$2:$A$492)-1),COUNTIF('Eingabe Meldungen'!$A$2:$A$492,$B$483)+1-ROW('Eingabe Meldungen'!A4))))</f>
        <v>Walter</v>
      </c>
      <c r="C488" s="316" t="str">
        <f t="array" ref="C488">IF(ISERROR(INDEX('Eingabe Meldungen'!$D$2:$D$492,LARGE(('Eingabe Meldungen'!$A$2:$A$492=$B$483)*(ROW('Eingabe Meldungen'!$A$2:$A$492)-1),COUNTIF('Eingabe Meldungen'!$A$2:$A$492,$B$483)+1-ROW('Eingabe Meldungen'!A4)))),"",INDEX('Eingabe Meldungen'!$D$2:$D$492,LARGE(('Eingabe Meldungen'!$A$2:$A$492=$B$483)*(ROW('Eingabe Meldungen'!$A$2:$A$492)-1),COUNTIF('Eingabe Meldungen'!$A$2:$A$492,$B$483)+1-ROW('Eingabe Meldungen'!A4))))</f>
        <v>Miron</v>
      </c>
      <c r="D488" s="341">
        <f t="array" ref="D488">IF(B488&lt;&gt;"",INDEX('Eingabe Meldungen'!$C$2:$H$492,MATCH(B488&amp;C488,'Eingabe Meldungen'!$C$2:$C$492&amp;'Eingabe Meldungen'!$D$2:$D$492,0),6),"")</f>
        <v>2003</v>
      </c>
      <c r="E488" s="382" t="str">
        <f t="array" ref="E488">IF(B488&lt;&gt;"",INDEX('Eingabe Meldungen'!$C$2:$H$492,MATCH(B488&amp;C488,'Eingabe Meldungen'!$C$2:$C$492&amp;'Eingabe Meldungen'!$D$2:$D$492,0),4),"")</f>
        <v>-</v>
      </c>
      <c r="F488" s="353" t="s">
        <v>637</v>
      </c>
      <c r="G488" s="333">
        <v>5</v>
      </c>
      <c r="H488" s="343" t="str">
        <f t="array" ref="H488">IF(B488&lt;&gt;"",INDEX('Eingabe Meldungen'!$C$2:$J$492,MATCH(B488&amp;C488,'Eingabe Meldungen'!$C$2:$C$492&amp;'Eingabe Meldungen'!$D$2:$D$492,0),8),"")</f>
        <v>RG Eberbach</v>
      </c>
      <c r="J488" s="332"/>
      <c r="K488" s="332"/>
      <c r="L488" s="332"/>
      <c r="M488" s="332"/>
      <c r="N488" s="332"/>
      <c r="O488" s="332"/>
      <c r="P488" s="332"/>
      <c r="Q488" s="332"/>
      <c r="R488" s="332"/>
      <c r="S488" s="332"/>
      <c r="T488" s="332"/>
      <c r="U488" s="332">
        <v>1</v>
      </c>
      <c r="V488" s="332"/>
      <c r="W488" s="332"/>
      <c r="X488" s="332"/>
      <c r="Y488" s="332"/>
      <c r="Z488" s="332"/>
      <c r="AA488" s="332"/>
      <c r="AB488" s="332"/>
      <c r="AC488" s="332"/>
      <c r="AD488" s="332"/>
      <c r="AE488" s="332"/>
      <c r="AF488" s="332"/>
      <c r="AG488" s="332"/>
      <c r="AH488" s="332"/>
      <c r="AI488" s="332"/>
      <c r="AJ488" s="333"/>
      <c r="AK488" s="333"/>
      <c r="AL488" s="333"/>
      <c r="AM488" s="333"/>
    </row>
    <row r="489" spans="2:39" s="316" customFormat="1" ht="26.25" customHeight="1" x14ac:dyDescent="0.2">
      <c r="B489" s="340" t="str">
        <f t="array" ref="B489">IF(ISERROR(INDEX('Eingabe Meldungen'!$C$2:$C$492,LARGE(('Eingabe Meldungen'!$A$2:$A$492=$B$483)*(ROW('Eingabe Meldungen'!$A$2:$A$492)-1),COUNTIF('Eingabe Meldungen'!$A$2:$A$492,$B$483)+1-ROW('Eingabe Meldungen'!A5)))),"",INDEX('Eingabe Meldungen'!$C$2:$C$492,LARGE(('Eingabe Meldungen'!$A$2:$A$492=$B$483)*(ROW('Eingabe Meldungen'!$A$2:$A$492)-1),COUNTIF('Eingabe Meldungen'!$A$2:$A$492,$B$483)+1-ROW('Eingabe Meldungen'!A5))))</f>
        <v>Tafelmaier</v>
      </c>
      <c r="C489" s="316" t="str">
        <f t="array" ref="C489">IF(ISERROR(INDEX('Eingabe Meldungen'!$D$2:$D$492,LARGE(('Eingabe Meldungen'!$A$2:$A$492=$B$483)*(ROW('Eingabe Meldungen'!$A$2:$A$492)-1),COUNTIF('Eingabe Meldungen'!$A$2:$A$492,$B$483)+1-ROW('Eingabe Meldungen'!A5)))),"",INDEX('Eingabe Meldungen'!$D$2:$D$492,LARGE(('Eingabe Meldungen'!$A$2:$A$492=$B$483)*(ROW('Eingabe Meldungen'!$A$2:$A$492)-1),COUNTIF('Eingabe Meldungen'!$A$2:$A$492,$B$483)+1-ROW('Eingabe Meldungen'!A5))))</f>
        <v>Moritz</v>
      </c>
      <c r="D489" s="341">
        <f t="array" ref="D489">IF(B489&lt;&gt;"",INDEX('Eingabe Meldungen'!$C$2:$H$492,MATCH(B489&amp;C489,'Eingabe Meldungen'!$C$2:$C$492&amp;'Eingabe Meldungen'!$D$2:$D$492,0),6),"")</f>
        <v>2003</v>
      </c>
      <c r="E489" s="382" t="str">
        <f t="array" ref="E489">IF(B489&lt;&gt;"",INDEX('Eingabe Meldungen'!$C$2:$H$492,MATCH(B489&amp;C489,'Eingabe Meldungen'!$C$2:$C$492&amp;'Eingabe Meldungen'!$D$2:$D$492,0),4),"")</f>
        <v>-</v>
      </c>
      <c r="F489" s="353" t="s">
        <v>634</v>
      </c>
      <c r="G489" s="333">
        <v>2</v>
      </c>
      <c r="H489" s="343" t="str">
        <f t="array" ref="H489">IF(B489&lt;&gt;"",INDEX('Eingabe Meldungen'!$C$2:$J$492,MATCH(B489&amp;C489,'Eingabe Meldungen'!$C$2:$C$492&amp;'Eingabe Meldungen'!$D$2:$D$492,0),8),"")</f>
        <v>Marbacher Ruderverein</v>
      </c>
      <c r="J489" s="332"/>
      <c r="K489" s="332"/>
      <c r="L489" s="332"/>
      <c r="M489" s="332"/>
      <c r="N489" s="332"/>
      <c r="O489" s="332">
        <v>5</v>
      </c>
      <c r="P489" s="332"/>
      <c r="Q489" s="332"/>
      <c r="R489" s="332"/>
      <c r="S489" s="332"/>
      <c r="T489" s="332"/>
      <c r="U489" s="332"/>
      <c r="V489" s="332"/>
      <c r="W489" s="332"/>
      <c r="X489" s="332"/>
      <c r="Y489" s="332"/>
      <c r="Z489" s="332"/>
      <c r="AA489" s="332"/>
      <c r="AB489" s="332"/>
      <c r="AC489" s="332"/>
      <c r="AD489" s="332"/>
      <c r="AE489" s="332"/>
      <c r="AF489" s="332"/>
      <c r="AG489" s="332"/>
      <c r="AH489" s="332"/>
      <c r="AI489" s="332"/>
      <c r="AJ489" s="333"/>
      <c r="AK489" s="333"/>
      <c r="AL489" s="333"/>
      <c r="AM489" s="333"/>
    </row>
    <row r="490" spans="2:39" s="316" customFormat="1" ht="26.25" customHeight="1" x14ac:dyDescent="0.2">
      <c r="B490" s="340" t="str">
        <f t="array" ref="B490">IF(ISERROR(INDEX('Eingabe Meldungen'!$C$2:$C$492,LARGE(('Eingabe Meldungen'!$A$2:$A$492=$B$483)*(ROW('Eingabe Meldungen'!$A$2:$A$492)-1),COUNTIF('Eingabe Meldungen'!$A$2:$A$492,$B$483)+1-ROW('Eingabe Meldungen'!A6)))),"",INDEX('Eingabe Meldungen'!$C$2:$C$492,LARGE(('Eingabe Meldungen'!$A$2:$A$492=$B$483)*(ROW('Eingabe Meldungen'!$A$2:$A$492)-1),COUNTIF('Eingabe Meldungen'!$A$2:$A$492,$B$483)+1-ROW('Eingabe Meldungen'!A6))))</f>
        <v>Keefer</v>
      </c>
      <c r="C490" s="316" t="str">
        <f t="array" ref="C490">IF(ISERROR(INDEX('Eingabe Meldungen'!$D$2:$D$492,LARGE(('Eingabe Meldungen'!$A$2:$A$492=$B$483)*(ROW('Eingabe Meldungen'!$A$2:$A$492)-1),COUNTIF('Eingabe Meldungen'!$A$2:$A$492,$B$483)+1-ROW('Eingabe Meldungen'!A6)))),"",INDEX('Eingabe Meldungen'!$D$2:$D$492,LARGE(('Eingabe Meldungen'!$A$2:$A$492=$B$483)*(ROW('Eingabe Meldungen'!$A$2:$A$492)-1),COUNTIF('Eingabe Meldungen'!$A$2:$A$492,$B$483)+1-ROW('Eingabe Meldungen'!A6))))</f>
        <v>Nicolai</v>
      </c>
      <c r="D490" s="341">
        <f t="array" ref="D490">IF(B490&lt;&gt;"",INDEX('Eingabe Meldungen'!$C$2:$H$492,MATCH(B490&amp;C490,'Eingabe Meldungen'!$C$2:$C$492&amp;'Eingabe Meldungen'!$D$2:$D$492,0),6),"")</f>
        <v>2003</v>
      </c>
      <c r="E490" s="382" t="str">
        <f t="array" ref="E490">IF(B490&lt;&gt;"",INDEX('Eingabe Meldungen'!$C$2:$H$492,MATCH(B490&amp;C490,'Eingabe Meldungen'!$C$2:$C$492&amp;'Eingabe Meldungen'!$D$2:$D$492,0),4),"")</f>
        <v>-</v>
      </c>
      <c r="F490" s="353" t="s">
        <v>638</v>
      </c>
      <c r="G490" s="333">
        <v>6</v>
      </c>
      <c r="H490" s="343" t="str">
        <f t="array" ref="H490">IF(B490&lt;&gt;"",INDEX('Eingabe Meldungen'!$C$2:$J$492,MATCH(B490&amp;C490,'Eingabe Meldungen'!$C$2:$C$492&amp;'Eingabe Meldungen'!$D$2:$D$492,0),8),"")</f>
        <v>Marbacher Ruderverein</v>
      </c>
      <c r="J490" s="332"/>
      <c r="K490" s="332"/>
      <c r="L490" s="332"/>
      <c r="M490" s="332"/>
      <c r="N490" s="332"/>
      <c r="O490" s="332"/>
      <c r="P490" s="332"/>
      <c r="Q490" s="332"/>
      <c r="R490" s="332"/>
      <c r="S490" s="332"/>
      <c r="T490" s="332"/>
      <c r="U490" s="332"/>
      <c r="V490" s="332"/>
      <c r="W490" s="332"/>
      <c r="X490" s="332"/>
      <c r="Y490" s="332"/>
      <c r="Z490" s="332"/>
      <c r="AA490" s="332"/>
      <c r="AB490" s="332"/>
      <c r="AC490" s="332"/>
      <c r="AD490" s="332"/>
      <c r="AE490" s="332"/>
      <c r="AF490" s="332"/>
      <c r="AG490" s="332"/>
      <c r="AH490" s="332"/>
      <c r="AI490" s="332"/>
      <c r="AJ490" s="333"/>
      <c r="AK490" s="333"/>
      <c r="AL490" s="333"/>
      <c r="AM490" s="333"/>
    </row>
    <row r="491" spans="2:39" s="316" customFormat="1" ht="26.25" customHeight="1" x14ac:dyDescent="0.2">
      <c r="B491" s="340" t="str">
        <f t="array" ref="B491">IF(ISERROR(INDEX('Eingabe Meldungen'!$C$2:$C$492,LARGE(('Eingabe Meldungen'!$A$2:$A$492=$B$483)*(ROW('Eingabe Meldungen'!$A$2:$A$492)-1),COUNTIF('Eingabe Meldungen'!$A$2:$A$492,$B$483)+1-ROW('Eingabe Meldungen'!A7)))),"",INDEX('Eingabe Meldungen'!$C$2:$C$492,LARGE(('Eingabe Meldungen'!$A$2:$A$492=$B$483)*(ROW('Eingabe Meldungen'!$A$2:$A$492)-1),COUNTIF('Eingabe Meldungen'!$A$2:$A$492,$B$483)+1-ROW('Eingabe Meldungen'!A7))))</f>
        <v>Burkert</v>
      </c>
      <c r="C491" s="316" t="str">
        <f t="array" ref="C491">IF(ISERROR(INDEX('Eingabe Meldungen'!$D$2:$D$492,LARGE(('Eingabe Meldungen'!$A$2:$A$492=$B$483)*(ROW('Eingabe Meldungen'!$A$2:$A$492)-1),COUNTIF('Eingabe Meldungen'!$A$2:$A$492,$B$483)+1-ROW('Eingabe Meldungen'!A7)))),"",INDEX('Eingabe Meldungen'!$D$2:$D$492,LARGE(('Eingabe Meldungen'!$A$2:$A$492=$B$483)*(ROW('Eingabe Meldungen'!$A$2:$A$492)-1),COUNTIF('Eingabe Meldungen'!$A$2:$A$492,$B$483)+1-ROW('Eingabe Meldungen'!A7))))</f>
        <v>Niklas</v>
      </c>
      <c r="D491" s="341">
        <f t="array" ref="D491">IF(B491&lt;&gt;"",INDEX('Eingabe Meldungen'!$C$2:$H$492,MATCH(B491&amp;C491,'Eingabe Meldungen'!$C$2:$C$492&amp;'Eingabe Meldungen'!$D$2:$D$492,0),6),"")</f>
        <v>2003</v>
      </c>
      <c r="E491" s="382" t="str">
        <f t="array" ref="E491">IF(B491&lt;&gt;"",INDEX('Eingabe Meldungen'!$C$2:$H$492,MATCH(B491&amp;C491,'Eingabe Meldungen'!$C$2:$C$492&amp;'Eingabe Meldungen'!$D$2:$D$492,0),4),"")</f>
        <v>-</v>
      </c>
      <c r="F491" s="353" t="s">
        <v>633</v>
      </c>
      <c r="G491" s="333">
        <v>1</v>
      </c>
      <c r="H491" s="343" t="str">
        <f t="array" ref="H491">IF(B491&lt;&gt;"",INDEX('Eingabe Meldungen'!$C$2:$J$492,MATCH(B491&amp;C491,'Eingabe Meldungen'!$C$2:$C$492&amp;'Eingabe Meldungen'!$D$2:$D$492,0),8),"")</f>
        <v>Marbacher Ruderverein</v>
      </c>
      <c r="J491" s="332"/>
      <c r="K491" s="332"/>
      <c r="L491" s="332"/>
      <c r="M491" s="332"/>
      <c r="N491" s="332"/>
      <c r="O491" s="332">
        <v>7</v>
      </c>
      <c r="P491" s="332"/>
      <c r="Q491" s="332"/>
      <c r="R491" s="332"/>
      <c r="S491" s="332"/>
      <c r="T491" s="332"/>
      <c r="U491" s="332"/>
      <c r="V491" s="332"/>
      <c r="W491" s="332"/>
      <c r="X491" s="332"/>
      <c r="Y491" s="332"/>
      <c r="Z491" s="332"/>
      <c r="AA491" s="332"/>
      <c r="AB491" s="332"/>
      <c r="AC491" s="332"/>
      <c r="AD491" s="332"/>
      <c r="AE491" s="332"/>
      <c r="AF491" s="332"/>
      <c r="AG491" s="332"/>
      <c r="AH491" s="332"/>
      <c r="AI491" s="332"/>
      <c r="AJ491" s="333"/>
      <c r="AK491" s="333"/>
      <c r="AL491" s="333"/>
      <c r="AM491" s="333"/>
    </row>
    <row r="492" spans="2:39" s="316" customFormat="1" ht="26.25" customHeight="1" x14ac:dyDescent="0.2">
      <c r="B492" s="340" t="str">
        <f t="array" ref="B492">IF(ISERROR(INDEX('Eingabe Meldungen'!$C$2:$C$492,LARGE(('Eingabe Meldungen'!$A$2:$A$492=$B$483)*(ROW('Eingabe Meldungen'!$A$2:$A$492)-1),COUNTIF('Eingabe Meldungen'!$A$2:$A$492,$B$483)+1-ROW('Eingabe Meldungen'!A8)))),"",INDEX('Eingabe Meldungen'!$C$2:$C$492,LARGE(('Eingabe Meldungen'!$A$2:$A$492=$B$483)*(ROW('Eingabe Meldungen'!$A$2:$A$492)-1),COUNTIF('Eingabe Meldungen'!$A$2:$A$492,$B$483)+1-ROW('Eingabe Meldungen'!A8))))</f>
        <v/>
      </c>
      <c r="C492" s="316" t="str">
        <f t="array" ref="C492">IF(ISERROR(INDEX('Eingabe Meldungen'!$D$2:$D$492,LARGE(('Eingabe Meldungen'!$A$2:$A$492=$B$483)*(ROW('Eingabe Meldungen'!$A$2:$A$492)-1),COUNTIF('Eingabe Meldungen'!$A$2:$A$492,$B$483)+1-ROW('Eingabe Meldungen'!A8)))),"",INDEX('Eingabe Meldungen'!$D$2:$D$492,LARGE(('Eingabe Meldungen'!$A$2:$A$492=$B$483)*(ROW('Eingabe Meldungen'!$A$2:$A$492)-1),COUNTIF('Eingabe Meldungen'!$A$2:$A$492,$B$483)+1-ROW('Eingabe Meldungen'!A8))))</f>
        <v/>
      </c>
      <c r="D492" s="341" t="str">
        <f t="array" ref="D492">IF(B492&lt;&gt;"",INDEX('Eingabe Meldungen'!$C$2:$H$492,MATCH(B492&amp;C492,'Eingabe Meldungen'!$C$2:$C$492&amp;'Eingabe Meldungen'!$D$2:$D$492,0),6),"")</f>
        <v/>
      </c>
      <c r="E492" s="382" t="str">
        <f t="array" ref="E492">IF(B492&lt;&gt;"",INDEX('Eingabe Meldungen'!$C$2:$H$492,MATCH(B492&amp;C492,'Eingabe Meldungen'!$C$2:$C$492&amp;'Eingabe Meldungen'!$D$2:$D$492,0),4),"")</f>
        <v/>
      </c>
      <c r="F492" s="353" t="str">
        <f>IF(VLOOKUP(B492,Rennlisten!$B$299:$H$306,6,FALSE)=0,"",VLOOKUP(B492,Rennlisten!$B$299:$H$306,6,FALSE))</f>
        <v/>
      </c>
      <c r="G492" s="333" t="e">
        <f t="shared" ref="G492:G497" si="53">RANK(F492,$F$485:$F$500,1)</f>
        <v>#VALUE!</v>
      </c>
      <c r="H492" s="343" t="str">
        <f t="array" ref="H492">IF(B492&lt;&gt;"",INDEX('Eingabe Meldungen'!$C$2:$J$492,MATCH(B492&amp;C492,'Eingabe Meldungen'!$C$2:$C$492&amp;'Eingabe Meldungen'!$D$2:$D$492,0),8),"")</f>
        <v/>
      </c>
      <c r="J492" s="332"/>
      <c r="K492" s="332"/>
      <c r="L492" s="332"/>
      <c r="M492" s="332"/>
      <c r="N492" s="332"/>
      <c r="O492" s="332"/>
      <c r="P492" s="332"/>
      <c r="Q492" s="332"/>
      <c r="R492" s="332"/>
      <c r="S492" s="332"/>
      <c r="T492" s="332"/>
      <c r="U492" s="332"/>
      <c r="V492" s="332"/>
      <c r="W492" s="332"/>
      <c r="X492" s="332"/>
      <c r="Y492" s="332"/>
      <c r="Z492" s="332"/>
      <c r="AA492" s="332"/>
      <c r="AB492" s="332"/>
      <c r="AC492" s="332"/>
      <c r="AD492" s="332"/>
      <c r="AE492" s="332"/>
      <c r="AF492" s="332"/>
      <c r="AG492" s="332"/>
      <c r="AH492" s="332"/>
      <c r="AI492" s="332"/>
      <c r="AJ492" s="333"/>
      <c r="AK492" s="333"/>
      <c r="AL492" s="333"/>
      <c r="AM492" s="333"/>
    </row>
    <row r="493" spans="2:39" s="316" customFormat="1" ht="26.25" customHeight="1" x14ac:dyDescent="0.2">
      <c r="B493" s="340" t="str">
        <f t="array" ref="B493">IF(ISERROR(INDEX('Eingabe Meldungen'!$C$2:$C$492,LARGE(('Eingabe Meldungen'!$A$2:$A$492=$B$483)*(ROW('Eingabe Meldungen'!$A$2:$A$492)-1),COUNTIF('Eingabe Meldungen'!$A$2:$A$492,$B$483)+1-ROW('Eingabe Meldungen'!A9)))),"",INDEX('Eingabe Meldungen'!$C$2:$C$492,LARGE(('Eingabe Meldungen'!$A$2:$A$492=$B$483)*(ROW('Eingabe Meldungen'!$A$2:$A$492)-1),COUNTIF('Eingabe Meldungen'!$A$2:$A$492,$B$483)+1-ROW('Eingabe Meldungen'!A9))))</f>
        <v/>
      </c>
      <c r="C493" s="316" t="str">
        <f t="array" ref="C493">IF(ISERROR(INDEX('Eingabe Meldungen'!$D$2:$D$492,LARGE(('Eingabe Meldungen'!$A$2:$A$492=$B$483)*(ROW('Eingabe Meldungen'!$A$2:$A$492)-1),COUNTIF('Eingabe Meldungen'!$A$2:$A$492,$B$483)+1-ROW('Eingabe Meldungen'!A9)))),"",INDEX('Eingabe Meldungen'!$D$2:$D$492,LARGE(('Eingabe Meldungen'!$A$2:$A$492=$B$483)*(ROW('Eingabe Meldungen'!$A$2:$A$492)-1),COUNTIF('Eingabe Meldungen'!$A$2:$A$492,$B$483)+1-ROW('Eingabe Meldungen'!A9))))</f>
        <v/>
      </c>
      <c r="D493" s="341" t="str">
        <f t="array" ref="D493">IF(B493&lt;&gt;"",INDEX('Eingabe Meldungen'!$C$2:$H$492,MATCH(B493&amp;C493,'Eingabe Meldungen'!$C$2:$C$492&amp;'Eingabe Meldungen'!$D$2:$D$492,0),6),"")</f>
        <v/>
      </c>
      <c r="E493" s="382" t="str">
        <f t="array" ref="E493">IF(B493&lt;&gt;"",INDEX('Eingabe Meldungen'!$C$2:$H$492,MATCH(B493&amp;C493,'Eingabe Meldungen'!$C$2:$C$492&amp;'Eingabe Meldungen'!$D$2:$D$492,0),4),"")</f>
        <v/>
      </c>
      <c r="F493" s="353" t="str">
        <f>IF(VLOOKUP(B493,Rennlisten!$B$299:$H$306,6,FALSE)=0,"",VLOOKUP(B493,Rennlisten!$B$299:$H$306,6,FALSE))</f>
        <v/>
      </c>
      <c r="G493" s="333" t="e">
        <f t="shared" si="53"/>
        <v>#VALUE!</v>
      </c>
      <c r="H493" s="343" t="str">
        <f t="array" ref="H493">IF(B493&lt;&gt;"",INDEX('Eingabe Meldungen'!$C$2:$J$492,MATCH(B493&amp;C493,'Eingabe Meldungen'!$C$2:$C$492&amp;'Eingabe Meldungen'!$D$2:$D$492,0),8),"")</f>
        <v/>
      </c>
      <c r="J493" s="332"/>
      <c r="K493" s="332"/>
      <c r="L493" s="332"/>
      <c r="M493" s="332"/>
      <c r="N493" s="332"/>
      <c r="O493" s="332"/>
      <c r="P493" s="332"/>
      <c r="Q493" s="332"/>
      <c r="R493" s="332"/>
      <c r="S493" s="332"/>
      <c r="T493" s="332"/>
      <c r="U493" s="332"/>
      <c r="V493" s="332"/>
      <c r="W493" s="332"/>
      <c r="X493" s="332"/>
      <c r="Y493" s="332"/>
      <c r="Z493" s="332"/>
      <c r="AA493" s="332"/>
      <c r="AB493" s="332"/>
      <c r="AC493" s="332"/>
      <c r="AD493" s="332"/>
      <c r="AE493" s="332"/>
      <c r="AF493" s="332"/>
      <c r="AG493" s="332"/>
      <c r="AH493" s="332"/>
      <c r="AI493" s="332"/>
      <c r="AJ493" s="333"/>
      <c r="AK493" s="333"/>
      <c r="AL493" s="333"/>
      <c r="AM493" s="333"/>
    </row>
    <row r="494" spans="2:39" s="316" customFormat="1" ht="26.25" customHeight="1" x14ac:dyDescent="0.2">
      <c r="B494" s="340" t="str">
        <f t="array" ref="B494">IF(ISERROR(INDEX('Eingabe Meldungen'!$C$2:$C$492,LARGE(('Eingabe Meldungen'!$A$2:$A$492=$B$483)*(ROW('Eingabe Meldungen'!$A$2:$A$492)-1),COUNTIF('Eingabe Meldungen'!$A$2:$A$492,$B$483)+1-ROW('Eingabe Meldungen'!A10)))),"",INDEX('Eingabe Meldungen'!$C$2:$C$492,LARGE(('Eingabe Meldungen'!$A$2:$A$492=$B$483)*(ROW('Eingabe Meldungen'!$A$2:$A$492)-1),COUNTIF('Eingabe Meldungen'!$A$2:$A$492,$B$483)+1-ROW('Eingabe Meldungen'!A10))))</f>
        <v/>
      </c>
      <c r="C494" s="316" t="str">
        <f t="array" ref="C494">IF(ISERROR(INDEX('Eingabe Meldungen'!$D$2:$D$492,LARGE(('Eingabe Meldungen'!$A$2:$A$492=$B$483)*(ROW('Eingabe Meldungen'!$A$2:$A$492)-1),COUNTIF('Eingabe Meldungen'!$A$2:$A$492,$B$483)+1-ROW('Eingabe Meldungen'!A10)))),"",INDEX('Eingabe Meldungen'!$D$2:$D$492,LARGE(('Eingabe Meldungen'!$A$2:$A$492=$B$483)*(ROW('Eingabe Meldungen'!$A$2:$A$492)-1),COUNTIF('Eingabe Meldungen'!$A$2:$A$492,$B$483)+1-ROW('Eingabe Meldungen'!A10))))</f>
        <v/>
      </c>
      <c r="D494" s="341" t="str">
        <f t="array" ref="D494">IF(B494&lt;&gt;"",INDEX('Eingabe Meldungen'!$C$2:$H$492,MATCH(B494&amp;C494,'Eingabe Meldungen'!$C$2:$C$492&amp;'Eingabe Meldungen'!$D$2:$D$492,0),6),"")</f>
        <v/>
      </c>
      <c r="E494" s="382" t="str">
        <f t="array" ref="E494">IF(B494&lt;&gt;"",INDEX('Eingabe Meldungen'!$C$2:$H$492,MATCH(B494&amp;C494,'Eingabe Meldungen'!$C$2:$C$492&amp;'Eingabe Meldungen'!$D$2:$D$492,0),4),"")</f>
        <v/>
      </c>
      <c r="F494" s="353" t="str">
        <f>IF(VLOOKUP(B494,Rennlisten!$B$299:$H$306,6,FALSE)=0,"",VLOOKUP(B494,Rennlisten!$B$299:$H$306,6,FALSE))</f>
        <v/>
      </c>
      <c r="G494" s="333" t="e">
        <f t="shared" si="53"/>
        <v>#VALUE!</v>
      </c>
      <c r="H494" s="343" t="str">
        <f t="array" ref="H494">IF(B494&lt;&gt;"",INDEX('Eingabe Meldungen'!$C$2:$J$492,MATCH(B494&amp;C494,'Eingabe Meldungen'!$C$2:$C$492&amp;'Eingabe Meldungen'!$D$2:$D$492,0),8),"")</f>
        <v/>
      </c>
      <c r="J494" s="332"/>
      <c r="K494" s="332"/>
      <c r="L494" s="332"/>
      <c r="M494" s="332"/>
      <c r="N494" s="332"/>
      <c r="O494" s="332"/>
      <c r="P494" s="332"/>
      <c r="Q494" s="332"/>
      <c r="R494" s="332"/>
      <c r="S494" s="332"/>
      <c r="T494" s="332"/>
      <c r="U494" s="332"/>
      <c r="V494" s="332"/>
      <c r="W494" s="332"/>
      <c r="X494" s="332"/>
      <c r="Y494" s="332"/>
      <c r="Z494" s="332"/>
      <c r="AA494" s="332"/>
      <c r="AB494" s="332"/>
      <c r="AC494" s="332"/>
      <c r="AD494" s="332"/>
      <c r="AE494" s="332"/>
      <c r="AF494" s="332"/>
      <c r="AG494" s="332"/>
      <c r="AH494" s="332"/>
      <c r="AI494" s="332"/>
      <c r="AJ494" s="333"/>
      <c r="AK494" s="333"/>
      <c r="AL494" s="333"/>
      <c r="AM494" s="333"/>
    </row>
    <row r="495" spans="2:39" s="316" customFormat="1" ht="26.25" customHeight="1" x14ac:dyDescent="0.2">
      <c r="B495" s="340" t="str">
        <f t="array" ref="B495">IF(ISERROR(INDEX('Eingabe Meldungen'!$C$2:$C$492,LARGE(('Eingabe Meldungen'!$A$2:$A$492=$B$483)*(ROW('Eingabe Meldungen'!$A$2:$A$492)-1),COUNTIF('Eingabe Meldungen'!$A$2:$A$492,$B$483)+1-ROW('Eingabe Meldungen'!A11)))),"",INDEX('Eingabe Meldungen'!$C$2:$C$492,LARGE(('Eingabe Meldungen'!$A$2:$A$492=$B$483)*(ROW('Eingabe Meldungen'!$A$2:$A$492)-1),COUNTIF('Eingabe Meldungen'!$A$2:$A$492,$B$483)+1-ROW('Eingabe Meldungen'!A11))))</f>
        <v/>
      </c>
      <c r="C495" s="316" t="str">
        <f t="array" ref="C495">IF(ISERROR(INDEX('Eingabe Meldungen'!$D$2:$D$492,LARGE(('Eingabe Meldungen'!$A$2:$A$492=$B$483)*(ROW('Eingabe Meldungen'!$A$2:$A$492)-1),COUNTIF('Eingabe Meldungen'!$A$2:$A$492,$B$483)+1-ROW('Eingabe Meldungen'!A11)))),"",INDEX('Eingabe Meldungen'!$D$2:$D$492,LARGE(('Eingabe Meldungen'!$A$2:$A$492=$B$483)*(ROW('Eingabe Meldungen'!$A$2:$A$492)-1),COUNTIF('Eingabe Meldungen'!$A$2:$A$492,$B$483)+1-ROW('Eingabe Meldungen'!A11))))</f>
        <v/>
      </c>
      <c r="D495" s="341" t="str">
        <f t="array" ref="D495">IF(B495&lt;&gt;"",INDEX('Eingabe Meldungen'!$C$2:$H$492,MATCH(B495&amp;C495,'Eingabe Meldungen'!$C$2:$C$492&amp;'Eingabe Meldungen'!$D$2:$D$492,0),6),"")</f>
        <v/>
      </c>
      <c r="E495" s="382" t="str">
        <f t="array" ref="E495">IF(B495&lt;&gt;"",INDEX('Eingabe Meldungen'!$C$2:$H$492,MATCH(B495&amp;C495,'Eingabe Meldungen'!$C$2:$C$492&amp;'Eingabe Meldungen'!$D$2:$D$492,0),4),"")</f>
        <v/>
      </c>
      <c r="F495" s="353" t="str">
        <f>IF(VLOOKUP(B495,Rennlisten!$B$299:$H$306,6,FALSE)=0,"",VLOOKUP(B495,Rennlisten!$B$299:$H$306,6,FALSE))</f>
        <v/>
      </c>
      <c r="G495" s="333" t="e">
        <f t="shared" si="53"/>
        <v>#VALUE!</v>
      </c>
      <c r="H495" s="343" t="str">
        <f t="array" ref="H495">IF(B495&lt;&gt;"",INDEX('Eingabe Meldungen'!$C$2:$J$492,MATCH(B495&amp;C495,'Eingabe Meldungen'!$C$2:$C$492&amp;'Eingabe Meldungen'!$D$2:$D$492,0),8),"")</f>
        <v/>
      </c>
      <c r="J495" s="332"/>
      <c r="K495" s="332"/>
      <c r="L495" s="332"/>
      <c r="M495" s="332"/>
      <c r="N495" s="332"/>
      <c r="O495" s="332"/>
      <c r="P495" s="332"/>
      <c r="Q495" s="332"/>
      <c r="R495" s="332"/>
      <c r="S495" s="332"/>
      <c r="T495" s="332"/>
      <c r="U495" s="332"/>
      <c r="V495" s="332"/>
      <c r="W495" s="332"/>
      <c r="X495" s="332"/>
      <c r="Y495" s="332"/>
      <c r="Z495" s="332"/>
      <c r="AA495" s="332"/>
      <c r="AB495" s="332"/>
      <c r="AC495" s="332"/>
      <c r="AD495" s="332"/>
      <c r="AE495" s="332"/>
      <c r="AF495" s="332"/>
      <c r="AG495" s="332"/>
      <c r="AH495" s="332"/>
      <c r="AI495" s="332"/>
      <c r="AJ495" s="333"/>
      <c r="AK495" s="333"/>
      <c r="AL495" s="333"/>
      <c r="AM495" s="333"/>
    </row>
    <row r="496" spans="2:39" s="316" customFormat="1" ht="26.25" customHeight="1" x14ac:dyDescent="0.2">
      <c r="B496" s="340" t="str">
        <f t="array" ref="B496">IF(ISERROR(INDEX('Eingabe Meldungen'!$C$2:$C$492,LARGE(('Eingabe Meldungen'!$A$2:$A$492=$B$483)*(ROW('Eingabe Meldungen'!$A$2:$A$492)-1),COUNTIF('Eingabe Meldungen'!$A$2:$A$492,$B$483)+1-ROW('Eingabe Meldungen'!A12)))),"",INDEX('Eingabe Meldungen'!$C$2:$C$492,LARGE(('Eingabe Meldungen'!$A$2:$A$492=$B$483)*(ROW('Eingabe Meldungen'!$A$2:$A$492)-1),COUNTIF('Eingabe Meldungen'!$A$2:$A$492,$B$483)+1-ROW('Eingabe Meldungen'!A12))))</f>
        <v/>
      </c>
      <c r="C496" s="316" t="str">
        <f t="array" ref="C496">IF(ISERROR(INDEX('Eingabe Meldungen'!$D$2:$D$492,LARGE(('Eingabe Meldungen'!$A$2:$A$492=$B$483)*(ROW('Eingabe Meldungen'!$A$2:$A$492)-1),COUNTIF('Eingabe Meldungen'!$A$2:$A$492,$B$483)+1-ROW('Eingabe Meldungen'!A12)))),"",INDEX('Eingabe Meldungen'!$D$2:$D$492,LARGE(('Eingabe Meldungen'!$A$2:$A$492=$B$483)*(ROW('Eingabe Meldungen'!$A$2:$A$492)-1),COUNTIF('Eingabe Meldungen'!$A$2:$A$492,$B$483)+1-ROW('Eingabe Meldungen'!A12))))</f>
        <v/>
      </c>
      <c r="D496" s="341" t="str">
        <f t="array" ref="D496">IF(B496&lt;&gt;"",INDEX('Eingabe Meldungen'!$C$2:$H$492,MATCH(B496&amp;C496,'Eingabe Meldungen'!$C$2:$C$492&amp;'Eingabe Meldungen'!$D$2:$D$492,0),6),"")</f>
        <v/>
      </c>
      <c r="E496" s="382" t="str">
        <f t="array" ref="E496">IF(B496&lt;&gt;"",INDEX('Eingabe Meldungen'!$C$2:$H$492,MATCH(B496&amp;C496,'Eingabe Meldungen'!$C$2:$C$492&amp;'Eingabe Meldungen'!$D$2:$D$492,0),4),"")</f>
        <v/>
      </c>
      <c r="F496" s="353" t="str">
        <f>IF(VLOOKUP(B496,Rennlisten!$B$299:$H$306,6,FALSE)=0,"",VLOOKUP(B496,Rennlisten!$B$299:$H$306,6,FALSE))</f>
        <v/>
      </c>
      <c r="G496" s="333" t="e">
        <f t="shared" si="53"/>
        <v>#VALUE!</v>
      </c>
      <c r="H496" s="343" t="str">
        <f t="array" ref="H496">IF(B496&lt;&gt;"",INDEX('Eingabe Meldungen'!$C$2:$J$492,MATCH(B496&amp;C496,'Eingabe Meldungen'!$C$2:$C$492&amp;'Eingabe Meldungen'!$D$2:$D$492,0),8),"")</f>
        <v/>
      </c>
      <c r="J496" s="332"/>
      <c r="K496" s="332"/>
      <c r="L496" s="332"/>
      <c r="M496" s="332"/>
      <c r="N496" s="332"/>
      <c r="O496" s="332"/>
      <c r="P496" s="332"/>
      <c r="Q496" s="332"/>
      <c r="R496" s="332"/>
      <c r="S496" s="332"/>
      <c r="T496" s="332"/>
      <c r="U496" s="332"/>
      <c r="V496" s="332"/>
      <c r="W496" s="332"/>
      <c r="X496" s="332"/>
      <c r="Y496" s="332"/>
      <c r="Z496" s="332"/>
      <c r="AA496" s="332"/>
      <c r="AB496" s="332"/>
      <c r="AC496" s="332"/>
      <c r="AD496" s="332"/>
      <c r="AE496" s="332"/>
      <c r="AF496" s="332"/>
      <c r="AG496" s="332"/>
      <c r="AH496" s="332"/>
      <c r="AI496" s="332"/>
      <c r="AJ496" s="333"/>
      <c r="AK496" s="333"/>
      <c r="AL496" s="333"/>
      <c r="AM496" s="333"/>
    </row>
    <row r="497" spans="2:39" s="316" customFormat="1" ht="26.25" customHeight="1" x14ac:dyDescent="0.2">
      <c r="B497" s="340" t="str">
        <f t="array" ref="B497">IF(ISERROR(INDEX('Eingabe Meldungen'!$C$2:$C$492,LARGE(('Eingabe Meldungen'!$A$2:$A$492=$B$483)*(ROW('Eingabe Meldungen'!$A$2:$A$492)-1),COUNTIF('Eingabe Meldungen'!$A$2:$A$492,$B$483)+1-ROW('Eingabe Meldungen'!A13)))),"",INDEX('Eingabe Meldungen'!$C$2:$C$492,LARGE(('Eingabe Meldungen'!$A$2:$A$492=$B$483)*(ROW('Eingabe Meldungen'!$A$2:$A$492)-1),COUNTIF('Eingabe Meldungen'!$A$2:$A$492,$B$483)+1-ROW('Eingabe Meldungen'!A13))))</f>
        <v/>
      </c>
      <c r="C497" s="316" t="str">
        <f t="array" ref="C497">IF(ISERROR(INDEX('Eingabe Meldungen'!$D$2:$D$492,LARGE(('Eingabe Meldungen'!$A$2:$A$492=$B$483)*(ROW('Eingabe Meldungen'!$A$2:$A$492)-1),COUNTIF('Eingabe Meldungen'!$A$2:$A$492,$B$483)+1-ROW('Eingabe Meldungen'!A13)))),"",INDEX('Eingabe Meldungen'!$D$2:$D$492,LARGE(('Eingabe Meldungen'!$A$2:$A$492=$B$483)*(ROW('Eingabe Meldungen'!$A$2:$A$492)-1),COUNTIF('Eingabe Meldungen'!$A$2:$A$492,$B$483)+1-ROW('Eingabe Meldungen'!A13))))</f>
        <v/>
      </c>
      <c r="D497" s="341" t="str">
        <f t="array" ref="D497">IF(B497&lt;&gt;"",INDEX('Eingabe Meldungen'!$C$2:$H$492,MATCH(B497&amp;C497,'Eingabe Meldungen'!$C$2:$C$492&amp;'Eingabe Meldungen'!$D$2:$D$492,0),6),"")</f>
        <v/>
      </c>
      <c r="E497" s="382" t="str">
        <f t="array" ref="E497">IF(B497&lt;&gt;"",INDEX('Eingabe Meldungen'!$C$2:$H$492,MATCH(B497&amp;C497,'Eingabe Meldungen'!$C$2:$C$492&amp;'Eingabe Meldungen'!$D$2:$D$492,0),4),"")</f>
        <v/>
      </c>
      <c r="F497" s="353" t="str">
        <f>IF(VLOOKUP(B497,Rennlisten!$B$299:$H$306,6,FALSE)=0,"",VLOOKUP(B497,Rennlisten!$B$299:$H$306,6,FALSE))</f>
        <v/>
      </c>
      <c r="G497" s="333" t="e">
        <f t="shared" si="53"/>
        <v>#VALUE!</v>
      </c>
      <c r="H497" s="343" t="str">
        <f t="array" ref="H497">IF(B497&lt;&gt;"",INDEX('Eingabe Meldungen'!$C$2:$J$492,MATCH(B497&amp;C497,'Eingabe Meldungen'!$C$2:$C$492&amp;'Eingabe Meldungen'!$D$2:$D$492,0),8),"")</f>
        <v/>
      </c>
      <c r="J497" s="332"/>
      <c r="K497" s="332"/>
      <c r="L497" s="332"/>
      <c r="M497" s="332"/>
      <c r="N497" s="332"/>
      <c r="O497" s="332"/>
      <c r="P497" s="332"/>
      <c r="Q497" s="332"/>
      <c r="R497" s="332"/>
      <c r="S497" s="332"/>
      <c r="T497" s="332"/>
      <c r="U497" s="332"/>
      <c r="V497" s="332"/>
      <c r="W497" s="332"/>
      <c r="X497" s="332"/>
      <c r="Y497" s="332"/>
      <c r="Z497" s="332"/>
      <c r="AA497" s="332"/>
      <c r="AB497" s="332"/>
      <c r="AC497" s="332"/>
      <c r="AD497" s="332"/>
      <c r="AE497" s="332"/>
      <c r="AF497" s="332"/>
      <c r="AG497" s="332"/>
      <c r="AH497" s="332"/>
      <c r="AI497" s="332"/>
      <c r="AJ497" s="333"/>
      <c r="AK497" s="333"/>
      <c r="AL497" s="333"/>
      <c r="AM497" s="333"/>
    </row>
    <row r="498" spans="2:39" s="316" customFormat="1" ht="26.25" customHeight="1" x14ac:dyDescent="0.2">
      <c r="B498" s="340" t="str">
        <f t="array" ref="B498">IF(ISERROR(INDEX('Eingabe Meldungen'!$C$2:$C$492,LARGE(('Eingabe Meldungen'!$A$2:$A$492=$B$483)*(ROW('Eingabe Meldungen'!$A$2:$A$492)-1),COUNTIF('Eingabe Meldungen'!$A$2:$A$492,$B$483)+1-ROW('Eingabe Meldungen'!A14)))),"",INDEX('Eingabe Meldungen'!$C$2:$C$492,LARGE(('Eingabe Meldungen'!$A$2:$A$492=$B$483)*(ROW('Eingabe Meldungen'!$A$2:$A$492)-1),COUNTIF('Eingabe Meldungen'!$A$2:$A$492,$B$483)+1-ROW('Eingabe Meldungen'!A14))))</f>
        <v/>
      </c>
      <c r="C498" s="316" t="str">
        <f t="array" ref="C498">IF(ISERROR(INDEX('Eingabe Meldungen'!$D$2:$D$492,LARGE(('Eingabe Meldungen'!$A$2:$A$492=$B$483)*(ROW('Eingabe Meldungen'!$A$2:$A$492)-1),COUNTIF('Eingabe Meldungen'!$A$2:$A$492,$B$483)+1-ROW('Eingabe Meldungen'!A14)))),"",INDEX('Eingabe Meldungen'!$D$2:$D$492,LARGE(('Eingabe Meldungen'!$A$2:$A$492=$B$483)*(ROW('Eingabe Meldungen'!$A$2:$A$492)-1),COUNTIF('Eingabe Meldungen'!$A$2:$A$492,$B$483)+1-ROW('Eingabe Meldungen'!A14))))</f>
        <v/>
      </c>
      <c r="D498" s="341" t="str">
        <f t="array" ref="D498">IF(B498&lt;&gt;"",INDEX('Eingabe Meldungen'!$C$2:$H$492,MATCH(B498&amp;C498,'Eingabe Meldungen'!$C$2:$C$492&amp;'Eingabe Meldungen'!$D$2:$D$492,0),6),"")</f>
        <v/>
      </c>
      <c r="E498" s="382" t="str">
        <f t="array" ref="E498">IF(B498&lt;&gt;"",INDEX('Eingabe Meldungen'!$C$2:$H$492,MATCH(B498&amp;C498,'Eingabe Meldungen'!$C$2:$C$492&amp;'Eingabe Meldungen'!$D$2:$D$492,0),4),"")</f>
        <v/>
      </c>
      <c r="F498" s="353" t="str">
        <f>IF(VLOOKUP(B498,Rennlisten!$B$299:$H$306,6,FALSE)=0,"",VLOOKUP(B498,Rennlisten!$B$299:$H$306,6,FALSE))</f>
        <v/>
      </c>
      <c r="G498" s="333" t="e">
        <f t="shared" ref="G498:G499" si="54">RANK(F498,$F$485:$F$500,1)</f>
        <v>#VALUE!</v>
      </c>
      <c r="H498" s="343" t="str">
        <f t="array" ref="H498">IF(B498&lt;&gt;"",INDEX('Eingabe Meldungen'!$C$2:$J$492,MATCH(B498&amp;C498,'Eingabe Meldungen'!$C$2:$C$492&amp;'Eingabe Meldungen'!$D$2:$D$492,0),8),"")</f>
        <v/>
      </c>
      <c r="J498" s="332"/>
      <c r="K498" s="332"/>
      <c r="L498" s="332"/>
      <c r="M498" s="332"/>
      <c r="N498" s="332"/>
      <c r="O498" s="332"/>
      <c r="P498" s="332"/>
      <c r="Q498" s="332"/>
      <c r="R498" s="332"/>
      <c r="S498" s="332"/>
      <c r="T498" s="332"/>
      <c r="U498" s="332"/>
      <c r="V498" s="332"/>
      <c r="W498" s="332"/>
      <c r="X498" s="332"/>
      <c r="Y498" s="332"/>
      <c r="Z498" s="332"/>
      <c r="AA498" s="332"/>
      <c r="AB498" s="332"/>
      <c r="AC498" s="332"/>
      <c r="AD498" s="332"/>
      <c r="AE498" s="332"/>
      <c r="AF498" s="332"/>
      <c r="AG498" s="332"/>
      <c r="AH498" s="332"/>
      <c r="AI498" s="332"/>
      <c r="AJ498" s="333"/>
      <c r="AK498" s="333"/>
      <c r="AL498" s="333"/>
      <c r="AM498" s="333"/>
    </row>
    <row r="499" spans="2:39" s="316" customFormat="1" ht="26.25" customHeight="1" x14ac:dyDescent="0.2">
      <c r="B499" s="340" t="str">
        <f t="array" ref="B499">IF(ISERROR(INDEX('Eingabe Meldungen'!$C$2:$C$492,LARGE(('Eingabe Meldungen'!$A$2:$A$492=$B$483)*(ROW('Eingabe Meldungen'!$A$2:$A$492)-1),COUNTIF('Eingabe Meldungen'!$A$2:$A$492,$B$483)+1-ROW('Eingabe Meldungen'!A15)))),"",INDEX('Eingabe Meldungen'!$C$2:$C$492,LARGE(('Eingabe Meldungen'!$A$2:$A$492=$B$483)*(ROW('Eingabe Meldungen'!$A$2:$A$492)-1),COUNTIF('Eingabe Meldungen'!$A$2:$A$492,$B$483)+1-ROW('Eingabe Meldungen'!A15))))</f>
        <v/>
      </c>
      <c r="C499" s="316" t="str">
        <f t="array" ref="C499">IF(ISERROR(INDEX('Eingabe Meldungen'!$D$2:$D$492,LARGE(('Eingabe Meldungen'!$A$2:$A$492=$B$483)*(ROW('Eingabe Meldungen'!$A$2:$A$492)-1),COUNTIF('Eingabe Meldungen'!$A$2:$A$492,$B$483)+1-ROW('Eingabe Meldungen'!A15)))),"",INDEX('Eingabe Meldungen'!$D$2:$D$492,LARGE(('Eingabe Meldungen'!$A$2:$A$492=$B$483)*(ROW('Eingabe Meldungen'!$A$2:$A$492)-1),COUNTIF('Eingabe Meldungen'!$A$2:$A$492,$B$483)+1-ROW('Eingabe Meldungen'!A15))))</f>
        <v/>
      </c>
      <c r="D499" s="341" t="str">
        <f t="array" ref="D499">IF(B499&lt;&gt;"",INDEX('Eingabe Meldungen'!$C$2:$H$492,MATCH(B499&amp;C499,'Eingabe Meldungen'!$C$2:$C$492&amp;'Eingabe Meldungen'!$D$2:$D$492,0),6),"")</f>
        <v/>
      </c>
      <c r="E499" s="382" t="str">
        <f t="array" ref="E499">IF(B499&lt;&gt;"",INDEX('Eingabe Meldungen'!$C$2:$H$492,MATCH(B499&amp;C499,'Eingabe Meldungen'!$C$2:$C$492&amp;'Eingabe Meldungen'!$D$2:$D$492,0),4),"")</f>
        <v/>
      </c>
      <c r="F499" s="353" t="str">
        <f>IF(VLOOKUP(B499,Rennlisten!$B$299:$H$306,6,FALSE)=0,"",VLOOKUP(B499,Rennlisten!$B$299:$H$306,6,FALSE))</f>
        <v/>
      </c>
      <c r="G499" s="333" t="e">
        <f t="shared" si="54"/>
        <v>#VALUE!</v>
      </c>
      <c r="H499" s="343" t="str">
        <f t="array" ref="H499">IF(B499&lt;&gt;"",INDEX('Eingabe Meldungen'!$C$2:$J$492,MATCH(B499&amp;C499,'Eingabe Meldungen'!$C$2:$C$492&amp;'Eingabe Meldungen'!$D$2:$D$492,0),8),"")</f>
        <v/>
      </c>
      <c r="J499" s="332"/>
      <c r="K499" s="332"/>
      <c r="L499" s="332"/>
      <c r="M499" s="332"/>
      <c r="N499" s="332"/>
      <c r="O499" s="332"/>
      <c r="P499" s="332"/>
      <c r="Q499" s="332"/>
      <c r="R499" s="332"/>
      <c r="S499" s="332"/>
      <c r="T499" s="332"/>
      <c r="U499" s="332"/>
      <c r="V499" s="332"/>
      <c r="W499" s="332"/>
      <c r="X499" s="332"/>
      <c r="Y499" s="332"/>
      <c r="Z499" s="332"/>
      <c r="AA499" s="332"/>
      <c r="AB499" s="332"/>
      <c r="AC499" s="332"/>
      <c r="AD499" s="332"/>
      <c r="AE499" s="332"/>
      <c r="AF499" s="332"/>
      <c r="AG499" s="332"/>
      <c r="AH499" s="332"/>
      <c r="AI499" s="332"/>
      <c r="AJ499" s="333"/>
      <c r="AK499" s="333"/>
      <c r="AL499" s="333"/>
      <c r="AM499" s="333"/>
    </row>
    <row r="500" spans="2:39" s="316" customFormat="1" ht="26.25" customHeight="1" thickBot="1" x14ac:dyDescent="0.25">
      <c r="B500" s="344" t="str">
        <f t="array" ref="B500">IF(ISERROR(INDEX('Eingabe Meldungen'!$C$2:$C$492,LARGE(('Eingabe Meldungen'!$A$2:$A$492=$B$483)*(ROW('Eingabe Meldungen'!$A$2:$A$492)-1),COUNTIF('Eingabe Meldungen'!$A$2:$A$492,$B$483)+1-ROW('Eingabe Meldungen'!A17)))),"",INDEX('Eingabe Meldungen'!$C$2:$C$492,LARGE(('Eingabe Meldungen'!$A$2:$A$492=$B$483)*(ROW('Eingabe Meldungen'!$A$2:$A$492)-1),COUNTIF('Eingabe Meldungen'!$A$2:$A$492,$B$483)+1-ROW('Eingabe Meldungen'!A17))))</f>
        <v/>
      </c>
      <c r="C500" s="345" t="str">
        <f t="array" ref="C500">IF(ISERROR(INDEX('Eingabe Meldungen'!$D$2:$D$492,LARGE(('Eingabe Meldungen'!$A$2:$A$492=$B$483)*(ROW('Eingabe Meldungen'!$A$2:$A$492)-1),COUNTIF('Eingabe Meldungen'!$A$2:$A$492,$B$483)+1-ROW('Eingabe Meldungen'!A17)))),"",INDEX('Eingabe Meldungen'!$D$2:$D$492,LARGE(('Eingabe Meldungen'!$A$2:$A$492=$B$483)*(ROW('Eingabe Meldungen'!$A$2:$A$492)-1),COUNTIF('Eingabe Meldungen'!$A$2:$A$492,$B$483)+1-ROW('Eingabe Meldungen'!A17))))</f>
        <v/>
      </c>
      <c r="D500" s="346" t="str">
        <f t="array" ref="D500">IF(B500&lt;&gt;"",INDEX('Eingabe Meldungen'!$C$2:$H$492,MATCH(B500&amp;C500,'Eingabe Meldungen'!$C$2:$C$492&amp;'Eingabe Meldungen'!$D$2:$D$492,0),6),"")</f>
        <v/>
      </c>
      <c r="E500" s="383" t="str">
        <f t="array" ref="E500">IF(B500&lt;&gt;"",INDEX('Eingabe Meldungen'!$C$2:$H$492,MATCH(B500&amp;C500,'Eingabe Meldungen'!$C$2:$C$492&amp;'Eingabe Meldungen'!$D$2:$D$492,0),4),"")</f>
        <v/>
      </c>
      <c r="F500" s="354" t="str">
        <f>IF(VLOOKUP(B500,Rennlisten!$B$299:$H$306,6,FALSE)=0,"",VLOOKUP(B500,Rennlisten!$B$299:$H$306,6,FALSE))</f>
        <v/>
      </c>
      <c r="G500" s="348" t="e">
        <f t="shared" ref="G500" si="55">RANK(F500,$F$485:$F$500,1)</f>
        <v>#VALUE!</v>
      </c>
      <c r="H500" s="349" t="str">
        <f t="array" ref="H500">IF(B500&lt;&gt;"",INDEX('Eingabe Meldungen'!$C$2:$J$492,MATCH(B500&amp;C500,'Eingabe Meldungen'!$C$2:$C$492&amp;'Eingabe Meldungen'!$D$2:$D$492,0),8),"")</f>
        <v/>
      </c>
      <c r="J500" s="332"/>
      <c r="K500" s="332"/>
      <c r="L500" s="332"/>
      <c r="M500" s="332"/>
      <c r="N500" s="332"/>
      <c r="O500" s="332"/>
      <c r="P500" s="332"/>
      <c r="Q500" s="332"/>
      <c r="R500" s="332"/>
      <c r="S500" s="332"/>
      <c r="T500" s="332"/>
      <c r="U500" s="332"/>
      <c r="V500" s="332"/>
      <c r="W500" s="332"/>
      <c r="X500" s="332"/>
      <c r="Y500" s="332"/>
      <c r="Z500" s="332"/>
      <c r="AA500" s="332"/>
      <c r="AB500" s="332"/>
      <c r="AC500" s="332"/>
      <c r="AD500" s="332"/>
      <c r="AE500" s="332"/>
      <c r="AF500" s="332"/>
      <c r="AG500" s="332"/>
      <c r="AH500" s="332"/>
      <c r="AI500" s="332"/>
      <c r="AJ500" s="333"/>
      <c r="AK500" s="333"/>
      <c r="AL500" s="333"/>
      <c r="AM500" s="333"/>
    </row>
    <row r="501" spans="2:39" s="316" customFormat="1" ht="26.25" customHeight="1" thickBot="1" x14ac:dyDescent="0.25">
      <c r="E501" s="352"/>
      <c r="F501" s="333"/>
      <c r="G501" s="333"/>
      <c r="J501" s="333"/>
      <c r="K501" s="333"/>
      <c r="L501" s="333"/>
      <c r="M501" s="333"/>
      <c r="N501" s="333"/>
      <c r="O501" s="333"/>
      <c r="P501" s="333"/>
      <c r="Q501" s="333"/>
      <c r="R501" s="333"/>
      <c r="S501" s="333"/>
      <c r="T501" s="333"/>
      <c r="U501" s="333"/>
      <c r="V501" s="333"/>
      <c r="W501" s="333"/>
      <c r="X501" s="333"/>
      <c r="Y501" s="333"/>
      <c r="Z501" s="333"/>
      <c r="AA501" s="333"/>
      <c r="AB501" s="333"/>
      <c r="AC501" s="333"/>
      <c r="AD501" s="333"/>
      <c r="AE501" s="333"/>
      <c r="AF501" s="333"/>
      <c r="AG501" s="333"/>
      <c r="AH501" s="333"/>
      <c r="AI501" s="333"/>
      <c r="AJ501" s="333"/>
      <c r="AK501" s="333"/>
      <c r="AL501" s="333"/>
      <c r="AM501" s="333"/>
    </row>
    <row r="502" spans="2:39" s="316" customFormat="1" ht="26.25" customHeight="1" x14ac:dyDescent="0.2">
      <c r="B502" s="326">
        <f>B483+1</f>
        <v>21</v>
      </c>
      <c r="C502" s="327" t="str">
        <f>VLOOKUP(B502,Ausschreibung!$B$5:$I$35,2,FALSE)</f>
        <v>Ergocup</v>
      </c>
      <c r="D502" s="328">
        <f>VLOOKUP(B502,Ausschreibung!$B$5:$I$35,3,FALSE)</f>
        <v>0.6416666666666665</v>
      </c>
      <c r="E502" s="327" t="str">
        <f>VLOOKUP(B502,Ausschreibung!$B$5:$I$35,4,FALSE)</f>
        <v>Seniorinnen A</v>
      </c>
      <c r="F502" s="329" t="str">
        <f>VLOOKUP(B502,Ausschreibung!$B$5:$I$35,5,FALSE)</f>
        <v>LGW. bis 61 kg</v>
      </c>
      <c r="G502" s="330" t="str">
        <f>VLOOKUP(B502,Ausschreibung!$B$5:$I$35,6,FALSE)</f>
        <v>19 und älter</v>
      </c>
      <c r="H502" s="331" t="str">
        <f>VLOOKUP(B502,Ausschreibung!$B$5:$I$35,8,FALSE)</f>
        <v>2000 m</v>
      </c>
      <c r="J502" s="332"/>
      <c r="K502" s="332"/>
      <c r="L502" s="332"/>
      <c r="M502" s="332"/>
      <c r="N502" s="332"/>
      <c r="O502" s="332"/>
      <c r="P502" s="332"/>
      <c r="Q502" s="332"/>
      <c r="R502" s="332"/>
      <c r="S502" s="332"/>
      <c r="T502" s="332"/>
      <c r="U502" s="332"/>
      <c r="V502" s="332"/>
      <c r="W502" s="332"/>
      <c r="X502" s="332"/>
      <c r="Y502" s="332"/>
      <c r="Z502" s="332"/>
      <c r="AA502" s="332"/>
      <c r="AB502" s="332"/>
      <c r="AC502" s="332"/>
      <c r="AD502" s="332"/>
      <c r="AE502" s="332"/>
      <c r="AF502" s="332"/>
      <c r="AG502" s="332"/>
      <c r="AH502" s="332"/>
      <c r="AI502" s="332"/>
      <c r="AJ502" s="333"/>
      <c r="AK502" s="333"/>
      <c r="AL502" s="333"/>
      <c r="AM502" s="333"/>
    </row>
    <row r="503" spans="2:39" s="316" customFormat="1" ht="26.25" customHeight="1" x14ac:dyDescent="0.2">
      <c r="B503" s="334" t="s">
        <v>1</v>
      </c>
      <c r="C503" s="335" t="s">
        <v>2</v>
      </c>
      <c r="D503" s="336" t="s">
        <v>49</v>
      </c>
      <c r="E503" s="381" t="s">
        <v>16</v>
      </c>
      <c r="F503" s="337" t="s">
        <v>50</v>
      </c>
      <c r="G503" s="338" t="s">
        <v>51</v>
      </c>
      <c r="H503" s="339" t="s">
        <v>17</v>
      </c>
      <c r="J503" s="332"/>
      <c r="K503" s="332"/>
      <c r="L503" s="332"/>
      <c r="M503" s="332"/>
      <c r="N503" s="332"/>
      <c r="O503" s="332"/>
      <c r="P503" s="332"/>
      <c r="Q503" s="332"/>
      <c r="R503" s="332"/>
      <c r="S503" s="332"/>
      <c r="T503" s="332"/>
      <c r="U503" s="332"/>
      <c r="V503" s="332"/>
      <c r="W503" s="332"/>
      <c r="X503" s="332"/>
      <c r="Y503" s="332"/>
      <c r="Z503" s="332"/>
      <c r="AA503" s="332"/>
      <c r="AB503" s="332"/>
      <c r="AC503" s="332"/>
      <c r="AD503" s="332"/>
      <c r="AE503" s="332"/>
      <c r="AF503" s="332"/>
      <c r="AG503" s="332"/>
      <c r="AH503" s="332"/>
      <c r="AI503" s="332"/>
      <c r="AJ503" s="333"/>
      <c r="AK503" s="333"/>
      <c r="AL503" s="333"/>
      <c r="AM503" s="333"/>
    </row>
    <row r="504" spans="2:39" s="316" customFormat="1" ht="26.25" customHeight="1" x14ac:dyDescent="0.2">
      <c r="B504" s="340" t="str">
        <f t="array" ref="B504">IF(ISERROR(INDEX('Eingabe Meldungen'!$C$2:$C$492,LARGE(('Eingabe Meldungen'!$A$2:$A$492=$B$502)*(ROW('Eingabe Meldungen'!$A$2:$A$492)-1),COUNTIF('Eingabe Meldungen'!$A$2:$A$492,$B$502)+1-ROW('Eingabe Meldungen'!A1)))),"",INDEX('Eingabe Meldungen'!$C$2:$C$492,LARGE(('Eingabe Meldungen'!$A$2:$A$492=$B$502)*(ROW('Eingabe Meldungen'!$A$2:$A$492)-1),COUNTIF('Eingabe Meldungen'!$A$2:$A$492,$B$502)+1-ROW('Eingabe Meldungen'!A1))))</f>
        <v>Leuter</v>
      </c>
      <c r="C504" s="316" t="str">
        <f t="array" ref="C504">IF(ISERROR(INDEX('Eingabe Meldungen'!$D$2:$D$492,LARGE(('Eingabe Meldungen'!$A$2:$A$492=$B$502)*(ROW('Eingabe Meldungen'!$A$2:$A$492)-1),COUNTIF('Eingabe Meldungen'!$A$2:$A$492,$B$502)+1-ROW('Eingabe Meldungen'!A1)))),"",INDEX('Eingabe Meldungen'!$D$2:$D$492,LARGE(('Eingabe Meldungen'!$A$2:$A$492=$B$502)*(ROW('Eingabe Meldungen'!$A$2:$A$492)-1),COUNTIF('Eingabe Meldungen'!$A$2:$A$492,$B$502)+1-ROW('Eingabe Meldungen'!A1))))</f>
        <v>Nadine</v>
      </c>
      <c r="D504" s="341">
        <f t="array" ref="D504">IF(B504&lt;&gt;"",INDEX('Eingabe Meldungen'!$C$2:$H$492,MATCH(B504&amp;C504,'Eingabe Meldungen'!$C$2:$C$492&amp;'Eingabe Meldungen'!$D$2:$D$492,0),6),"")</f>
        <v>1995</v>
      </c>
      <c r="E504" s="382" t="str">
        <f t="array" ref="E504">IF(B504&lt;&gt;"",INDEX('Eingabe Meldungen'!$C$2:$H$492,MATCH(B504&amp;C504,'Eingabe Meldungen'!$C$2:$C$492&amp;'Eingabe Meldungen'!$D$2:$D$492,0),4),"")</f>
        <v>LGW. bis 61 kg</v>
      </c>
      <c r="F504" s="353" t="s">
        <v>643</v>
      </c>
      <c r="G504" s="333">
        <v>3</v>
      </c>
      <c r="H504" s="343" t="str">
        <f t="array" ref="H504">IF(B504&lt;&gt;"",INDEX('Eingabe Meldungen'!$C$2:$J$492,MATCH(B504&amp;C504,'Eingabe Meldungen'!$C$2:$C$492&amp;'Eingabe Meldungen'!$D$2:$D$492,0),8),"")</f>
        <v>RV Waldsee</v>
      </c>
      <c r="J504" s="332"/>
      <c r="K504" s="332"/>
      <c r="L504" s="332"/>
      <c r="M504" s="332"/>
      <c r="N504" s="332"/>
      <c r="O504" s="332"/>
      <c r="P504" s="332"/>
      <c r="Q504" s="332"/>
      <c r="R504" s="332"/>
      <c r="S504" s="332">
        <v>1</v>
      </c>
      <c r="T504" s="332"/>
      <c r="U504" s="332"/>
      <c r="V504" s="332"/>
      <c r="W504" s="332"/>
      <c r="X504" s="332"/>
      <c r="Y504" s="332"/>
      <c r="Z504" s="332"/>
      <c r="AA504" s="332"/>
      <c r="AB504" s="332"/>
      <c r="AC504" s="332"/>
      <c r="AD504" s="332"/>
      <c r="AE504" s="332"/>
      <c r="AF504" s="332"/>
      <c r="AG504" s="332"/>
      <c r="AH504" s="332"/>
      <c r="AI504" s="332"/>
      <c r="AJ504" s="333"/>
      <c r="AK504" s="333"/>
      <c r="AL504" s="333"/>
      <c r="AM504" s="333"/>
    </row>
    <row r="505" spans="2:39" s="316" customFormat="1" ht="26.25" customHeight="1" x14ac:dyDescent="0.2">
      <c r="B505" s="340" t="str">
        <f t="array" ref="B505">IF(ISERROR(INDEX('Eingabe Meldungen'!$C$2:$C$492,LARGE(('Eingabe Meldungen'!$A$2:$A$492=$B$502)*(ROW('Eingabe Meldungen'!$A$2:$A$492)-1),COUNTIF('Eingabe Meldungen'!$A$2:$A$492,$B$502)+1-ROW('Eingabe Meldungen'!A2)))),"",INDEX('Eingabe Meldungen'!$C$2:$C$492,LARGE(('Eingabe Meldungen'!$A$2:$A$492=$B$502)*(ROW('Eingabe Meldungen'!$A$2:$A$492)-1),COUNTIF('Eingabe Meldungen'!$A$2:$A$492,$B$502)+1-ROW('Eingabe Meldungen'!A2))))</f>
        <v>Reimer</v>
      </c>
      <c r="C505" s="316" t="str">
        <f t="array" ref="C505">IF(ISERROR(INDEX('Eingabe Meldungen'!$D$2:$D$492,LARGE(('Eingabe Meldungen'!$A$2:$A$492=$B$502)*(ROW('Eingabe Meldungen'!$A$2:$A$492)-1),COUNTIF('Eingabe Meldungen'!$A$2:$A$492,$B$502)+1-ROW('Eingabe Meldungen'!A2)))),"",INDEX('Eingabe Meldungen'!$D$2:$D$492,LARGE(('Eingabe Meldungen'!$A$2:$A$492=$B$502)*(ROW('Eingabe Meldungen'!$A$2:$A$492)-1),COUNTIF('Eingabe Meldungen'!$A$2:$A$492,$B$502)+1-ROW('Eingabe Meldungen'!A2))))</f>
        <v>Cathrin</v>
      </c>
      <c r="D505" s="341">
        <f t="array" ref="D505">IF(B505&lt;&gt;"",INDEX('Eingabe Meldungen'!$C$2:$H$492,MATCH(B505&amp;C505,'Eingabe Meldungen'!$C$2:$C$492&amp;'Eingabe Meldungen'!$D$2:$D$492,0),6),"")</f>
        <v>2001</v>
      </c>
      <c r="E505" s="382" t="str">
        <f t="array" ref="E505">IF(B505&lt;&gt;"",INDEX('Eingabe Meldungen'!$C$2:$H$492,MATCH(B505&amp;C505,'Eingabe Meldungen'!$C$2:$C$492&amp;'Eingabe Meldungen'!$D$2:$D$492,0),4),"")</f>
        <v>LGW. bis 61 kg</v>
      </c>
      <c r="F505" s="353" t="s">
        <v>640</v>
      </c>
      <c r="G505" s="333">
        <v>1</v>
      </c>
      <c r="H505" s="343" t="str">
        <f t="array" ref="H505">IF(B505&lt;&gt;"",INDEX('Eingabe Meldungen'!$C$2:$J$492,MATCH(B505&amp;C505,'Eingabe Meldungen'!$C$2:$C$492&amp;'Eingabe Meldungen'!$D$2:$D$492,0),8),"")</f>
        <v>RV Waldsee</v>
      </c>
      <c r="J505" s="332"/>
      <c r="K505" s="332"/>
      <c r="L505" s="332"/>
      <c r="M505" s="332"/>
      <c r="N505" s="332"/>
      <c r="O505" s="332"/>
      <c r="P505" s="332"/>
      <c r="Q505" s="332"/>
      <c r="R505" s="332"/>
      <c r="S505" s="332">
        <v>5</v>
      </c>
      <c r="T505" s="332"/>
      <c r="U505" s="332"/>
      <c r="V505" s="332"/>
      <c r="W505" s="332"/>
      <c r="X505" s="332"/>
      <c r="Y505" s="332"/>
      <c r="Z505" s="332"/>
      <c r="AA505" s="332"/>
      <c r="AB505" s="332"/>
      <c r="AC505" s="332"/>
      <c r="AD505" s="332"/>
      <c r="AE505" s="332"/>
      <c r="AF505" s="332"/>
      <c r="AG505" s="332"/>
      <c r="AH505" s="332"/>
      <c r="AI505" s="332"/>
      <c r="AJ505" s="333"/>
      <c r="AK505" s="333"/>
      <c r="AL505" s="333"/>
      <c r="AM505" s="333"/>
    </row>
    <row r="506" spans="2:39" s="316" customFormat="1" ht="26.25" customHeight="1" x14ac:dyDescent="0.2">
      <c r="B506" s="340" t="str">
        <f t="array" ref="B506">IF(ISERROR(INDEX('Eingabe Meldungen'!$C$2:$C$492,LARGE(('Eingabe Meldungen'!$A$2:$A$492=$B$502)*(ROW('Eingabe Meldungen'!$A$2:$A$492)-1),COUNTIF('Eingabe Meldungen'!$A$2:$A$492,$B$502)+1-ROW('Eingabe Meldungen'!A3)))),"",INDEX('Eingabe Meldungen'!$C$2:$C$492,LARGE(('Eingabe Meldungen'!$A$2:$A$492=$B$502)*(ROW('Eingabe Meldungen'!$A$2:$A$492)-1),COUNTIF('Eingabe Meldungen'!$A$2:$A$492,$B$502)+1-ROW('Eingabe Meldungen'!A3))))</f>
        <v>Outojane</v>
      </c>
      <c r="C506" s="316" t="str">
        <f t="array" ref="C506">IF(ISERROR(INDEX('Eingabe Meldungen'!$D$2:$D$492,LARGE(('Eingabe Meldungen'!$A$2:$A$492=$B$502)*(ROW('Eingabe Meldungen'!$A$2:$A$492)-1),COUNTIF('Eingabe Meldungen'!$A$2:$A$492,$B$502)+1-ROW('Eingabe Meldungen'!A3)))),"",INDEX('Eingabe Meldungen'!$D$2:$D$492,LARGE(('Eingabe Meldungen'!$A$2:$A$492=$B$502)*(ROW('Eingabe Meldungen'!$A$2:$A$492)-1),COUNTIF('Eingabe Meldungen'!$A$2:$A$492,$B$502)+1-ROW('Eingabe Meldungen'!A3))))</f>
        <v>Hanaa</v>
      </c>
      <c r="D506" s="341">
        <f t="array" ref="D506">IF(B506&lt;&gt;"",INDEX('Eingabe Meldungen'!$C$2:$H$492,MATCH(B506&amp;C506,'Eingabe Meldungen'!$C$2:$C$492&amp;'Eingabe Meldungen'!$D$2:$D$492,0),6),"")</f>
        <v>2001</v>
      </c>
      <c r="E506" s="382" t="str">
        <f t="array" ref="E506">IF(B506&lt;&gt;"",INDEX('Eingabe Meldungen'!$C$2:$H$492,MATCH(B506&amp;C506,'Eingabe Meldungen'!$C$2:$C$492&amp;'Eingabe Meldungen'!$D$2:$D$492,0),4),"")</f>
        <v>LGW. bis 61 kg</v>
      </c>
      <c r="F506" s="353" t="s">
        <v>642</v>
      </c>
      <c r="G506" s="333">
        <v>2</v>
      </c>
      <c r="H506" s="343" t="str">
        <f t="array" ref="H506">IF(B506&lt;&gt;"",INDEX('Eingabe Meldungen'!$C$2:$J$492,MATCH(B506&amp;C506,'Eingabe Meldungen'!$C$2:$C$492&amp;'Eingabe Meldungen'!$D$2:$D$492,0),8),"")</f>
        <v>RG Eberbach</v>
      </c>
      <c r="J506" s="332"/>
      <c r="K506" s="332"/>
      <c r="L506" s="332"/>
      <c r="M506" s="332"/>
      <c r="N506" s="332"/>
      <c r="O506" s="332"/>
      <c r="P506" s="332"/>
      <c r="Q506" s="332"/>
      <c r="R506" s="332"/>
      <c r="S506" s="332"/>
      <c r="T506" s="332"/>
      <c r="U506" s="332">
        <v>3</v>
      </c>
      <c r="V506" s="332"/>
      <c r="W506" s="332"/>
      <c r="X506" s="332"/>
      <c r="Y506" s="332"/>
      <c r="Z506" s="332"/>
      <c r="AA506" s="332"/>
      <c r="AB506" s="332"/>
      <c r="AC506" s="332"/>
      <c r="AD506" s="332"/>
      <c r="AE506" s="332"/>
      <c r="AF506" s="332"/>
      <c r="AG506" s="332"/>
      <c r="AH506" s="332"/>
      <c r="AI506" s="332"/>
      <c r="AJ506" s="333"/>
      <c r="AK506" s="333"/>
      <c r="AL506" s="333"/>
      <c r="AM506" s="333"/>
    </row>
    <row r="507" spans="2:39" s="316" customFormat="1" ht="26.25" customHeight="1" x14ac:dyDescent="0.2">
      <c r="B507" s="340" t="str">
        <f t="array" ref="B507">IF(ISERROR(INDEX('Eingabe Meldungen'!$C$2:$C$492,LARGE(('Eingabe Meldungen'!$A$2:$A$492=$B$502)*(ROW('Eingabe Meldungen'!$A$2:$A$492)-1),COUNTIF('Eingabe Meldungen'!$A$2:$A$492,$B$502)+1-ROW('Eingabe Meldungen'!A4)))),"",INDEX('Eingabe Meldungen'!$C$2:$C$492,LARGE(('Eingabe Meldungen'!$A$2:$A$492=$B$502)*(ROW('Eingabe Meldungen'!$A$2:$A$492)-1),COUNTIF('Eingabe Meldungen'!$A$2:$A$492,$B$502)+1-ROW('Eingabe Meldungen'!A4))))</f>
        <v/>
      </c>
      <c r="C507" s="316" t="str">
        <f t="array" ref="C507">IF(ISERROR(INDEX('Eingabe Meldungen'!$D$2:$D$492,LARGE(('Eingabe Meldungen'!$A$2:$A$492=$B$502)*(ROW('Eingabe Meldungen'!$A$2:$A$492)-1),COUNTIF('Eingabe Meldungen'!$A$2:$A$492,$B$502)+1-ROW('Eingabe Meldungen'!A4)))),"",INDEX('Eingabe Meldungen'!$D$2:$D$492,LARGE(('Eingabe Meldungen'!$A$2:$A$492=$B$502)*(ROW('Eingabe Meldungen'!$A$2:$A$492)-1),COUNTIF('Eingabe Meldungen'!$A$2:$A$492,$B$502)+1-ROW('Eingabe Meldungen'!A4))))</f>
        <v/>
      </c>
      <c r="D507" s="341" t="str">
        <f t="array" ref="D507">IF(B507&lt;&gt;"",INDEX('Eingabe Meldungen'!$C$2:$H$492,MATCH(B507&amp;C507,'Eingabe Meldungen'!$C$2:$C$492&amp;'Eingabe Meldungen'!$D$2:$D$492,0),6),"")</f>
        <v/>
      </c>
      <c r="E507" s="382" t="str">
        <f t="array" ref="E507">IF(B507&lt;&gt;"",INDEX('Eingabe Meldungen'!$C$2:$H$492,MATCH(B507&amp;C507,'Eingabe Meldungen'!$C$2:$C$492&amp;'Eingabe Meldungen'!$D$2:$D$492,0),4),"")</f>
        <v/>
      </c>
      <c r="F507" s="353" t="e">
        <f>IF(VLOOKUP(B507,Rennlisten!#REF!,6,FALSE)=0,"",VLOOKUP(B507,Rennlisten!#REF!,6,FALSE))</f>
        <v>#REF!</v>
      </c>
      <c r="G507" s="333" t="e">
        <f t="shared" ref="G507:G517" si="56">RANK(F507,$F$504:$F$519,1)</f>
        <v>#REF!</v>
      </c>
      <c r="H507" s="343" t="str">
        <f t="array" ref="H507">IF(B507&lt;&gt;"",INDEX('Eingabe Meldungen'!$C$2:$J$492,MATCH(B507&amp;C507,'Eingabe Meldungen'!$C$2:$C$492&amp;'Eingabe Meldungen'!$D$2:$D$492,0),8),"")</f>
        <v/>
      </c>
      <c r="J507" s="332"/>
      <c r="K507" s="332"/>
      <c r="L507" s="332"/>
      <c r="M507" s="332"/>
      <c r="N507" s="332"/>
      <c r="O507" s="332"/>
      <c r="P507" s="332"/>
      <c r="Q507" s="332"/>
      <c r="R507" s="332"/>
      <c r="S507" s="332"/>
      <c r="T507" s="332"/>
      <c r="U507" s="332"/>
      <c r="V507" s="332"/>
      <c r="W507" s="332"/>
      <c r="X507" s="332"/>
      <c r="Y507" s="332"/>
      <c r="Z507" s="332"/>
      <c r="AA507" s="332"/>
      <c r="AB507" s="332"/>
      <c r="AC507" s="332"/>
      <c r="AD507" s="332"/>
      <c r="AE507" s="332"/>
      <c r="AF507" s="332"/>
      <c r="AG507" s="332"/>
      <c r="AH507" s="332"/>
      <c r="AI507" s="332"/>
      <c r="AJ507" s="333"/>
      <c r="AK507" s="333"/>
      <c r="AL507" s="333"/>
      <c r="AM507" s="333"/>
    </row>
    <row r="508" spans="2:39" s="316" customFormat="1" ht="26.25" customHeight="1" x14ac:dyDescent="0.2">
      <c r="B508" s="340" t="str">
        <f t="array" ref="B508">IF(ISERROR(INDEX('Eingabe Meldungen'!$C$2:$C$492,LARGE(('Eingabe Meldungen'!$A$2:$A$492=$B$502)*(ROW('Eingabe Meldungen'!$A$2:$A$492)-1),COUNTIF('Eingabe Meldungen'!$A$2:$A$492,$B$502)+1-ROW('Eingabe Meldungen'!A5)))),"",INDEX('Eingabe Meldungen'!$C$2:$C$492,LARGE(('Eingabe Meldungen'!$A$2:$A$492=$B$502)*(ROW('Eingabe Meldungen'!$A$2:$A$492)-1),COUNTIF('Eingabe Meldungen'!$A$2:$A$492,$B$502)+1-ROW('Eingabe Meldungen'!A5))))</f>
        <v/>
      </c>
      <c r="C508" s="316" t="str">
        <f t="array" ref="C508">IF(ISERROR(INDEX('Eingabe Meldungen'!$D$2:$D$492,LARGE(('Eingabe Meldungen'!$A$2:$A$492=$B$502)*(ROW('Eingabe Meldungen'!$A$2:$A$492)-1),COUNTIF('Eingabe Meldungen'!$A$2:$A$492,$B$502)+1-ROW('Eingabe Meldungen'!A5)))),"",INDEX('Eingabe Meldungen'!$D$2:$D$492,LARGE(('Eingabe Meldungen'!$A$2:$A$492=$B$502)*(ROW('Eingabe Meldungen'!$A$2:$A$492)-1),COUNTIF('Eingabe Meldungen'!$A$2:$A$492,$B$502)+1-ROW('Eingabe Meldungen'!A5))))</f>
        <v/>
      </c>
      <c r="D508" s="341" t="str">
        <f t="array" ref="D508">IF(B508&lt;&gt;"",INDEX('Eingabe Meldungen'!$C$2:$H$492,MATCH(B508&amp;C508,'Eingabe Meldungen'!$C$2:$C$492&amp;'Eingabe Meldungen'!$D$2:$D$492,0),6),"")</f>
        <v/>
      </c>
      <c r="E508" s="382" t="str">
        <f t="array" ref="E508">IF(B508&lt;&gt;"",INDEX('Eingabe Meldungen'!$C$2:$H$492,MATCH(B508&amp;C508,'Eingabe Meldungen'!$C$2:$C$492&amp;'Eingabe Meldungen'!$D$2:$D$492,0),4),"")</f>
        <v/>
      </c>
      <c r="F508" s="353" t="e">
        <f>IF(VLOOKUP(B508,Rennlisten!#REF!,6,FALSE)=0,"",VLOOKUP(B508,Rennlisten!#REF!,6,FALSE))</f>
        <v>#REF!</v>
      </c>
      <c r="G508" s="333" t="e">
        <f t="shared" si="56"/>
        <v>#REF!</v>
      </c>
      <c r="H508" s="343" t="str">
        <f t="array" ref="H508">IF(B508&lt;&gt;"",INDEX('Eingabe Meldungen'!$C$2:$J$492,MATCH(B508&amp;C508,'Eingabe Meldungen'!$C$2:$C$492&amp;'Eingabe Meldungen'!$D$2:$D$492,0),8),"")</f>
        <v/>
      </c>
      <c r="J508" s="332"/>
      <c r="K508" s="332"/>
      <c r="L508" s="332"/>
      <c r="M508" s="332"/>
      <c r="N508" s="332"/>
      <c r="O508" s="332"/>
      <c r="P508" s="332"/>
      <c r="Q508" s="332"/>
      <c r="R508" s="332"/>
      <c r="S508" s="332"/>
      <c r="T508" s="332"/>
      <c r="U508" s="332"/>
      <c r="V508" s="332"/>
      <c r="W508" s="332"/>
      <c r="X508" s="332"/>
      <c r="Y508" s="332"/>
      <c r="Z508" s="332"/>
      <c r="AA508" s="332"/>
      <c r="AB508" s="332"/>
      <c r="AC508" s="332"/>
      <c r="AD508" s="332"/>
      <c r="AE508" s="332"/>
      <c r="AF508" s="332"/>
      <c r="AG508" s="332"/>
      <c r="AH508" s="332"/>
      <c r="AI508" s="332"/>
      <c r="AJ508" s="333"/>
      <c r="AK508" s="333"/>
      <c r="AL508" s="333"/>
      <c r="AM508" s="333"/>
    </row>
    <row r="509" spans="2:39" s="316" customFormat="1" ht="26.25" customHeight="1" x14ac:dyDescent="0.2">
      <c r="B509" s="340" t="str">
        <f t="array" ref="B509">IF(ISERROR(INDEX('Eingabe Meldungen'!$C$2:$C$492,LARGE(('Eingabe Meldungen'!$A$2:$A$492=$B$502)*(ROW('Eingabe Meldungen'!$A$2:$A$492)-1),COUNTIF('Eingabe Meldungen'!$A$2:$A$492,$B$502)+1-ROW('Eingabe Meldungen'!A6)))),"",INDEX('Eingabe Meldungen'!$C$2:$C$492,LARGE(('Eingabe Meldungen'!$A$2:$A$492=$B$502)*(ROW('Eingabe Meldungen'!$A$2:$A$492)-1),COUNTIF('Eingabe Meldungen'!$A$2:$A$492,$B$502)+1-ROW('Eingabe Meldungen'!A6))))</f>
        <v/>
      </c>
      <c r="C509" s="316" t="str">
        <f t="array" ref="C509">IF(ISERROR(INDEX('Eingabe Meldungen'!$D$2:$D$492,LARGE(('Eingabe Meldungen'!$A$2:$A$492=$B$502)*(ROW('Eingabe Meldungen'!$A$2:$A$492)-1),COUNTIF('Eingabe Meldungen'!$A$2:$A$492,$B$502)+1-ROW('Eingabe Meldungen'!A6)))),"",INDEX('Eingabe Meldungen'!$D$2:$D$492,LARGE(('Eingabe Meldungen'!$A$2:$A$492=$B$502)*(ROW('Eingabe Meldungen'!$A$2:$A$492)-1),COUNTIF('Eingabe Meldungen'!$A$2:$A$492,$B$502)+1-ROW('Eingabe Meldungen'!A6))))</f>
        <v/>
      </c>
      <c r="D509" s="341" t="str">
        <f t="array" ref="D509">IF(B509&lt;&gt;"",INDEX('Eingabe Meldungen'!$C$2:$H$492,MATCH(B509&amp;C509,'Eingabe Meldungen'!$C$2:$C$492&amp;'Eingabe Meldungen'!$D$2:$D$492,0),6),"")</f>
        <v/>
      </c>
      <c r="E509" s="382" t="str">
        <f t="array" ref="E509">IF(B509&lt;&gt;"",INDEX('Eingabe Meldungen'!$C$2:$H$492,MATCH(B509&amp;C509,'Eingabe Meldungen'!$C$2:$C$492&amp;'Eingabe Meldungen'!$D$2:$D$492,0),4),"")</f>
        <v/>
      </c>
      <c r="F509" s="353" t="e">
        <f>IF(VLOOKUP(B509,Rennlisten!#REF!,6,FALSE)=0,"",VLOOKUP(B509,Rennlisten!#REF!,6,FALSE))</f>
        <v>#REF!</v>
      </c>
      <c r="G509" s="333" t="e">
        <f t="shared" si="56"/>
        <v>#REF!</v>
      </c>
      <c r="H509" s="343" t="str">
        <f t="array" ref="H509">IF(B509&lt;&gt;"",INDEX('Eingabe Meldungen'!$C$2:$J$492,MATCH(B509&amp;C509,'Eingabe Meldungen'!$C$2:$C$492&amp;'Eingabe Meldungen'!$D$2:$D$492,0),8),"")</f>
        <v/>
      </c>
      <c r="J509" s="332"/>
      <c r="K509" s="332"/>
      <c r="L509" s="332"/>
      <c r="M509" s="332"/>
      <c r="N509" s="332"/>
      <c r="O509" s="332"/>
      <c r="P509" s="332"/>
      <c r="Q509" s="332"/>
      <c r="R509" s="332"/>
      <c r="S509" s="332"/>
      <c r="T509" s="332"/>
      <c r="U509" s="332"/>
      <c r="V509" s="332"/>
      <c r="W509" s="332"/>
      <c r="X509" s="332"/>
      <c r="Y509" s="332"/>
      <c r="Z509" s="332"/>
      <c r="AA509" s="332"/>
      <c r="AB509" s="332"/>
      <c r="AC509" s="332"/>
      <c r="AD509" s="332"/>
      <c r="AE509" s="332"/>
      <c r="AF509" s="332"/>
      <c r="AG509" s="332"/>
      <c r="AH509" s="332"/>
      <c r="AI509" s="332"/>
      <c r="AJ509" s="333"/>
      <c r="AK509" s="333"/>
      <c r="AL509" s="333"/>
      <c r="AM509" s="333"/>
    </row>
    <row r="510" spans="2:39" s="316" customFormat="1" ht="26.25" customHeight="1" x14ac:dyDescent="0.2">
      <c r="B510" s="340" t="str">
        <f t="array" ref="B510">IF(ISERROR(INDEX('Eingabe Meldungen'!$C$2:$C$492,LARGE(('Eingabe Meldungen'!$A$2:$A$492=$B$502)*(ROW('Eingabe Meldungen'!$A$2:$A$492)-1),COUNTIF('Eingabe Meldungen'!$A$2:$A$492,$B$502)+1-ROW('Eingabe Meldungen'!A7)))),"",INDEX('Eingabe Meldungen'!$C$2:$C$492,LARGE(('Eingabe Meldungen'!$A$2:$A$492=$B$502)*(ROW('Eingabe Meldungen'!$A$2:$A$492)-1),COUNTIF('Eingabe Meldungen'!$A$2:$A$492,$B$502)+1-ROW('Eingabe Meldungen'!A7))))</f>
        <v/>
      </c>
      <c r="C510" s="316" t="str">
        <f t="array" ref="C510">IF(ISERROR(INDEX('Eingabe Meldungen'!$D$2:$D$492,LARGE(('Eingabe Meldungen'!$A$2:$A$492=$B$502)*(ROW('Eingabe Meldungen'!$A$2:$A$492)-1),COUNTIF('Eingabe Meldungen'!$A$2:$A$492,$B$502)+1-ROW('Eingabe Meldungen'!A7)))),"",INDEX('Eingabe Meldungen'!$D$2:$D$492,LARGE(('Eingabe Meldungen'!$A$2:$A$492=$B$502)*(ROW('Eingabe Meldungen'!$A$2:$A$492)-1),COUNTIF('Eingabe Meldungen'!$A$2:$A$492,$B$502)+1-ROW('Eingabe Meldungen'!A7))))</f>
        <v/>
      </c>
      <c r="D510" s="341" t="str">
        <f t="array" ref="D510">IF(B510&lt;&gt;"",INDEX('Eingabe Meldungen'!$C$2:$H$492,MATCH(B510&amp;C510,'Eingabe Meldungen'!$C$2:$C$492&amp;'Eingabe Meldungen'!$D$2:$D$492,0),6),"")</f>
        <v/>
      </c>
      <c r="E510" s="382" t="str">
        <f t="array" ref="E510">IF(B510&lt;&gt;"",INDEX('Eingabe Meldungen'!$C$2:$H$492,MATCH(B510&amp;C510,'Eingabe Meldungen'!$C$2:$C$492&amp;'Eingabe Meldungen'!$D$2:$D$492,0),4),"")</f>
        <v/>
      </c>
      <c r="F510" s="353" t="e">
        <f>IF(VLOOKUP(B510,Rennlisten!#REF!,6,FALSE)=0,"",VLOOKUP(B510,Rennlisten!#REF!,6,FALSE))</f>
        <v>#REF!</v>
      </c>
      <c r="G510" s="333" t="e">
        <f t="shared" si="56"/>
        <v>#REF!</v>
      </c>
      <c r="H510" s="343" t="str">
        <f t="array" ref="H510">IF(B510&lt;&gt;"",INDEX('Eingabe Meldungen'!$C$2:$J$492,MATCH(B510&amp;C510,'Eingabe Meldungen'!$C$2:$C$492&amp;'Eingabe Meldungen'!$D$2:$D$492,0),8),"")</f>
        <v/>
      </c>
      <c r="J510" s="332"/>
      <c r="K510" s="332"/>
      <c r="L510" s="332"/>
      <c r="M510" s="332"/>
      <c r="N510" s="332"/>
      <c r="O510" s="332"/>
      <c r="P510" s="332"/>
      <c r="Q510" s="332"/>
      <c r="R510" s="332"/>
      <c r="S510" s="332"/>
      <c r="T510" s="332"/>
      <c r="U510" s="332"/>
      <c r="V510" s="332"/>
      <c r="W510" s="332"/>
      <c r="X510" s="332"/>
      <c r="Y510" s="332"/>
      <c r="Z510" s="332"/>
      <c r="AA510" s="332"/>
      <c r="AB510" s="332"/>
      <c r="AC510" s="332"/>
      <c r="AD510" s="332"/>
      <c r="AE510" s="332"/>
      <c r="AF510" s="332"/>
      <c r="AG510" s="332"/>
      <c r="AH510" s="332"/>
      <c r="AI510" s="332"/>
      <c r="AJ510" s="333"/>
      <c r="AK510" s="333"/>
      <c r="AL510" s="333"/>
      <c r="AM510" s="333"/>
    </row>
    <row r="511" spans="2:39" s="316" customFormat="1" ht="26.25" customHeight="1" x14ac:dyDescent="0.2">
      <c r="B511" s="340" t="str">
        <f t="array" ref="B511">IF(ISERROR(INDEX('Eingabe Meldungen'!$C$2:$C$492,LARGE(('Eingabe Meldungen'!$A$2:$A$492=$B$502)*(ROW('Eingabe Meldungen'!$A$2:$A$492)-1),COUNTIF('Eingabe Meldungen'!$A$2:$A$492,$B$502)+1-ROW('Eingabe Meldungen'!A8)))),"",INDEX('Eingabe Meldungen'!$C$2:$C$492,LARGE(('Eingabe Meldungen'!$A$2:$A$492=$B$502)*(ROW('Eingabe Meldungen'!$A$2:$A$492)-1),COUNTIF('Eingabe Meldungen'!$A$2:$A$492,$B$502)+1-ROW('Eingabe Meldungen'!A8))))</f>
        <v/>
      </c>
      <c r="C511" s="316" t="str">
        <f t="array" ref="C511">IF(ISERROR(INDEX('Eingabe Meldungen'!$D$2:$D$492,LARGE(('Eingabe Meldungen'!$A$2:$A$492=$B$502)*(ROW('Eingabe Meldungen'!$A$2:$A$492)-1),COUNTIF('Eingabe Meldungen'!$A$2:$A$492,$B$502)+1-ROW('Eingabe Meldungen'!A8)))),"",INDEX('Eingabe Meldungen'!$D$2:$D$492,LARGE(('Eingabe Meldungen'!$A$2:$A$492=$B$502)*(ROW('Eingabe Meldungen'!$A$2:$A$492)-1),COUNTIF('Eingabe Meldungen'!$A$2:$A$492,$B$502)+1-ROW('Eingabe Meldungen'!A8))))</f>
        <v/>
      </c>
      <c r="D511" s="341" t="str">
        <f t="array" ref="D511">IF(B511&lt;&gt;"",INDEX('Eingabe Meldungen'!$C$2:$H$492,MATCH(B511&amp;C511,'Eingabe Meldungen'!$C$2:$C$492&amp;'Eingabe Meldungen'!$D$2:$D$492,0),6),"")</f>
        <v/>
      </c>
      <c r="E511" s="382" t="str">
        <f t="array" ref="E511">IF(B511&lt;&gt;"",INDEX('Eingabe Meldungen'!$C$2:$H$492,MATCH(B511&amp;C511,'Eingabe Meldungen'!$C$2:$C$492&amp;'Eingabe Meldungen'!$D$2:$D$492,0),4),"")</f>
        <v/>
      </c>
      <c r="F511" s="353" t="e">
        <f>IF(VLOOKUP(B511,Rennlisten!#REF!,6,FALSE)=0,"",VLOOKUP(B511,Rennlisten!#REF!,6,FALSE))</f>
        <v>#REF!</v>
      </c>
      <c r="G511" s="333" t="e">
        <f t="shared" si="56"/>
        <v>#REF!</v>
      </c>
      <c r="H511" s="343" t="str">
        <f t="array" ref="H511">IF(B511&lt;&gt;"",INDEX('Eingabe Meldungen'!$C$2:$J$492,MATCH(B511&amp;C511,'Eingabe Meldungen'!$C$2:$C$492&amp;'Eingabe Meldungen'!$D$2:$D$492,0),8),"")</f>
        <v/>
      </c>
      <c r="J511" s="332"/>
      <c r="K511" s="332"/>
      <c r="L511" s="332"/>
      <c r="M511" s="332"/>
      <c r="N511" s="332"/>
      <c r="O511" s="332"/>
      <c r="P511" s="332"/>
      <c r="Q511" s="332"/>
      <c r="R511" s="332"/>
      <c r="S511" s="332"/>
      <c r="T511" s="332"/>
      <c r="U511" s="332"/>
      <c r="V511" s="332"/>
      <c r="W511" s="332"/>
      <c r="X511" s="332"/>
      <c r="Y511" s="332"/>
      <c r="Z511" s="332"/>
      <c r="AA511" s="332"/>
      <c r="AB511" s="332"/>
      <c r="AC511" s="332"/>
      <c r="AD511" s="332"/>
      <c r="AE511" s="332"/>
      <c r="AF511" s="332"/>
      <c r="AG511" s="332"/>
      <c r="AH511" s="332"/>
      <c r="AI511" s="332"/>
      <c r="AJ511" s="333"/>
      <c r="AK511" s="333"/>
      <c r="AL511" s="333"/>
      <c r="AM511" s="333"/>
    </row>
    <row r="512" spans="2:39" s="316" customFormat="1" ht="26.25" customHeight="1" x14ac:dyDescent="0.2">
      <c r="B512" s="340" t="str">
        <f t="array" ref="B512">IF(ISERROR(INDEX('Eingabe Meldungen'!$C$2:$C$492,LARGE(('Eingabe Meldungen'!$A$2:$A$492=$B$502)*(ROW('Eingabe Meldungen'!$A$2:$A$492)-1),COUNTIF('Eingabe Meldungen'!$A$2:$A$492,$B$502)+1-ROW('Eingabe Meldungen'!A9)))),"",INDEX('Eingabe Meldungen'!$C$2:$C$492,LARGE(('Eingabe Meldungen'!$A$2:$A$492=$B$502)*(ROW('Eingabe Meldungen'!$A$2:$A$492)-1),COUNTIF('Eingabe Meldungen'!$A$2:$A$492,$B$502)+1-ROW('Eingabe Meldungen'!A9))))</f>
        <v/>
      </c>
      <c r="C512" s="316" t="str">
        <f t="array" ref="C512">IF(ISERROR(INDEX('Eingabe Meldungen'!$D$2:$D$492,LARGE(('Eingabe Meldungen'!$A$2:$A$492=$B$502)*(ROW('Eingabe Meldungen'!$A$2:$A$492)-1),COUNTIF('Eingabe Meldungen'!$A$2:$A$492,$B$502)+1-ROW('Eingabe Meldungen'!A9)))),"",INDEX('Eingabe Meldungen'!$D$2:$D$492,LARGE(('Eingabe Meldungen'!$A$2:$A$492=$B$502)*(ROW('Eingabe Meldungen'!$A$2:$A$492)-1),COUNTIF('Eingabe Meldungen'!$A$2:$A$492,$B$502)+1-ROW('Eingabe Meldungen'!A9))))</f>
        <v/>
      </c>
      <c r="D512" s="341" t="str">
        <f t="array" ref="D512">IF(B512&lt;&gt;"",INDEX('Eingabe Meldungen'!$C$2:$H$492,MATCH(B512&amp;C512,'Eingabe Meldungen'!$C$2:$C$492&amp;'Eingabe Meldungen'!$D$2:$D$492,0),6),"")</f>
        <v/>
      </c>
      <c r="E512" s="382" t="str">
        <f t="array" ref="E512">IF(B512&lt;&gt;"",INDEX('Eingabe Meldungen'!$C$2:$H$492,MATCH(B512&amp;C512,'Eingabe Meldungen'!$C$2:$C$492&amp;'Eingabe Meldungen'!$D$2:$D$492,0),4),"")</f>
        <v/>
      </c>
      <c r="F512" s="353" t="e">
        <f>IF(VLOOKUP(B512,Rennlisten!#REF!,6,FALSE)=0,"",VLOOKUP(B512,Rennlisten!#REF!,6,FALSE))</f>
        <v>#REF!</v>
      </c>
      <c r="G512" s="333" t="e">
        <f t="shared" si="56"/>
        <v>#REF!</v>
      </c>
      <c r="H512" s="343" t="str">
        <f t="array" ref="H512">IF(B512&lt;&gt;"",INDEX('Eingabe Meldungen'!$C$2:$J$492,MATCH(B512&amp;C512,'Eingabe Meldungen'!$C$2:$C$492&amp;'Eingabe Meldungen'!$D$2:$D$492,0),8),"")</f>
        <v/>
      </c>
      <c r="J512" s="332"/>
      <c r="K512" s="332"/>
      <c r="L512" s="332"/>
      <c r="M512" s="332"/>
      <c r="N512" s="332"/>
      <c r="O512" s="332"/>
      <c r="P512" s="332"/>
      <c r="Q512" s="332"/>
      <c r="R512" s="332"/>
      <c r="S512" s="332"/>
      <c r="T512" s="332"/>
      <c r="U512" s="332"/>
      <c r="V512" s="332"/>
      <c r="W512" s="332"/>
      <c r="X512" s="332"/>
      <c r="Y512" s="332"/>
      <c r="Z512" s="332"/>
      <c r="AA512" s="332"/>
      <c r="AB512" s="332"/>
      <c r="AC512" s="332"/>
      <c r="AD512" s="332"/>
      <c r="AE512" s="332"/>
      <c r="AF512" s="332"/>
      <c r="AG512" s="332"/>
      <c r="AH512" s="332"/>
      <c r="AI512" s="332"/>
      <c r="AJ512" s="333"/>
      <c r="AK512" s="333"/>
      <c r="AL512" s="333"/>
      <c r="AM512" s="333"/>
    </row>
    <row r="513" spans="2:39" s="316" customFormat="1" ht="26.25" customHeight="1" x14ac:dyDescent="0.2">
      <c r="B513" s="340" t="str">
        <f t="array" ref="B513">IF(ISERROR(INDEX('Eingabe Meldungen'!$C$2:$C$492,LARGE(('Eingabe Meldungen'!$A$2:$A$492=$B$502)*(ROW('Eingabe Meldungen'!$A$2:$A$492)-1),COUNTIF('Eingabe Meldungen'!$A$2:$A$492,$B$502)+1-ROW('Eingabe Meldungen'!A10)))),"",INDEX('Eingabe Meldungen'!$C$2:$C$492,LARGE(('Eingabe Meldungen'!$A$2:$A$492=$B$502)*(ROW('Eingabe Meldungen'!$A$2:$A$492)-1),COUNTIF('Eingabe Meldungen'!$A$2:$A$492,$B$502)+1-ROW('Eingabe Meldungen'!A10))))</f>
        <v/>
      </c>
      <c r="C513" s="316" t="str">
        <f t="array" ref="C513">IF(ISERROR(INDEX('Eingabe Meldungen'!$D$2:$D$492,LARGE(('Eingabe Meldungen'!$A$2:$A$492=$B$502)*(ROW('Eingabe Meldungen'!$A$2:$A$492)-1),COUNTIF('Eingabe Meldungen'!$A$2:$A$492,$B$502)+1-ROW('Eingabe Meldungen'!A10)))),"",INDEX('Eingabe Meldungen'!$D$2:$D$492,LARGE(('Eingabe Meldungen'!$A$2:$A$492=$B$502)*(ROW('Eingabe Meldungen'!$A$2:$A$492)-1),COUNTIF('Eingabe Meldungen'!$A$2:$A$492,$B$502)+1-ROW('Eingabe Meldungen'!A10))))</f>
        <v/>
      </c>
      <c r="D513" s="341" t="str">
        <f t="array" ref="D513">IF(B513&lt;&gt;"",INDEX('Eingabe Meldungen'!$C$2:$H$492,MATCH(B513&amp;C513,'Eingabe Meldungen'!$C$2:$C$492&amp;'Eingabe Meldungen'!$D$2:$D$492,0),6),"")</f>
        <v/>
      </c>
      <c r="E513" s="382" t="str">
        <f t="array" ref="E513">IF(B513&lt;&gt;"",INDEX('Eingabe Meldungen'!$C$2:$H$492,MATCH(B513&amp;C513,'Eingabe Meldungen'!$C$2:$C$492&amp;'Eingabe Meldungen'!$D$2:$D$492,0),4),"")</f>
        <v/>
      </c>
      <c r="F513" s="353" t="e">
        <f>IF(VLOOKUP(B513,Rennlisten!#REF!,6,FALSE)=0,"",VLOOKUP(B513,Rennlisten!#REF!,6,FALSE))</f>
        <v>#REF!</v>
      </c>
      <c r="G513" s="333" t="e">
        <f t="shared" si="56"/>
        <v>#REF!</v>
      </c>
      <c r="H513" s="343" t="str">
        <f t="array" ref="H513">IF(B513&lt;&gt;"",INDEX('Eingabe Meldungen'!$C$2:$J$492,MATCH(B513&amp;C513,'Eingabe Meldungen'!$C$2:$C$492&amp;'Eingabe Meldungen'!$D$2:$D$492,0),8),"")</f>
        <v/>
      </c>
      <c r="J513" s="332"/>
      <c r="K513" s="332"/>
      <c r="L513" s="332"/>
      <c r="M513" s="332"/>
      <c r="N513" s="332"/>
      <c r="O513" s="332"/>
      <c r="P513" s="332"/>
      <c r="Q513" s="332"/>
      <c r="R513" s="332"/>
      <c r="S513" s="332"/>
      <c r="T513" s="332"/>
      <c r="U513" s="332"/>
      <c r="V513" s="332"/>
      <c r="W513" s="332"/>
      <c r="X513" s="332"/>
      <c r="Y513" s="332"/>
      <c r="Z513" s="332"/>
      <c r="AA513" s="332"/>
      <c r="AB513" s="332"/>
      <c r="AC513" s="332"/>
      <c r="AD513" s="332"/>
      <c r="AE513" s="332"/>
      <c r="AF513" s="332"/>
      <c r="AG513" s="332"/>
      <c r="AH513" s="332"/>
      <c r="AI513" s="332"/>
      <c r="AJ513" s="333"/>
      <c r="AK513" s="333"/>
      <c r="AL513" s="333"/>
      <c r="AM513" s="333"/>
    </row>
    <row r="514" spans="2:39" s="316" customFormat="1" ht="26.25" customHeight="1" x14ac:dyDescent="0.2">
      <c r="B514" s="340" t="str">
        <f t="array" ref="B514">IF(ISERROR(INDEX('Eingabe Meldungen'!$C$2:$C$492,LARGE(('Eingabe Meldungen'!$A$2:$A$492=$B$502)*(ROW('Eingabe Meldungen'!$A$2:$A$492)-1),COUNTIF('Eingabe Meldungen'!$A$2:$A$492,$B$502)+1-ROW('Eingabe Meldungen'!A11)))),"",INDEX('Eingabe Meldungen'!$C$2:$C$492,LARGE(('Eingabe Meldungen'!$A$2:$A$492=$B$502)*(ROW('Eingabe Meldungen'!$A$2:$A$492)-1),COUNTIF('Eingabe Meldungen'!$A$2:$A$492,$B$502)+1-ROW('Eingabe Meldungen'!A11))))</f>
        <v/>
      </c>
      <c r="C514" s="316" t="str">
        <f t="array" ref="C514">IF(ISERROR(INDEX('Eingabe Meldungen'!$D$2:$D$492,LARGE(('Eingabe Meldungen'!$A$2:$A$492=$B$502)*(ROW('Eingabe Meldungen'!$A$2:$A$492)-1),COUNTIF('Eingabe Meldungen'!$A$2:$A$492,$B$502)+1-ROW('Eingabe Meldungen'!A11)))),"",INDEX('Eingabe Meldungen'!$D$2:$D$492,LARGE(('Eingabe Meldungen'!$A$2:$A$492=$B$502)*(ROW('Eingabe Meldungen'!$A$2:$A$492)-1),COUNTIF('Eingabe Meldungen'!$A$2:$A$492,$B$502)+1-ROW('Eingabe Meldungen'!A11))))</f>
        <v/>
      </c>
      <c r="D514" s="341" t="str">
        <f t="array" ref="D514">IF(B514&lt;&gt;"",INDEX('Eingabe Meldungen'!$C$2:$H$492,MATCH(B514&amp;C514,'Eingabe Meldungen'!$C$2:$C$492&amp;'Eingabe Meldungen'!$D$2:$D$492,0),6),"")</f>
        <v/>
      </c>
      <c r="E514" s="382" t="str">
        <f t="array" ref="E514">IF(B514&lt;&gt;"",INDEX('Eingabe Meldungen'!$C$2:$H$492,MATCH(B514&amp;C514,'Eingabe Meldungen'!$C$2:$C$492&amp;'Eingabe Meldungen'!$D$2:$D$492,0),4),"")</f>
        <v/>
      </c>
      <c r="F514" s="353" t="e">
        <f>IF(VLOOKUP(B514,Rennlisten!#REF!,6,FALSE)=0,"",VLOOKUP(B514,Rennlisten!#REF!,6,FALSE))</f>
        <v>#REF!</v>
      </c>
      <c r="G514" s="333" t="e">
        <f t="shared" si="56"/>
        <v>#REF!</v>
      </c>
      <c r="H514" s="343" t="str">
        <f t="array" ref="H514">IF(B514&lt;&gt;"",INDEX('Eingabe Meldungen'!$C$2:$J$492,MATCH(B514&amp;C514,'Eingabe Meldungen'!$C$2:$C$492&amp;'Eingabe Meldungen'!$D$2:$D$492,0),8),"")</f>
        <v/>
      </c>
      <c r="J514" s="332"/>
      <c r="K514" s="332"/>
      <c r="L514" s="332"/>
      <c r="M514" s="332"/>
      <c r="N514" s="332"/>
      <c r="O514" s="332"/>
      <c r="P514" s="332"/>
      <c r="Q514" s="332"/>
      <c r="R514" s="332"/>
      <c r="S514" s="332"/>
      <c r="T514" s="332"/>
      <c r="U514" s="332"/>
      <c r="V514" s="332"/>
      <c r="W514" s="332"/>
      <c r="X514" s="332"/>
      <c r="Y514" s="332"/>
      <c r="Z514" s="332"/>
      <c r="AA514" s="332"/>
      <c r="AB514" s="332"/>
      <c r="AC514" s="332"/>
      <c r="AD514" s="332"/>
      <c r="AE514" s="332"/>
      <c r="AF514" s="332"/>
      <c r="AG514" s="332"/>
      <c r="AH514" s="332"/>
      <c r="AI514" s="332"/>
      <c r="AJ514" s="333"/>
      <c r="AK514" s="333"/>
      <c r="AL514" s="333"/>
      <c r="AM514" s="333"/>
    </row>
    <row r="515" spans="2:39" s="316" customFormat="1" ht="26.25" customHeight="1" x14ac:dyDescent="0.2">
      <c r="B515" s="340" t="str">
        <f t="array" ref="B515">IF(ISERROR(INDEX('Eingabe Meldungen'!$C$2:$C$492,LARGE(('Eingabe Meldungen'!$A$2:$A$492=$B$502)*(ROW('Eingabe Meldungen'!$A$2:$A$492)-1),COUNTIF('Eingabe Meldungen'!$A$2:$A$492,$B$502)+1-ROW('Eingabe Meldungen'!A12)))),"",INDEX('Eingabe Meldungen'!$C$2:$C$492,LARGE(('Eingabe Meldungen'!$A$2:$A$492=$B$502)*(ROW('Eingabe Meldungen'!$A$2:$A$492)-1),COUNTIF('Eingabe Meldungen'!$A$2:$A$492,$B$502)+1-ROW('Eingabe Meldungen'!A12))))</f>
        <v/>
      </c>
      <c r="C515" s="316" t="str">
        <f t="array" ref="C515">IF(ISERROR(INDEX('Eingabe Meldungen'!$D$2:$D$492,LARGE(('Eingabe Meldungen'!$A$2:$A$492=$B$502)*(ROW('Eingabe Meldungen'!$A$2:$A$492)-1),COUNTIF('Eingabe Meldungen'!$A$2:$A$492,$B$502)+1-ROW('Eingabe Meldungen'!A12)))),"",INDEX('Eingabe Meldungen'!$D$2:$D$492,LARGE(('Eingabe Meldungen'!$A$2:$A$492=$B$502)*(ROW('Eingabe Meldungen'!$A$2:$A$492)-1),COUNTIF('Eingabe Meldungen'!$A$2:$A$492,$B$502)+1-ROW('Eingabe Meldungen'!A12))))</f>
        <v/>
      </c>
      <c r="D515" s="341" t="str">
        <f t="array" ref="D515">IF(B515&lt;&gt;"",INDEX('Eingabe Meldungen'!$C$2:$H$492,MATCH(B515&amp;C515,'Eingabe Meldungen'!$C$2:$C$492&amp;'Eingabe Meldungen'!$D$2:$D$492,0),6),"")</f>
        <v/>
      </c>
      <c r="E515" s="382" t="str">
        <f t="array" ref="E515">IF(B515&lt;&gt;"",INDEX('Eingabe Meldungen'!$C$2:$H$492,MATCH(B515&amp;C515,'Eingabe Meldungen'!$C$2:$C$492&amp;'Eingabe Meldungen'!$D$2:$D$492,0),4),"")</f>
        <v/>
      </c>
      <c r="F515" s="353" t="e">
        <f>IF(VLOOKUP(B515,Rennlisten!#REF!,6,FALSE)=0,"",VLOOKUP(B515,Rennlisten!#REF!,6,FALSE))</f>
        <v>#REF!</v>
      </c>
      <c r="G515" s="333" t="e">
        <f t="shared" si="56"/>
        <v>#REF!</v>
      </c>
      <c r="H515" s="343" t="str">
        <f t="array" ref="H515">IF(B515&lt;&gt;"",INDEX('Eingabe Meldungen'!$C$2:$J$492,MATCH(B515&amp;C515,'Eingabe Meldungen'!$C$2:$C$492&amp;'Eingabe Meldungen'!$D$2:$D$492,0),8),"")</f>
        <v/>
      </c>
      <c r="J515" s="332"/>
      <c r="K515" s="332"/>
      <c r="L515" s="332"/>
      <c r="M515" s="332"/>
      <c r="N515" s="332"/>
      <c r="O515" s="332"/>
      <c r="P515" s="332"/>
      <c r="Q515" s="332"/>
      <c r="R515" s="332"/>
      <c r="S515" s="332"/>
      <c r="T515" s="332"/>
      <c r="U515" s="332"/>
      <c r="V515" s="332"/>
      <c r="W515" s="332"/>
      <c r="X515" s="332"/>
      <c r="Y515" s="332"/>
      <c r="Z515" s="332"/>
      <c r="AA515" s="332"/>
      <c r="AB515" s="332"/>
      <c r="AC515" s="332"/>
      <c r="AD515" s="332"/>
      <c r="AE515" s="332"/>
      <c r="AF515" s="332"/>
      <c r="AG515" s="332"/>
      <c r="AH515" s="332"/>
      <c r="AI515" s="332"/>
      <c r="AJ515" s="333"/>
      <c r="AK515" s="333"/>
      <c r="AL515" s="333"/>
      <c r="AM515" s="333"/>
    </row>
    <row r="516" spans="2:39" s="316" customFormat="1" ht="26.25" customHeight="1" x14ac:dyDescent="0.2">
      <c r="B516" s="340" t="str">
        <f t="array" ref="B516">IF(ISERROR(INDEX('Eingabe Meldungen'!$C$2:$C$492,LARGE(('Eingabe Meldungen'!$A$2:$A$492=$B$502)*(ROW('Eingabe Meldungen'!$A$2:$A$492)-1),COUNTIF('Eingabe Meldungen'!$A$2:$A$492,$B$502)+1-ROW('Eingabe Meldungen'!A13)))),"",INDEX('Eingabe Meldungen'!$C$2:$C$492,LARGE(('Eingabe Meldungen'!$A$2:$A$492=$B$502)*(ROW('Eingabe Meldungen'!$A$2:$A$492)-1),COUNTIF('Eingabe Meldungen'!$A$2:$A$492,$B$502)+1-ROW('Eingabe Meldungen'!A13))))</f>
        <v/>
      </c>
      <c r="C516" s="316" t="str">
        <f t="array" ref="C516">IF(ISERROR(INDEX('Eingabe Meldungen'!$D$2:$D$492,LARGE(('Eingabe Meldungen'!$A$2:$A$492=$B$502)*(ROW('Eingabe Meldungen'!$A$2:$A$492)-1),COUNTIF('Eingabe Meldungen'!$A$2:$A$492,$B$502)+1-ROW('Eingabe Meldungen'!A13)))),"",INDEX('Eingabe Meldungen'!$D$2:$D$492,LARGE(('Eingabe Meldungen'!$A$2:$A$492=$B$502)*(ROW('Eingabe Meldungen'!$A$2:$A$492)-1),COUNTIF('Eingabe Meldungen'!$A$2:$A$492,$B$502)+1-ROW('Eingabe Meldungen'!A13))))</f>
        <v/>
      </c>
      <c r="D516" s="341" t="str">
        <f t="array" ref="D516">IF(B516&lt;&gt;"",INDEX('Eingabe Meldungen'!$C$2:$H$492,MATCH(B516&amp;C516,'Eingabe Meldungen'!$C$2:$C$492&amp;'Eingabe Meldungen'!$D$2:$D$492,0),6),"")</f>
        <v/>
      </c>
      <c r="E516" s="382" t="str">
        <f t="array" ref="E516">IF(B516&lt;&gt;"",INDEX('Eingabe Meldungen'!$C$2:$H$492,MATCH(B516&amp;C516,'Eingabe Meldungen'!$C$2:$C$492&amp;'Eingabe Meldungen'!$D$2:$D$492,0),4),"")</f>
        <v/>
      </c>
      <c r="F516" s="353" t="e">
        <f>IF(VLOOKUP(B516,Rennlisten!#REF!,6,FALSE)=0,"",VLOOKUP(B516,Rennlisten!#REF!,6,FALSE))</f>
        <v>#REF!</v>
      </c>
      <c r="G516" s="333" t="e">
        <f t="shared" si="56"/>
        <v>#REF!</v>
      </c>
      <c r="H516" s="343" t="str">
        <f t="array" ref="H516">IF(B516&lt;&gt;"",INDEX('Eingabe Meldungen'!$C$2:$J$492,MATCH(B516&amp;C516,'Eingabe Meldungen'!$C$2:$C$492&amp;'Eingabe Meldungen'!$D$2:$D$492,0),8),"")</f>
        <v/>
      </c>
      <c r="J516" s="332"/>
      <c r="K516" s="332"/>
      <c r="L516" s="332"/>
      <c r="M516" s="332"/>
      <c r="N516" s="332"/>
      <c r="O516" s="332"/>
      <c r="P516" s="332"/>
      <c r="Q516" s="332"/>
      <c r="R516" s="332"/>
      <c r="S516" s="332"/>
      <c r="T516" s="332"/>
      <c r="U516" s="332"/>
      <c r="V516" s="332"/>
      <c r="W516" s="332"/>
      <c r="X516" s="332"/>
      <c r="Y516" s="332"/>
      <c r="Z516" s="332"/>
      <c r="AA516" s="332"/>
      <c r="AB516" s="332"/>
      <c r="AC516" s="332"/>
      <c r="AD516" s="332"/>
      <c r="AE516" s="332"/>
      <c r="AF516" s="332"/>
      <c r="AG516" s="332"/>
      <c r="AH516" s="332"/>
      <c r="AI516" s="332"/>
      <c r="AJ516" s="333"/>
      <c r="AK516" s="333"/>
      <c r="AL516" s="333"/>
      <c r="AM516" s="333"/>
    </row>
    <row r="517" spans="2:39" s="316" customFormat="1" ht="26.25" customHeight="1" x14ac:dyDescent="0.2">
      <c r="B517" s="340" t="str">
        <f t="array" ref="B517">IF(ISERROR(INDEX('Eingabe Meldungen'!$C$2:$C$492,LARGE(('Eingabe Meldungen'!$A$2:$A$492=$B$502)*(ROW('Eingabe Meldungen'!$A$2:$A$492)-1),COUNTIF('Eingabe Meldungen'!$A$2:$A$492,$B$502)+1-ROW('Eingabe Meldungen'!A14)))),"",INDEX('Eingabe Meldungen'!$C$2:$C$492,LARGE(('Eingabe Meldungen'!$A$2:$A$492=$B$502)*(ROW('Eingabe Meldungen'!$A$2:$A$492)-1),COUNTIF('Eingabe Meldungen'!$A$2:$A$492,$B$502)+1-ROW('Eingabe Meldungen'!A14))))</f>
        <v/>
      </c>
      <c r="C517" s="316" t="str">
        <f t="array" ref="C517">IF(ISERROR(INDEX('Eingabe Meldungen'!$D$2:$D$492,LARGE(('Eingabe Meldungen'!$A$2:$A$492=$B$502)*(ROW('Eingabe Meldungen'!$A$2:$A$492)-1),COUNTIF('Eingabe Meldungen'!$A$2:$A$492,$B$502)+1-ROW('Eingabe Meldungen'!A14)))),"",INDEX('Eingabe Meldungen'!$D$2:$D$492,LARGE(('Eingabe Meldungen'!$A$2:$A$492=$B$502)*(ROW('Eingabe Meldungen'!$A$2:$A$492)-1),COUNTIF('Eingabe Meldungen'!$A$2:$A$492,$B$502)+1-ROW('Eingabe Meldungen'!A14))))</f>
        <v/>
      </c>
      <c r="D517" s="341" t="str">
        <f t="array" ref="D517">IF(B517&lt;&gt;"",INDEX('Eingabe Meldungen'!$C$2:$H$492,MATCH(B517&amp;C517,'Eingabe Meldungen'!$C$2:$C$492&amp;'Eingabe Meldungen'!$D$2:$D$492,0),6),"")</f>
        <v/>
      </c>
      <c r="E517" s="382" t="str">
        <f t="array" ref="E517">IF(B517&lt;&gt;"",INDEX('Eingabe Meldungen'!$C$2:$H$492,MATCH(B517&amp;C517,'Eingabe Meldungen'!$C$2:$C$492&amp;'Eingabe Meldungen'!$D$2:$D$492,0),4),"")</f>
        <v/>
      </c>
      <c r="F517" s="353" t="e">
        <f>IF(VLOOKUP(B517,Rennlisten!#REF!,6,FALSE)=0,"",VLOOKUP(B517,Rennlisten!#REF!,6,FALSE))</f>
        <v>#REF!</v>
      </c>
      <c r="G517" s="333" t="e">
        <f t="shared" si="56"/>
        <v>#REF!</v>
      </c>
      <c r="H517" s="343" t="str">
        <f t="array" ref="H517">IF(B517&lt;&gt;"",INDEX('Eingabe Meldungen'!$C$2:$J$492,MATCH(B517&amp;C517,'Eingabe Meldungen'!$C$2:$C$492&amp;'Eingabe Meldungen'!$D$2:$D$492,0),8),"")</f>
        <v/>
      </c>
      <c r="J517" s="332"/>
      <c r="K517" s="332"/>
      <c r="L517" s="332"/>
      <c r="M517" s="332"/>
      <c r="N517" s="332"/>
      <c r="O517" s="332"/>
      <c r="P517" s="332"/>
      <c r="Q517" s="332"/>
      <c r="R517" s="332"/>
      <c r="S517" s="332"/>
      <c r="T517" s="332"/>
      <c r="U517" s="332"/>
      <c r="V517" s="332"/>
      <c r="W517" s="332"/>
      <c r="X517" s="332"/>
      <c r="Y517" s="332"/>
      <c r="Z517" s="332"/>
      <c r="AA517" s="332"/>
      <c r="AB517" s="332"/>
      <c r="AC517" s="332"/>
      <c r="AD517" s="332"/>
      <c r="AE517" s="332"/>
      <c r="AF517" s="332"/>
      <c r="AG517" s="332"/>
      <c r="AH517" s="332"/>
      <c r="AI517" s="332"/>
      <c r="AJ517" s="333"/>
      <c r="AK517" s="333"/>
      <c r="AL517" s="333"/>
      <c r="AM517" s="333"/>
    </row>
    <row r="518" spans="2:39" s="316" customFormat="1" ht="26.25" customHeight="1" x14ac:dyDescent="0.2">
      <c r="B518" s="340" t="str">
        <f t="array" ref="B518">IF(ISERROR(INDEX('Eingabe Meldungen'!$C$2:$C$492,LARGE(('Eingabe Meldungen'!$A$2:$A$492=$B$502)*(ROW('Eingabe Meldungen'!$A$2:$A$492)-1),COUNTIF('Eingabe Meldungen'!$A$2:$A$492,$B$502)+1-ROW('Eingabe Meldungen'!A16)))),"",INDEX('Eingabe Meldungen'!$C$2:$C$492,LARGE(('Eingabe Meldungen'!$A$2:$A$492=$B$502)*(ROW('Eingabe Meldungen'!$A$2:$A$492)-1),COUNTIF('Eingabe Meldungen'!$A$2:$A$492,$B$502)+1-ROW('Eingabe Meldungen'!A16))))</f>
        <v/>
      </c>
      <c r="C518" s="316" t="str">
        <f t="array" ref="C518">IF(ISERROR(INDEX('Eingabe Meldungen'!$D$2:$D$492,LARGE(('Eingabe Meldungen'!$A$2:$A$492=$B$502)*(ROW('Eingabe Meldungen'!$A$2:$A$492)-1),COUNTIF('Eingabe Meldungen'!$A$2:$A$492,$B$502)+1-ROW('Eingabe Meldungen'!A16)))),"",INDEX('Eingabe Meldungen'!$D$2:$D$492,LARGE(('Eingabe Meldungen'!$A$2:$A$492=$B$502)*(ROW('Eingabe Meldungen'!$A$2:$A$492)-1),COUNTIF('Eingabe Meldungen'!$A$2:$A$492,$B$502)+1-ROW('Eingabe Meldungen'!A16))))</f>
        <v/>
      </c>
      <c r="D518" s="341" t="str">
        <f t="array" ref="D518">IF(B518&lt;&gt;"",INDEX('Eingabe Meldungen'!$C$2:$H$492,MATCH(B518&amp;C518,'Eingabe Meldungen'!$C$2:$C$492&amp;'Eingabe Meldungen'!$D$2:$D$492,0),6),"")</f>
        <v/>
      </c>
      <c r="E518" s="382" t="str">
        <f t="array" ref="E518">IF(B518&lt;&gt;"",INDEX('Eingabe Meldungen'!$C$2:$H$492,MATCH(B518&amp;C518,'Eingabe Meldungen'!$C$2:$C$492&amp;'Eingabe Meldungen'!$D$2:$D$492,0),4),"")</f>
        <v/>
      </c>
      <c r="F518" s="353" t="e">
        <f>IF(VLOOKUP(B518,Rennlisten!#REF!,6,FALSE)=0,"",VLOOKUP(B518,Rennlisten!#REF!,6,FALSE))</f>
        <v>#REF!</v>
      </c>
      <c r="G518" s="333" t="e">
        <f t="shared" ref="G518:G519" si="57">RANK(F518,$F$504:$F$519,1)</f>
        <v>#REF!</v>
      </c>
      <c r="H518" s="343" t="str">
        <f t="array" ref="H518">IF(B518&lt;&gt;"",INDEX('Eingabe Meldungen'!$C$2:$J$492,MATCH(B518&amp;C518,'Eingabe Meldungen'!$C$2:$C$492&amp;'Eingabe Meldungen'!$D$2:$D$492,0),8),"")</f>
        <v/>
      </c>
      <c r="J518" s="332"/>
      <c r="K518" s="332"/>
      <c r="L518" s="332"/>
      <c r="M518" s="332"/>
      <c r="N518" s="332"/>
      <c r="O518" s="332"/>
      <c r="P518" s="332"/>
      <c r="Q518" s="332"/>
      <c r="R518" s="332"/>
      <c r="S518" s="332"/>
      <c r="T518" s="332"/>
      <c r="U518" s="332"/>
      <c r="V518" s="332"/>
      <c r="W518" s="332"/>
      <c r="X518" s="332"/>
      <c r="Y518" s="332"/>
      <c r="Z518" s="332"/>
      <c r="AA518" s="332"/>
      <c r="AB518" s="332"/>
      <c r="AC518" s="332"/>
      <c r="AD518" s="332"/>
      <c r="AE518" s="332"/>
      <c r="AF518" s="332"/>
      <c r="AG518" s="332"/>
      <c r="AH518" s="332"/>
      <c r="AI518" s="332"/>
      <c r="AJ518" s="333"/>
      <c r="AK518" s="333"/>
      <c r="AL518" s="333"/>
      <c r="AM518" s="333"/>
    </row>
    <row r="519" spans="2:39" s="316" customFormat="1" ht="26.25" customHeight="1" thickBot="1" x14ac:dyDescent="0.25">
      <c r="B519" s="344" t="str">
        <f t="array" ref="B519">IF(ISERROR(INDEX('Eingabe Meldungen'!$C$2:$C$492,LARGE(('Eingabe Meldungen'!$A$2:$A$492=$B$502)*(ROW('Eingabe Meldungen'!$A$2:$A$492)-1),COUNTIF('Eingabe Meldungen'!$A$2:$A$492,$B$502)+1-ROW('Eingabe Meldungen'!A17)))),"",INDEX('Eingabe Meldungen'!$C$2:$C$492,LARGE(('Eingabe Meldungen'!$A$2:$A$492=$B$502)*(ROW('Eingabe Meldungen'!$A$2:$A$492)-1),COUNTIF('Eingabe Meldungen'!$A$2:$A$492,$B$502)+1-ROW('Eingabe Meldungen'!A17))))</f>
        <v/>
      </c>
      <c r="C519" s="345" t="str">
        <f t="array" ref="C519">IF(ISERROR(INDEX('Eingabe Meldungen'!$D$2:$D$492,LARGE(('Eingabe Meldungen'!$A$2:$A$492=$B$502)*(ROW('Eingabe Meldungen'!$A$2:$A$492)-1),COUNTIF('Eingabe Meldungen'!$A$2:$A$492,$B$502)+1-ROW('Eingabe Meldungen'!A17)))),"",INDEX('Eingabe Meldungen'!$D$2:$D$492,LARGE(('Eingabe Meldungen'!$A$2:$A$492=$B$502)*(ROW('Eingabe Meldungen'!$A$2:$A$492)-1),COUNTIF('Eingabe Meldungen'!$A$2:$A$492,$B$502)+1-ROW('Eingabe Meldungen'!A17))))</f>
        <v/>
      </c>
      <c r="D519" s="346" t="str">
        <f t="array" ref="D519">IF(B519&lt;&gt;"",INDEX('Eingabe Meldungen'!$C$2:$H$492,MATCH(B519&amp;C519,'Eingabe Meldungen'!$C$2:$C$492&amp;'Eingabe Meldungen'!$D$2:$D$492,0),6),"")</f>
        <v/>
      </c>
      <c r="E519" s="383" t="str">
        <f t="array" ref="E519">IF(B519&lt;&gt;"",INDEX('Eingabe Meldungen'!$C$2:$H$492,MATCH(B519&amp;C519,'Eingabe Meldungen'!$C$2:$C$492&amp;'Eingabe Meldungen'!$D$2:$D$492,0),4),"")</f>
        <v/>
      </c>
      <c r="F519" s="354" t="e">
        <f>IF(VLOOKUP(B519,Rennlisten!#REF!,6,FALSE)=0,"",VLOOKUP(B519,Rennlisten!#REF!,6,FALSE))</f>
        <v>#REF!</v>
      </c>
      <c r="G519" s="348" t="e">
        <f t="shared" si="57"/>
        <v>#REF!</v>
      </c>
      <c r="H519" s="349" t="str">
        <f t="array" ref="H519">IF(B519&lt;&gt;"",INDEX('Eingabe Meldungen'!$C$2:$J$492,MATCH(B519&amp;C519,'Eingabe Meldungen'!$C$2:$C$492&amp;'Eingabe Meldungen'!$D$2:$D$492,0),8),"")</f>
        <v/>
      </c>
      <c r="J519" s="332"/>
      <c r="K519" s="332"/>
      <c r="L519" s="332"/>
      <c r="M519" s="332"/>
      <c r="N519" s="332"/>
      <c r="O519" s="332"/>
      <c r="P519" s="332"/>
      <c r="Q519" s="332"/>
      <c r="R519" s="332"/>
      <c r="S519" s="332"/>
      <c r="T519" s="332"/>
      <c r="U519" s="332"/>
      <c r="V519" s="332"/>
      <c r="W519" s="332"/>
      <c r="X519" s="332"/>
      <c r="Y519" s="332"/>
      <c r="Z519" s="332"/>
      <c r="AA519" s="332"/>
      <c r="AB519" s="332"/>
      <c r="AC519" s="332"/>
      <c r="AD519" s="332"/>
      <c r="AE519" s="332"/>
      <c r="AF519" s="332"/>
      <c r="AG519" s="332"/>
      <c r="AH519" s="332"/>
      <c r="AI519" s="332"/>
      <c r="AJ519" s="333"/>
      <c r="AK519" s="333"/>
      <c r="AL519" s="333"/>
      <c r="AM519" s="333"/>
    </row>
    <row r="520" spans="2:39" s="316" customFormat="1" ht="26.25" customHeight="1" thickBot="1" x14ac:dyDescent="0.25">
      <c r="E520" s="352"/>
      <c r="F520" s="333"/>
      <c r="G520" s="333"/>
      <c r="J520" s="333"/>
      <c r="K520" s="333"/>
      <c r="L520" s="333"/>
      <c r="M520" s="333"/>
      <c r="N520" s="333"/>
      <c r="O520" s="333"/>
      <c r="P520" s="333"/>
      <c r="Q520" s="333"/>
      <c r="R520" s="333"/>
      <c r="S520" s="333"/>
      <c r="T520" s="333"/>
      <c r="U520" s="333"/>
      <c r="V520" s="333"/>
      <c r="W520" s="333"/>
      <c r="X520" s="333"/>
      <c r="Y520" s="333"/>
      <c r="Z520" s="333"/>
      <c r="AA520" s="333"/>
      <c r="AB520" s="333"/>
      <c r="AC520" s="333"/>
      <c r="AD520" s="333"/>
      <c r="AE520" s="333"/>
      <c r="AF520" s="333"/>
      <c r="AG520" s="333"/>
      <c r="AH520" s="333"/>
      <c r="AI520" s="333"/>
      <c r="AJ520" s="333"/>
      <c r="AK520" s="333"/>
      <c r="AL520" s="333"/>
      <c r="AM520" s="333"/>
    </row>
    <row r="521" spans="2:39" s="316" customFormat="1" ht="26.25" customHeight="1" x14ac:dyDescent="0.2">
      <c r="B521" s="326">
        <v>22</v>
      </c>
      <c r="C521" s="327" t="str">
        <f>VLOOKUP(B521,Ausschreibung!$B$5:$I$35,2,FALSE)</f>
        <v>Ergocup</v>
      </c>
      <c r="D521" s="328">
        <f>VLOOKUP(B521,Ausschreibung!$B$5:$I$35,3,FALSE)</f>
        <v>0.6416666666666665</v>
      </c>
      <c r="E521" s="327" t="str">
        <f>VLOOKUP(B521,Ausschreibung!$B$5:$I$35,4,FALSE)</f>
        <v>Seniorinnen A</v>
      </c>
      <c r="F521" s="329" t="str">
        <f>VLOOKUP(B521,Ausschreibung!$B$5:$I$35,5,FALSE)</f>
        <v>-</v>
      </c>
      <c r="G521" s="330" t="str">
        <f>VLOOKUP(B521,Ausschreibung!$B$5:$I$35,6,FALSE)</f>
        <v>19 und älter</v>
      </c>
      <c r="H521" s="331" t="str">
        <f>VLOOKUP(B521,Ausschreibung!$B$5:$I$35,8,FALSE)</f>
        <v>2000 m</v>
      </c>
      <c r="J521" s="332"/>
      <c r="K521" s="332"/>
      <c r="L521" s="332"/>
      <c r="M521" s="332"/>
      <c r="N521" s="332"/>
      <c r="O521" s="332"/>
      <c r="P521" s="332"/>
      <c r="Q521" s="332"/>
      <c r="R521" s="332"/>
      <c r="S521" s="332"/>
      <c r="T521" s="332"/>
      <c r="U521" s="332"/>
      <c r="V521" s="332"/>
      <c r="W521" s="332"/>
      <c r="X521" s="332"/>
      <c r="Y521" s="332"/>
      <c r="Z521" s="332"/>
      <c r="AA521" s="332"/>
      <c r="AB521" s="332"/>
      <c r="AC521" s="332"/>
      <c r="AD521" s="332"/>
      <c r="AE521" s="332"/>
      <c r="AF521" s="332"/>
      <c r="AG521" s="332"/>
      <c r="AH521" s="332"/>
      <c r="AI521" s="332"/>
      <c r="AJ521" s="333"/>
      <c r="AK521" s="333"/>
      <c r="AL521" s="333"/>
      <c r="AM521" s="333"/>
    </row>
    <row r="522" spans="2:39" s="316" customFormat="1" ht="26.25" customHeight="1" x14ac:dyDescent="0.2">
      <c r="B522" s="334" t="s">
        <v>1</v>
      </c>
      <c r="C522" s="335" t="s">
        <v>2</v>
      </c>
      <c r="D522" s="336" t="s">
        <v>49</v>
      </c>
      <c r="E522" s="381" t="s">
        <v>16</v>
      </c>
      <c r="F522" s="337" t="s">
        <v>50</v>
      </c>
      <c r="G522" s="338" t="s">
        <v>51</v>
      </c>
      <c r="H522" s="339" t="s">
        <v>17</v>
      </c>
      <c r="J522" s="332"/>
      <c r="K522" s="332"/>
      <c r="L522" s="332"/>
      <c r="M522" s="332"/>
      <c r="N522" s="332"/>
      <c r="O522" s="332"/>
      <c r="P522" s="332"/>
      <c r="Q522" s="332"/>
      <c r="R522" s="332"/>
      <c r="S522" s="332"/>
      <c r="T522" s="332"/>
      <c r="U522" s="332"/>
      <c r="V522" s="332"/>
      <c r="W522" s="332"/>
      <c r="X522" s="332"/>
      <c r="Y522" s="332"/>
      <c r="Z522" s="332"/>
      <c r="AA522" s="332"/>
      <c r="AB522" s="332"/>
      <c r="AC522" s="332"/>
      <c r="AD522" s="332"/>
      <c r="AE522" s="332"/>
      <c r="AF522" s="332"/>
      <c r="AG522" s="332"/>
      <c r="AH522" s="332"/>
      <c r="AI522" s="332"/>
      <c r="AJ522" s="333"/>
      <c r="AK522" s="333"/>
      <c r="AL522" s="333"/>
      <c r="AM522" s="333"/>
    </row>
    <row r="523" spans="2:39" s="316" customFormat="1" ht="26.25" customHeight="1" x14ac:dyDescent="0.2">
      <c r="B523" s="340" t="str">
        <f t="array" ref="B523">IF(ISERROR(INDEX('Eingabe Meldungen'!$C$2:$C$492,LARGE(('Eingabe Meldungen'!$A$2:$A$492=$B$521)*(ROW('Eingabe Meldungen'!$A$2:$A$492)-1),COUNTIF('Eingabe Meldungen'!$A$2:$A$492,$B$521)+1-ROW('Eingabe Meldungen'!A1)))),"",INDEX('Eingabe Meldungen'!$C$2:$C$492,LARGE(('Eingabe Meldungen'!$A$2:$A$492=$B$521)*(ROW('Eingabe Meldungen'!$A$2:$A$492)-1),COUNTIF('Eingabe Meldungen'!$A$2:$A$492,$B$521)+1-ROW('Eingabe Meldungen'!A1))))</f>
        <v>Marquardt</v>
      </c>
      <c r="C523" s="316" t="str">
        <f t="array" ref="C523">IF(ISERROR(INDEX('Eingabe Meldungen'!$D$2:$D$492,LARGE(('Eingabe Meldungen'!$A$2:$A$492=$B$521)*(ROW('Eingabe Meldungen'!$A$2:$A$492)-1),COUNTIF('Eingabe Meldungen'!$A$2:$A$492,$B$521)+1-ROW('Eingabe Meldungen'!A1)))),"",INDEX('Eingabe Meldungen'!$D$2:$D$492,LARGE(('Eingabe Meldungen'!$A$2:$A$492=$B$521)*(ROW('Eingabe Meldungen'!$A$2:$A$492)-1),COUNTIF('Eingabe Meldungen'!$A$2:$A$492,$B$521)+1-ROW('Eingabe Meldungen'!A1))))</f>
        <v>Linda</v>
      </c>
      <c r="D523" s="341">
        <f t="array" ref="D523">IF(B523&lt;&gt;"",INDEX('Eingabe Meldungen'!$C$2:$H$492,MATCH(B523&amp;C523,'Eingabe Meldungen'!$C$2:$C$492&amp;'Eingabe Meldungen'!$D$2:$D$492,0),6),"")</f>
        <v>1995</v>
      </c>
      <c r="E523" s="382" t="str">
        <f t="array" ref="E523">IF(B523&lt;&gt;"",INDEX('Eingabe Meldungen'!$C$2:$H$492,MATCH(B523&amp;C523,'Eingabe Meldungen'!$C$2:$C$492&amp;'Eingabe Meldungen'!$D$2:$D$492,0),4),"")</f>
        <v>-</v>
      </c>
      <c r="F523" s="353" t="s">
        <v>651</v>
      </c>
      <c r="G523" s="333">
        <v>2</v>
      </c>
      <c r="H523" s="343" t="str">
        <f t="array" ref="H523">IF(B523&lt;&gt;"",INDEX('Eingabe Meldungen'!$C$2:$J$492,MATCH(B523&amp;C523,'Eingabe Meldungen'!$C$2:$C$492&amp;'Eingabe Meldungen'!$D$2:$D$492,0),8),"")</f>
        <v>Ruderverein Bad Wimpfen</v>
      </c>
      <c r="J523" s="332">
        <v>1</v>
      </c>
      <c r="K523" s="332"/>
      <c r="L523" s="332"/>
      <c r="M523" s="332"/>
      <c r="N523" s="332"/>
      <c r="O523" s="332"/>
      <c r="P523" s="332"/>
      <c r="Q523" s="332"/>
      <c r="R523" s="332"/>
      <c r="S523" s="332"/>
      <c r="T523" s="332"/>
      <c r="U523" s="332"/>
      <c r="V523" s="332"/>
      <c r="W523" s="332"/>
      <c r="X523" s="332"/>
      <c r="Y523" s="332"/>
      <c r="Z523" s="332"/>
      <c r="AA523" s="332"/>
      <c r="AB523" s="332"/>
      <c r="AC523" s="332"/>
      <c r="AD523" s="332"/>
      <c r="AE523" s="332"/>
      <c r="AF523" s="332"/>
      <c r="AG523" s="332"/>
      <c r="AH523" s="332"/>
      <c r="AI523" s="332"/>
      <c r="AJ523" s="333"/>
      <c r="AK523" s="333"/>
      <c r="AL523" s="333"/>
      <c r="AM523" s="333"/>
    </row>
    <row r="524" spans="2:39" s="316" customFormat="1" ht="26.25" customHeight="1" x14ac:dyDescent="0.2">
      <c r="B524" s="340" t="str">
        <f t="array" ref="B524">IF(ISERROR(INDEX('Eingabe Meldungen'!$C$2:$C$492,LARGE(('Eingabe Meldungen'!$A$2:$A$492=$B$521)*(ROW('Eingabe Meldungen'!$A$2:$A$492)-1),COUNTIF('Eingabe Meldungen'!$A$2:$A$492,$B$521)+1-ROW('Eingabe Meldungen'!A2)))),"",INDEX('Eingabe Meldungen'!$C$2:$C$492,LARGE(('Eingabe Meldungen'!$A$2:$A$492=$B$521)*(ROW('Eingabe Meldungen'!$A$2:$A$492)-1),COUNTIF('Eingabe Meldungen'!$A$2:$A$492,$B$521)+1-ROW('Eingabe Meldungen'!A2))))</f>
        <v>Jendrozek</v>
      </c>
      <c r="C524" s="316" t="str">
        <f t="array" ref="C524">IF(ISERROR(INDEX('Eingabe Meldungen'!$D$2:$D$492,LARGE(('Eingabe Meldungen'!$A$2:$A$492=$B$521)*(ROW('Eingabe Meldungen'!$A$2:$A$492)-1),COUNTIF('Eingabe Meldungen'!$A$2:$A$492,$B$521)+1-ROW('Eingabe Meldungen'!A2)))),"",INDEX('Eingabe Meldungen'!$D$2:$D$492,LARGE(('Eingabe Meldungen'!$A$2:$A$492=$B$521)*(ROW('Eingabe Meldungen'!$A$2:$A$492)-1),COUNTIF('Eingabe Meldungen'!$A$2:$A$492,$B$521)+1-ROW('Eingabe Meldungen'!A2))))</f>
        <v>Luisa</v>
      </c>
      <c r="D524" s="341">
        <f t="array" ref="D524">IF(B524&lt;&gt;"",INDEX('Eingabe Meldungen'!$C$2:$H$492,MATCH(B524&amp;C524,'Eingabe Meldungen'!$C$2:$C$492&amp;'Eingabe Meldungen'!$D$2:$D$492,0),6),"")</f>
        <v>1998</v>
      </c>
      <c r="E524" s="382" t="str">
        <f t="array" ref="E524">IF(B524&lt;&gt;"",INDEX('Eingabe Meldungen'!$C$2:$H$492,MATCH(B524&amp;C524,'Eingabe Meldungen'!$C$2:$C$492&amp;'Eingabe Meldungen'!$D$2:$D$492,0),4),"")</f>
        <v>-</v>
      </c>
      <c r="F524" s="353" t="s">
        <v>641</v>
      </c>
      <c r="G524" s="333">
        <v>1</v>
      </c>
      <c r="H524" s="343" t="str">
        <f t="array" ref="H524">IF(B524&lt;&gt;"",INDEX('Eingabe Meldungen'!$C$2:$J$492,MATCH(B524&amp;C524,'Eingabe Meldungen'!$C$2:$C$492&amp;'Eingabe Meldungen'!$D$2:$D$492,0),8),"")</f>
        <v>Stuttgarter RG</v>
      </c>
      <c r="J524" s="332"/>
      <c r="K524" s="332"/>
      <c r="L524" s="332"/>
      <c r="M524" s="332"/>
      <c r="N524" s="332"/>
      <c r="O524" s="332"/>
      <c r="P524" s="332"/>
      <c r="Q524" s="332"/>
      <c r="R524" s="332"/>
      <c r="S524" s="332"/>
      <c r="T524" s="332"/>
      <c r="U524" s="332"/>
      <c r="V524" s="332">
        <v>3</v>
      </c>
      <c r="W524" s="332"/>
      <c r="X524" s="332"/>
      <c r="Y524" s="332"/>
      <c r="Z524" s="332"/>
      <c r="AA524" s="332"/>
      <c r="AB524" s="332"/>
      <c r="AC524" s="332"/>
      <c r="AD524" s="332"/>
      <c r="AE524" s="332"/>
      <c r="AF524" s="332"/>
      <c r="AG524" s="332"/>
      <c r="AH524" s="332"/>
      <c r="AI524" s="332"/>
      <c r="AJ524" s="333"/>
      <c r="AK524" s="333"/>
      <c r="AL524" s="333"/>
      <c r="AM524" s="333"/>
    </row>
    <row r="525" spans="2:39" s="316" customFormat="1" ht="26.25" customHeight="1" x14ac:dyDescent="0.2">
      <c r="B525" s="340"/>
      <c r="D525" s="341"/>
      <c r="E525" s="382"/>
      <c r="F525" s="353"/>
      <c r="G525" s="333"/>
      <c r="H525" s="343"/>
      <c r="J525" s="332"/>
      <c r="K525" s="332"/>
      <c r="L525" s="332"/>
      <c r="M525" s="332"/>
      <c r="N525" s="332"/>
      <c r="O525" s="332"/>
      <c r="P525" s="332"/>
      <c r="Q525" s="332"/>
      <c r="R525" s="332"/>
      <c r="S525" s="332"/>
      <c r="T525" s="332"/>
      <c r="U525" s="332"/>
      <c r="V525" s="332"/>
      <c r="W525" s="332"/>
      <c r="X525" s="332"/>
      <c r="Y525" s="332"/>
      <c r="Z525" s="332"/>
      <c r="AA525" s="332"/>
      <c r="AB525" s="332"/>
      <c r="AC525" s="332"/>
      <c r="AD525" s="332"/>
      <c r="AE525" s="332"/>
      <c r="AF525" s="332"/>
      <c r="AG525" s="332"/>
      <c r="AH525" s="332"/>
      <c r="AI525" s="332"/>
      <c r="AJ525" s="333"/>
      <c r="AK525" s="333"/>
      <c r="AL525" s="333"/>
      <c r="AM525" s="333"/>
    </row>
    <row r="526" spans="2:39" s="316" customFormat="1" ht="26.25" customHeight="1" x14ac:dyDescent="0.2">
      <c r="B526" s="340" t="str">
        <f t="array" ref="B526">IF(ISERROR(INDEX('Eingabe Meldungen'!$C$2:$C$492,LARGE(('Eingabe Meldungen'!$A$2:$A$492=$B$521)*(ROW('Eingabe Meldungen'!$A$2:$A$492)-1),COUNTIF('Eingabe Meldungen'!$A$2:$A$492,$B$521)+1-ROW('Eingabe Meldungen'!A4)))),"",INDEX('Eingabe Meldungen'!$C$2:$C$492,LARGE(('Eingabe Meldungen'!$A$2:$A$492=$B$521)*(ROW('Eingabe Meldungen'!$A$2:$A$492)-1),COUNTIF('Eingabe Meldungen'!$A$2:$A$492,$B$521)+1-ROW('Eingabe Meldungen'!A4))))</f>
        <v/>
      </c>
      <c r="C526" s="316" t="str">
        <f t="array" ref="C526">IF(ISERROR(INDEX('Eingabe Meldungen'!$D$2:$D$492,LARGE(('Eingabe Meldungen'!$A$2:$A$492=$B$521)*(ROW('Eingabe Meldungen'!$A$2:$A$492)-1),COUNTIF('Eingabe Meldungen'!$A$2:$A$492,$B$521)+1-ROW('Eingabe Meldungen'!A4)))),"",INDEX('Eingabe Meldungen'!$D$2:$D$492,LARGE(('Eingabe Meldungen'!$A$2:$A$492=$B$521)*(ROW('Eingabe Meldungen'!$A$2:$A$492)-1),COUNTIF('Eingabe Meldungen'!$A$2:$A$492,$B$521)+1-ROW('Eingabe Meldungen'!A4))))</f>
        <v/>
      </c>
      <c r="D526" s="341" t="str">
        <f t="array" ref="D526">IF(B526&lt;&gt;"",INDEX('Eingabe Meldungen'!$C$2:$H$492,MATCH(B526&amp;C526,'Eingabe Meldungen'!$C$2:$C$492&amp;'Eingabe Meldungen'!$D$2:$D$492,0),6),"")</f>
        <v/>
      </c>
      <c r="E526" s="382" t="str">
        <f t="array" ref="E526">IF(B526&lt;&gt;"",INDEX('Eingabe Meldungen'!$C$2:$H$492,MATCH(B526&amp;C526,'Eingabe Meldungen'!$C$2:$C$492&amp;'Eingabe Meldungen'!$D$2:$D$492,0),4),"")</f>
        <v/>
      </c>
      <c r="F526" s="353" t="str">
        <f>IF(VLOOKUP(B526,Rennlisten!$B$318:$H$322,6,FALSE)=0,"",VLOOKUP(B526,Rennlisten!$B$318:$H$322,6,FALSE))</f>
        <v/>
      </c>
      <c r="G526" s="333" t="e">
        <f t="shared" ref="G526:G538" si="58">RANK(F526,$F$523:$F$538,1)</f>
        <v>#VALUE!</v>
      </c>
      <c r="H526" s="343" t="str">
        <f t="array" ref="H526">IF(B526&lt;&gt;"",INDEX('Eingabe Meldungen'!$C$2:$J$492,MATCH(B526&amp;C526,'Eingabe Meldungen'!$C$2:$C$492&amp;'Eingabe Meldungen'!$D$2:$D$492,0),8),"")</f>
        <v/>
      </c>
      <c r="J526" s="332"/>
      <c r="K526" s="332"/>
      <c r="L526" s="332"/>
      <c r="M526" s="332"/>
      <c r="N526" s="332"/>
      <c r="O526" s="332"/>
      <c r="P526" s="332"/>
      <c r="Q526" s="332"/>
      <c r="R526" s="332"/>
      <c r="S526" s="332"/>
      <c r="T526" s="332"/>
      <c r="U526" s="332"/>
      <c r="V526" s="332"/>
      <c r="W526" s="332"/>
      <c r="X526" s="332"/>
      <c r="Y526" s="332"/>
      <c r="Z526" s="332"/>
      <c r="AA526" s="332"/>
      <c r="AB526" s="332"/>
      <c r="AC526" s="332"/>
      <c r="AD526" s="332"/>
      <c r="AE526" s="332"/>
      <c r="AF526" s="332"/>
      <c r="AG526" s="332"/>
      <c r="AH526" s="332"/>
      <c r="AI526" s="332"/>
      <c r="AJ526" s="333"/>
      <c r="AK526" s="333"/>
      <c r="AL526" s="333"/>
      <c r="AM526" s="333"/>
    </row>
    <row r="527" spans="2:39" s="316" customFormat="1" ht="26.25" customHeight="1" x14ac:dyDescent="0.2">
      <c r="B527" s="340" t="str">
        <f t="array" ref="B527">IF(ISERROR(INDEX('Eingabe Meldungen'!$C$2:$C$492,LARGE(('Eingabe Meldungen'!$A$2:$A$492=$B$521)*(ROW('Eingabe Meldungen'!$A$2:$A$492)-1),COUNTIF('Eingabe Meldungen'!$A$2:$A$492,$B$521)+1-ROW('Eingabe Meldungen'!A5)))),"",INDEX('Eingabe Meldungen'!$C$2:$C$492,LARGE(('Eingabe Meldungen'!$A$2:$A$492=$B$521)*(ROW('Eingabe Meldungen'!$A$2:$A$492)-1),COUNTIF('Eingabe Meldungen'!$A$2:$A$492,$B$521)+1-ROW('Eingabe Meldungen'!A5))))</f>
        <v/>
      </c>
      <c r="C527" s="316" t="str">
        <f t="array" ref="C527">IF(ISERROR(INDEX('Eingabe Meldungen'!$D$2:$D$492,LARGE(('Eingabe Meldungen'!$A$2:$A$492=$B$521)*(ROW('Eingabe Meldungen'!$A$2:$A$492)-1),COUNTIF('Eingabe Meldungen'!$A$2:$A$492,$B$521)+1-ROW('Eingabe Meldungen'!A5)))),"",INDEX('Eingabe Meldungen'!$D$2:$D$492,LARGE(('Eingabe Meldungen'!$A$2:$A$492=$B$521)*(ROW('Eingabe Meldungen'!$A$2:$A$492)-1),COUNTIF('Eingabe Meldungen'!$A$2:$A$492,$B$521)+1-ROW('Eingabe Meldungen'!A5))))</f>
        <v/>
      </c>
      <c r="D527" s="341" t="str">
        <f t="array" ref="D527">IF(B527&lt;&gt;"",INDEX('Eingabe Meldungen'!$C$2:$H$492,MATCH(B527&amp;C527,'Eingabe Meldungen'!$C$2:$C$492&amp;'Eingabe Meldungen'!$D$2:$D$492,0),6),"")</f>
        <v/>
      </c>
      <c r="E527" s="382" t="str">
        <f t="array" ref="E527">IF(B527&lt;&gt;"",INDEX('Eingabe Meldungen'!$C$2:$H$492,MATCH(B527&amp;C527,'Eingabe Meldungen'!$C$2:$C$492&amp;'Eingabe Meldungen'!$D$2:$D$492,0),4),"")</f>
        <v/>
      </c>
      <c r="F527" s="353" t="str">
        <f>IF(VLOOKUP(B527,Rennlisten!$B$318:$H$322,6,FALSE)=0,"",VLOOKUP(B527,Rennlisten!$B$318:$H$322,6,FALSE))</f>
        <v/>
      </c>
      <c r="G527" s="333" t="e">
        <f t="shared" si="58"/>
        <v>#VALUE!</v>
      </c>
      <c r="H527" s="343" t="str">
        <f t="array" ref="H527">IF(B527&lt;&gt;"",INDEX('Eingabe Meldungen'!$C$2:$J$492,MATCH(B527&amp;C527,'Eingabe Meldungen'!$C$2:$C$492&amp;'Eingabe Meldungen'!$D$2:$D$492,0),8),"")</f>
        <v/>
      </c>
      <c r="J527" s="332"/>
      <c r="K527" s="332"/>
      <c r="L527" s="332"/>
      <c r="M527" s="332"/>
      <c r="N527" s="332"/>
      <c r="O527" s="332"/>
      <c r="P527" s="332"/>
      <c r="Q527" s="332"/>
      <c r="R527" s="332"/>
      <c r="S527" s="332"/>
      <c r="T527" s="332"/>
      <c r="U527" s="332"/>
      <c r="V527" s="332"/>
      <c r="W527" s="332"/>
      <c r="X527" s="332"/>
      <c r="Y527" s="332"/>
      <c r="Z527" s="332"/>
      <c r="AA527" s="332"/>
      <c r="AB527" s="332"/>
      <c r="AC527" s="332"/>
      <c r="AD527" s="332"/>
      <c r="AE527" s="332"/>
      <c r="AF527" s="332"/>
      <c r="AG527" s="332"/>
      <c r="AH527" s="332"/>
      <c r="AI527" s="332"/>
      <c r="AJ527" s="333"/>
      <c r="AK527" s="333"/>
      <c r="AL527" s="333"/>
      <c r="AM527" s="333"/>
    </row>
    <row r="528" spans="2:39" s="316" customFormat="1" ht="26.25" customHeight="1" x14ac:dyDescent="0.2">
      <c r="B528" s="340" t="str">
        <f t="array" ref="B528">IF(ISERROR(INDEX('Eingabe Meldungen'!$C$2:$C$492,LARGE(('Eingabe Meldungen'!$A$2:$A$492=$B$521)*(ROW('Eingabe Meldungen'!$A$2:$A$492)-1),COUNTIF('Eingabe Meldungen'!$A$2:$A$492,$B$521)+1-ROW('Eingabe Meldungen'!A6)))),"",INDEX('Eingabe Meldungen'!$C$2:$C$492,LARGE(('Eingabe Meldungen'!$A$2:$A$492=$B$521)*(ROW('Eingabe Meldungen'!$A$2:$A$492)-1),COUNTIF('Eingabe Meldungen'!$A$2:$A$492,$B$521)+1-ROW('Eingabe Meldungen'!A6))))</f>
        <v/>
      </c>
      <c r="C528" s="316" t="str">
        <f t="array" ref="C528">IF(ISERROR(INDEX('Eingabe Meldungen'!$D$2:$D$492,LARGE(('Eingabe Meldungen'!$A$2:$A$492=$B$521)*(ROW('Eingabe Meldungen'!$A$2:$A$492)-1),COUNTIF('Eingabe Meldungen'!$A$2:$A$492,$B$521)+1-ROW('Eingabe Meldungen'!A6)))),"",INDEX('Eingabe Meldungen'!$D$2:$D$492,LARGE(('Eingabe Meldungen'!$A$2:$A$492=$B$521)*(ROW('Eingabe Meldungen'!$A$2:$A$492)-1),COUNTIF('Eingabe Meldungen'!$A$2:$A$492,$B$521)+1-ROW('Eingabe Meldungen'!A6))))</f>
        <v/>
      </c>
      <c r="D528" s="341" t="str">
        <f t="array" ref="D528">IF(B528&lt;&gt;"",INDEX('Eingabe Meldungen'!$C$2:$H$492,MATCH(B528&amp;C528,'Eingabe Meldungen'!$C$2:$C$492&amp;'Eingabe Meldungen'!$D$2:$D$492,0),6),"")</f>
        <v/>
      </c>
      <c r="E528" s="382" t="str">
        <f t="array" ref="E528">IF(B528&lt;&gt;"",INDEX('Eingabe Meldungen'!$C$2:$H$492,MATCH(B528&amp;C528,'Eingabe Meldungen'!$C$2:$C$492&amp;'Eingabe Meldungen'!$D$2:$D$492,0),4),"")</f>
        <v/>
      </c>
      <c r="F528" s="353" t="str">
        <f>IF(VLOOKUP(B528,Rennlisten!$B$318:$H$322,6,FALSE)=0,"",VLOOKUP(B528,Rennlisten!$B$318:$H$322,6,FALSE))</f>
        <v/>
      </c>
      <c r="G528" s="333" t="e">
        <f t="shared" si="58"/>
        <v>#VALUE!</v>
      </c>
      <c r="H528" s="343" t="str">
        <f t="array" ref="H528">IF(B528&lt;&gt;"",INDEX('Eingabe Meldungen'!$C$2:$J$492,MATCH(B528&amp;C528,'Eingabe Meldungen'!$C$2:$C$492&amp;'Eingabe Meldungen'!$D$2:$D$492,0),8),"")</f>
        <v/>
      </c>
      <c r="J528" s="332"/>
      <c r="K528" s="332"/>
      <c r="L528" s="332"/>
      <c r="M528" s="332"/>
      <c r="N528" s="332"/>
      <c r="O528" s="332"/>
      <c r="P528" s="332"/>
      <c r="Q528" s="332"/>
      <c r="R528" s="332"/>
      <c r="S528" s="332"/>
      <c r="T528" s="332"/>
      <c r="U528" s="332"/>
      <c r="V528" s="332"/>
      <c r="W528" s="332"/>
      <c r="X528" s="332"/>
      <c r="Y528" s="332"/>
      <c r="Z528" s="332"/>
      <c r="AA528" s="332"/>
      <c r="AB528" s="332"/>
      <c r="AC528" s="332"/>
      <c r="AD528" s="332"/>
      <c r="AE528" s="332"/>
      <c r="AF528" s="332"/>
      <c r="AG528" s="332"/>
      <c r="AH528" s="332"/>
      <c r="AI528" s="332"/>
      <c r="AJ528" s="333"/>
      <c r="AK528" s="333"/>
      <c r="AL528" s="333"/>
      <c r="AM528" s="333"/>
    </row>
    <row r="529" spans="2:39" s="316" customFormat="1" ht="26.25" customHeight="1" x14ac:dyDescent="0.2">
      <c r="B529" s="340" t="str">
        <f t="array" ref="B529">IF(ISERROR(INDEX('Eingabe Meldungen'!$C$2:$C$492,LARGE(('Eingabe Meldungen'!$A$2:$A$492=$B$521)*(ROW('Eingabe Meldungen'!$A$2:$A$492)-1),COUNTIF('Eingabe Meldungen'!$A$2:$A$492,$B$521)+1-ROW('Eingabe Meldungen'!A7)))),"",INDEX('Eingabe Meldungen'!$C$2:$C$492,LARGE(('Eingabe Meldungen'!$A$2:$A$492=$B$521)*(ROW('Eingabe Meldungen'!$A$2:$A$492)-1),COUNTIF('Eingabe Meldungen'!$A$2:$A$492,$B$521)+1-ROW('Eingabe Meldungen'!A7))))</f>
        <v/>
      </c>
      <c r="C529" s="316" t="str">
        <f t="array" ref="C529">IF(ISERROR(INDEX('Eingabe Meldungen'!$D$2:$D$492,LARGE(('Eingabe Meldungen'!$A$2:$A$492=$B$521)*(ROW('Eingabe Meldungen'!$A$2:$A$492)-1),COUNTIF('Eingabe Meldungen'!$A$2:$A$492,$B$521)+1-ROW('Eingabe Meldungen'!A7)))),"",INDEX('Eingabe Meldungen'!$D$2:$D$492,LARGE(('Eingabe Meldungen'!$A$2:$A$492=$B$521)*(ROW('Eingabe Meldungen'!$A$2:$A$492)-1),COUNTIF('Eingabe Meldungen'!$A$2:$A$492,$B$521)+1-ROW('Eingabe Meldungen'!A7))))</f>
        <v/>
      </c>
      <c r="D529" s="341" t="str">
        <f t="array" ref="D529">IF(B529&lt;&gt;"",INDEX('Eingabe Meldungen'!$C$2:$H$492,MATCH(B529&amp;C529,'Eingabe Meldungen'!$C$2:$C$492&amp;'Eingabe Meldungen'!$D$2:$D$492,0),6),"")</f>
        <v/>
      </c>
      <c r="E529" s="382" t="str">
        <f t="array" ref="E529">IF(B529&lt;&gt;"",INDEX('Eingabe Meldungen'!$C$2:$H$492,MATCH(B529&amp;C529,'Eingabe Meldungen'!$C$2:$C$492&amp;'Eingabe Meldungen'!$D$2:$D$492,0),4),"")</f>
        <v/>
      </c>
      <c r="F529" s="353" t="str">
        <f>IF(VLOOKUP(B529,Rennlisten!$B$318:$H$322,6,FALSE)=0,"",VLOOKUP(B529,Rennlisten!$B$318:$H$322,6,FALSE))</f>
        <v/>
      </c>
      <c r="G529" s="333" t="e">
        <f t="shared" si="58"/>
        <v>#VALUE!</v>
      </c>
      <c r="H529" s="343" t="str">
        <f t="array" ref="H529">IF(B529&lt;&gt;"",INDEX('Eingabe Meldungen'!$C$2:$J$492,MATCH(B529&amp;C529,'Eingabe Meldungen'!$C$2:$C$492&amp;'Eingabe Meldungen'!$D$2:$D$492,0),8),"")</f>
        <v/>
      </c>
      <c r="J529" s="332"/>
      <c r="K529" s="332"/>
      <c r="L529" s="332"/>
      <c r="M529" s="332"/>
      <c r="N529" s="332"/>
      <c r="O529" s="332"/>
      <c r="P529" s="332"/>
      <c r="Q529" s="332"/>
      <c r="R529" s="332"/>
      <c r="S529" s="332"/>
      <c r="T529" s="332"/>
      <c r="U529" s="332"/>
      <c r="V529" s="332"/>
      <c r="W529" s="332"/>
      <c r="X529" s="332"/>
      <c r="Y529" s="332"/>
      <c r="Z529" s="332"/>
      <c r="AA529" s="332"/>
      <c r="AB529" s="332"/>
      <c r="AC529" s="332"/>
      <c r="AD529" s="332"/>
      <c r="AE529" s="332"/>
      <c r="AF529" s="332"/>
      <c r="AG529" s="332"/>
      <c r="AH529" s="332"/>
      <c r="AI529" s="332"/>
      <c r="AJ529" s="333"/>
      <c r="AK529" s="333"/>
      <c r="AL529" s="333"/>
      <c r="AM529" s="333"/>
    </row>
    <row r="530" spans="2:39" s="316" customFormat="1" ht="26.25" customHeight="1" x14ac:dyDescent="0.2">
      <c r="B530" s="340" t="str">
        <f t="array" ref="B530">IF(ISERROR(INDEX('Eingabe Meldungen'!$C$2:$C$492,LARGE(('Eingabe Meldungen'!$A$2:$A$492=$B$521)*(ROW('Eingabe Meldungen'!$A$2:$A$492)-1),COUNTIF('Eingabe Meldungen'!$A$2:$A$492,$B$521)+1-ROW('Eingabe Meldungen'!A8)))),"",INDEX('Eingabe Meldungen'!$C$2:$C$492,LARGE(('Eingabe Meldungen'!$A$2:$A$492=$B$521)*(ROW('Eingabe Meldungen'!$A$2:$A$492)-1),COUNTIF('Eingabe Meldungen'!$A$2:$A$492,$B$521)+1-ROW('Eingabe Meldungen'!A8))))</f>
        <v/>
      </c>
      <c r="C530" s="316" t="str">
        <f t="array" ref="C530">IF(ISERROR(INDEX('Eingabe Meldungen'!$D$2:$D$492,LARGE(('Eingabe Meldungen'!$A$2:$A$492=$B$521)*(ROW('Eingabe Meldungen'!$A$2:$A$492)-1),COUNTIF('Eingabe Meldungen'!$A$2:$A$492,$B$521)+1-ROW('Eingabe Meldungen'!A8)))),"",INDEX('Eingabe Meldungen'!$D$2:$D$492,LARGE(('Eingabe Meldungen'!$A$2:$A$492=$B$521)*(ROW('Eingabe Meldungen'!$A$2:$A$492)-1),COUNTIF('Eingabe Meldungen'!$A$2:$A$492,$B$521)+1-ROW('Eingabe Meldungen'!A8))))</f>
        <v/>
      </c>
      <c r="D530" s="341" t="str">
        <f t="array" ref="D530">IF(B530&lt;&gt;"",INDEX('Eingabe Meldungen'!$C$2:$H$492,MATCH(B530&amp;C530,'Eingabe Meldungen'!$C$2:$C$492&amp;'Eingabe Meldungen'!$D$2:$D$492,0),6),"")</f>
        <v/>
      </c>
      <c r="E530" s="382" t="str">
        <f t="array" ref="E530">IF(B530&lt;&gt;"",INDEX('Eingabe Meldungen'!$C$2:$H$492,MATCH(B530&amp;C530,'Eingabe Meldungen'!$C$2:$C$492&amp;'Eingabe Meldungen'!$D$2:$D$492,0),4),"")</f>
        <v/>
      </c>
      <c r="F530" s="353" t="str">
        <f>IF(VLOOKUP(B530,Rennlisten!$B$318:$H$322,6,FALSE)=0,"",VLOOKUP(B530,Rennlisten!$B$318:$H$322,6,FALSE))</f>
        <v/>
      </c>
      <c r="G530" s="333" t="e">
        <f t="shared" si="58"/>
        <v>#VALUE!</v>
      </c>
      <c r="H530" s="343" t="str">
        <f t="array" ref="H530">IF(B530&lt;&gt;"",INDEX('Eingabe Meldungen'!$C$2:$J$492,MATCH(B530&amp;C530,'Eingabe Meldungen'!$C$2:$C$492&amp;'Eingabe Meldungen'!$D$2:$D$492,0),8),"")</f>
        <v/>
      </c>
      <c r="J530" s="332"/>
      <c r="K530" s="332"/>
      <c r="L530" s="332"/>
      <c r="M530" s="332"/>
      <c r="N530" s="332"/>
      <c r="O530" s="332"/>
      <c r="P530" s="332"/>
      <c r="Q530" s="332"/>
      <c r="R530" s="332"/>
      <c r="S530" s="332"/>
      <c r="T530" s="332"/>
      <c r="U530" s="332"/>
      <c r="V530" s="332"/>
      <c r="W530" s="332"/>
      <c r="X530" s="332"/>
      <c r="Y530" s="332"/>
      <c r="Z530" s="332"/>
      <c r="AA530" s="332"/>
      <c r="AB530" s="332"/>
      <c r="AC530" s="332"/>
      <c r="AD530" s="332"/>
      <c r="AE530" s="332"/>
      <c r="AF530" s="332"/>
      <c r="AG530" s="332"/>
      <c r="AH530" s="332"/>
      <c r="AI530" s="332"/>
      <c r="AJ530" s="333"/>
      <c r="AK530" s="333"/>
      <c r="AL530" s="333"/>
      <c r="AM530" s="333"/>
    </row>
    <row r="531" spans="2:39" s="316" customFormat="1" ht="26.25" customHeight="1" x14ac:dyDescent="0.2">
      <c r="B531" s="340" t="str">
        <f t="array" ref="B531">IF(ISERROR(INDEX('Eingabe Meldungen'!$C$2:$C$492,LARGE(('Eingabe Meldungen'!$A$2:$A$492=$B$521)*(ROW('Eingabe Meldungen'!$A$2:$A$492)-1),COUNTIF('Eingabe Meldungen'!$A$2:$A$492,$B$521)+1-ROW('Eingabe Meldungen'!A9)))),"",INDEX('Eingabe Meldungen'!$C$2:$C$492,LARGE(('Eingabe Meldungen'!$A$2:$A$492=$B$521)*(ROW('Eingabe Meldungen'!$A$2:$A$492)-1),COUNTIF('Eingabe Meldungen'!$A$2:$A$492,$B$521)+1-ROW('Eingabe Meldungen'!A9))))</f>
        <v/>
      </c>
      <c r="C531" s="316" t="str">
        <f t="array" ref="C531">IF(ISERROR(INDEX('Eingabe Meldungen'!$D$2:$D$492,LARGE(('Eingabe Meldungen'!$A$2:$A$492=$B$521)*(ROW('Eingabe Meldungen'!$A$2:$A$492)-1),COUNTIF('Eingabe Meldungen'!$A$2:$A$492,$B$521)+1-ROW('Eingabe Meldungen'!A9)))),"",INDEX('Eingabe Meldungen'!$D$2:$D$492,LARGE(('Eingabe Meldungen'!$A$2:$A$492=$B$521)*(ROW('Eingabe Meldungen'!$A$2:$A$492)-1),COUNTIF('Eingabe Meldungen'!$A$2:$A$492,$B$521)+1-ROW('Eingabe Meldungen'!A9))))</f>
        <v/>
      </c>
      <c r="D531" s="341" t="str">
        <f t="array" ref="D531">IF(B531&lt;&gt;"",INDEX('Eingabe Meldungen'!$C$2:$H$492,MATCH(B531&amp;C531,'Eingabe Meldungen'!$C$2:$C$492&amp;'Eingabe Meldungen'!$D$2:$D$492,0),6),"")</f>
        <v/>
      </c>
      <c r="E531" s="382" t="str">
        <f t="array" ref="E531">IF(B531&lt;&gt;"",INDEX('Eingabe Meldungen'!$C$2:$H$492,MATCH(B531&amp;C531,'Eingabe Meldungen'!$C$2:$C$492&amp;'Eingabe Meldungen'!$D$2:$D$492,0),4),"")</f>
        <v/>
      </c>
      <c r="F531" s="353" t="str">
        <f>IF(VLOOKUP(B531,Rennlisten!$B$318:$H$322,6,FALSE)=0,"",VLOOKUP(B531,Rennlisten!$B$318:$H$322,6,FALSE))</f>
        <v/>
      </c>
      <c r="G531" s="333" t="e">
        <f t="shared" si="58"/>
        <v>#VALUE!</v>
      </c>
      <c r="H531" s="343" t="str">
        <f t="array" ref="H531">IF(B531&lt;&gt;"",INDEX('Eingabe Meldungen'!$C$2:$J$492,MATCH(B531&amp;C531,'Eingabe Meldungen'!$C$2:$C$492&amp;'Eingabe Meldungen'!$D$2:$D$492,0),8),"")</f>
        <v/>
      </c>
      <c r="J531" s="332"/>
      <c r="K531" s="332"/>
      <c r="L531" s="332"/>
      <c r="M531" s="332"/>
      <c r="N531" s="332"/>
      <c r="O531" s="332"/>
      <c r="P531" s="332"/>
      <c r="Q531" s="332"/>
      <c r="R531" s="332"/>
      <c r="S531" s="332"/>
      <c r="T531" s="332"/>
      <c r="U531" s="332"/>
      <c r="V531" s="332"/>
      <c r="W531" s="332"/>
      <c r="X531" s="332"/>
      <c r="Y531" s="332"/>
      <c r="Z531" s="332"/>
      <c r="AA531" s="332"/>
      <c r="AB531" s="332"/>
      <c r="AC531" s="332"/>
      <c r="AD531" s="332"/>
      <c r="AE531" s="332"/>
      <c r="AF531" s="332"/>
      <c r="AG531" s="332"/>
      <c r="AH531" s="332"/>
      <c r="AI531" s="332"/>
      <c r="AJ531" s="333"/>
      <c r="AK531" s="333"/>
      <c r="AL531" s="333"/>
      <c r="AM531" s="333"/>
    </row>
    <row r="532" spans="2:39" s="316" customFormat="1" ht="26.25" customHeight="1" x14ac:dyDescent="0.2">
      <c r="B532" s="340" t="str">
        <f t="array" ref="B532">IF(ISERROR(INDEX('Eingabe Meldungen'!$C$2:$C$492,LARGE(('Eingabe Meldungen'!$A$2:$A$492=$B$521)*(ROW('Eingabe Meldungen'!$A$2:$A$492)-1),COUNTIF('Eingabe Meldungen'!$A$2:$A$492,$B$521)+1-ROW('Eingabe Meldungen'!A10)))),"",INDEX('Eingabe Meldungen'!$C$2:$C$492,LARGE(('Eingabe Meldungen'!$A$2:$A$492=$B$521)*(ROW('Eingabe Meldungen'!$A$2:$A$492)-1),COUNTIF('Eingabe Meldungen'!$A$2:$A$492,$B$521)+1-ROW('Eingabe Meldungen'!A10))))</f>
        <v/>
      </c>
      <c r="C532" s="316" t="str">
        <f t="array" ref="C532">IF(ISERROR(INDEX('Eingabe Meldungen'!$D$2:$D$492,LARGE(('Eingabe Meldungen'!$A$2:$A$492=$B$521)*(ROW('Eingabe Meldungen'!$A$2:$A$492)-1),COUNTIF('Eingabe Meldungen'!$A$2:$A$492,$B$521)+1-ROW('Eingabe Meldungen'!A10)))),"",INDEX('Eingabe Meldungen'!$D$2:$D$492,LARGE(('Eingabe Meldungen'!$A$2:$A$492=$B$521)*(ROW('Eingabe Meldungen'!$A$2:$A$492)-1),COUNTIF('Eingabe Meldungen'!$A$2:$A$492,$B$521)+1-ROW('Eingabe Meldungen'!A10))))</f>
        <v/>
      </c>
      <c r="D532" s="341" t="str">
        <f t="array" ref="D532">IF(B532&lt;&gt;"",INDEX('Eingabe Meldungen'!$C$2:$H$492,MATCH(B532&amp;C532,'Eingabe Meldungen'!$C$2:$C$492&amp;'Eingabe Meldungen'!$D$2:$D$492,0),6),"")</f>
        <v/>
      </c>
      <c r="E532" s="382" t="str">
        <f t="array" ref="E532">IF(B532&lt;&gt;"",INDEX('Eingabe Meldungen'!$C$2:$H$492,MATCH(B532&amp;C532,'Eingabe Meldungen'!$C$2:$C$492&amp;'Eingabe Meldungen'!$D$2:$D$492,0),4),"")</f>
        <v/>
      </c>
      <c r="F532" s="353" t="str">
        <f>IF(VLOOKUP(B532,Rennlisten!$B$318:$H$322,6,FALSE)=0,"",VLOOKUP(B532,Rennlisten!$B$318:$H$322,6,FALSE))</f>
        <v/>
      </c>
      <c r="G532" s="333" t="e">
        <f t="shared" si="58"/>
        <v>#VALUE!</v>
      </c>
      <c r="H532" s="343" t="str">
        <f t="array" ref="H532">IF(B532&lt;&gt;"",INDEX('Eingabe Meldungen'!$C$2:$J$492,MATCH(B532&amp;C532,'Eingabe Meldungen'!$C$2:$C$492&amp;'Eingabe Meldungen'!$D$2:$D$492,0),8),"")</f>
        <v/>
      </c>
      <c r="J532" s="332"/>
      <c r="K532" s="332"/>
      <c r="L532" s="332"/>
      <c r="M532" s="332"/>
      <c r="N532" s="332"/>
      <c r="O532" s="332"/>
      <c r="P532" s="332"/>
      <c r="Q532" s="332"/>
      <c r="R532" s="332"/>
      <c r="S532" s="332"/>
      <c r="T532" s="332"/>
      <c r="U532" s="332"/>
      <c r="V532" s="332"/>
      <c r="W532" s="332"/>
      <c r="X532" s="332"/>
      <c r="Y532" s="332"/>
      <c r="Z532" s="332"/>
      <c r="AA532" s="332"/>
      <c r="AB532" s="332"/>
      <c r="AC532" s="332"/>
      <c r="AD532" s="332"/>
      <c r="AE532" s="332"/>
      <c r="AF532" s="332"/>
      <c r="AG532" s="332"/>
      <c r="AH532" s="332"/>
      <c r="AI532" s="332"/>
      <c r="AJ532" s="333"/>
      <c r="AK532" s="333"/>
      <c r="AL532" s="333"/>
      <c r="AM532" s="333"/>
    </row>
    <row r="533" spans="2:39" s="316" customFormat="1" ht="26.25" customHeight="1" x14ac:dyDescent="0.2">
      <c r="B533" s="340" t="str">
        <f t="array" ref="B533">IF(ISERROR(INDEX('Eingabe Meldungen'!$C$2:$C$492,LARGE(('Eingabe Meldungen'!$A$2:$A$492=$B$521)*(ROW('Eingabe Meldungen'!$A$2:$A$492)-1),COUNTIF('Eingabe Meldungen'!$A$2:$A$492,$B$521)+1-ROW('Eingabe Meldungen'!A11)))),"",INDEX('Eingabe Meldungen'!$C$2:$C$492,LARGE(('Eingabe Meldungen'!$A$2:$A$492=$B$521)*(ROW('Eingabe Meldungen'!$A$2:$A$492)-1),COUNTIF('Eingabe Meldungen'!$A$2:$A$492,$B$521)+1-ROW('Eingabe Meldungen'!A11))))</f>
        <v/>
      </c>
      <c r="C533" s="316" t="str">
        <f t="array" ref="C533">IF(ISERROR(INDEX('Eingabe Meldungen'!$D$2:$D$492,LARGE(('Eingabe Meldungen'!$A$2:$A$492=$B$521)*(ROW('Eingabe Meldungen'!$A$2:$A$492)-1),COUNTIF('Eingabe Meldungen'!$A$2:$A$492,$B$521)+1-ROW('Eingabe Meldungen'!A11)))),"",INDEX('Eingabe Meldungen'!$D$2:$D$492,LARGE(('Eingabe Meldungen'!$A$2:$A$492=$B$521)*(ROW('Eingabe Meldungen'!$A$2:$A$492)-1),COUNTIF('Eingabe Meldungen'!$A$2:$A$492,$B$521)+1-ROW('Eingabe Meldungen'!A11))))</f>
        <v/>
      </c>
      <c r="D533" s="341" t="str">
        <f t="array" ref="D533">IF(B533&lt;&gt;"",INDEX('Eingabe Meldungen'!$C$2:$H$492,MATCH(B533&amp;C533,'Eingabe Meldungen'!$C$2:$C$492&amp;'Eingabe Meldungen'!$D$2:$D$492,0),6),"")</f>
        <v/>
      </c>
      <c r="E533" s="382" t="str">
        <f t="array" ref="E533">IF(B533&lt;&gt;"",INDEX('Eingabe Meldungen'!$C$2:$H$492,MATCH(B533&amp;C533,'Eingabe Meldungen'!$C$2:$C$492&amp;'Eingabe Meldungen'!$D$2:$D$492,0),4),"")</f>
        <v/>
      </c>
      <c r="F533" s="353" t="str">
        <f>IF(VLOOKUP(B533,Rennlisten!$B$318:$H$322,6,FALSE)=0,"",VLOOKUP(B533,Rennlisten!$B$318:$H$322,6,FALSE))</f>
        <v/>
      </c>
      <c r="G533" s="333" t="e">
        <f t="shared" si="58"/>
        <v>#VALUE!</v>
      </c>
      <c r="H533" s="343" t="str">
        <f t="array" ref="H533">IF(B533&lt;&gt;"",INDEX('Eingabe Meldungen'!$C$2:$J$492,MATCH(B533&amp;C533,'Eingabe Meldungen'!$C$2:$C$492&amp;'Eingabe Meldungen'!$D$2:$D$492,0),8),"")</f>
        <v/>
      </c>
      <c r="J533" s="332"/>
      <c r="K533" s="332"/>
      <c r="L533" s="332"/>
      <c r="M533" s="332"/>
      <c r="N533" s="332"/>
      <c r="O533" s="332"/>
      <c r="P533" s="332"/>
      <c r="Q533" s="332"/>
      <c r="R533" s="332"/>
      <c r="S533" s="332"/>
      <c r="T533" s="332"/>
      <c r="U533" s="332"/>
      <c r="V533" s="332"/>
      <c r="W533" s="332"/>
      <c r="X533" s="332"/>
      <c r="Y533" s="332"/>
      <c r="Z533" s="332"/>
      <c r="AA533" s="332"/>
      <c r="AB533" s="332"/>
      <c r="AC533" s="332"/>
      <c r="AD533" s="332"/>
      <c r="AE533" s="332"/>
      <c r="AF533" s="332"/>
      <c r="AG533" s="332"/>
      <c r="AH533" s="332"/>
      <c r="AI533" s="332"/>
      <c r="AJ533" s="333"/>
      <c r="AK533" s="333"/>
      <c r="AL533" s="333"/>
      <c r="AM533" s="333"/>
    </row>
    <row r="534" spans="2:39" s="316" customFormat="1" ht="26.25" customHeight="1" x14ac:dyDescent="0.2">
      <c r="B534" s="340" t="str">
        <f t="array" ref="B534">IF(ISERROR(INDEX('Eingabe Meldungen'!$C$2:$C$492,LARGE(('Eingabe Meldungen'!$A$2:$A$492=$B$521)*(ROW('Eingabe Meldungen'!$A$2:$A$492)-1),COUNTIF('Eingabe Meldungen'!$A$2:$A$492,$B$521)+1-ROW('Eingabe Meldungen'!A12)))),"",INDEX('Eingabe Meldungen'!$C$2:$C$492,LARGE(('Eingabe Meldungen'!$A$2:$A$492=$B$521)*(ROW('Eingabe Meldungen'!$A$2:$A$492)-1),COUNTIF('Eingabe Meldungen'!$A$2:$A$492,$B$521)+1-ROW('Eingabe Meldungen'!A12))))</f>
        <v/>
      </c>
      <c r="C534" s="316" t="str">
        <f t="array" ref="C534">IF(ISERROR(INDEX('Eingabe Meldungen'!$D$2:$D$492,LARGE(('Eingabe Meldungen'!$A$2:$A$492=$B$521)*(ROW('Eingabe Meldungen'!$A$2:$A$492)-1),COUNTIF('Eingabe Meldungen'!$A$2:$A$492,$B$521)+1-ROW('Eingabe Meldungen'!A12)))),"",INDEX('Eingabe Meldungen'!$D$2:$D$492,LARGE(('Eingabe Meldungen'!$A$2:$A$492=$B$521)*(ROW('Eingabe Meldungen'!$A$2:$A$492)-1),COUNTIF('Eingabe Meldungen'!$A$2:$A$492,$B$521)+1-ROW('Eingabe Meldungen'!A12))))</f>
        <v/>
      </c>
      <c r="D534" s="341" t="str">
        <f t="array" ref="D534">IF(B534&lt;&gt;"",INDEX('Eingabe Meldungen'!$C$2:$H$492,MATCH(B534&amp;C534,'Eingabe Meldungen'!$C$2:$C$492&amp;'Eingabe Meldungen'!$D$2:$D$492,0),6),"")</f>
        <v/>
      </c>
      <c r="E534" s="382" t="str">
        <f t="array" ref="E534">IF(B534&lt;&gt;"",INDEX('Eingabe Meldungen'!$C$2:$H$492,MATCH(B534&amp;C534,'Eingabe Meldungen'!$C$2:$C$492&amp;'Eingabe Meldungen'!$D$2:$D$492,0),4),"")</f>
        <v/>
      </c>
      <c r="F534" s="353" t="str">
        <f>IF(VLOOKUP(B534,Rennlisten!$B$318:$H$322,6,FALSE)=0,"",VLOOKUP(B534,Rennlisten!$B$318:$H$322,6,FALSE))</f>
        <v/>
      </c>
      <c r="G534" s="333" t="e">
        <f t="shared" si="58"/>
        <v>#VALUE!</v>
      </c>
      <c r="H534" s="343" t="str">
        <f t="array" ref="H534">IF(B534&lt;&gt;"",INDEX('Eingabe Meldungen'!$C$2:$J$492,MATCH(B534&amp;C534,'Eingabe Meldungen'!$C$2:$C$492&amp;'Eingabe Meldungen'!$D$2:$D$492,0),8),"")</f>
        <v/>
      </c>
      <c r="J534" s="332"/>
      <c r="K534" s="332"/>
      <c r="L534" s="332"/>
      <c r="M534" s="332"/>
      <c r="N534" s="332"/>
      <c r="O534" s="332"/>
      <c r="P534" s="332"/>
      <c r="Q534" s="332"/>
      <c r="R534" s="332"/>
      <c r="S534" s="332"/>
      <c r="T534" s="332"/>
      <c r="U534" s="332"/>
      <c r="V534" s="332"/>
      <c r="W534" s="332"/>
      <c r="X534" s="332"/>
      <c r="Y534" s="332"/>
      <c r="Z534" s="332"/>
      <c r="AA534" s="332"/>
      <c r="AB534" s="332"/>
      <c r="AC534" s="332"/>
      <c r="AD534" s="332"/>
      <c r="AE534" s="332"/>
      <c r="AF534" s="332"/>
      <c r="AG534" s="332"/>
      <c r="AH534" s="332"/>
      <c r="AI534" s="332"/>
      <c r="AJ534" s="333"/>
      <c r="AK534" s="333"/>
      <c r="AL534" s="333"/>
      <c r="AM534" s="333"/>
    </row>
    <row r="535" spans="2:39" s="316" customFormat="1" ht="26.25" customHeight="1" x14ac:dyDescent="0.2">
      <c r="B535" s="340" t="str">
        <f t="array" ref="B535">IF(ISERROR(INDEX('Eingabe Meldungen'!$C$2:$C$492,LARGE(('Eingabe Meldungen'!$A$2:$A$492=$B$521)*(ROW('Eingabe Meldungen'!$A$2:$A$492)-1),COUNTIF('Eingabe Meldungen'!$A$2:$A$492,$B$521)+1-ROW('Eingabe Meldungen'!A13)))),"",INDEX('Eingabe Meldungen'!$C$2:$C$492,LARGE(('Eingabe Meldungen'!$A$2:$A$492=$B$521)*(ROW('Eingabe Meldungen'!$A$2:$A$492)-1),COUNTIF('Eingabe Meldungen'!$A$2:$A$492,$B$521)+1-ROW('Eingabe Meldungen'!A13))))</f>
        <v/>
      </c>
      <c r="C535" s="316" t="str">
        <f t="array" ref="C535">IF(ISERROR(INDEX('Eingabe Meldungen'!$D$2:$D$492,LARGE(('Eingabe Meldungen'!$A$2:$A$492=$B$521)*(ROW('Eingabe Meldungen'!$A$2:$A$492)-1),COUNTIF('Eingabe Meldungen'!$A$2:$A$492,$B$521)+1-ROW('Eingabe Meldungen'!A13)))),"",INDEX('Eingabe Meldungen'!$D$2:$D$492,LARGE(('Eingabe Meldungen'!$A$2:$A$492=$B$521)*(ROW('Eingabe Meldungen'!$A$2:$A$492)-1),COUNTIF('Eingabe Meldungen'!$A$2:$A$492,$B$521)+1-ROW('Eingabe Meldungen'!A13))))</f>
        <v/>
      </c>
      <c r="D535" s="341" t="str">
        <f t="array" ref="D535">IF(B535&lt;&gt;"",INDEX('Eingabe Meldungen'!$C$2:$H$492,MATCH(B535&amp;C535,'Eingabe Meldungen'!$C$2:$C$492&amp;'Eingabe Meldungen'!$D$2:$D$492,0),6),"")</f>
        <v/>
      </c>
      <c r="E535" s="382" t="str">
        <f t="array" ref="E535">IF(B535&lt;&gt;"",INDEX('Eingabe Meldungen'!$C$2:$H$492,MATCH(B535&amp;C535,'Eingabe Meldungen'!$C$2:$C$492&amp;'Eingabe Meldungen'!$D$2:$D$492,0),4),"")</f>
        <v/>
      </c>
      <c r="F535" s="353" t="str">
        <f>IF(VLOOKUP(B535,Rennlisten!$B$318:$H$322,6,FALSE)=0,"",VLOOKUP(B535,Rennlisten!$B$318:$H$322,6,FALSE))</f>
        <v/>
      </c>
      <c r="G535" s="333" t="e">
        <f t="shared" si="58"/>
        <v>#VALUE!</v>
      </c>
      <c r="H535" s="343" t="str">
        <f t="array" ref="H535">IF(B535&lt;&gt;"",INDEX('Eingabe Meldungen'!$C$2:$J$492,MATCH(B535&amp;C535,'Eingabe Meldungen'!$C$2:$C$492&amp;'Eingabe Meldungen'!$D$2:$D$492,0),8),"")</f>
        <v/>
      </c>
      <c r="J535" s="332"/>
      <c r="K535" s="332"/>
      <c r="L535" s="332"/>
      <c r="M535" s="332"/>
      <c r="N535" s="332"/>
      <c r="O535" s="332"/>
      <c r="P535" s="332"/>
      <c r="Q535" s="332"/>
      <c r="R535" s="332"/>
      <c r="S535" s="332"/>
      <c r="T535" s="332"/>
      <c r="U535" s="332"/>
      <c r="V535" s="332"/>
      <c r="W535" s="332"/>
      <c r="X535" s="332"/>
      <c r="Y535" s="332"/>
      <c r="Z535" s="332"/>
      <c r="AA535" s="332"/>
      <c r="AB535" s="332"/>
      <c r="AC535" s="332"/>
      <c r="AD535" s="332"/>
      <c r="AE535" s="332"/>
      <c r="AF535" s="332"/>
      <c r="AG535" s="332"/>
      <c r="AH535" s="332"/>
      <c r="AI535" s="332"/>
      <c r="AJ535" s="333"/>
      <c r="AK535" s="333"/>
      <c r="AL535" s="333"/>
      <c r="AM535" s="333"/>
    </row>
    <row r="536" spans="2:39" s="316" customFormat="1" ht="26.25" customHeight="1" x14ac:dyDescent="0.2">
      <c r="B536" s="340" t="str">
        <f t="array" ref="B536">IF(ISERROR(INDEX('Eingabe Meldungen'!$C$2:$C$492,LARGE(('Eingabe Meldungen'!$A$2:$A$492=$B$521)*(ROW('Eingabe Meldungen'!$A$2:$A$492)-1),COUNTIF('Eingabe Meldungen'!$A$2:$A$492,$B$521)+1-ROW('Eingabe Meldungen'!A14)))),"",INDEX('Eingabe Meldungen'!$C$2:$C$492,LARGE(('Eingabe Meldungen'!$A$2:$A$492=$B$521)*(ROW('Eingabe Meldungen'!$A$2:$A$492)-1),COUNTIF('Eingabe Meldungen'!$A$2:$A$492,$B$521)+1-ROW('Eingabe Meldungen'!A14))))</f>
        <v/>
      </c>
      <c r="C536" s="316" t="str">
        <f t="array" ref="C536">IF(ISERROR(INDEX('Eingabe Meldungen'!$D$2:$D$492,LARGE(('Eingabe Meldungen'!$A$2:$A$492=$B$521)*(ROW('Eingabe Meldungen'!$A$2:$A$492)-1),COUNTIF('Eingabe Meldungen'!$A$2:$A$492,$B$521)+1-ROW('Eingabe Meldungen'!A14)))),"",INDEX('Eingabe Meldungen'!$D$2:$D$492,LARGE(('Eingabe Meldungen'!$A$2:$A$492=$B$521)*(ROW('Eingabe Meldungen'!$A$2:$A$492)-1),COUNTIF('Eingabe Meldungen'!$A$2:$A$492,$B$521)+1-ROW('Eingabe Meldungen'!A14))))</f>
        <v/>
      </c>
      <c r="D536" s="341" t="str">
        <f t="array" ref="D536">IF(B536&lt;&gt;"",INDEX('Eingabe Meldungen'!$C$2:$H$492,MATCH(B536&amp;C536,'Eingabe Meldungen'!$C$2:$C$492&amp;'Eingabe Meldungen'!$D$2:$D$492,0),6),"")</f>
        <v/>
      </c>
      <c r="E536" s="382" t="str">
        <f t="array" ref="E536">IF(B536&lt;&gt;"",INDEX('Eingabe Meldungen'!$C$2:$H$492,MATCH(B536&amp;C536,'Eingabe Meldungen'!$C$2:$C$492&amp;'Eingabe Meldungen'!$D$2:$D$492,0),4),"")</f>
        <v/>
      </c>
      <c r="F536" s="353" t="str">
        <f>IF(VLOOKUP(B536,Rennlisten!$B$318:$H$322,6,FALSE)=0,"",VLOOKUP(B536,Rennlisten!$B$318:$H$322,6,FALSE))</f>
        <v/>
      </c>
      <c r="G536" s="333" t="e">
        <f t="shared" si="58"/>
        <v>#VALUE!</v>
      </c>
      <c r="H536" s="343" t="str">
        <f t="array" ref="H536">IF(B536&lt;&gt;"",INDEX('Eingabe Meldungen'!$C$2:$J$492,MATCH(B536&amp;C536,'Eingabe Meldungen'!$C$2:$C$492&amp;'Eingabe Meldungen'!$D$2:$D$492,0),8),"")</f>
        <v/>
      </c>
      <c r="J536" s="332"/>
      <c r="K536" s="332"/>
      <c r="L536" s="332"/>
      <c r="M536" s="332"/>
      <c r="N536" s="332"/>
      <c r="O536" s="332"/>
      <c r="P536" s="332"/>
      <c r="Q536" s="332"/>
      <c r="R536" s="332"/>
      <c r="S536" s="332"/>
      <c r="T536" s="332"/>
      <c r="U536" s="332"/>
      <c r="V536" s="332"/>
      <c r="W536" s="332"/>
      <c r="X536" s="332"/>
      <c r="Y536" s="332"/>
      <c r="Z536" s="332"/>
      <c r="AA536" s="332"/>
      <c r="AB536" s="332"/>
      <c r="AC536" s="332"/>
      <c r="AD536" s="332"/>
      <c r="AE536" s="332"/>
      <c r="AF536" s="332"/>
      <c r="AG536" s="332"/>
      <c r="AH536" s="332"/>
      <c r="AI536" s="332"/>
      <c r="AJ536" s="333"/>
      <c r="AK536" s="333"/>
      <c r="AL536" s="333"/>
      <c r="AM536" s="333"/>
    </row>
    <row r="537" spans="2:39" s="316" customFormat="1" ht="26.25" customHeight="1" x14ac:dyDescent="0.2">
      <c r="B537" s="340" t="str">
        <f t="array" ref="B537">IF(ISERROR(INDEX('Eingabe Meldungen'!$C$2:$C$492,LARGE(('Eingabe Meldungen'!$A$2:$A$492=$B$521)*(ROW('Eingabe Meldungen'!$A$2:$A$492)-1),COUNTIF('Eingabe Meldungen'!$A$2:$A$492,$B$521)+1-ROW('Eingabe Meldungen'!A15)))),"",INDEX('Eingabe Meldungen'!$C$2:$C$492,LARGE(('Eingabe Meldungen'!$A$2:$A$492=$B$521)*(ROW('Eingabe Meldungen'!$A$2:$A$492)-1),COUNTIF('Eingabe Meldungen'!$A$2:$A$492,$B$521)+1-ROW('Eingabe Meldungen'!A15))))</f>
        <v/>
      </c>
      <c r="C537" s="316" t="str">
        <f t="array" ref="C537">IF(ISERROR(INDEX('Eingabe Meldungen'!$D$2:$D$492,LARGE(('Eingabe Meldungen'!$A$2:$A$492=$B$521)*(ROW('Eingabe Meldungen'!$A$2:$A$492)-1),COUNTIF('Eingabe Meldungen'!$A$2:$A$492,$B$521)+1-ROW('Eingabe Meldungen'!A15)))),"",INDEX('Eingabe Meldungen'!$D$2:$D$492,LARGE(('Eingabe Meldungen'!$A$2:$A$492=$B$521)*(ROW('Eingabe Meldungen'!$A$2:$A$492)-1),COUNTIF('Eingabe Meldungen'!$A$2:$A$492,$B$521)+1-ROW('Eingabe Meldungen'!A15))))</f>
        <v/>
      </c>
      <c r="D537" s="341" t="str">
        <f t="array" ref="D537">IF(B537&lt;&gt;"",INDEX('Eingabe Meldungen'!$C$2:$H$492,MATCH(B537&amp;C537,'Eingabe Meldungen'!$C$2:$C$492&amp;'Eingabe Meldungen'!$D$2:$D$492,0),6),"")</f>
        <v/>
      </c>
      <c r="E537" s="382" t="str">
        <f t="array" ref="E537">IF(B537&lt;&gt;"",INDEX('Eingabe Meldungen'!$C$2:$H$492,MATCH(B537&amp;C537,'Eingabe Meldungen'!$C$2:$C$492&amp;'Eingabe Meldungen'!$D$2:$D$492,0),4),"")</f>
        <v/>
      </c>
      <c r="F537" s="353" t="str">
        <f>IF(VLOOKUP(B537,Rennlisten!$B$318:$H$322,6,FALSE)=0,"",VLOOKUP(B537,Rennlisten!$B$318:$H$322,6,FALSE))</f>
        <v/>
      </c>
      <c r="G537" s="333" t="e">
        <f t="shared" si="58"/>
        <v>#VALUE!</v>
      </c>
      <c r="H537" s="343" t="str">
        <f t="array" ref="H537">IF(B537&lt;&gt;"",INDEX('Eingabe Meldungen'!$C$2:$J$492,MATCH(B537&amp;C537,'Eingabe Meldungen'!$C$2:$C$492&amp;'Eingabe Meldungen'!$D$2:$D$492,0),8),"")</f>
        <v/>
      </c>
      <c r="J537" s="332"/>
      <c r="K537" s="332"/>
      <c r="L537" s="332"/>
      <c r="M537" s="332"/>
      <c r="N537" s="332"/>
      <c r="O537" s="332"/>
      <c r="P537" s="332"/>
      <c r="Q537" s="332"/>
      <c r="R537" s="332"/>
      <c r="S537" s="332"/>
      <c r="T537" s="332"/>
      <c r="U537" s="332"/>
      <c r="V537" s="332"/>
      <c r="W537" s="332"/>
      <c r="X537" s="332"/>
      <c r="Y537" s="332"/>
      <c r="Z537" s="332"/>
      <c r="AA537" s="332"/>
      <c r="AB537" s="332"/>
      <c r="AC537" s="332"/>
      <c r="AD537" s="332"/>
      <c r="AE537" s="332"/>
      <c r="AF537" s="332"/>
      <c r="AG537" s="332"/>
      <c r="AH537" s="332"/>
      <c r="AI537" s="332"/>
      <c r="AJ537" s="333"/>
      <c r="AK537" s="333"/>
      <c r="AL537" s="333"/>
      <c r="AM537" s="333"/>
    </row>
    <row r="538" spans="2:39" s="316" customFormat="1" ht="26.25" customHeight="1" x14ac:dyDescent="0.2">
      <c r="B538" s="340" t="str">
        <f t="array" ref="B538">IF(ISERROR(INDEX('Eingabe Meldungen'!$C$2:$C$492,LARGE(('Eingabe Meldungen'!$A$2:$A$492=$B$521)*(ROW('Eingabe Meldungen'!$A$2:$A$492)-1),COUNTIF('Eingabe Meldungen'!$A$2:$A$492,$B$521)+1-ROW('Eingabe Meldungen'!A16)))),"",INDEX('Eingabe Meldungen'!$C$2:$C$492,LARGE(('Eingabe Meldungen'!$A$2:$A$492=$B$521)*(ROW('Eingabe Meldungen'!$A$2:$A$492)-1),COUNTIF('Eingabe Meldungen'!$A$2:$A$492,$B$521)+1-ROW('Eingabe Meldungen'!A16))))</f>
        <v/>
      </c>
      <c r="C538" s="316" t="str">
        <f t="array" ref="C538">IF(ISERROR(INDEX('Eingabe Meldungen'!$D$2:$D$492,LARGE(('Eingabe Meldungen'!$A$2:$A$492=$B$521)*(ROW('Eingabe Meldungen'!$A$2:$A$492)-1),COUNTIF('Eingabe Meldungen'!$A$2:$A$492,$B$521)+1-ROW('Eingabe Meldungen'!A16)))),"",INDEX('Eingabe Meldungen'!$D$2:$D$492,LARGE(('Eingabe Meldungen'!$A$2:$A$492=$B$521)*(ROW('Eingabe Meldungen'!$A$2:$A$492)-1),COUNTIF('Eingabe Meldungen'!$A$2:$A$492,$B$521)+1-ROW('Eingabe Meldungen'!A16))))</f>
        <v/>
      </c>
      <c r="D538" s="341" t="str">
        <f t="array" ref="D538">IF(B538&lt;&gt;"",INDEX('Eingabe Meldungen'!$C$2:$H$492,MATCH(B538&amp;C538,'Eingabe Meldungen'!$C$2:$C$492&amp;'Eingabe Meldungen'!$D$2:$D$492,0),6),"")</f>
        <v/>
      </c>
      <c r="E538" s="382" t="str">
        <f t="array" ref="E538">IF(B538&lt;&gt;"",INDEX('Eingabe Meldungen'!$C$2:$H$492,MATCH(B538&amp;C538,'Eingabe Meldungen'!$C$2:$C$492&amp;'Eingabe Meldungen'!$D$2:$D$492,0),4),"")</f>
        <v/>
      </c>
      <c r="F538" s="353" t="str">
        <f>IF(VLOOKUP(B538,Rennlisten!$B$318:$H$322,6,FALSE)=0,"",VLOOKUP(B538,Rennlisten!$B$318:$H$322,6,FALSE))</f>
        <v/>
      </c>
      <c r="G538" s="333" t="e">
        <f t="shared" si="58"/>
        <v>#VALUE!</v>
      </c>
      <c r="H538" s="343" t="str">
        <f t="array" ref="H538">IF(B538&lt;&gt;"",INDEX('Eingabe Meldungen'!$C$2:$J$492,MATCH(B538&amp;C538,'Eingabe Meldungen'!$C$2:$C$492&amp;'Eingabe Meldungen'!$D$2:$D$492,0),8),"")</f>
        <v/>
      </c>
      <c r="J538" s="332"/>
      <c r="K538" s="332"/>
      <c r="L538" s="332"/>
      <c r="M538" s="332"/>
      <c r="N538" s="332"/>
      <c r="O538" s="332"/>
      <c r="P538" s="332"/>
      <c r="Q538" s="332"/>
      <c r="R538" s="332"/>
      <c r="S538" s="332"/>
      <c r="T538" s="332"/>
      <c r="U538" s="332"/>
      <c r="V538" s="332"/>
      <c r="W538" s="332"/>
      <c r="X538" s="332"/>
      <c r="Y538" s="332"/>
      <c r="Z538" s="332"/>
      <c r="AA538" s="332"/>
      <c r="AB538" s="332"/>
      <c r="AC538" s="332"/>
      <c r="AD538" s="332"/>
      <c r="AE538" s="332"/>
      <c r="AF538" s="332"/>
      <c r="AG538" s="332"/>
      <c r="AH538" s="332"/>
      <c r="AI538" s="332"/>
      <c r="AJ538" s="333"/>
      <c r="AK538" s="333"/>
      <c r="AL538" s="333"/>
      <c r="AM538" s="333"/>
    </row>
    <row r="539" spans="2:39" s="316" customFormat="1" ht="26.25" customHeight="1" thickBot="1" x14ac:dyDescent="0.25">
      <c r="E539" s="352"/>
      <c r="F539" s="333"/>
      <c r="G539" s="333"/>
      <c r="J539" s="333"/>
      <c r="K539" s="333"/>
      <c r="L539" s="333"/>
      <c r="M539" s="333"/>
      <c r="N539" s="333"/>
      <c r="O539" s="333"/>
      <c r="P539" s="333"/>
      <c r="Q539" s="333"/>
      <c r="R539" s="333"/>
      <c r="S539" s="333"/>
      <c r="T539" s="333"/>
      <c r="U539" s="333"/>
      <c r="V539" s="333"/>
      <c r="W539" s="333"/>
      <c r="X539" s="333"/>
      <c r="Y539" s="333"/>
      <c r="Z539" s="333"/>
      <c r="AA539" s="333"/>
      <c r="AB539" s="333"/>
      <c r="AC539" s="333"/>
      <c r="AD539" s="333"/>
      <c r="AE539" s="333"/>
      <c r="AF539" s="333"/>
      <c r="AG539" s="333"/>
      <c r="AH539" s="333"/>
      <c r="AI539" s="333"/>
      <c r="AJ539" s="333"/>
      <c r="AK539" s="333"/>
      <c r="AL539" s="333"/>
      <c r="AM539" s="333"/>
    </row>
    <row r="540" spans="2:39" s="316" customFormat="1" ht="26.25" customHeight="1" x14ac:dyDescent="0.2">
      <c r="B540" s="326">
        <f>B521+1</f>
        <v>23</v>
      </c>
      <c r="C540" s="327" t="str">
        <f>VLOOKUP(B540,Ausschreibung!$B$5:$I$35,2,FALSE)</f>
        <v>Ergocup</v>
      </c>
      <c r="D540" s="328">
        <f>VLOOKUP(B540,Ausschreibung!$B$5:$I$35,3,FALSE)</f>
        <v>0.65208333333333313</v>
      </c>
      <c r="E540" s="327" t="str">
        <f>VLOOKUP(B540,Ausschreibung!$B$5:$I$35,4,FALSE)</f>
        <v>Senioren A</v>
      </c>
      <c r="F540" s="329" t="str">
        <f>VLOOKUP(B540,Ausschreibung!$B$5:$I$35,5,FALSE)</f>
        <v>LGW. bis 75 kg</v>
      </c>
      <c r="G540" s="330" t="str">
        <f>VLOOKUP(B540,Ausschreibung!$B$5:$I$35,6,FALSE)</f>
        <v>19 und älter</v>
      </c>
      <c r="H540" s="331" t="str">
        <f>VLOOKUP(B540,Ausschreibung!$B$5:$I$35,8,FALSE)</f>
        <v>2000 m</v>
      </c>
      <c r="J540" s="332"/>
      <c r="K540" s="332"/>
      <c r="L540" s="332"/>
      <c r="M540" s="332"/>
      <c r="N540" s="332"/>
      <c r="O540" s="332"/>
      <c r="P540" s="332"/>
      <c r="Q540" s="332"/>
      <c r="R540" s="332"/>
      <c r="S540" s="332"/>
      <c r="T540" s="332"/>
      <c r="U540" s="332"/>
      <c r="V540" s="332"/>
      <c r="W540" s="332"/>
      <c r="X540" s="332"/>
      <c r="Y540" s="332"/>
      <c r="Z540" s="332"/>
      <c r="AA540" s="332"/>
      <c r="AB540" s="332"/>
      <c r="AC540" s="332"/>
      <c r="AD540" s="332"/>
      <c r="AE540" s="332"/>
      <c r="AF540" s="332"/>
      <c r="AG540" s="332"/>
      <c r="AH540" s="332"/>
      <c r="AI540" s="332"/>
      <c r="AJ540" s="333"/>
      <c r="AK540" s="333"/>
      <c r="AL540" s="333"/>
      <c r="AM540" s="333"/>
    </row>
    <row r="541" spans="2:39" s="316" customFormat="1" ht="26.25" customHeight="1" x14ac:dyDescent="0.2">
      <c r="B541" s="334" t="s">
        <v>1</v>
      </c>
      <c r="C541" s="335" t="s">
        <v>2</v>
      </c>
      <c r="D541" s="336" t="s">
        <v>49</v>
      </c>
      <c r="E541" s="381" t="s">
        <v>16</v>
      </c>
      <c r="F541" s="337" t="s">
        <v>50</v>
      </c>
      <c r="G541" s="338" t="s">
        <v>51</v>
      </c>
      <c r="H541" s="339" t="s">
        <v>17</v>
      </c>
      <c r="J541" s="332"/>
      <c r="K541" s="332"/>
      <c r="L541" s="332"/>
      <c r="M541" s="332"/>
      <c r="N541" s="332"/>
      <c r="O541" s="332"/>
      <c r="P541" s="332"/>
      <c r="Q541" s="332"/>
      <c r="R541" s="332"/>
      <c r="S541" s="332"/>
      <c r="T541" s="332"/>
      <c r="U541" s="332"/>
      <c r="V541" s="332"/>
      <c r="W541" s="332"/>
      <c r="X541" s="332"/>
      <c r="Y541" s="332"/>
      <c r="Z541" s="332"/>
      <c r="AA541" s="332"/>
      <c r="AB541" s="332"/>
      <c r="AC541" s="332"/>
      <c r="AD541" s="332"/>
      <c r="AE541" s="332"/>
      <c r="AF541" s="332"/>
      <c r="AG541" s="332"/>
      <c r="AH541" s="332"/>
      <c r="AI541" s="332"/>
      <c r="AJ541" s="333"/>
      <c r="AK541" s="333"/>
      <c r="AL541" s="333"/>
      <c r="AM541" s="333"/>
    </row>
    <row r="542" spans="2:39" s="316" customFormat="1" ht="26.25" customHeight="1" x14ac:dyDescent="0.2">
      <c r="B542" s="340" t="str">
        <f t="array" ref="B542">IF(ISERROR(INDEX('Eingabe Meldungen'!$C$2:$C$492,LARGE(('Eingabe Meldungen'!$A$2:$A$492=$B$540)*(ROW('Eingabe Meldungen'!$A$2:$A$492)-1),COUNTIF('Eingabe Meldungen'!$A$2:$A$492,$B$540)+1-ROW('Eingabe Meldungen'!A1)))),"",INDEX('Eingabe Meldungen'!$C$2:$C$492,LARGE(('Eingabe Meldungen'!$A$2:$A$492=$B$540)*(ROW('Eingabe Meldungen'!$A$2:$A$492)-1),COUNTIF('Eingabe Meldungen'!$A$2:$A$492,$B$540)+1-ROW('Eingabe Meldungen'!A1))))</f>
        <v>Bogenschütz</v>
      </c>
      <c r="C542" s="316" t="str">
        <f t="array" ref="C542">IF(ISERROR(INDEX('Eingabe Meldungen'!$D$2:$D$492,LARGE(('Eingabe Meldungen'!$A$2:$A$492=$B$540)*(ROW('Eingabe Meldungen'!$A$2:$A$492)-1),COUNTIF('Eingabe Meldungen'!$A$2:$A$492,$B$540)+1-ROW('Eingabe Meldungen'!A1)))),"",INDEX('Eingabe Meldungen'!$D$2:$D$492,LARGE(('Eingabe Meldungen'!$A$2:$A$492=$B$540)*(ROW('Eingabe Meldungen'!$A$2:$A$492)-1),COUNTIF('Eingabe Meldungen'!$A$2:$A$492,$B$540)+1-ROW('Eingabe Meldungen'!A1))))</f>
        <v>Benjamin</v>
      </c>
      <c r="D542" s="341">
        <f t="array" ref="D542">IF(B542&lt;&gt;"",INDEX('Eingabe Meldungen'!$C$2:$H$492,MATCH(B542&amp;C542,'Eingabe Meldungen'!$C$2:$C$492&amp;'Eingabe Meldungen'!$D$2:$D$492,0),6),"")</f>
        <v>1986</v>
      </c>
      <c r="E542" s="382" t="str">
        <f t="array" ref="E542">IF(B542&lt;&gt;"",INDEX('Eingabe Meldungen'!$C$2:$H$492,MATCH(B542&amp;C542,'Eingabe Meldungen'!$C$2:$C$492&amp;'Eingabe Meldungen'!$D$2:$D$492,0),4),"")</f>
        <v>LGW. bis 75 kg</v>
      </c>
      <c r="F542" s="353" t="s">
        <v>644</v>
      </c>
      <c r="G542" s="333">
        <v>1</v>
      </c>
      <c r="H542" s="343" t="str">
        <f t="array" ref="H542">IF(B542&lt;&gt;"",INDEX('Eingabe Meldungen'!$C$2:$J$492,MATCH(B542&amp;C542,'Eingabe Meldungen'!$C$2:$C$492&amp;'Eingabe Meldungen'!$D$2:$D$492,0),8),"")</f>
        <v>Stuttgarter RG</v>
      </c>
      <c r="J542" s="332"/>
      <c r="K542" s="332"/>
      <c r="L542" s="332"/>
      <c r="M542" s="332"/>
      <c r="N542" s="332"/>
      <c r="O542" s="332"/>
      <c r="P542" s="332"/>
      <c r="Q542" s="332"/>
      <c r="R542" s="332"/>
      <c r="S542" s="332"/>
      <c r="T542" s="332"/>
      <c r="U542" s="332"/>
      <c r="V542" s="332">
        <v>6</v>
      </c>
      <c r="W542" s="332"/>
      <c r="X542" s="332"/>
      <c r="Y542" s="332"/>
      <c r="Z542" s="332"/>
      <c r="AA542" s="332"/>
      <c r="AB542" s="332"/>
      <c r="AC542" s="332"/>
      <c r="AD542" s="332"/>
      <c r="AE542" s="332"/>
      <c r="AF542" s="332"/>
      <c r="AG542" s="332"/>
      <c r="AH542" s="332"/>
      <c r="AI542" s="332"/>
      <c r="AJ542" s="333"/>
      <c r="AK542" s="333"/>
      <c r="AL542" s="333"/>
      <c r="AM542" s="333"/>
    </row>
    <row r="543" spans="2:39" s="316" customFormat="1" ht="26.25" customHeight="1" x14ac:dyDescent="0.2">
      <c r="B543" s="340" t="str">
        <f t="array" ref="B543">IF(ISERROR(INDEX('Eingabe Meldungen'!$C$2:$C$492,LARGE(('Eingabe Meldungen'!$A$2:$A$492=$B$540)*(ROW('Eingabe Meldungen'!$A$2:$A$492)-1),COUNTIF('Eingabe Meldungen'!$A$2:$A$492,$B$540)+1-ROW('Eingabe Meldungen'!A2)))),"",INDEX('Eingabe Meldungen'!$C$2:$C$492,LARGE(('Eingabe Meldungen'!$A$2:$A$492=$B$540)*(ROW('Eingabe Meldungen'!$A$2:$A$492)-1),COUNTIF('Eingabe Meldungen'!$A$2:$A$492,$B$540)+1-ROW('Eingabe Meldungen'!A2))))</f>
        <v>Schneckenberger</v>
      </c>
      <c r="C543" s="316" t="str">
        <f t="array" ref="C543">IF(ISERROR(INDEX('Eingabe Meldungen'!$D$2:$D$492,LARGE(('Eingabe Meldungen'!$A$2:$A$492=$B$540)*(ROW('Eingabe Meldungen'!$A$2:$A$492)-1),COUNTIF('Eingabe Meldungen'!$A$2:$A$492,$B$540)+1-ROW('Eingabe Meldungen'!A2)))),"",INDEX('Eingabe Meldungen'!$D$2:$D$492,LARGE(('Eingabe Meldungen'!$A$2:$A$492=$B$540)*(ROW('Eingabe Meldungen'!$A$2:$A$492)-1),COUNTIF('Eingabe Meldungen'!$A$2:$A$492,$B$540)+1-ROW('Eingabe Meldungen'!A2))))</f>
        <v>Lukas</v>
      </c>
      <c r="D543" s="341">
        <f t="array" ref="D543">IF(B543&lt;&gt;"",INDEX('Eingabe Meldungen'!$C$2:$H$492,MATCH(B543&amp;C543,'Eingabe Meldungen'!$C$2:$C$492&amp;'Eingabe Meldungen'!$D$2:$D$492,0),6),"")</f>
        <v>2000</v>
      </c>
      <c r="E543" s="382" t="str">
        <f t="array" ref="E543">IF(B543&lt;&gt;"",INDEX('Eingabe Meldungen'!$C$2:$H$492,MATCH(B543&amp;C543,'Eingabe Meldungen'!$C$2:$C$492&amp;'Eingabe Meldungen'!$D$2:$D$492,0),4),"")</f>
        <v>LGW. bis 75 kg</v>
      </c>
      <c r="F543" s="353" t="s">
        <v>645</v>
      </c>
      <c r="G543" s="333">
        <v>2</v>
      </c>
      <c r="H543" s="343" t="str">
        <f t="array" ref="H543">IF(B543&lt;&gt;"",INDEX('Eingabe Meldungen'!$C$2:$J$492,MATCH(B543&amp;C543,'Eingabe Meldungen'!$C$2:$C$492&amp;'Eingabe Meldungen'!$D$2:$D$492,0),8),"")</f>
        <v>RC Nürtingen</v>
      </c>
      <c r="J543" s="332"/>
      <c r="K543" s="332"/>
      <c r="L543" s="332"/>
      <c r="M543" s="332">
        <v>4</v>
      </c>
      <c r="N543" s="332"/>
      <c r="O543" s="332"/>
      <c r="P543" s="332"/>
      <c r="Q543" s="332"/>
      <c r="R543" s="332"/>
      <c r="S543" s="332"/>
      <c r="T543" s="332"/>
      <c r="U543" s="332"/>
      <c r="V543" s="332"/>
      <c r="W543" s="332"/>
      <c r="X543" s="332"/>
      <c r="Y543" s="332"/>
      <c r="Z543" s="332"/>
      <c r="AA543" s="332"/>
      <c r="AB543" s="332"/>
      <c r="AC543" s="332"/>
      <c r="AD543" s="332"/>
      <c r="AE543" s="332"/>
      <c r="AF543" s="332"/>
      <c r="AG543" s="332"/>
      <c r="AH543" s="332"/>
      <c r="AI543" s="332"/>
      <c r="AJ543" s="333"/>
      <c r="AK543" s="333"/>
      <c r="AL543" s="333"/>
      <c r="AM543" s="333"/>
    </row>
    <row r="544" spans="2:39" s="316" customFormat="1" ht="26.25" customHeight="1" x14ac:dyDescent="0.2">
      <c r="B544" s="340" t="str">
        <f t="array" ref="B544">IF(ISERROR(INDEX('Eingabe Meldungen'!$C$2:$C$492,LARGE(('Eingabe Meldungen'!$A$2:$A$492=$B$540)*(ROW('Eingabe Meldungen'!$A$2:$A$492)-1),COUNTIF('Eingabe Meldungen'!$A$2:$A$492,$B$540)+1-ROW('Eingabe Meldungen'!A3)))),"",INDEX('Eingabe Meldungen'!$C$2:$C$492,LARGE(('Eingabe Meldungen'!$A$2:$A$492=$B$540)*(ROW('Eingabe Meldungen'!$A$2:$A$492)-1),COUNTIF('Eingabe Meldungen'!$A$2:$A$492,$B$540)+1-ROW('Eingabe Meldungen'!A3))))</f>
        <v>Remelé</v>
      </c>
      <c r="C544" s="316" t="str">
        <f t="array" ref="C544">IF(ISERROR(INDEX('Eingabe Meldungen'!$D$2:$D$492,LARGE(('Eingabe Meldungen'!$A$2:$A$492=$B$540)*(ROW('Eingabe Meldungen'!$A$2:$A$492)-1),COUNTIF('Eingabe Meldungen'!$A$2:$A$492,$B$540)+1-ROW('Eingabe Meldungen'!A3)))),"",INDEX('Eingabe Meldungen'!$D$2:$D$492,LARGE(('Eingabe Meldungen'!$A$2:$A$492=$B$540)*(ROW('Eingabe Meldungen'!$A$2:$A$492)-1),COUNTIF('Eingabe Meldungen'!$A$2:$A$492,$B$540)+1-ROW('Eingabe Meldungen'!A3))))</f>
        <v>Friedrich</v>
      </c>
      <c r="D544" s="341">
        <f t="array" ref="D544">IF(B544&lt;&gt;"",INDEX('Eingabe Meldungen'!$C$2:$H$492,MATCH(B544&amp;C544,'Eingabe Meldungen'!$C$2:$C$492&amp;'Eingabe Meldungen'!$D$2:$D$492,0),6),"")</f>
        <v>2001</v>
      </c>
      <c r="E544" s="382" t="str">
        <f t="array" ref="E544">IF(B544&lt;&gt;"",INDEX('Eingabe Meldungen'!$C$2:$H$492,MATCH(B544&amp;C544,'Eingabe Meldungen'!$C$2:$C$492&amp;'Eingabe Meldungen'!$D$2:$D$492,0),4),"")</f>
        <v>LGW. bis 75 kg</v>
      </c>
      <c r="F544" s="353" t="s">
        <v>646</v>
      </c>
      <c r="G544" s="333">
        <v>3</v>
      </c>
      <c r="H544" s="343" t="str">
        <f t="array" ref="H544">IF(B544&lt;&gt;"",INDEX('Eingabe Meldungen'!$C$2:$J$492,MATCH(B544&amp;C544,'Eingabe Meldungen'!$C$2:$C$492&amp;'Eingabe Meldungen'!$D$2:$D$492,0),8),"")</f>
        <v>Schweinfurter Ruder-Club Franken</v>
      </c>
      <c r="J544" s="332"/>
      <c r="K544" s="332"/>
      <c r="L544" s="332"/>
      <c r="M544" s="332"/>
      <c r="N544" s="332"/>
      <c r="O544" s="332"/>
      <c r="P544" s="332"/>
      <c r="Q544" s="332"/>
      <c r="R544" s="332"/>
      <c r="S544" s="332"/>
      <c r="T544" s="332"/>
      <c r="U544" s="332"/>
      <c r="V544" s="332"/>
      <c r="W544" s="332"/>
      <c r="X544" s="332"/>
      <c r="Y544" s="332"/>
      <c r="Z544" s="332"/>
      <c r="AA544" s="332"/>
      <c r="AB544" s="332"/>
      <c r="AC544" s="332"/>
      <c r="AD544" s="332"/>
      <c r="AE544" s="332"/>
      <c r="AF544" s="332"/>
      <c r="AG544" s="332"/>
      <c r="AH544" s="332"/>
      <c r="AI544" s="332"/>
      <c r="AJ544" s="333"/>
      <c r="AK544" s="333"/>
      <c r="AL544" s="333"/>
      <c r="AM544" s="333"/>
    </row>
    <row r="545" spans="2:39" s="316" customFormat="1" ht="26.25" customHeight="1" x14ac:dyDescent="0.2">
      <c r="B545" s="340" t="str">
        <f t="array" ref="B545">IF(ISERROR(INDEX('Eingabe Meldungen'!$C$2:$C$492,LARGE(('Eingabe Meldungen'!$A$2:$A$492=$B$540)*(ROW('Eingabe Meldungen'!$A$2:$A$492)-1),COUNTIF('Eingabe Meldungen'!$A$2:$A$492,$B$540)+1-ROW('Eingabe Meldungen'!A4)))),"",INDEX('Eingabe Meldungen'!$C$2:$C$492,LARGE(('Eingabe Meldungen'!$A$2:$A$492=$B$540)*(ROW('Eingabe Meldungen'!$A$2:$A$492)-1),COUNTIF('Eingabe Meldungen'!$A$2:$A$492,$B$540)+1-ROW('Eingabe Meldungen'!A4))))</f>
        <v>Stein</v>
      </c>
      <c r="C545" s="316" t="str">
        <f t="array" ref="C545">IF(ISERROR(INDEX('Eingabe Meldungen'!$D$2:$D$492,LARGE(('Eingabe Meldungen'!$A$2:$A$492=$B$540)*(ROW('Eingabe Meldungen'!$A$2:$A$492)-1),COUNTIF('Eingabe Meldungen'!$A$2:$A$492,$B$540)+1-ROW('Eingabe Meldungen'!A4)))),"",INDEX('Eingabe Meldungen'!$D$2:$D$492,LARGE(('Eingabe Meldungen'!$A$2:$A$492=$B$540)*(ROW('Eingabe Meldungen'!$A$2:$A$492)-1),COUNTIF('Eingabe Meldungen'!$A$2:$A$492,$B$540)+1-ROW('Eingabe Meldungen'!A4))))</f>
        <v>Jonas</v>
      </c>
      <c r="D545" s="341">
        <f t="array" ref="D545">IF(B545&lt;&gt;"",INDEX('Eingabe Meldungen'!$C$2:$H$492,MATCH(B545&amp;C545,'Eingabe Meldungen'!$C$2:$C$492&amp;'Eingabe Meldungen'!$D$2:$D$492,0),6),"")</f>
        <v>2001</v>
      </c>
      <c r="E545" s="382" t="str">
        <f t="array" ref="E545">IF(B545&lt;&gt;"",INDEX('Eingabe Meldungen'!$C$2:$H$492,MATCH(B545&amp;C545,'Eingabe Meldungen'!$C$2:$C$492&amp;'Eingabe Meldungen'!$D$2:$D$492,0),4),"")</f>
        <v>LGW. bis 75 kg</v>
      </c>
      <c r="F545" s="353" t="s">
        <v>647</v>
      </c>
      <c r="G545" s="333">
        <v>4</v>
      </c>
      <c r="H545" s="343" t="str">
        <f t="array" ref="H545">IF(B545&lt;&gt;"",INDEX('Eingabe Meldungen'!$C$2:$J$492,MATCH(B545&amp;C545,'Eingabe Meldungen'!$C$2:$C$492&amp;'Eingabe Meldungen'!$D$2:$D$492,0),8),"")</f>
        <v>Marbacher Ruderverein</v>
      </c>
      <c r="J545" s="332"/>
      <c r="K545" s="332"/>
      <c r="L545" s="332"/>
      <c r="M545" s="332"/>
      <c r="N545" s="332"/>
      <c r="O545" s="332">
        <v>1</v>
      </c>
      <c r="P545" s="332"/>
      <c r="Q545" s="332"/>
      <c r="R545" s="332"/>
      <c r="S545" s="332"/>
      <c r="T545" s="332"/>
      <c r="U545" s="332"/>
      <c r="V545" s="332"/>
      <c r="W545" s="332"/>
      <c r="X545" s="332"/>
      <c r="Y545" s="332"/>
      <c r="Z545" s="332"/>
      <c r="AA545" s="332"/>
      <c r="AB545" s="332"/>
      <c r="AC545" s="332"/>
      <c r="AD545" s="332"/>
      <c r="AE545" s="332"/>
      <c r="AF545" s="332"/>
      <c r="AG545" s="332"/>
      <c r="AH545" s="332"/>
      <c r="AI545" s="332"/>
      <c r="AJ545" s="333"/>
      <c r="AK545" s="333"/>
      <c r="AL545" s="333"/>
      <c r="AM545" s="333"/>
    </row>
    <row r="546" spans="2:39" s="316" customFormat="1" ht="26.25" customHeight="1" x14ac:dyDescent="0.2">
      <c r="B546" s="340" t="str">
        <f t="array" ref="B546">IF(ISERROR(INDEX('Eingabe Meldungen'!$C$2:$C$492,LARGE(('Eingabe Meldungen'!$A$2:$A$492=$B$540)*(ROW('Eingabe Meldungen'!$A$2:$A$492)-1),COUNTIF('Eingabe Meldungen'!$A$2:$A$492,$B$540)+1-ROW('Eingabe Meldungen'!A5)))),"",INDEX('Eingabe Meldungen'!$C$2:$C$492,LARGE(('Eingabe Meldungen'!$A$2:$A$492=$B$540)*(ROW('Eingabe Meldungen'!$A$2:$A$492)-1),COUNTIF('Eingabe Meldungen'!$A$2:$A$492,$B$540)+1-ROW('Eingabe Meldungen'!A5))))</f>
        <v/>
      </c>
      <c r="C546" s="316" t="str">
        <f t="array" ref="C546">IF(ISERROR(INDEX('Eingabe Meldungen'!$D$2:$D$492,LARGE(('Eingabe Meldungen'!$A$2:$A$492=$B$540)*(ROW('Eingabe Meldungen'!$A$2:$A$492)-1),COUNTIF('Eingabe Meldungen'!$A$2:$A$492,$B$540)+1-ROW('Eingabe Meldungen'!A5)))),"",INDEX('Eingabe Meldungen'!$D$2:$D$492,LARGE(('Eingabe Meldungen'!$A$2:$A$492=$B$540)*(ROW('Eingabe Meldungen'!$A$2:$A$492)-1),COUNTIF('Eingabe Meldungen'!$A$2:$A$492,$B$540)+1-ROW('Eingabe Meldungen'!A5))))</f>
        <v/>
      </c>
      <c r="D546" s="341" t="str">
        <f t="array" ref="D546">IF(B546&lt;&gt;"",INDEX('Eingabe Meldungen'!$C$2:$H$492,MATCH(B546&amp;C546,'Eingabe Meldungen'!$C$2:$C$492&amp;'Eingabe Meldungen'!$D$2:$D$492,0),6),"")</f>
        <v/>
      </c>
      <c r="E546" s="382" t="str">
        <f t="array" ref="E546">IF(B546&lt;&gt;"",INDEX('Eingabe Meldungen'!$C$2:$H$492,MATCH(B546&amp;C546,'Eingabe Meldungen'!$C$2:$C$492&amp;'Eingabe Meldungen'!$D$2:$D$492,0),4),"")</f>
        <v/>
      </c>
      <c r="F546" s="353" t="str">
        <f>IF(VLOOKUP(B546,Rennlisten!$B$326:$H$330,6,FALSE)=0,"",VLOOKUP(B546,Rennlisten!$B$326:$H$330,6,FALSE))</f>
        <v/>
      </c>
      <c r="G546" s="333" t="e">
        <f t="shared" ref="G546:G557" si="59">RANK(F546,$F$542:$F$557,1)</f>
        <v>#VALUE!</v>
      </c>
      <c r="H546" s="343" t="str">
        <f t="array" ref="H546">IF(B546&lt;&gt;"",INDEX('Eingabe Meldungen'!$C$2:$J$492,MATCH(B546&amp;C546,'Eingabe Meldungen'!$C$2:$C$492&amp;'Eingabe Meldungen'!$D$2:$D$492,0),8),"")</f>
        <v/>
      </c>
      <c r="J546" s="332"/>
      <c r="K546" s="332"/>
      <c r="L546" s="332"/>
      <c r="M546" s="332"/>
      <c r="N546" s="332"/>
      <c r="O546" s="332"/>
      <c r="P546" s="332"/>
      <c r="Q546" s="332"/>
      <c r="R546" s="332"/>
      <c r="S546" s="332"/>
      <c r="T546" s="332"/>
      <c r="U546" s="332"/>
      <c r="V546" s="332"/>
      <c r="W546" s="332"/>
      <c r="X546" s="332"/>
      <c r="Y546" s="332"/>
      <c r="Z546" s="332"/>
      <c r="AA546" s="332"/>
      <c r="AB546" s="332"/>
      <c r="AC546" s="332"/>
      <c r="AD546" s="332"/>
      <c r="AE546" s="332"/>
      <c r="AF546" s="332"/>
      <c r="AG546" s="332"/>
      <c r="AH546" s="332"/>
      <c r="AI546" s="332"/>
      <c r="AJ546" s="333"/>
      <c r="AK546" s="333"/>
      <c r="AL546" s="333"/>
      <c r="AM546" s="333"/>
    </row>
    <row r="547" spans="2:39" s="316" customFormat="1" ht="26.25" customHeight="1" x14ac:dyDescent="0.2">
      <c r="B547" s="340" t="str">
        <f t="array" ref="B547">IF(ISERROR(INDEX('Eingabe Meldungen'!$C$2:$C$492,LARGE(('Eingabe Meldungen'!$A$2:$A$492=$B$540)*(ROW('Eingabe Meldungen'!$A$2:$A$492)-1),COUNTIF('Eingabe Meldungen'!$A$2:$A$492,$B$540)+1-ROW('Eingabe Meldungen'!A6)))),"",INDEX('Eingabe Meldungen'!$C$2:$C$492,LARGE(('Eingabe Meldungen'!$A$2:$A$492=$B$540)*(ROW('Eingabe Meldungen'!$A$2:$A$492)-1),COUNTIF('Eingabe Meldungen'!$A$2:$A$492,$B$540)+1-ROW('Eingabe Meldungen'!A6))))</f>
        <v/>
      </c>
      <c r="C547" s="316" t="str">
        <f t="array" ref="C547">IF(ISERROR(INDEX('Eingabe Meldungen'!$D$2:$D$492,LARGE(('Eingabe Meldungen'!$A$2:$A$492=$B$540)*(ROW('Eingabe Meldungen'!$A$2:$A$492)-1),COUNTIF('Eingabe Meldungen'!$A$2:$A$492,$B$540)+1-ROW('Eingabe Meldungen'!A6)))),"",INDEX('Eingabe Meldungen'!$D$2:$D$492,LARGE(('Eingabe Meldungen'!$A$2:$A$492=$B$540)*(ROW('Eingabe Meldungen'!$A$2:$A$492)-1),COUNTIF('Eingabe Meldungen'!$A$2:$A$492,$B$540)+1-ROW('Eingabe Meldungen'!A6))))</f>
        <v/>
      </c>
      <c r="D547" s="341" t="str">
        <f t="array" ref="D547">IF(B547&lt;&gt;"",INDEX('Eingabe Meldungen'!$C$2:$H$492,MATCH(B547&amp;C547,'Eingabe Meldungen'!$C$2:$C$492&amp;'Eingabe Meldungen'!$D$2:$D$492,0),6),"")</f>
        <v/>
      </c>
      <c r="E547" s="382" t="str">
        <f t="array" ref="E547">IF(B547&lt;&gt;"",INDEX('Eingabe Meldungen'!$C$2:$H$492,MATCH(B547&amp;C547,'Eingabe Meldungen'!$C$2:$C$492&amp;'Eingabe Meldungen'!$D$2:$D$492,0),4),"")</f>
        <v/>
      </c>
      <c r="F547" s="353" t="str">
        <f>IF(VLOOKUP(B547,Rennlisten!$B$326:$H$330,6,FALSE)=0,"",VLOOKUP(B547,Rennlisten!$B$326:$H$330,6,FALSE))</f>
        <v/>
      </c>
      <c r="G547" s="333" t="e">
        <f t="shared" si="59"/>
        <v>#VALUE!</v>
      </c>
      <c r="H547" s="343" t="str">
        <f t="array" ref="H547">IF(B547&lt;&gt;"",INDEX('Eingabe Meldungen'!$C$2:$J$492,MATCH(B547&amp;C547,'Eingabe Meldungen'!$C$2:$C$492&amp;'Eingabe Meldungen'!$D$2:$D$492,0),8),"")</f>
        <v/>
      </c>
      <c r="J547" s="332"/>
      <c r="K547" s="332"/>
      <c r="L547" s="332"/>
      <c r="M547" s="332"/>
      <c r="N547" s="332"/>
      <c r="O547" s="332"/>
      <c r="P547" s="332"/>
      <c r="Q547" s="332"/>
      <c r="R547" s="332"/>
      <c r="S547" s="332"/>
      <c r="T547" s="332"/>
      <c r="U547" s="332"/>
      <c r="V547" s="332"/>
      <c r="W547" s="332"/>
      <c r="X547" s="332"/>
      <c r="Y547" s="332"/>
      <c r="Z547" s="332"/>
      <c r="AA547" s="332"/>
      <c r="AB547" s="332"/>
      <c r="AC547" s="332"/>
      <c r="AD547" s="332"/>
      <c r="AE547" s="332"/>
      <c r="AF547" s="332"/>
      <c r="AG547" s="332"/>
      <c r="AH547" s="332"/>
      <c r="AI547" s="332"/>
      <c r="AJ547" s="333"/>
      <c r="AK547" s="333"/>
      <c r="AL547" s="333"/>
      <c r="AM547" s="333"/>
    </row>
    <row r="548" spans="2:39" s="316" customFormat="1" ht="26.25" customHeight="1" x14ac:dyDescent="0.2">
      <c r="B548" s="340" t="str">
        <f t="array" ref="B548">IF(ISERROR(INDEX('Eingabe Meldungen'!$C$2:$C$492,LARGE(('Eingabe Meldungen'!$A$2:$A$492=$B$540)*(ROW('Eingabe Meldungen'!$A$2:$A$492)-1),COUNTIF('Eingabe Meldungen'!$A$2:$A$492,$B$540)+1-ROW('Eingabe Meldungen'!A7)))),"",INDEX('Eingabe Meldungen'!$C$2:$C$492,LARGE(('Eingabe Meldungen'!$A$2:$A$492=$B$540)*(ROW('Eingabe Meldungen'!$A$2:$A$492)-1),COUNTIF('Eingabe Meldungen'!$A$2:$A$492,$B$540)+1-ROW('Eingabe Meldungen'!A7))))</f>
        <v/>
      </c>
      <c r="C548" s="316" t="str">
        <f t="array" ref="C548">IF(ISERROR(INDEX('Eingabe Meldungen'!$D$2:$D$492,LARGE(('Eingabe Meldungen'!$A$2:$A$492=$B$540)*(ROW('Eingabe Meldungen'!$A$2:$A$492)-1),COUNTIF('Eingabe Meldungen'!$A$2:$A$492,$B$540)+1-ROW('Eingabe Meldungen'!A7)))),"",INDEX('Eingabe Meldungen'!$D$2:$D$492,LARGE(('Eingabe Meldungen'!$A$2:$A$492=$B$540)*(ROW('Eingabe Meldungen'!$A$2:$A$492)-1),COUNTIF('Eingabe Meldungen'!$A$2:$A$492,$B$540)+1-ROW('Eingabe Meldungen'!A7))))</f>
        <v/>
      </c>
      <c r="D548" s="341" t="str">
        <f t="array" ref="D548">IF(B548&lt;&gt;"",INDEX('Eingabe Meldungen'!$C$2:$H$492,MATCH(B548&amp;C548,'Eingabe Meldungen'!$C$2:$C$492&amp;'Eingabe Meldungen'!$D$2:$D$492,0),6),"")</f>
        <v/>
      </c>
      <c r="E548" s="382" t="str">
        <f t="array" ref="E548">IF(B548&lt;&gt;"",INDEX('Eingabe Meldungen'!$C$2:$H$492,MATCH(B548&amp;C548,'Eingabe Meldungen'!$C$2:$C$492&amp;'Eingabe Meldungen'!$D$2:$D$492,0),4),"")</f>
        <v/>
      </c>
      <c r="F548" s="353" t="str">
        <f>IF(VLOOKUP(B548,Rennlisten!$B$326:$H$330,6,FALSE)=0,"",VLOOKUP(B548,Rennlisten!$B$326:$H$330,6,FALSE))</f>
        <v/>
      </c>
      <c r="G548" s="333" t="e">
        <f t="shared" si="59"/>
        <v>#VALUE!</v>
      </c>
      <c r="H548" s="343" t="str">
        <f t="array" ref="H548">IF(B548&lt;&gt;"",INDEX('Eingabe Meldungen'!$C$2:$J$492,MATCH(B548&amp;C548,'Eingabe Meldungen'!$C$2:$C$492&amp;'Eingabe Meldungen'!$D$2:$D$492,0),8),"")</f>
        <v/>
      </c>
      <c r="J548" s="332"/>
      <c r="K548" s="332"/>
      <c r="L548" s="332"/>
      <c r="M548" s="332"/>
      <c r="N548" s="332"/>
      <c r="O548" s="332"/>
      <c r="P548" s="332"/>
      <c r="Q548" s="332"/>
      <c r="R548" s="332"/>
      <c r="S548" s="332"/>
      <c r="T548" s="332"/>
      <c r="U548" s="332"/>
      <c r="V548" s="332"/>
      <c r="W548" s="332"/>
      <c r="X548" s="332"/>
      <c r="Y548" s="332"/>
      <c r="Z548" s="332"/>
      <c r="AA548" s="332"/>
      <c r="AB548" s="332"/>
      <c r="AC548" s="332"/>
      <c r="AD548" s="332"/>
      <c r="AE548" s="332"/>
      <c r="AF548" s="332"/>
      <c r="AG548" s="332"/>
      <c r="AH548" s="332"/>
      <c r="AI548" s="332"/>
      <c r="AJ548" s="333"/>
      <c r="AK548" s="333"/>
      <c r="AL548" s="333"/>
      <c r="AM548" s="333"/>
    </row>
    <row r="549" spans="2:39" s="316" customFormat="1" ht="26.25" customHeight="1" x14ac:dyDescent="0.2">
      <c r="B549" s="340" t="str">
        <f t="array" ref="B549">IF(ISERROR(INDEX('Eingabe Meldungen'!$C$2:$C$492,LARGE(('Eingabe Meldungen'!$A$2:$A$492=$B$540)*(ROW('Eingabe Meldungen'!$A$2:$A$492)-1),COUNTIF('Eingabe Meldungen'!$A$2:$A$492,$B$540)+1-ROW('Eingabe Meldungen'!A8)))),"",INDEX('Eingabe Meldungen'!$C$2:$C$492,LARGE(('Eingabe Meldungen'!$A$2:$A$492=$B$540)*(ROW('Eingabe Meldungen'!$A$2:$A$492)-1),COUNTIF('Eingabe Meldungen'!$A$2:$A$492,$B$540)+1-ROW('Eingabe Meldungen'!A8))))</f>
        <v/>
      </c>
      <c r="C549" s="316" t="str">
        <f t="array" ref="C549">IF(ISERROR(INDEX('Eingabe Meldungen'!$D$2:$D$492,LARGE(('Eingabe Meldungen'!$A$2:$A$492=$B$540)*(ROW('Eingabe Meldungen'!$A$2:$A$492)-1),COUNTIF('Eingabe Meldungen'!$A$2:$A$492,$B$540)+1-ROW('Eingabe Meldungen'!A8)))),"",INDEX('Eingabe Meldungen'!$D$2:$D$492,LARGE(('Eingabe Meldungen'!$A$2:$A$492=$B$540)*(ROW('Eingabe Meldungen'!$A$2:$A$492)-1),COUNTIF('Eingabe Meldungen'!$A$2:$A$492,$B$540)+1-ROW('Eingabe Meldungen'!A8))))</f>
        <v/>
      </c>
      <c r="D549" s="341" t="str">
        <f t="array" ref="D549">IF(B549&lt;&gt;"",INDEX('Eingabe Meldungen'!$C$2:$H$492,MATCH(B549&amp;C549,'Eingabe Meldungen'!$C$2:$C$492&amp;'Eingabe Meldungen'!$D$2:$D$492,0),6),"")</f>
        <v/>
      </c>
      <c r="E549" s="382" t="str">
        <f t="array" ref="E549">IF(B549&lt;&gt;"",INDEX('Eingabe Meldungen'!$C$2:$H$492,MATCH(B549&amp;C549,'Eingabe Meldungen'!$C$2:$C$492&amp;'Eingabe Meldungen'!$D$2:$D$492,0),4),"")</f>
        <v/>
      </c>
      <c r="F549" s="353" t="str">
        <f>IF(VLOOKUP(B549,Rennlisten!$B$326:$H$330,6,FALSE)=0,"",VLOOKUP(B549,Rennlisten!$B$326:$H$330,6,FALSE))</f>
        <v/>
      </c>
      <c r="G549" s="333" t="e">
        <f t="shared" si="59"/>
        <v>#VALUE!</v>
      </c>
      <c r="H549" s="343" t="str">
        <f t="array" ref="H549">IF(B549&lt;&gt;"",INDEX('Eingabe Meldungen'!$C$2:$J$492,MATCH(B549&amp;C549,'Eingabe Meldungen'!$C$2:$C$492&amp;'Eingabe Meldungen'!$D$2:$D$492,0),8),"")</f>
        <v/>
      </c>
      <c r="J549" s="332"/>
      <c r="K549" s="332"/>
      <c r="L549" s="332"/>
      <c r="M549" s="332"/>
      <c r="N549" s="332"/>
      <c r="O549" s="332"/>
      <c r="P549" s="332"/>
      <c r="Q549" s="332"/>
      <c r="R549" s="332"/>
      <c r="S549" s="332"/>
      <c r="T549" s="332"/>
      <c r="U549" s="332"/>
      <c r="V549" s="332"/>
      <c r="W549" s="332"/>
      <c r="X549" s="332"/>
      <c r="Y549" s="332"/>
      <c r="Z549" s="332"/>
      <c r="AA549" s="332"/>
      <c r="AB549" s="332"/>
      <c r="AC549" s="332"/>
      <c r="AD549" s="332"/>
      <c r="AE549" s="332"/>
      <c r="AF549" s="332"/>
      <c r="AG549" s="332"/>
      <c r="AH549" s="332"/>
      <c r="AI549" s="332"/>
      <c r="AJ549" s="333"/>
      <c r="AK549" s="333"/>
      <c r="AL549" s="333"/>
      <c r="AM549" s="333"/>
    </row>
    <row r="550" spans="2:39" s="316" customFormat="1" ht="26.25" customHeight="1" x14ac:dyDescent="0.2">
      <c r="B550" s="340" t="str">
        <f t="array" ref="B550">IF(ISERROR(INDEX('Eingabe Meldungen'!$C$2:$C$492,LARGE(('Eingabe Meldungen'!$A$2:$A$492=$B$540)*(ROW('Eingabe Meldungen'!$A$2:$A$492)-1),COUNTIF('Eingabe Meldungen'!$A$2:$A$492,$B$540)+1-ROW('Eingabe Meldungen'!A9)))),"",INDEX('Eingabe Meldungen'!$C$2:$C$492,LARGE(('Eingabe Meldungen'!$A$2:$A$492=$B$540)*(ROW('Eingabe Meldungen'!$A$2:$A$492)-1),COUNTIF('Eingabe Meldungen'!$A$2:$A$492,$B$540)+1-ROW('Eingabe Meldungen'!A9))))</f>
        <v/>
      </c>
      <c r="C550" s="316" t="str">
        <f t="array" ref="C550">IF(ISERROR(INDEX('Eingabe Meldungen'!$D$2:$D$492,LARGE(('Eingabe Meldungen'!$A$2:$A$492=$B$540)*(ROW('Eingabe Meldungen'!$A$2:$A$492)-1),COUNTIF('Eingabe Meldungen'!$A$2:$A$492,$B$540)+1-ROW('Eingabe Meldungen'!A9)))),"",INDEX('Eingabe Meldungen'!$D$2:$D$492,LARGE(('Eingabe Meldungen'!$A$2:$A$492=$B$540)*(ROW('Eingabe Meldungen'!$A$2:$A$492)-1),COUNTIF('Eingabe Meldungen'!$A$2:$A$492,$B$540)+1-ROW('Eingabe Meldungen'!A9))))</f>
        <v/>
      </c>
      <c r="D550" s="341" t="str">
        <f t="array" ref="D550">IF(B550&lt;&gt;"",INDEX('Eingabe Meldungen'!$C$2:$H$492,MATCH(B550&amp;C550,'Eingabe Meldungen'!$C$2:$C$492&amp;'Eingabe Meldungen'!$D$2:$D$492,0),6),"")</f>
        <v/>
      </c>
      <c r="E550" s="382" t="str">
        <f t="array" ref="E550">IF(B550&lt;&gt;"",INDEX('Eingabe Meldungen'!$C$2:$H$492,MATCH(B550&amp;C550,'Eingabe Meldungen'!$C$2:$C$492&amp;'Eingabe Meldungen'!$D$2:$D$492,0),4),"")</f>
        <v/>
      </c>
      <c r="F550" s="353" t="str">
        <f>IF(VLOOKUP(B550,Rennlisten!$B$326:$H$330,6,FALSE)=0,"",VLOOKUP(B550,Rennlisten!$B$326:$H$330,6,FALSE))</f>
        <v/>
      </c>
      <c r="G550" s="333" t="e">
        <f t="shared" si="59"/>
        <v>#VALUE!</v>
      </c>
      <c r="H550" s="343" t="str">
        <f t="array" ref="H550">IF(B550&lt;&gt;"",INDEX('Eingabe Meldungen'!$C$2:$J$492,MATCH(B550&amp;C550,'Eingabe Meldungen'!$C$2:$C$492&amp;'Eingabe Meldungen'!$D$2:$D$492,0),8),"")</f>
        <v/>
      </c>
      <c r="J550" s="332"/>
      <c r="K550" s="332"/>
      <c r="L550" s="332"/>
      <c r="M550" s="332"/>
      <c r="N550" s="332"/>
      <c r="O550" s="332"/>
      <c r="P550" s="332"/>
      <c r="Q550" s="332"/>
      <c r="R550" s="332"/>
      <c r="S550" s="332"/>
      <c r="T550" s="332"/>
      <c r="U550" s="332"/>
      <c r="V550" s="332"/>
      <c r="W550" s="332"/>
      <c r="X550" s="332"/>
      <c r="Y550" s="332"/>
      <c r="Z550" s="332"/>
      <c r="AA550" s="332"/>
      <c r="AB550" s="332"/>
      <c r="AC550" s="332"/>
      <c r="AD550" s="332"/>
      <c r="AE550" s="332"/>
      <c r="AF550" s="332"/>
      <c r="AG550" s="332"/>
      <c r="AH550" s="332"/>
      <c r="AI550" s="332"/>
      <c r="AJ550" s="333"/>
      <c r="AK550" s="333"/>
      <c r="AL550" s="333"/>
      <c r="AM550" s="333"/>
    </row>
    <row r="551" spans="2:39" s="316" customFormat="1" ht="26.25" customHeight="1" x14ac:dyDescent="0.2">
      <c r="B551" s="340" t="str">
        <f t="array" ref="B551">IF(ISERROR(INDEX('Eingabe Meldungen'!$C$2:$C$492,LARGE(('Eingabe Meldungen'!$A$2:$A$492=$B$540)*(ROW('Eingabe Meldungen'!$A$2:$A$492)-1),COUNTIF('Eingabe Meldungen'!$A$2:$A$492,$B$540)+1-ROW('Eingabe Meldungen'!A10)))),"",INDEX('Eingabe Meldungen'!$C$2:$C$492,LARGE(('Eingabe Meldungen'!$A$2:$A$492=$B$540)*(ROW('Eingabe Meldungen'!$A$2:$A$492)-1),COUNTIF('Eingabe Meldungen'!$A$2:$A$492,$B$540)+1-ROW('Eingabe Meldungen'!A10))))</f>
        <v/>
      </c>
      <c r="C551" s="316" t="str">
        <f t="array" ref="C551">IF(ISERROR(INDEX('Eingabe Meldungen'!$D$2:$D$492,LARGE(('Eingabe Meldungen'!$A$2:$A$492=$B$540)*(ROW('Eingabe Meldungen'!$A$2:$A$492)-1),COUNTIF('Eingabe Meldungen'!$A$2:$A$492,$B$540)+1-ROW('Eingabe Meldungen'!A10)))),"",INDEX('Eingabe Meldungen'!$D$2:$D$492,LARGE(('Eingabe Meldungen'!$A$2:$A$492=$B$540)*(ROW('Eingabe Meldungen'!$A$2:$A$492)-1),COUNTIF('Eingabe Meldungen'!$A$2:$A$492,$B$540)+1-ROW('Eingabe Meldungen'!A10))))</f>
        <v/>
      </c>
      <c r="D551" s="341" t="str">
        <f t="array" ref="D551">IF(B551&lt;&gt;"",INDEX('Eingabe Meldungen'!$C$2:$H$492,MATCH(B551&amp;C551,'Eingabe Meldungen'!$C$2:$C$492&amp;'Eingabe Meldungen'!$D$2:$D$492,0),6),"")</f>
        <v/>
      </c>
      <c r="E551" s="382" t="str">
        <f t="array" ref="E551">IF(B551&lt;&gt;"",INDEX('Eingabe Meldungen'!$C$2:$H$492,MATCH(B551&amp;C551,'Eingabe Meldungen'!$C$2:$C$492&amp;'Eingabe Meldungen'!$D$2:$D$492,0),4),"")</f>
        <v/>
      </c>
      <c r="F551" s="353" t="str">
        <f>IF(VLOOKUP(B551,Rennlisten!$B$326:$H$330,6,FALSE)=0,"",VLOOKUP(B551,Rennlisten!$B$326:$H$330,6,FALSE))</f>
        <v/>
      </c>
      <c r="G551" s="333" t="e">
        <f t="shared" si="59"/>
        <v>#VALUE!</v>
      </c>
      <c r="H551" s="343" t="str">
        <f t="array" ref="H551">IF(B551&lt;&gt;"",INDEX('Eingabe Meldungen'!$C$2:$J$492,MATCH(B551&amp;C551,'Eingabe Meldungen'!$C$2:$C$492&amp;'Eingabe Meldungen'!$D$2:$D$492,0),8),"")</f>
        <v/>
      </c>
      <c r="J551" s="332"/>
      <c r="K551" s="332"/>
      <c r="L551" s="332"/>
      <c r="M551" s="332"/>
      <c r="N551" s="332"/>
      <c r="O551" s="332"/>
      <c r="P551" s="332"/>
      <c r="Q551" s="332"/>
      <c r="R551" s="332"/>
      <c r="S551" s="332"/>
      <c r="T551" s="332"/>
      <c r="U551" s="332"/>
      <c r="V551" s="332"/>
      <c r="W551" s="332"/>
      <c r="X551" s="332"/>
      <c r="Y551" s="332"/>
      <c r="Z551" s="332"/>
      <c r="AA551" s="332"/>
      <c r="AB551" s="332"/>
      <c r="AC551" s="332"/>
      <c r="AD551" s="332"/>
      <c r="AE551" s="332"/>
      <c r="AF551" s="332"/>
      <c r="AG551" s="332"/>
      <c r="AH551" s="332"/>
      <c r="AI551" s="332"/>
      <c r="AJ551" s="333"/>
      <c r="AK551" s="333"/>
      <c r="AL551" s="333"/>
      <c r="AM551" s="333"/>
    </row>
    <row r="552" spans="2:39" s="316" customFormat="1" ht="26.25" customHeight="1" x14ac:dyDescent="0.2">
      <c r="B552" s="340" t="str">
        <f t="array" ref="B552">IF(ISERROR(INDEX('Eingabe Meldungen'!$C$2:$C$492,LARGE(('Eingabe Meldungen'!$A$2:$A$492=$B$540)*(ROW('Eingabe Meldungen'!$A$2:$A$492)-1),COUNTIF('Eingabe Meldungen'!$A$2:$A$492,$B$540)+1-ROW('Eingabe Meldungen'!A11)))),"",INDEX('Eingabe Meldungen'!$C$2:$C$492,LARGE(('Eingabe Meldungen'!$A$2:$A$492=$B$540)*(ROW('Eingabe Meldungen'!$A$2:$A$492)-1),COUNTIF('Eingabe Meldungen'!$A$2:$A$492,$B$540)+1-ROW('Eingabe Meldungen'!A11))))</f>
        <v/>
      </c>
      <c r="C552" s="316" t="str">
        <f t="array" ref="C552">IF(ISERROR(INDEX('Eingabe Meldungen'!$D$2:$D$492,LARGE(('Eingabe Meldungen'!$A$2:$A$492=$B$540)*(ROW('Eingabe Meldungen'!$A$2:$A$492)-1),COUNTIF('Eingabe Meldungen'!$A$2:$A$492,$B$540)+1-ROW('Eingabe Meldungen'!A11)))),"",INDEX('Eingabe Meldungen'!$D$2:$D$492,LARGE(('Eingabe Meldungen'!$A$2:$A$492=$B$540)*(ROW('Eingabe Meldungen'!$A$2:$A$492)-1),COUNTIF('Eingabe Meldungen'!$A$2:$A$492,$B$540)+1-ROW('Eingabe Meldungen'!A11))))</f>
        <v/>
      </c>
      <c r="D552" s="341" t="str">
        <f t="array" ref="D552">IF(B552&lt;&gt;"",INDEX('Eingabe Meldungen'!$C$2:$H$492,MATCH(B552&amp;C552,'Eingabe Meldungen'!$C$2:$C$492&amp;'Eingabe Meldungen'!$D$2:$D$492,0),6),"")</f>
        <v/>
      </c>
      <c r="E552" s="382" t="str">
        <f t="array" ref="E552">IF(B552&lt;&gt;"",INDEX('Eingabe Meldungen'!$C$2:$H$492,MATCH(B552&amp;C552,'Eingabe Meldungen'!$C$2:$C$492&amp;'Eingabe Meldungen'!$D$2:$D$492,0),4),"")</f>
        <v/>
      </c>
      <c r="F552" s="353" t="str">
        <f>IF(VLOOKUP(B552,Rennlisten!$B$326:$H$330,6,FALSE)=0,"",VLOOKUP(B552,Rennlisten!$B$326:$H$330,6,FALSE))</f>
        <v/>
      </c>
      <c r="G552" s="333" t="e">
        <f t="shared" si="59"/>
        <v>#VALUE!</v>
      </c>
      <c r="H552" s="343" t="str">
        <f t="array" ref="H552">IF(B552&lt;&gt;"",INDEX('Eingabe Meldungen'!$C$2:$J$492,MATCH(B552&amp;C552,'Eingabe Meldungen'!$C$2:$C$492&amp;'Eingabe Meldungen'!$D$2:$D$492,0),8),"")</f>
        <v/>
      </c>
      <c r="J552" s="332"/>
      <c r="K552" s="332"/>
      <c r="L552" s="332"/>
      <c r="M552" s="332"/>
      <c r="N552" s="332"/>
      <c r="O552" s="332"/>
      <c r="P552" s="332"/>
      <c r="Q552" s="332"/>
      <c r="R552" s="332"/>
      <c r="S552" s="332"/>
      <c r="T552" s="332"/>
      <c r="U552" s="332"/>
      <c r="V552" s="332"/>
      <c r="W552" s="332"/>
      <c r="X552" s="332"/>
      <c r="Y552" s="332"/>
      <c r="Z552" s="332"/>
      <c r="AA552" s="332"/>
      <c r="AB552" s="332"/>
      <c r="AC552" s="332"/>
      <c r="AD552" s="332"/>
      <c r="AE552" s="332"/>
      <c r="AF552" s="332"/>
      <c r="AG552" s="332"/>
      <c r="AH552" s="332"/>
      <c r="AI552" s="332"/>
      <c r="AJ552" s="333"/>
      <c r="AK552" s="333"/>
      <c r="AL552" s="333"/>
      <c r="AM552" s="333"/>
    </row>
    <row r="553" spans="2:39" s="316" customFormat="1" ht="26.25" customHeight="1" x14ac:dyDescent="0.2">
      <c r="B553" s="340" t="str">
        <f t="array" ref="B553">IF(ISERROR(INDEX('Eingabe Meldungen'!$C$2:$C$492,LARGE(('Eingabe Meldungen'!$A$2:$A$492=$B$540)*(ROW('Eingabe Meldungen'!$A$2:$A$492)-1),COUNTIF('Eingabe Meldungen'!$A$2:$A$492,$B$540)+1-ROW('Eingabe Meldungen'!A12)))),"",INDEX('Eingabe Meldungen'!$C$2:$C$492,LARGE(('Eingabe Meldungen'!$A$2:$A$492=$B$540)*(ROW('Eingabe Meldungen'!$A$2:$A$492)-1),COUNTIF('Eingabe Meldungen'!$A$2:$A$492,$B$540)+1-ROW('Eingabe Meldungen'!A12))))</f>
        <v/>
      </c>
      <c r="C553" s="316" t="str">
        <f t="array" ref="C553">IF(ISERROR(INDEX('Eingabe Meldungen'!$D$2:$D$492,LARGE(('Eingabe Meldungen'!$A$2:$A$492=$B$540)*(ROW('Eingabe Meldungen'!$A$2:$A$492)-1),COUNTIF('Eingabe Meldungen'!$A$2:$A$492,$B$540)+1-ROW('Eingabe Meldungen'!A12)))),"",INDEX('Eingabe Meldungen'!$D$2:$D$492,LARGE(('Eingabe Meldungen'!$A$2:$A$492=$B$540)*(ROW('Eingabe Meldungen'!$A$2:$A$492)-1),COUNTIF('Eingabe Meldungen'!$A$2:$A$492,$B$540)+1-ROW('Eingabe Meldungen'!A12))))</f>
        <v/>
      </c>
      <c r="D553" s="341" t="str">
        <f t="array" ref="D553">IF(B553&lt;&gt;"",INDEX('Eingabe Meldungen'!$C$2:$H$492,MATCH(B553&amp;C553,'Eingabe Meldungen'!$C$2:$C$492&amp;'Eingabe Meldungen'!$D$2:$D$492,0),6),"")</f>
        <v/>
      </c>
      <c r="E553" s="382" t="str">
        <f t="array" ref="E553">IF(B553&lt;&gt;"",INDEX('Eingabe Meldungen'!$C$2:$H$492,MATCH(B553&amp;C553,'Eingabe Meldungen'!$C$2:$C$492&amp;'Eingabe Meldungen'!$D$2:$D$492,0),4),"")</f>
        <v/>
      </c>
      <c r="F553" s="353" t="str">
        <f>IF(VLOOKUP(B553,Rennlisten!$B$326:$H$330,6,FALSE)=0,"",VLOOKUP(B553,Rennlisten!$B$326:$H$330,6,FALSE))</f>
        <v/>
      </c>
      <c r="G553" s="333" t="e">
        <f t="shared" si="59"/>
        <v>#VALUE!</v>
      </c>
      <c r="H553" s="343" t="str">
        <f t="array" ref="H553">IF(B553&lt;&gt;"",INDEX('Eingabe Meldungen'!$C$2:$J$492,MATCH(B553&amp;C553,'Eingabe Meldungen'!$C$2:$C$492&amp;'Eingabe Meldungen'!$D$2:$D$492,0),8),"")</f>
        <v/>
      </c>
      <c r="J553" s="332"/>
      <c r="K553" s="332"/>
      <c r="L553" s="332"/>
      <c r="M553" s="332"/>
      <c r="N553" s="332"/>
      <c r="O553" s="332"/>
      <c r="P553" s="332"/>
      <c r="Q553" s="332"/>
      <c r="R553" s="332"/>
      <c r="S553" s="332"/>
      <c r="T553" s="332"/>
      <c r="U553" s="332"/>
      <c r="V553" s="332"/>
      <c r="W553" s="332"/>
      <c r="X553" s="332"/>
      <c r="Y553" s="332"/>
      <c r="Z553" s="332"/>
      <c r="AA553" s="332"/>
      <c r="AB553" s="332"/>
      <c r="AC553" s="332"/>
      <c r="AD553" s="332"/>
      <c r="AE553" s="332"/>
      <c r="AF553" s="332"/>
      <c r="AG553" s="332"/>
      <c r="AH553" s="332"/>
      <c r="AI553" s="332"/>
      <c r="AJ553" s="333"/>
      <c r="AK553" s="333"/>
      <c r="AL553" s="333"/>
      <c r="AM553" s="333"/>
    </row>
    <row r="554" spans="2:39" s="316" customFormat="1" ht="26.25" customHeight="1" x14ac:dyDescent="0.2">
      <c r="B554" s="340" t="str">
        <f t="array" ref="B554">IF(ISERROR(INDEX('Eingabe Meldungen'!$C$2:$C$492,LARGE(('Eingabe Meldungen'!$A$2:$A$492=$B$540)*(ROW('Eingabe Meldungen'!$A$2:$A$492)-1),COUNTIF('Eingabe Meldungen'!$A$2:$A$492,$B$540)+1-ROW('Eingabe Meldungen'!A13)))),"",INDEX('Eingabe Meldungen'!$C$2:$C$492,LARGE(('Eingabe Meldungen'!$A$2:$A$492=$B$540)*(ROW('Eingabe Meldungen'!$A$2:$A$492)-1),COUNTIF('Eingabe Meldungen'!$A$2:$A$492,$B$540)+1-ROW('Eingabe Meldungen'!A13))))</f>
        <v/>
      </c>
      <c r="C554" s="316" t="str">
        <f t="array" ref="C554">IF(ISERROR(INDEX('Eingabe Meldungen'!$D$2:$D$492,LARGE(('Eingabe Meldungen'!$A$2:$A$492=$B$540)*(ROW('Eingabe Meldungen'!$A$2:$A$492)-1),COUNTIF('Eingabe Meldungen'!$A$2:$A$492,$B$540)+1-ROW('Eingabe Meldungen'!A13)))),"",INDEX('Eingabe Meldungen'!$D$2:$D$492,LARGE(('Eingabe Meldungen'!$A$2:$A$492=$B$540)*(ROW('Eingabe Meldungen'!$A$2:$A$492)-1),COUNTIF('Eingabe Meldungen'!$A$2:$A$492,$B$540)+1-ROW('Eingabe Meldungen'!A13))))</f>
        <v/>
      </c>
      <c r="D554" s="341" t="str">
        <f t="array" ref="D554">IF(B554&lt;&gt;"",INDEX('Eingabe Meldungen'!$C$2:$H$492,MATCH(B554&amp;C554,'Eingabe Meldungen'!$C$2:$C$492&amp;'Eingabe Meldungen'!$D$2:$D$492,0),6),"")</f>
        <v/>
      </c>
      <c r="E554" s="382" t="str">
        <f t="array" ref="E554">IF(B554&lt;&gt;"",INDEX('Eingabe Meldungen'!$C$2:$H$492,MATCH(B554&amp;C554,'Eingabe Meldungen'!$C$2:$C$492&amp;'Eingabe Meldungen'!$D$2:$D$492,0),4),"")</f>
        <v/>
      </c>
      <c r="F554" s="353" t="str">
        <f>IF(VLOOKUP(B554,Rennlisten!$B$326:$H$330,6,FALSE)=0,"",VLOOKUP(B554,Rennlisten!$B$326:$H$330,6,FALSE))</f>
        <v/>
      </c>
      <c r="G554" s="333" t="e">
        <f t="shared" si="59"/>
        <v>#VALUE!</v>
      </c>
      <c r="H554" s="343" t="str">
        <f t="array" ref="H554">IF(B554&lt;&gt;"",INDEX('Eingabe Meldungen'!$C$2:$J$492,MATCH(B554&amp;C554,'Eingabe Meldungen'!$C$2:$C$492&amp;'Eingabe Meldungen'!$D$2:$D$492,0),8),"")</f>
        <v/>
      </c>
      <c r="J554" s="332"/>
      <c r="K554" s="332"/>
      <c r="L554" s="332"/>
      <c r="M554" s="332"/>
      <c r="N554" s="332"/>
      <c r="O554" s="332"/>
      <c r="P554" s="332"/>
      <c r="Q554" s="332"/>
      <c r="R554" s="332"/>
      <c r="S554" s="332"/>
      <c r="T554" s="332"/>
      <c r="U554" s="332"/>
      <c r="V554" s="332"/>
      <c r="W554" s="332"/>
      <c r="X554" s="332"/>
      <c r="Y554" s="332"/>
      <c r="Z554" s="332"/>
      <c r="AA554" s="332"/>
      <c r="AB554" s="332"/>
      <c r="AC554" s="332"/>
      <c r="AD554" s="332"/>
      <c r="AE554" s="332"/>
      <c r="AF554" s="332"/>
      <c r="AG554" s="332"/>
      <c r="AH554" s="332"/>
      <c r="AI554" s="332"/>
      <c r="AJ554" s="333"/>
      <c r="AK554" s="333"/>
      <c r="AL554" s="333"/>
      <c r="AM554" s="333"/>
    </row>
    <row r="555" spans="2:39" s="316" customFormat="1" ht="26.25" customHeight="1" x14ac:dyDescent="0.2">
      <c r="B555" s="340" t="str">
        <f t="array" ref="B555">IF(ISERROR(INDEX('Eingabe Meldungen'!$C$2:$C$492,LARGE(('Eingabe Meldungen'!$A$2:$A$492=$B$540)*(ROW('Eingabe Meldungen'!$A$2:$A$492)-1),COUNTIF('Eingabe Meldungen'!$A$2:$A$492,$B$540)+1-ROW('Eingabe Meldungen'!A14)))),"",INDEX('Eingabe Meldungen'!$C$2:$C$492,LARGE(('Eingabe Meldungen'!$A$2:$A$492=$B$540)*(ROW('Eingabe Meldungen'!$A$2:$A$492)-1),COUNTIF('Eingabe Meldungen'!$A$2:$A$492,$B$540)+1-ROW('Eingabe Meldungen'!A14))))</f>
        <v/>
      </c>
      <c r="C555" s="316" t="str">
        <f t="array" ref="C555">IF(ISERROR(INDEX('Eingabe Meldungen'!$D$2:$D$492,LARGE(('Eingabe Meldungen'!$A$2:$A$492=$B$540)*(ROW('Eingabe Meldungen'!$A$2:$A$492)-1),COUNTIF('Eingabe Meldungen'!$A$2:$A$492,$B$540)+1-ROW('Eingabe Meldungen'!A14)))),"",INDEX('Eingabe Meldungen'!$D$2:$D$492,LARGE(('Eingabe Meldungen'!$A$2:$A$492=$B$540)*(ROW('Eingabe Meldungen'!$A$2:$A$492)-1),COUNTIF('Eingabe Meldungen'!$A$2:$A$492,$B$540)+1-ROW('Eingabe Meldungen'!A14))))</f>
        <v/>
      </c>
      <c r="D555" s="341" t="str">
        <f t="array" ref="D555">IF(B555&lt;&gt;"",INDEX('Eingabe Meldungen'!$C$2:$H$492,MATCH(B555&amp;C555,'Eingabe Meldungen'!$C$2:$C$492&amp;'Eingabe Meldungen'!$D$2:$D$492,0),6),"")</f>
        <v/>
      </c>
      <c r="E555" s="382" t="str">
        <f t="array" ref="E555">IF(B555&lt;&gt;"",INDEX('Eingabe Meldungen'!$C$2:$H$492,MATCH(B555&amp;C555,'Eingabe Meldungen'!$C$2:$C$492&amp;'Eingabe Meldungen'!$D$2:$D$492,0),4),"")</f>
        <v/>
      </c>
      <c r="F555" s="353" t="str">
        <f>IF(VLOOKUP(B555,Rennlisten!$B$326:$H$330,6,FALSE)=0,"",VLOOKUP(B555,Rennlisten!$B$326:$H$330,6,FALSE))</f>
        <v/>
      </c>
      <c r="G555" s="333" t="e">
        <f t="shared" si="59"/>
        <v>#VALUE!</v>
      </c>
      <c r="H555" s="343" t="str">
        <f t="array" ref="H555">IF(B555&lt;&gt;"",INDEX('Eingabe Meldungen'!$C$2:$J$492,MATCH(B555&amp;C555,'Eingabe Meldungen'!$C$2:$C$492&amp;'Eingabe Meldungen'!$D$2:$D$492,0),8),"")</f>
        <v/>
      </c>
      <c r="J555" s="332"/>
      <c r="K555" s="332"/>
      <c r="L555" s="332"/>
      <c r="M555" s="332"/>
      <c r="N555" s="332"/>
      <c r="O555" s="332"/>
      <c r="P555" s="332"/>
      <c r="Q555" s="332"/>
      <c r="R555" s="332"/>
      <c r="S555" s="332"/>
      <c r="T555" s="332"/>
      <c r="U555" s="332"/>
      <c r="V555" s="332"/>
      <c r="W555" s="332"/>
      <c r="X555" s="332"/>
      <c r="Y555" s="332"/>
      <c r="Z555" s="332"/>
      <c r="AA555" s="332"/>
      <c r="AB555" s="332"/>
      <c r="AC555" s="332"/>
      <c r="AD555" s="332"/>
      <c r="AE555" s="332"/>
      <c r="AF555" s="332"/>
      <c r="AG555" s="332"/>
      <c r="AH555" s="332"/>
      <c r="AI555" s="332"/>
      <c r="AJ555" s="333"/>
      <c r="AK555" s="333"/>
      <c r="AL555" s="333"/>
      <c r="AM555" s="333"/>
    </row>
    <row r="556" spans="2:39" s="316" customFormat="1" ht="26.25" customHeight="1" x14ac:dyDescent="0.2">
      <c r="B556" s="340" t="str">
        <f t="array" ref="B556">IF(ISERROR(INDEX('Eingabe Meldungen'!$C$2:$C$492,LARGE(('Eingabe Meldungen'!$A$2:$A$492=$B$540)*(ROW('Eingabe Meldungen'!$A$2:$A$492)-1),COUNTIF('Eingabe Meldungen'!$A$2:$A$492,$B$540)+1-ROW('Eingabe Meldungen'!A15)))),"",INDEX('Eingabe Meldungen'!$C$2:$C$492,LARGE(('Eingabe Meldungen'!$A$2:$A$492=$B$540)*(ROW('Eingabe Meldungen'!$A$2:$A$492)-1),COUNTIF('Eingabe Meldungen'!$A$2:$A$492,$B$540)+1-ROW('Eingabe Meldungen'!A15))))</f>
        <v/>
      </c>
      <c r="C556" s="316" t="str">
        <f t="array" ref="C556">IF(ISERROR(INDEX('Eingabe Meldungen'!$D$2:$D$492,LARGE(('Eingabe Meldungen'!$A$2:$A$492=$B$540)*(ROW('Eingabe Meldungen'!$A$2:$A$492)-1),COUNTIF('Eingabe Meldungen'!$A$2:$A$492,$B$540)+1-ROW('Eingabe Meldungen'!A15)))),"",INDEX('Eingabe Meldungen'!$D$2:$D$492,LARGE(('Eingabe Meldungen'!$A$2:$A$492=$B$540)*(ROW('Eingabe Meldungen'!$A$2:$A$492)-1),COUNTIF('Eingabe Meldungen'!$A$2:$A$492,$B$540)+1-ROW('Eingabe Meldungen'!A15))))</f>
        <v/>
      </c>
      <c r="D556" s="341" t="str">
        <f t="array" ref="D556">IF(B556&lt;&gt;"",INDEX('Eingabe Meldungen'!$C$2:$H$492,MATCH(B556&amp;C556,'Eingabe Meldungen'!$C$2:$C$492&amp;'Eingabe Meldungen'!$D$2:$D$492,0),6),"")</f>
        <v/>
      </c>
      <c r="E556" s="382" t="str">
        <f t="array" ref="E556">IF(B556&lt;&gt;"",INDEX('Eingabe Meldungen'!$C$2:$H$492,MATCH(B556&amp;C556,'Eingabe Meldungen'!$C$2:$C$492&amp;'Eingabe Meldungen'!$D$2:$D$492,0),4),"")</f>
        <v/>
      </c>
      <c r="F556" s="353" t="str">
        <f>IF(VLOOKUP(B556,Rennlisten!$B$326:$H$330,6,FALSE)=0,"",VLOOKUP(B556,Rennlisten!$B$326:$H$330,6,FALSE))</f>
        <v/>
      </c>
      <c r="G556" s="333" t="e">
        <f t="shared" si="59"/>
        <v>#VALUE!</v>
      </c>
      <c r="H556" s="343" t="str">
        <f t="array" ref="H556">IF(B556&lt;&gt;"",INDEX('Eingabe Meldungen'!$C$2:$J$492,MATCH(B556&amp;C556,'Eingabe Meldungen'!$C$2:$C$492&amp;'Eingabe Meldungen'!$D$2:$D$492,0),8),"")</f>
        <v/>
      </c>
      <c r="J556" s="332"/>
      <c r="K556" s="332"/>
      <c r="L556" s="332"/>
      <c r="M556" s="332"/>
      <c r="N556" s="332"/>
      <c r="O556" s="332"/>
      <c r="P556" s="332"/>
      <c r="Q556" s="332"/>
      <c r="R556" s="332"/>
      <c r="S556" s="332"/>
      <c r="T556" s="332"/>
      <c r="U556" s="332"/>
      <c r="V556" s="332"/>
      <c r="W556" s="332"/>
      <c r="X556" s="332"/>
      <c r="Y556" s="332"/>
      <c r="Z556" s="332"/>
      <c r="AA556" s="332"/>
      <c r="AB556" s="332"/>
      <c r="AC556" s="332"/>
      <c r="AD556" s="332"/>
      <c r="AE556" s="332"/>
      <c r="AF556" s="332"/>
      <c r="AG556" s="332"/>
      <c r="AH556" s="332"/>
      <c r="AI556" s="332"/>
      <c r="AJ556" s="333"/>
      <c r="AK556" s="333"/>
      <c r="AL556" s="333"/>
      <c r="AM556" s="333"/>
    </row>
    <row r="557" spans="2:39" s="316" customFormat="1" ht="26.25" customHeight="1" x14ac:dyDescent="0.2">
      <c r="B557" s="340" t="str">
        <f t="array" ref="B557">IF(ISERROR(INDEX('Eingabe Meldungen'!$C$2:$C$492,LARGE(('Eingabe Meldungen'!$A$2:$A$492=$B$540)*(ROW('Eingabe Meldungen'!$A$2:$A$492)-1),COUNTIF('Eingabe Meldungen'!$A$2:$A$492,$B$540)+1-ROW('Eingabe Meldungen'!A16)))),"",INDEX('Eingabe Meldungen'!$C$2:$C$492,LARGE(('Eingabe Meldungen'!$A$2:$A$492=$B$540)*(ROW('Eingabe Meldungen'!$A$2:$A$492)-1),COUNTIF('Eingabe Meldungen'!$A$2:$A$492,$B$540)+1-ROW('Eingabe Meldungen'!A16))))</f>
        <v/>
      </c>
      <c r="C557" s="316" t="str">
        <f t="array" ref="C557">IF(ISERROR(INDEX('Eingabe Meldungen'!$D$2:$D$492,LARGE(('Eingabe Meldungen'!$A$2:$A$492=$B$540)*(ROW('Eingabe Meldungen'!$A$2:$A$492)-1),COUNTIF('Eingabe Meldungen'!$A$2:$A$492,$B$540)+1-ROW('Eingabe Meldungen'!A16)))),"",INDEX('Eingabe Meldungen'!$D$2:$D$492,LARGE(('Eingabe Meldungen'!$A$2:$A$492=$B$540)*(ROW('Eingabe Meldungen'!$A$2:$A$492)-1),COUNTIF('Eingabe Meldungen'!$A$2:$A$492,$B$540)+1-ROW('Eingabe Meldungen'!A16))))</f>
        <v/>
      </c>
      <c r="D557" s="341" t="str">
        <f t="array" ref="D557">IF(B557&lt;&gt;"",INDEX('Eingabe Meldungen'!$C$2:$H$492,MATCH(B557&amp;C557,'Eingabe Meldungen'!$C$2:$C$492&amp;'Eingabe Meldungen'!$D$2:$D$492,0),6),"")</f>
        <v/>
      </c>
      <c r="E557" s="382" t="str">
        <f t="array" ref="E557">IF(B557&lt;&gt;"",INDEX('Eingabe Meldungen'!$C$2:$H$492,MATCH(B557&amp;C557,'Eingabe Meldungen'!$C$2:$C$492&amp;'Eingabe Meldungen'!$D$2:$D$492,0),4),"")</f>
        <v/>
      </c>
      <c r="F557" s="353" t="str">
        <f>IF(VLOOKUP(B557,Rennlisten!$B$326:$H$330,6,FALSE)=0,"",VLOOKUP(B557,Rennlisten!$B$326:$H$330,6,FALSE))</f>
        <v/>
      </c>
      <c r="G557" s="333" t="e">
        <f t="shared" si="59"/>
        <v>#VALUE!</v>
      </c>
      <c r="H557" s="343" t="str">
        <f t="array" ref="H557">IF(B557&lt;&gt;"",INDEX('Eingabe Meldungen'!$C$2:$J$492,MATCH(B557&amp;C557,'Eingabe Meldungen'!$C$2:$C$492&amp;'Eingabe Meldungen'!$D$2:$D$492,0),8),"")</f>
        <v/>
      </c>
      <c r="J557" s="332"/>
      <c r="K557" s="332"/>
      <c r="L557" s="332"/>
      <c r="M557" s="332"/>
      <c r="N557" s="332"/>
      <c r="O557" s="332"/>
      <c r="P557" s="332"/>
      <c r="Q557" s="332"/>
      <c r="R557" s="332"/>
      <c r="S557" s="332"/>
      <c r="T557" s="332"/>
      <c r="U557" s="332"/>
      <c r="V557" s="332"/>
      <c r="W557" s="332"/>
      <c r="X557" s="332"/>
      <c r="Y557" s="332"/>
      <c r="Z557" s="332"/>
      <c r="AA557" s="332"/>
      <c r="AB557" s="332"/>
      <c r="AC557" s="332"/>
      <c r="AD557" s="332"/>
      <c r="AE557" s="332"/>
      <c r="AF557" s="332"/>
      <c r="AG557" s="332"/>
      <c r="AH557" s="332"/>
      <c r="AI557" s="332"/>
      <c r="AJ557" s="333"/>
      <c r="AK557" s="333"/>
      <c r="AL557" s="333"/>
      <c r="AM557" s="333"/>
    </row>
    <row r="558" spans="2:39" s="316" customFormat="1" ht="26.25" customHeight="1" thickBot="1" x14ac:dyDescent="0.25">
      <c r="E558" s="352"/>
      <c r="F558" s="333"/>
      <c r="G558" s="333"/>
      <c r="J558" s="333"/>
      <c r="K558" s="333"/>
      <c r="L558" s="333"/>
      <c r="M558" s="333"/>
      <c r="N558" s="333"/>
      <c r="O558" s="333"/>
      <c r="P558" s="333"/>
      <c r="Q558" s="333"/>
      <c r="R558" s="333"/>
      <c r="S558" s="333"/>
      <c r="T558" s="333"/>
      <c r="U558" s="333"/>
      <c r="V558" s="333"/>
      <c r="W558" s="333"/>
      <c r="X558" s="333"/>
      <c r="Y558" s="333"/>
      <c r="Z558" s="333"/>
      <c r="AA558" s="333"/>
      <c r="AB558" s="333"/>
      <c r="AC558" s="333"/>
      <c r="AD558" s="333"/>
      <c r="AE558" s="333"/>
      <c r="AF558" s="333"/>
      <c r="AG558" s="333"/>
      <c r="AH558" s="333"/>
      <c r="AI558" s="333"/>
      <c r="AJ558" s="333"/>
      <c r="AK558" s="333"/>
      <c r="AL558" s="333"/>
      <c r="AM558" s="333"/>
    </row>
    <row r="559" spans="2:39" s="316" customFormat="1" ht="26.25" customHeight="1" x14ac:dyDescent="0.2">
      <c r="B559" s="326">
        <f>B540+1</f>
        <v>24</v>
      </c>
      <c r="C559" s="327" t="str">
        <f>VLOOKUP(B559,Ausschreibung!$B$5:$I$35,2,FALSE)</f>
        <v>Ergocup</v>
      </c>
      <c r="D559" s="328">
        <f>VLOOKUP(B559,Ausschreibung!$B$5:$I$35,3,FALSE)</f>
        <v>0.65208333333333313</v>
      </c>
      <c r="E559" s="327" t="str">
        <f>VLOOKUP(B559,Ausschreibung!$B$5:$I$35,4,FALSE)</f>
        <v>Senioren A</v>
      </c>
      <c r="F559" s="329" t="str">
        <f>VLOOKUP(B559,Ausschreibung!$B$5:$I$35,5,FALSE)</f>
        <v>-</v>
      </c>
      <c r="G559" s="330" t="str">
        <f>VLOOKUP(B559,Ausschreibung!$B$5:$I$35,6,FALSE)</f>
        <v>19 und älter</v>
      </c>
      <c r="H559" s="331" t="str">
        <f>VLOOKUP(B559,Ausschreibung!$B$5:$I$35,8,FALSE)</f>
        <v>2000 m</v>
      </c>
      <c r="J559" s="332"/>
      <c r="K559" s="332"/>
      <c r="L559" s="332"/>
      <c r="M559" s="332"/>
      <c r="N559" s="332"/>
      <c r="O559" s="332"/>
      <c r="P559" s="332"/>
      <c r="Q559" s="332"/>
      <c r="R559" s="332"/>
      <c r="S559" s="332"/>
      <c r="T559" s="332"/>
      <c r="U559" s="332"/>
      <c r="V559" s="332"/>
      <c r="W559" s="332"/>
      <c r="X559" s="332"/>
      <c r="Y559" s="332"/>
      <c r="Z559" s="332"/>
      <c r="AA559" s="332"/>
      <c r="AB559" s="332"/>
      <c r="AC559" s="332"/>
      <c r="AD559" s="332"/>
      <c r="AE559" s="332"/>
      <c r="AF559" s="332"/>
      <c r="AG559" s="332"/>
      <c r="AH559" s="332"/>
      <c r="AI559" s="332"/>
      <c r="AJ559" s="333"/>
      <c r="AK559" s="333"/>
      <c r="AL559" s="333"/>
      <c r="AM559" s="333"/>
    </row>
    <row r="560" spans="2:39" s="316" customFormat="1" ht="26.25" customHeight="1" x14ac:dyDescent="0.2">
      <c r="B560" s="334" t="s">
        <v>1</v>
      </c>
      <c r="C560" s="335" t="s">
        <v>2</v>
      </c>
      <c r="D560" s="336" t="s">
        <v>49</v>
      </c>
      <c r="E560" s="381" t="s">
        <v>16</v>
      </c>
      <c r="F560" s="337" t="s">
        <v>50</v>
      </c>
      <c r="G560" s="338" t="s">
        <v>51</v>
      </c>
      <c r="H560" s="339" t="s">
        <v>17</v>
      </c>
      <c r="J560" s="332"/>
      <c r="K560" s="332"/>
      <c r="L560" s="332"/>
      <c r="M560" s="332"/>
      <c r="N560" s="332"/>
      <c r="O560" s="332"/>
      <c r="P560" s="332"/>
      <c r="Q560" s="332"/>
      <c r="R560" s="332"/>
      <c r="S560" s="332"/>
      <c r="T560" s="332"/>
      <c r="U560" s="332"/>
      <c r="V560" s="332"/>
      <c r="W560" s="332"/>
      <c r="X560" s="332"/>
      <c r="Y560" s="332"/>
      <c r="Z560" s="332"/>
      <c r="AA560" s="332"/>
      <c r="AB560" s="332"/>
      <c r="AC560" s="332"/>
      <c r="AD560" s="332"/>
      <c r="AE560" s="332"/>
      <c r="AF560" s="332"/>
      <c r="AG560" s="332"/>
      <c r="AH560" s="332"/>
      <c r="AI560" s="332"/>
      <c r="AJ560" s="333"/>
      <c r="AK560" s="333"/>
      <c r="AL560" s="333"/>
      <c r="AM560" s="333"/>
    </row>
    <row r="561" spans="2:39" s="316" customFormat="1" ht="26.25" customHeight="1" x14ac:dyDescent="0.2">
      <c r="B561" s="340" t="str">
        <f t="array" ref="B561">IF(ISERROR(INDEX('Eingabe Meldungen'!$C$2:$C$492,LARGE(('Eingabe Meldungen'!$A$2:$A$492=$B$559)*(ROW('Eingabe Meldungen'!$A$2:$A$492)-1),COUNTIF('Eingabe Meldungen'!$A$2:$A$492,$B$559)+1-ROW('Eingabe Meldungen'!A1)))),"",INDEX('Eingabe Meldungen'!$C$2:$C$492,LARGE(('Eingabe Meldungen'!$A$2:$A$492=$B$559)*(ROW('Eingabe Meldungen'!$A$2:$A$492)-1),COUNTIF('Eingabe Meldungen'!$A$2:$A$492,$B$559)+1-ROW('Eingabe Meldungen'!A1))))</f>
        <v>Killinger</v>
      </c>
      <c r="C561" s="316" t="str">
        <f t="array" ref="C561">IF(ISERROR(INDEX('Eingabe Meldungen'!$D$2:$D$492,LARGE(('Eingabe Meldungen'!$A$2:$A$492=$B$559)*(ROW('Eingabe Meldungen'!$A$2:$A$492)-1),COUNTIF('Eingabe Meldungen'!$A$2:$A$492,$B$559)+1-ROW('Eingabe Meldungen'!A1)))),"",INDEX('Eingabe Meldungen'!$D$2:$D$492,LARGE(('Eingabe Meldungen'!$A$2:$A$492=$B$559)*(ROW('Eingabe Meldungen'!$A$2:$A$492)-1),COUNTIF('Eingabe Meldungen'!$A$2:$A$492,$B$559)+1-ROW('Eingabe Meldungen'!A1))))</f>
        <v>Cornelius</v>
      </c>
      <c r="D561" s="341">
        <f t="array" ref="D561">IF(B561&lt;&gt;"",INDEX('Eingabe Meldungen'!$C$2:$H$492,MATCH(B561&amp;C561,'Eingabe Meldungen'!$C$2:$C$492&amp;'Eingabe Meldungen'!$D$2:$D$492,0),6),"")</f>
        <v>1992</v>
      </c>
      <c r="E561" s="382" t="str">
        <f t="array" ref="E561">IF(B561&lt;&gt;"",INDEX('Eingabe Meldungen'!$C$2:$H$492,MATCH(B561&amp;C561,'Eingabe Meldungen'!$C$2:$C$492&amp;'Eingabe Meldungen'!$D$2:$D$492,0),4),"")</f>
        <v>-</v>
      </c>
      <c r="F561" s="353" t="s">
        <v>648</v>
      </c>
      <c r="G561" s="333">
        <v>1</v>
      </c>
      <c r="H561" s="343" t="str">
        <f t="array" ref="H561">IF(B561&lt;&gt;"",INDEX('Eingabe Meldungen'!$C$2:$J$492,MATCH(B561&amp;C561,'Eingabe Meldungen'!$C$2:$C$492&amp;'Eingabe Meldungen'!$D$2:$D$492,0),8),"")</f>
        <v>Marbacher Ruderverein</v>
      </c>
      <c r="J561" s="332"/>
      <c r="K561" s="332"/>
      <c r="L561" s="332"/>
      <c r="M561" s="332"/>
      <c r="N561" s="332"/>
      <c r="O561" s="332">
        <v>5</v>
      </c>
      <c r="P561" s="332"/>
      <c r="Q561" s="332"/>
      <c r="R561" s="332"/>
      <c r="S561" s="332"/>
      <c r="T561" s="332"/>
      <c r="U561" s="332"/>
      <c r="V561" s="332"/>
      <c r="W561" s="332"/>
      <c r="X561" s="332"/>
      <c r="Y561" s="332"/>
      <c r="Z561" s="332"/>
      <c r="AA561" s="332"/>
      <c r="AB561" s="332"/>
      <c r="AC561" s="332"/>
      <c r="AD561" s="332"/>
      <c r="AE561" s="332"/>
      <c r="AF561" s="332"/>
      <c r="AG561" s="332"/>
      <c r="AH561" s="332"/>
      <c r="AI561" s="332"/>
      <c r="AJ561" s="333"/>
      <c r="AK561" s="333"/>
      <c r="AL561" s="333"/>
      <c r="AM561" s="333"/>
    </row>
    <row r="562" spans="2:39" s="316" customFormat="1" ht="26.25" customHeight="1" x14ac:dyDescent="0.2">
      <c r="B562" s="340" t="str">
        <f t="array" ref="B562">IF(ISERROR(INDEX('Eingabe Meldungen'!$C$2:$C$492,LARGE(('Eingabe Meldungen'!$A$2:$A$492=$B$559)*(ROW('Eingabe Meldungen'!$A$2:$A$492)-1),COUNTIF('Eingabe Meldungen'!$A$2:$A$492,$B$559)+1-ROW('Eingabe Meldungen'!A2)))),"",INDEX('Eingabe Meldungen'!$C$2:$C$492,LARGE(('Eingabe Meldungen'!$A$2:$A$492=$B$559)*(ROW('Eingabe Meldungen'!$A$2:$A$492)-1),COUNTIF('Eingabe Meldungen'!$A$2:$A$492,$B$559)+1-ROW('Eingabe Meldungen'!A2))))</f>
        <v>Schmidt</v>
      </c>
      <c r="C562" s="316" t="str">
        <f t="array" ref="C562">IF(ISERROR(INDEX('Eingabe Meldungen'!$D$2:$D$492,LARGE(('Eingabe Meldungen'!$A$2:$A$492=$B$559)*(ROW('Eingabe Meldungen'!$A$2:$A$492)-1),COUNTIF('Eingabe Meldungen'!$A$2:$A$492,$B$559)+1-ROW('Eingabe Meldungen'!A2)))),"",INDEX('Eingabe Meldungen'!$D$2:$D$492,LARGE(('Eingabe Meldungen'!$A$2:$A$492=$B$559)*(ROW('Eingabe Meldungen'!$A$2:$A$492)-1),COUNTIF('Eingabe Meldungen'!$A$2:$A$492,$B$559)+1-ROW('Eingabe Meldungen'!A2))))</f>
        <v>Jonas</v>
      </c>
      <c r="D562" s="341">
        <f t="array" ref="D562">IF(B562&lt;&gt;"",INDEX('Eingabe Meldungen'!$C$2:$H$492,MATCH(B562&amp;C562,'Eingabe Meldungen'!$C$2:$C$492&amp;'Eingabe Meldungen'!$D$2:$D$492,0),6),"")</f>
        <v>1997</v>
      </c>
      <c r="E562" s="382" t="str">
        <f t="array" ref="E562">IF(B562&lt;&gt;"",INDEX('Eingabe Meldungen'!$C$2:$H$492,MATCH(B562&amp;C562,'Eingabe Meldungen'!$C$2:$C$492&amp;'Eingabe Meldungen'!$D$2:$D$492,0),4),"")</f>
        <v>-</v>
      </c>
      <c r="F562" s="353" t="s">
        <v>649</v>
      </c>
      <c r="G562" s="333">
        <v>3</v>
      </c>
      <c r="H562" s="343" t="str">
        <f t="array" ref="H562">IF(B562&lt;&gt;"",INDEX('Eingabe Meldungen'!$C$2:$J$492,MATCH(B562&amp;C562,'Eingabe Meldungen'!$C$2:$C$492&amp;'Eingabe Meldungen'!$D$2:$D$492,0),8),"")</f>
        <v>Marbacher Ruderverein</v>
      </c>
      <c r="J562" s="332"/>
      <c r="K562" s="332"/>
      <c r="L562" s="332"/>
      <c r="M562" s="332"/>
      <c r="N562" s="332"/>
      <c r="O562" s="332">
        <v>1</v>
      </c>
      <c r="P562" s="332"/>
      <c r="Q562" s="332"/>
      <c r="R562" s="332"/>
      <c r="S562" s="332"/>
      <c r="T562" s="332"/>
      <c r="U562" s="332"/>
      <c r="V562" s="332"/>
      <c r="W562" s="332"/>
      <c r="X562" s="332"/>
      <c r="Y562" s="332"/>
      <c r="Z562" s="332"/>
      <c r="AA562" s="332"/>
      <c r="AB562" s="332"/>
      <c r="AC562" s="332"/>
      <c r="AD562" s="332"/>
      <c r="AE562" s="332"/>
      <c r="AF562" s="332"/>
      <c r="AG562" s="332"/>
      <c r="AH562" s="332"/>
      <c r="AI562" s="332"/>
      <c r="AJ562" s="333"/>
      <c r="AK562" s="333"/>
      <c r="AL562" s="333"/>
      <c r="AM562" s="333"/>
    </row>
    <row r="563" spans="2:39" s="316" customFormat="1" ht="26.25" customHeight="1" x14ac:dyDescent="0.2">
      <c r="B563" s="340" t="str">
        <f t="array" ref="B563">IF(ISERROR(INDEX('Eingabe Meldungen'!$C$2:$C$492,LARGE(('Eingabe Meldungen'!$A$2:$A$492=$B$407)*(ROW('Eingabe Meldungen'!$A$2:$A$492)-1),COUNTIF('Eingabe Meldungen'!$A$2:$A$492,$B$407)+1-ROW('Eingabe Meldungen'!A3)))),"",INDEX('Eingabe Meldungen'!$C$2:$C$492,LARGE(('Eingabe Meldungen'!$A$2:$A$492=$B$407)*(ROW('Eingabe Meldungen'!$A$2:$A$492)-1),COUNTIF('Eingabe Meldungen'!$A$2:$A$492,$B$407)+1-ROW('Eingabe Meldungen'!A3))))</f>
        <v>Bergler</v>
      </c>
      <c r="C563" s="316" t="str">
        <f t="array" ref="C563">IF(ISERROR(INDEX('Eingabe Meldungen'!$D$2:$D$492,LARGE(('Eingabe Meldungen'!$A$2:$A$492=$B$407)*(ROW('Eingabe Meldungen'!$A$2:$A$492)-1),COUNTIF('Eingabe Meldungen'!$A$2:$A$492,$B$407)+1-ROW('Eingabe Meldungen'!A3)))),"",INDEX('Eingabe Meldungen'!$D$2:$D$492,LARGE(('Eingabe Meldungen'!$A$2:$A$492=$B$407)*(ROW('Eingabe Meldungen'!$A$2:$A$492)-1),COUNTIF('Eingabe Meldungen'!$A$2:$A$492,$B$407)+1-ROW('Eingabe Meldungen'!A3))))</f>
        <v>Nils</v>
      </c>
      <c r="D563" s="341">
        <f t="array" ref="D563">IF(B563&lt;&gt;"",INDEX('Eingabe Meldungen'!$C$2:$H$492,MATCH(B563&amp;C563,'Eingabe Meldungen'!$C$2:$C$492&amp;'Eingabe Meldungen'!$D$2:$D$492,0),6),"")</f>
        <v>2001</v>
      </c>
      <c r="E563" s="382" t="str">
        <f t="array" ref="E563">IF(B563&lt;&gt;"",INDEX('Eingabe Meldungen'!$C$2:$H$492,MATCH(B563&amp;C563,'Eingabe Meldungen'!$C$2:$C$492&amp;'Eingabe Meldungen'!$D$2:$D$492,0),4),"")</f>
        <v>-</v>
      </c>
      <c r="F563" s="358" t="s">
        <v>650</v>
      </c>
      <c r="G563" s="333">
        <v>2</v>
      </c>
      <c r="H563" s="343" t="str">
        <f t="array" ref="H563">IF(B563&lt;&gt;"",INDEX('Eingabe Meldungen'!$C$2:$J$492,MATCH(B563&amp;C563,'Eingabe Meldungen'!$C$2:$C$492&amp;'Eingabe Meldungen'!$D$2:$D$492,0),8),"")</f>
        <v>RG Eberbach</v>
      </c>
      <c r="J563" s="332"/>
      <c r="K563" s="332"/>
      <c r="L563" s="332"/>
      <c r="M563" s="332"/>
      <c r="N563" s="332"/>
      <c r="O563" s="332"/>
      <c r="P563" s="332"/>
      <c r="Q563" s="332"/>
      <c r="R563" s="332"/>
      <c r="S563" s="332"/>
      <c r="T563" s="332"/>
      <c r="U563" s="332">
        <v>3</v>
      </c>
      <c r="V563" s="332"/>
      <c r="W563" s="332"/>
      <c r="X563" s="332"/>
      <c r="Y563" s="332"/>
      <c r="Z563" s="332"/>
      <c r="AA563" s="332"/>
      <c r="AB563" s="332"/>
      <c r="AC563" s="332"/>
      <c r="AD563" s="332"/>
      <c r="AE563" s="332"/>
      <c r="AF563" s="332"/>
      <c r="AG563" s="332"/>
      <c r="AH563" s="332"/>
      <c r="AI563" s="332"/>
      <c r="AJ563" s="333"/>
      <c r="AK563" s="333"/>
      <c r="AL563" s="333"/>
      <c r="AM563" s="333"/>
    </row>
    <row r="564" spans="2:39" s="316" customFormat="1" ht="26.25" customHeight="1" x14ac:dyDescent="0.2">
      <c r="B564" s="340" t="str">
        <f t="array" ref="B564">IF(ISERROR(INDEX('Eingabe Meldungen'!$C$2:$C$492,LARGE(('Eingabe Meldungen'!$A$2:$A$492=$B$559)*(ROW('Eingabe Meldungen'!$A$2:$A$492)-1),COUNTIF('Eingabe Meldungen'!$A$2:$A$492,$B$559)+1-ROW('Eingabe Meldungen'!A4)))),"",INDEX('Eingabe Meldungen'!$C$2:$C$492,LARGE(('Eingabe Meldungen'!$A$2:$A$492=$B$559)*(ROW('Eingabe Meldungen'!$A$2:$A$492)-1),COUNTIF('Eingabe Meldungen'!$A$2:$A$492,$B$559)+1-ROW('Eingabe Meldungen'!A4))))</f>
        <v/>
      </c>
      <c r="C564" s="316" t="str">
        <f t="array" ref="C564">IF(ISERROR(INDEX('Eingabe Meldungen'!$D$2:$D$492,LARGE(('Eingabe Meldungen'!$A$2:$A$492=$B$559)*(ROW('Eingabe Meldungen'!$A$2:$A$492)-1),COUNTIF('Eingabe Meldungen'!$A$2:$A$492,$B$559)+1-ROW('Eingabe Meldungen'!A4)))),"",INDEX('Eingabe Meldungen'!$D$2:$D$492,LARGE(('Eingabe Meldungen'!$A$2:$A$492=$B$559)*(ROW('Eingabe Meldungen'!$A$2:$A$492)-1),COUNTIF('Eingabe Meldungen'!$A$2:$A$492,$B$559)+1-ROW('Eingabe Meldungen'!A4))))</f>
        <v/>
      </c>
      <c r="D564" s="341" t="str">
        <f t="array" ref="D564">IF(B564&lt;&gt;"",INDEX('Eingabe Meldungen'!$C$2:$H$492,MATCH(B564&amp;C564,'Eingabe Meldungen'!$C$2:$C$492&amp;'Eingabe Meldungen'!$D$2:$D$492,0),6),"")</f>
        <v/>
      </c>
      <c r="E564" s="382" t="str">
        <f t="array" ref="E564">IF(B564&lt;&gt;"",INDEX('Eingabe Meldungen'!$C$2:$H$492,MATCH(B564&amp;C564,'Eingabe Meldungen'!$C$2:$C$492&amp;'Eingabe Meldungen'!$D$2:$D$492,0),4),"")</f>
        <v/>
      </c>
      <c r="F564" s="353" t="str">
        <f>IF(VLOOKUP(B564,Rennlisten!$B$334:$H$338,6,FALSE)=0,"",VLOOKUP(B564,Rennlisten!$B$334:$H$338,6,FALSE))</f>
        <v/>
      </c>
      <c r="G564" s="333" t="e">
        <f t="shared" ref="G564:G576" si="60">RANK(F564,$F$561:$F$576,1)</f>
        <v>#VALUE!</v>
      </c>
      <c r="H564" s="343" t="str">
        <f t="array" ref="H564">IF(B564&lt;&gt;"",INDEX('Eingabe Meldungen'!$C$2:$J$492,MATCH(B564&amp;C564,'Eingabe Meldungen'!$C$2:$C$492&amp;'Eingabe Meldungen'!$D$2:$D$492,0),8),"")</f>
        <v/>
      </c>
      <c r="J564" s="332"/>
      <c r="K564" s="332"/>
      <c r="L564" s="332"/>
      <c r="M564" s="332"/>
      <c r="N564" s="332"/>
      <c r="O564" s="332"/>
      <c r="P564" s="332"/>
      <c r="Q564" s="332"/>
      <c r="R564" s="332"/>
      <c r="S564" s="332"/>
      <c r="T564" s="332"/>
      <c r="U564" s="332"/>
      <c r="V564" s="332"/>
      <c r="W564" s="332"/>
      <c r="X564" s="332"/>
      <c r="Y564" s="332"/>
      <c r="Z564" s="332"/>
      <c r="AA564" s="332"/>
      <c r="AB564" s="332"/>
      <c r="AC564" s="332"/>
      <c r="AD564" s="332"/>
      <c r="AE564" s="332"/>
      <c r="AF564" s="332"/>
      <c r="AG564" s="332"/>
      <c r="AH564" s="332"/>
      <c r="AI564" s="332"/>
      <c r="AJ564" s="333"/>
      <c r="AK564" s="333"/>
      <c r="AL564" s="333"/>
      <c r="AM564" s="333"/>
    </row>
    <row r="565" spans="2:39" s="316" customFormat="1" ht="26.25" customHeight="1" x14ac:dyDescent="0.2">
      <c r="B565" s="340" t="str">
        <f t="array" ref="B565">IF(ISERROR(INDEX('Eingabe Meldungen'!$C$2:$C$492,LARGE(('Eingabe Meldungen'!$A$2:$A$492=$B$559)*(ROW('Eingabe Meldungen'!$A$2:$A$492)-1),COUNTIF('Eingabe Meldungen'!$A$2:$A$492,$B$559)+1-ROW('Eingabe Meldungen'!A5)))),"",INDEX('Eingabe Meldungen'!$C$2:$C$492,LARGE(('Eingabe Meldungen'!$A$2:$A$492=$B$559)*(ROW('Eingabe Meldungen'!$A$2:$A$492)-1),COUNTIF('Eingabe Meldungen'!$A$2:$A$492,$B$559)+1-ROW('Eingabe Meldungen'!A5))))</f>
        <v/>
      </c>
      <c r="C565" s="316" t="str">
        <f t="array" ref="C565">IF(ISERROR(INDEX('Eingabe Meldungen'!$D$2:$D$492,LARGE(('Eingabe Meldungen'!$A$2:$A$492=$B$559)*(ROW('Eingabe Meldungen'!$A$2:$A$492)-1),COUNTIF('Eingabe Meldungen'!$A$2:$A$492,$B$559)+1-ROW('Eingabe Meldungen'!A5)))),"",INDEX('Eingabe Meldungen'!$D$2:$D$492,LARGE(('Eingabe Meldungen'!$A$2:$A$492=$B$559)*(ROW('Eingabe Meldungen'!$A$2:$A$492)-1),COUNTIF('Eingabe Meldungen'!$A$2:$A$492,$B$559)+1-ROW('Eingabe Meldungen'!A5))))</f>
        <v/>
      </c>
      <c r="D565" s="341" t="str">
        <f t="array" ref="D565">IF(B565&lt;&gt;"",INDEX('Eingabe Meldungen'!$C$2:$H$492,MATCH(B565&amp;C565,'Eingabe Meldungen'!$C$2:$C$492&amp;'Eingabe Meldungen'!$D$2:$D$492,0),6),"")</f>
        <v/>
      </c>
      <c r="E565" s="382" t="str">
        <f t="array" ref="E565">IF(B565&lt;&gt;"",INDEX('Eingabe Meldungen'!$C$2:$H$492,MATCH(B565&amp;C565,'Eingabe Meldungen'!$C$2:$C$492&amp;'Eingabe Meldungen'!$D$2:$D$492,0),4),"")</f>
        <v/>
      </c>
      <c r="F565" s="353" t="str">
        <f>IF(VLOOKUP(B565,Rennlisten!$B$334:$H$338,6,FALSE)=0,"",VLOOKUP(B565,Rennlisten!$B$334:$H$338,6,FALSE))</f>
        <v/>
      </c>
      <c r="G565" s="333" t="e">
        <f t="shared" si="60"/>
        <v>#VALUE!</v>
      </c>
      <c r="H565" s="343" t="str">
        <f t="array" ref="H565">IF(B565&lt;&gt;"",INDEX('Eingabe Meldungen'!$C$2:$J$492,MATCH(B565&amp;C565,'Eingabe Meldungen'!$C$2:$C$492&amp;'Eingabe Meldungen'!$D$2:$D$492,0),8),"")</f>
        <v/>
      </c>
      <c r="J565" s="332"/>
      <c r="K565" s="332"/>
      <c r="L565" s="332"/>
      <c r="M565" s="332"/>
      <c r="N565" s="332"/>
      <c r="O565" s="332"/>
      <c r="P565" s="332"/>
      <c r="Q565" s="332"/>
      <c r="R565" s="332"/>
      <c r="S565" s="332"/>
      <c r="T565" s="332"/>
      <c r="U565" s="332"/>
      <c r="V565" s="332"/>
      <c r="W565" s="332"/>
      <c r="X565" s="332"/>
      <c r="Y565" s="332"/>
      <c r="Z565" s="332"/>
      <c r="AA565" s="332"/>
      <c r="AB565" s="332"/>
      <c r="AC565" s="332"/>
      <c r="AD565" s="332"/>
      <c r="AE565" s="332"/>
      <c r="AF565" s="332"/>
      <c r="AG565" s="332"/>
      <c r="AH565" s="332"/>
      <c r="AI565" s="332"/>
      <c r="AJ565" s="333"/>
      <c r="AK565" s="333"/>
      <c r="AL565" s="333"/>
      <c r="AM565" s="333"/>
    </row>
    <row r="566" spans="2:39" s="316" customFormat="1" ht="26.25" customHeight="1" x14ac:dyDescent="0.2">
      <c r="B566" s="340" t="str">
        <f t="array" ref="B566">IF(ISERROR(INDEX('Eingabe Meldungen'!$C$2:$C$492,LARGE(('Eingabe Meldungen'!$A$2:$A$492=$B$559)*(ROW('Eingabe Meldungen'!$A$2:$A$492)-1),COUNTIF('Eingabe Meldungen'!$A$2:$A$492,$B$559)+1-ROW('Eingabe Meldungen'!A6)))),"",INDEX('Eingabe Meldungen'!$C$2:$C$492,LARGE(('Eingabe Meldungen'!$A$2:$A$492=$B$559)*(ROW('Eingabe Meldungen'!$A$2:$A$492)-1),COUNTIF('Eingabe Meldungen'!$A$2:$A$492,$B$559)+1-ROW('Eingabe Meldungen'!A6))))</f>
        <v/>
      </c>
      <c r="C566" s="316" t="str">
        <f t="array" ref="C566">IF(ISERROR(INDEX('Eingabe Meldungen'!$D$2:$D$492,LARGE(('Eingabe Meldungen'!$A$2:$A$492=$B$559)*(ROW('Eingabe Meldungen'!$A$2:$A$492)-1),COUNTIF('Eingabe Meldungen'!$A$2:$A$492,$B$559)+1-ROW('Eingabe Meldungen'!A6)))),"",INDEX('Eingabe Meldungen'!$D$2:$D$492,LARGE(('Eingabe Meldungen'!$A$2:$A$492=$B$559)*(ROW('Eingabe Meldungen'!$A$2:$A$492)-1),COUNTIF('Eingabe Meldungen'!$A$2:$A$492,$B$559)+1-ROW('Eingabe Meldungen'!A6))))</f>
        <v/>
      </c>
      <c r="D566" s="341" t="str">
        <f t="array" ref="D566">IF(B566&lt;&gt;"",INDEX('Eingabe Meldungen'!$C$2:$H$492,MATCH(B566&amp;C566,'Eingabe Meldungen'!$C$2:$C$492&amp;'Eingabe Meldungen'!$D$2:$D$492,0),6),"")</f>
        <v/>
      </c>
      <c r="E566" s="382" t="str">
        <f t="array" ref="E566">IF(B566&lt;&gt;"",INDEX('Eingabe Meldungen'!$C$2:$H$492,MATCH(B566&amp;C566,'Eingabe Meldungen'!$C$2:$C$492&amp;'Eingabe Meldungen'!$D$2:$D$492,0),4),"")</f>
        <v/>
      </c>
      <c r="F566" s="353" t="str">
        <f>IF(VLOOKUP(B566,Rennlisten!$B$334:$H$338,6,FALSE)=0,"",VLOOKUP(B566,Rennlisten!$B$334:$H$338,6,FALSE))</f>
        <v/>
      </c>
      <c r="G566" s="333" t="e">
        <f t="shared" si="60"/>
        <v>#VALUE!</v>
      </c>
      <c r="H566" s="343" t="str">
        <f t="array" ref="H566">IF(B566&lt;&gt;"",INDEX('Eingabe Meldungen'!$C$2:$J$492,MATCH(B566&amp;C566,'Eingabe Meldungen'!$C$2:$C$492&amp;'Eingabe Meldungen'!$D$2:$D$492,0),8),"")</f>
        <v/>
      </c>
      <c r="J566" s="332"/>
      <c r="K566" s="332"/>
      <c r="L566" s="332"/>
      <c r="M566" s="332"/>
      <c r="N566" s="332"/>
      <c r="O566" s="332"/>
      <c r="P566" s="332"/>
      <c r="Q566" s="332"/>
      <c r="R566" s="332"/>
      <c r="S566" s="332"/>
      <c r="T566" s="332"/>
      <c r="U566" s="332"/>
      <c r="V566" s="332"/>
      <c r="W566" s="332"/>
      <c r="X566" s="332"/>
      <c r="Y566" s="332"/>
      <c r="Z566" s="332"/>
      <c r="AA566" s="332"/>
      <c r="AB566" s="332"/>
      <c r="AC566" s="332"/>
      <c r="AD566" s="332"/>
      <c r="AE566" s="332"/>
      <c r="AF566" s="332"/>
      <c r="AG566" s="332"/>
      <c r="AH566" s="332"/>
      <c r="AI566" s="332"/>
      <c r="AJ566" s="333"/>
      <c r="AK566" s="333"/>
      <c r="AL566" s="333"/>
      <c r="AM566" s="333"/>
    </row>
    <row r="567" spans="2:39" s="316" customFormat="1" ht="26.25" customHeight="1" x14ac:dyDescent="0.2">
      <c r="B567" s="340" t="str">
        <f t="array" ref="B567">IF(ISERROR(INDEX('Eingabe Meldungen'!$C$2:$C$492,LARGE(('Eingabe Meldungen'!$A$2:$A$492=$B$559)*(ROW('Eingabe Meldungen'!$A$2:$A$492)-1),COUNTIF('Eingabe Meldungen'!$A$2:$A$492,$B$559)+1-ROW('Eingabe Meldungen'!A7)))),"",INDEX('Eingabe Meldungen'!$C$2:$C$492,LARGE(('Eingabe Meldungen'!$A$2:$A$492=$B$559)*(ROW('Eingabe Meldungen'!$A$2:$A$492)-1),COUNTIF('Eingabe Meldungen'!$A$2:$A$492,$B$559)+1-ROW('Eingabe Meldungen'!A7))))</f>
        <v/>
      </c>
      <c r="C567" s="316" t="str">
        <f t="array" ref="C567">IF(ISERROR(INDEX('Eingabe Meldungen'!$D$2:$D$492,LARGE(('Eingabe Meldungen'!$A$2:$A$492=$B$559)*(ROW('Eingabe Meldungen'!$A$2:$A$492)-1),COUNTIF('Eingabe Meldungen'!$A$2:$A$492,$B$559)+1-ROW('Eingabe Meldungen'!A7)))),"",INDEX('Eingabe Meldungen'!$D$2:$D$492,LARGE(('Eingabe Meldungen'!$A$2:$A$492=$B$559)*(ROW('Eingabe Meldungen'!$A$2:$A$492)-1),COUNTIF('Eingabe Meldungen'!$A$2:$A$492,$B$559)+1-ROW('Eingabe Meldungen'!A7))))</f>
        <v/>
      </c>
      <c r="D567" s="341" t="str">
        <f t="array" ref="D567">IF(B567&lt;&gt;"",INDEX('Eingabe Meldungen'!$C$2:$H$492,MATCH(B567&amp;C567,'Eingabe Meldungen'!$C$2:$C$492&amp;'Eingabe Meldungen'!$D$2:$D$492,0),6),"")</f>
        <v/>
      </c>
      <c r="E567" s="382" t="str">
        <f t="array" ref="E567">IF(B567&lt;&gt;"",INDEX('Eingabe Meldungen'!$C$2:$H$492,MATCH(B567&amp;C567,'Eingabe Meldungen'!$C$2:$C$492&amp;'Eingabe Meldungen'!$D$2:$D$492,0),4),"")</f>
        <v/>
      </c>
      <c r="F567" s="353" t="str">
        <f>IF(VLOOKUP(B567,Rennlisten!$B$334:$H$338,6,FALSE)=0,"",VLOOKUP(B567,Rennlisten!$B$334:$H$338,6,FALSE))</f>
        <v/>
      </c>
      <c r="G567" s="333" t="e">
        <f t="shared" si="60"/>
        <v>#VALUE!</v>
      </c>
      <c r="H567" s="343" t="str">
        <f t="array" ref="H567">IF(B567&lt;&gt;"",INDEX('Eingabe Meldungen'!$C$2:$J$492,MATCH(B567&amp;C567,'Eingabe Meldungen'!$C$2:$C$492&amp;'Eingabe Meldungen'!$D$2:$D$492,0),8),"")</f>
        <v/>
      </c>
      <c r="J567" s="332"/>
      <c r="K567" s="332"/>
      <c r="L567" s="332"/>
      <c r="M567" s="332"/>
      <c r="N567" s="332"/>
      <c r="O567" s="332"/>
      <c r="P567" s="332"/>
      <c r="Q567" s="332"/>
      <c r="R567" s="332"/>
      <c r="S567" s="332"/>
      <c r="T567" s="332"/>
      <c r="U567" s="332"/>
      <c r="V567" s="332"/>
      <c r="W567" s="332"/>
      <c r="X567" s="332"/>
      <c r="Y567" s="332"/>
      <c r="Z567" s="332"/>
      <c r="AA567" s="332"/>
      <c r="AB567" s="332"/>
      <c r="AC567" s="332"/>
      <c r="AD567" s="332"/>
      <c r="AE567" s="332"/>
      <c r="AF567" s="332"/>
      <c r="AG567" s="332"/>
      <c r="AH567" s="332"/>
      <c r="AI567" s="332"/>
      <c r="AJ567" s="333"/>
      <c r="AK567" s="333"/>
      <c r="AL567" s="333"/>
      <c r="AM567" s="333"/>
    </row>
    <row r="568" spans="2:39" s="316" customFormat="1" ht="26.25" customHeight="1" x14ac:dyDescent="0.2">
      <c r="B568" s="340" t="str">
        <f t="array" ref="B568">IF(ISERROR(INDEX('Eingabe Meldungen'!$C$2:$C$492,LARGE(('Eingabe Meldungen'!$A$2:$A$492=$B$559)*(ROW('Eingabe Meldungen'!$A$2:$A$492)-1),COUNTIF('Eingabe Meldungen'!$A$2:$A$492,$B$559)+1-ROW('Eingabe Meldungen'!A8)))),"",INDEX('Eingabe Meldungen'!$C$2:$C$492,LARGE(('Eingabe Meldungen'!$A$2:$A$492=$B$559)*(ROW('Eingabe Meldungen'!$A$2:$A$492)-1),COUNTIF('Eingabe Meldungen'!$A$2:$A$492,$B$559)+1-ROW('Eingabe Meldungen'!A8))))</f>
        <v/>
      </c>
      <c r="C568" s="316" t="str">
        <f t="array" ref="C568">IF(ISERROR(INDEX('Eingabe Meldungen'!$D$2:$D$492,LARGE(('Eingabe Meldungen'!$A$2:$A$492=$B$559)*(ROW('Eingabe Meldungen'!$A$2:$A$492)-1),COUNTIF('Eingabe Meldungen'!$A$2:$A$492,$B$559)+1-ROW('Eingabe Meldungen'!A8)))),"",INDEX('Eingabe Meldungen'!$D$2:$D$492,LARGE(('Eingabe Meldungen'!$A$2:$A$492=$B$559)*(ROW('Eingabe Meldungen'!$A$2:$A$492)-1),COUNTIF('Eingabe Meldungen'!$A$2:$A$492,$B$559)+1-ROW('Eingabe Meldungen'!A8))))</f>
        <v/>
      </c>
      <c r="D568" s="341" t="str">
        <f t="array" ref="D568">IF(B568&lt;&gt;"",INDEX('Eingabe Meldungen'!$C$2:$H$492,MATCH(B568&amp;C568,'Eingabe Meldungen'!$C$2:$C$492&amp;'Eingabe Meldungen'!$D$2:$D$492,0),6),"")</f>
        <v/>
      </c>
      <c r="E568" s="382" t="str">
        <f t="array" ref="E568">IF(B568&lt;&gt;"",INDEX('Eingabe Meldungen'!$C$2:$H$492,MATCH(B568&amp;C568,'Eingabe Meldungen'!$C$2:$C$492&amp;'Eingabe Meldungen'!$D$2:$D$492,0),4),"")</f>
        <v/>
      </c>
      <c r="F568" s="353" t="str">
        <f>IF(VLOOKUP(B568,Rennlisten!$B$334:$H$338,6,FALSE)=0,"",VLOOKUP(B568,Rennlisten!$B$334:$H$338,6,FALSE))</f>
        <v/>
      </c>
      <c r="G568" s="333" t="e">
        <f t="shared" si="60"/>
        <v>#VALUE!</v>
      </c>
      <c r="H568" s="343" t="str">
        <f t="array" ref="H568">IF(B568&lt;&gt;"",INDEX('Eingabe Meldungen'!$C$2:$J$492,MATCH(B568&amp;C568,'Eingabe Meldungen'!$C$2:$C$492&amp;'Eingabe Meldungen'!$D$2:$D$492,0),8),"")</f>
        <v/>
      </c>
      <c r="J568" s="332"/>
      <c r="K568" s="332"/>
      <c r="L568" s="332"/>
      <c r="M568" s="332"/>
      <c r="N568" s="332"/>
      <c r="O568" s="332"/>
      <c r="P568" s="332"/>
      <c r="Q568" s="332"/>
      <c r="R568" s="332"/>
      <c r="S568" s="332"/>
      <c r="T568" s="332"/>
      <c r="U568" s="332"/>
      <c r="V568" s="332"/>
      <c r="W568" s="332"/>
      <c r="X568" s="332"/>
      <c r="Y568" s="332"/>
      <c r="Z568" s="332"/>
      <c r="AA568" s="332"/>
      <c r="AB568" s="332"/>
      <c r="AC568" s="332"/>
      <c r="AD568" s="332"/>
      <c r="AE568" s="332"/>
      <c r="AF568" s="332"/>
      <c r="AG568" s="332"/>
      <c r="AH568" s="332"/>
      <c r="AI568" s="332"/>
      <c r="AJ568" s="333"/>
      <c r="AK568" s="333"/>
      <c r="AL568" s="333"/>
      <c r="AM568" s="333"/>
    </row>
    <row r="569" spans="2:39" s="316" customFormat="1" ht="26.25" customHeight="1" x14ac:dyDescent="0.2">
      <c r="B569" s="340" t="str">
        <f t="array" ref="B569">IF(ISERROR(INDEX('Eingabe Meldungen'!$C$2:$C$492,LARGE(('Eingabe Meldungen'!$A$2:$A$492=$B$559)*(ROW('Eingabe Meldungen'!$A$2:$A$492)-1),COUNTIF('Eingabe Meldungen'!$A$2:$A$492,$B$559)+1-ROW('Eingabe Meldungen'!A9)))),"",INDEX('Eingabe Meldungen'!$C$2:$C$492,LARGE(('Eingabe Meldungen'!$A$2:$A$492=$B$559)*(ROW('Eingabe Meldungen'!$A$2:$A$492)-1),COUNTIF('Eingabe Meldungen'!$A$2:$A$492,$B$559)+1-ROW('Eingabe Meldungen'!A9))))</f>
        <v/>
      </c>
      <c r="C569" s="316" t="str">
        <f t="array" ref="C569">IF(ISERROR(INDEX('Eingabe Meldungen'!$D$2:$D$492,LARGE(('Eingabe Meldungen'!$A$2:$A$492=$B$559)*(ROW('Eingabe Meldungen'!$A$2:$A$492)-1),COUNTIF('Eingabe Meldungen'!$A$2:$A$492,$B$559)+1-ROW('Eingabe Meldungen'!A9)))),"",INDEX('Eingabe Meldungen'!$D$2:$D$492,LARGE(('Eingabe Meldungen'!$A$2:$A$492=$B$559)*(ROW('Eingabe Meldungen'!$A$2:$A$492)-1),COUNTIF('Eingabe Meldungen'!$A$2:$A$492,$B$559)+1-ROW('Eingabe Meldungen'!A9))))</f>
        <v/>
      </c>
      <c r="D569" s="341" t="str">
        <f t="array" ref="D569">IF(B569&lt;&gt;"",INDEX('Eingabe Meldungen'!$C$2:$H$492,MATCH(B569&amp;C569,'Eingabe Meldungen'!$C$2:$C$492&amp;'Eingabe Meldungen'!$D$2:$D$492,0),6),"")</f>
        <v/>
      </c>
      <c r="E569" s="382" t="str">
        <f t="array" ref="E569">IF(B569&lt;&gt;"",INDEX('Eingabe Meldungen'!$C$2:$H$492,MATCH(B569&amp;C569,'Eingabe Meldungen'!$C$2:$C$492&amp;'Eingabe Meldungen'!$D$2:$D$492,0),4),"")</f>
        <v/>
      </c>
      <c r="F569" s="353" t="str">
        <f>IF(VLOOKUP(B569,Rennlisten!$B$334:$H$338,6,FALSE)=0,"",VLOOKUP(B569,Rennlisten!$B$334:$H$338,6,FALSE))</f>
        <v/>
      </c>
      <c r="G569" s="333" t="e">
        <f t="shared" si="60"/>
        <v>#VALUE!</v>
      </c>
      <c r="H569" s="343" t="str">
        <f t="array" ref="H569">IF(B569&lt;&gt;"",INDEX('Eingabe Meldungen'!$C$2:$J$492,MATCH(B569&amp;C569,'Eingabe Meldungen'!$C$2:$C$492&amp;'Eingabe Meldungen'!$D$2:$D$492,0),8),"")</f>
        <v/>
      </c>
      <c r="J569" s="332"/>
      <c r="K569" s="332"/>
      <c r="L569" s="332"/>
      <c r="M569" s="332"/>
      <c r="N569" s="332"/>
      <c r="O569" s="332"/>
      <c r="P569" s="332"/>
      <c r="Q569" s="332"/>
      <c r="R569" s="332"/>
      <c r="S569" s="332"/>
      <c r="T569" s="332"/>
      <c r="U569" s="332"/>
      <c r="V569" s="332"/>
      <c r="W569" s="332"/>
      <c r="X569" s="332"/>
      <c r="Y569" s="332"/>
      <c r="Z569" s="332"/>
      <c r="AA569" s="332"/>
      <c r="AB569" s="332"/>
      <c r="AC569" s="332"/>
      <c r="AD569" s="332"/>
      <c r="AE569" s="332"/>
      <c r="AF569" s="332"/>
      <c r="AG569" s="332"/>
      <c r="AH569" s="332"/>
      <c r="AI569" s="332"/>
      <c r="AJ569" s="333"/>
      <c r="AK569" s="333"/>
      <c r="AL569" s="333"/>
      <c r="AM569" s="333"/>
    </row>
    <row r="570" spans="2:39" s="316" customFormat="1" ht="26.25" customHeight="1" x14ac:dyDescent="0.2">
      <c r="B570" s="340" t="str">
        <f t="array" ref="B570">IF(ISERROR(INDEX('Eingabe Meldungen'!$C$2:$C$492,LARGE(('Eingabe Meldungen'!$A$2:$A$492=$B$559)*(ROW('Eingabe Meldungen'!$A$2:$A$492)-1),COUNTIF('Eingabe Meldungen'!$A$2:$A$492,$B$559)+1-ROW('Eingabe Meldungen'!A10)))),"",INDEX('Eingabe Meldungen'!$C$2:$C$492,LARGE(('Eingabe Meldungen'!$A$2:$A$492=$B$559)*(ROW('Eingabe Meldungen'!$A$2:$A$492)-1),COUNTIF('Eingabe Meldungen'!$A$2:$A$492,$B$559)+1-ROW('Eingabe Meldungen'!A10))))</f>
        <v/>
      </c>
      <c r="C570" s="316" t="str">
        <f t="array" ref="C570">IF(ISERROR(INDEX('Eingabe Meldungen'!$D$2:$D$492,LARGE(('Eingabe Meldungen'!$A$2:$A$492=$B$559)*(ROW('Eingabe Meldungen'!$A$2:$A$492)-1),COUNTIF('Eingabe Meldungen'!$A$2:$A$492,$B$559)+1-ROW('Eingabe Meldungen'!A10)))),"",INDEX('Eingabe Meldungen'!$D$2:$D$492,LARGE(('Eingabe Meldungen'!$A$2:$A$492=$B$559)*(ROW('Eingabe Meldungen'!$A$2:$A$492)-1),COUNTIF('Eingabe Meldungen'!$A$2:$A$492,$B$559)+1-ROW('Eingabe Meldungen'!A10))))</f>
        <v/>
      </c>
      <c r="D570" s="341" t="str">
        <f t="array" ref="D570">IF(B570&lt;&gt;"",INDEX('Eingabe Meldungen'!$C$2:$H$492,MATCH(B570&amp;C570,'Eingabe Meldungen'!$C$2:$C$492&amp;'Eingabe Meldungen'!$D$2:$D$492,0),6),"")</f>
        <v/>
      </c>
      <c r="E570" s="382" t="str">
        <f t="array" ref="E570">IF(B570&lt;&gt;"",INDEX('Eingabe Meldungen'!$C$2:$H$492,MATCH(B570&amp;C570,'Eingabe Meldungen'!$C$2:$C$492&amp;'Eingabe Meldungen'!$D$2:$D$492,0),4),"")</f>
        <v/>
      </c>
      <c r="F570" s="353" t="str">
        <f>IF(VLOOKUP(B570,Rennlisten!$B$334:$H$338,6,FALSE)=0,"",VLOOKUP(B570,Rennlisten!$B$334:$H$338,6,FALSE))</f>
        <v/>
      </c>
      <c r="G570" s="333" t="e">
        <f t="shared" si="60"/>
        <v>#VALUE!</v>
      </c>
      <c r="H570" s="343" t="str">
        <f t="array" ref="H570">IF(B570&lt;&gt;"",INDEX('Eingabe Meldungen'!$C$2:$J$492,MATCH(B570&amp;C570,'Eingabe Meldungen'!$C$2:$C$492&amp;'Eingabe Meldungen'!$D$2:$D$492,0),8),"")</f>
        <v/>
      </c>
      <c r="J570" s="332"/>
      <c r="K570" s="332"/>
      <c r="L570" s="332"/>
      <c r="M570" s="332"/>
      <c r="N570" s="332"/>
      <c r="O570" s="332"/>
      <c r="P570" s="332"/>
      <c r="Q570" s="332"/>
      <c r="R570" s="332"/>
      <c r="S570" s="332"/>
      <c r="T570" s="332"/>
      <c r="U570" s="332"/>
      <c r="V570" s="332"/>
      <c r="W570" s="332"/>
      <c r="X570" s="332"/>
      <c r="Y570" s="332"/>
      <c r="Z570" s="332"/>
      <c r="AA570" s="332"/>
      <c r="AB570" s="332"/>
      <c r="AC570" s="332"/>
      <c r="AD570" s="332"/>
      <c r="AE570" s="332"/>
      <c r="AF570" s="332"/>
      <c r="AG570" s="332"/>
      <c r="AH570" s="332"/>
      <c r="AI570" s="332"/>
      <c r="AJ570" s="333"/>
      <c r="AK570" s="333"/>
      <c r="AL570" s="333"/>
      <c r="AM570" s="333"/>
    </row>
    <row r="571" spans="2:39" s="316" customFormat="1" ht="26.25" customHeight="1" x14ac:dyDescent="0.2">
      <c r="B571" s="340" t="str">
        <f t="array" ref="B571">IF(ISERROR(INDEX('Eingabe Meldungen'!$C$2:$C$492,LARGE(('Eingabe Meldungen'!$A$2:$A$492=$B$559)*(ROW('Eingabe Meldungen'!$A$2:$A$492)-1),COUNTIF('Eingabe Meldungen'!$A$2:$A$492,$B$559)+1-ROW('Eingabe Meldungen'!A11)))),"",INDEX('Eingabe Meldungen'!$C$2:$C$492,LARGE(('Eingabe Meldungen'!$A$2:$A$492=$B$559)*(ROW('Eingabe Meldungen'!$A$2:$A$492)-1),COUNTIF('Eingabe Meldungen'!$A$2:$A$492,$B$559)+1-ROW('Eingabe Meldungen'!A11))))</f>
        <v/>
      </c>
      <c r="C571" s="316" t="str">
        <f t="array" ref="C571">IF(ISERROR(INDEX('Eingabe Meldungen'!$D$2:$D$492,LARGE(('Eingabe Meldungen'!$A$2:$A$492=$B$559)*(ROW('Eingabe Meldungen'!$A$2:$A$492)-1),COUNTIF('Eingabe Meldungen'!$A$2:$A$492,$B$559)+1-ROW('Eingabe Meldungen'!A11)))),"",INDEX('Eingabe Meldungen'!$D$2:$D$492,LARGE(('Eingabe Meldungen'!$A$2:$A$492=$B$559)*(ROW('Eingabe Meldungen'!$A$2:$A$492)-1),COUNTIF('Eingabe Meldungen'!$A$2:$A$492,$B$559)+1-ROW('Eingabe Meldungen'!A11))))</f>
        <v/>
      </c>
      <c r="D571" s="341" t="str">
        <f t="array" ref="D571">IF(B571&lt;&gt;"",INDEX('Eingabe Meldungen'!$C$2:$H$492,MATCH(B571&amp;C571,'Eingabe Meldungen'!$C$2:$C$492&amp;'Eingabe Meldungen'!$D$2:$D$492,0),6),"")</f>
        <v/>
      </c>
      <c r="E571" s="382" t="str">
        <f t="array" ref="E571">IF(B571&lt;&gt;"",INDEX('Eingabe Meldungen'!$C$2:$H$492,MATCH(B571&amp;C571,'Eingabe Meldungen'!$C$2:$C$492&amp;'Eingabe Meldungen'!$D$2:$D$492,0),4),"")</f>
        <v/>
      </c>
      <c r="F571" s="353" t="str">
        <f>IF(VLOOKUP(B571,Rennlisten!$B$334:$H$338,6,FALSE)=0,"",VLOOKUP(B571,Rennlisten!$B$334:$H$338,6,FALSE))</f>
        <v/>
      </c>
      <c r="G571" s="333" t="e">
        <f t="shared" si="60"/>
        <v>#VALUE!</v>
      </c>
      <c r="H571" s="343" t="str">
        <f t="array" ref="H571">IF(B571&lt;&gt;"",INDEX('Eingabe Meldungen'!$C$2:$J$492,MATCH(B571&amp;C571,'Eingabe Meldungen'!$C$2:$C$492&amp;'Eingabe Meldungen'!$D$2:$D$492,0),8),"")</f>
        <v/>
      </c>
      <c r="J571" s="332"/>
      <c r="K571" s="332"/>
      <c r="L571" s="332"/>
      <c r="M571" s="332"/>
      <c r="N571" s="332"/>
      <c r="O571" s="332"/>
      <c r="P571" s="332"/>
      <c r="Q571" s="332"/>
      <c r="R571" s="332"/>
      <c r="S571" s="332"/>
      <c r="T571" s="332"/>
      <c r="U571" s="332"/>
      <c r="V571" s="332"/>
      <c r="W571" s="332"/>
      <c r="X571" s="332"/>
      <c r="Y571" s="332"/>
      <c r="Z571" s="332"/>
      <c r="AA571" s="332"/>
      <c r="AB571" s="332"/>
      <c r="AC571" s="332"/>
      <c r="AD571" s="332"/>
      <c r="AE571" s="332"/>
      <c r="AF571" s="332"/>
      <c r="AG571" s="332"/>
      <c r="AH571" s="332"/>
      <c r="AI571" s="332"/>
      <c r="AJ571" s="333"/>
      <c r="AK571" s="333"/>
      <c r="AL571" s="333"/>
      <c r="AM571" s="333"/>
    </row>
    <row r="572" spans="2:39" s="316" customFormat="1" ht="26.25" customHeight="1" x14ac:dyDescent="0.2">
      <c r="B572" s="340" t="str">
        <f t="array" ref="B572">IF(ISERROR(INDEX('Eingabe Meldungen'!$C$2:$C$492,LARGE(('Eingabe Meldungen'!$A$2:$A$492=$B$559)*(ROW('Eingabe Meldungen'!$A$2:$A$492)-1),COUNTIF('Eingabe Meldungen'!$A$2:$A$492,$B$559)+1-ROW('Eingabe Meldungen'!A12)))),"",INDEX('Eingabe Meldungen'!$C$2:$C$492,LARGE(('Eingabe Meldungen'!$A$2:$A$492=$B$559)*(ROW('Eingabe Meldungen'!$A$2:$A$492)-1),COUNTIF('Eingabe Meldungen'!$A$2:$A$492,$B$559)+1-ROW('Eingabe Meldungen'!A12))))</f>
        <v/>
      </c>
      <c r="C572" s="316" t="str">
        <f t="array" ref="C572">IF(ISERROR(INDEX('Eingabe Meldungen'!$D$2:$D$492,LARGE(('Eingabe Meldungen'!$A$2:$A$492=$B$559)*(ROW('Eingabe Meldungen'!$A$2:$A$492)-1),COUNTIF('Eingabe Meldungen'!$A$2:$A$492,$B$559)+1-ROW('Eingabe Meldungen'!A12)))),"",INDEX('Eingabe Meldungen'!$D$2:$D$492,LARGE(('Eingabe Meldungen'!$A$2:$A$492=$B$559)*(ROW('Eingabe Meldungen'!$A$2:$A$492)-1),COUNTIF('Eingabe Meldungen'!$A$2:$A$492,$B$559)+1-ROW('Eingabe Meldungen'!A12))))</f>
        <v/>
      </c>
      <c r="D572" s="341" t="str">
        <f t="array" ref="D572">IF(B572&lt;&gt;"",INDEX('Eingabe Meldungen'!$C$2:$H$492,MATCH(B572&amp;C572,'Eingabe Meldungen'!$C$2:$C$492&amp;'Eingabe Meldungen'!$D$2:$D$492,0),6),"")</f>
        <v/>
      </c>
      <c r="E572" s="382" t="str">
        <f t="array" ref="E572">IF(B572&lt;&gt;"",INDEX('Eingabe Meldungen'!$C$2:$H$492,MATCH(B572&amp;C572,'Eingabe Meldungen'!$C$2:$C$492&amp;'Eingabe Meldungen'!$D$2:$D$492,0),4),"")</f>
        <v/>
      </c>
      <c r="F572" s="353" t="str">
        <f>IF(VLOOKUP(B572,Rennlisten!$B$334:$H$338,6,FALSE)=0,"",VLOOKUP(B572,Rennlisten!$B$334:$H$338,6,FALSE))</f>
        <v/>
      </c>
      <c r="G572" s="333" t="e">
        <f t="shared" si="60"/>
        <v>#VALUE!</v>
      </c>
      <c r="H572" s="343" t="str">
        <f t="array" ref="H572">IF(B572&lt;&gt;"",INDEX('Eingabe Meldungen'!$C$2:$J$492,MATCH(B572&amp;C572,'Eingabe Meldungen'!$C$2:$C$492&amp;'Eingabe Meldungen'!$D$2:$D$492,0),8),"")</f>
        <v/>
      </c>
      <c r="J572" s="332"/>
      <c r="K572" s="332"/>
      <c r="L572" s="332"/>
      <c r="M572" s="332"/>
      <c r="N572" s="332"/>
      <c r="O572" s="332"/>
      <c r="P572" s="332"/>
      <c r="Q572" s="332"/>
      <c r="R572" s="332"/>
      <c r="S572" s="332"/>
      <c r="T572" s="332"/>
      <c r="U572" s="332"/>
      <c r="V572" s="332"/>
      <c r="W572" s="332"/>
      <c r="X572" s="332"/>
      <c r="Y572" s="332"/>
      <c r="Z572" s="332"/>
      <c r="AA572" s="332"/>
      <c r="AB572" s="332"/>
      <c r="AC572" s="332"/>
      <c r="AD572" s="332"/>
      <c r="AE572" s="332"/>
      <c r="AF572" s="332"/>
      <c r="AG572" s="332"/>
      <c r="AH572" s="332"/>
      <c r="AI572" s="332"/>
      <c r="AJ572" s="333"/>
      <c r="AK572" s="333"/>
      <c r="AL572" s="333"/>
      <c r="AM572" s="333"/>
    </row>
    <row r="573" spans="2:39" s="316" customFormat="1" ht="26.25" customHeight="1" x14ac:dyDescent="0.2">
      <c r="B573" s="340" t="str">
        <f t="array" ref="B573">IF(ISERROR(INDEX('Eingabe Meldungen'!$C$2:$C$492,LARGE(('Eingabe Meldungen'!$A$2:$A$492=$B$559)*(ROW('Eingabe Meldungen'!$A$2:$A$492)-1),COUNTIF('Eingabe Meldungen'!$A$2:$A$492,$B$559)+1-ROW('Eingabe Meldungen'!A13)))),"",INDEX('Eingabe Meldungen'!$C$2:$C$492,LARGE(('Eingabe Meldungen'!$A$2:$A$492=$B$559)*(ROW('Eingabe Meldungen'!$A$2:$A$492)-1),COUNTIF('Eingabe Meldungen'!$A$2:$A$492,$B$559)+1-ROW('Eingabe Meldungen'!A13))))</f>
        <v/>
      </c>
      <c r="C573" s="316" t="str">
        <f t="array" ref="C573">IF(ISERROR(INDEX('Eingabe Meldungen'!$D$2:$D$492,LARGE(('Eingabe Meldungen'!$A$2:$A$492=$B$559)*(ROW('Eingabe Meldungen'!$A$2:$A$492)-1),COUNTIF('Eingabe Meldungen'!$A$2:$A$492,$B$559)+1-ROW('Eingabe Meldungen'!A13)))),"",INDEX('Eingabe Meldungen'!$D$2:$D$492,LARGE(('Eingabe Meldungen'!$A$2:$A$492=$B$559)*(ROW('Eingabe Meldungen'!$A$2:$A$492)-1),COUNTIF('Eingabe Meldungen'!$A$2:$A$492,$B$559)+1-ROW('Eingabe Meldungen'!A13))))</f>
        <v/>
      </c>
      <c r="D573" s="341" t="str">
        <f t="array" ref="D573">IF(B573&lt;&gt;"",INDEX('Eingabe Meldungen'!$C$2:$H$492,MATCH(B573&amp;C573,'Eingabe Meldungen'!$C$2:$C$492&amp;'Eingabe Meldungen'!$D$2:$D$492,0),6),"")</f>
        <v/>
      </c>
      <c r="E573" s="382" t="str">
        <f t="array" ref="E573">IF(B573&lt;&gt;"",INDEX('Eingabe Meldungen'!$C$2:$H$492,MATCH(B573&amp;C573,'Eingabe Meldungen'!$C$2:$C$492&amp;'Eingabe Meldungen'!$D$2:$D$492,0),4),"")</f>
        <v/>
      </c>
      <c r="F573" s="353" t="str">
        <f>IF(VLOOKUP(B573,Rennlisten!$B$334:$H$338,6,FALSE)=0,"",VLOOKUP(B573,Rennlisten!$B$334:$H$338,6,FALSE))</f>
        <v/>
      </c>
      <c r="G573" s="333" t="e">
        <f t="shared" si="60"/>
        <v>#VALUE!</v>
      </c>
      <c r="H573" s="343" t="str">
        <f t="array" ref="H573">IF(B573&lt;&gt;"",INDEX('Eingabe Meldungen'!$C$2:$J$492,MATCH(B573&amp;C573,'Eingabe Meldungen'!$C$2:$C$492&amp;'Eingabe Meldungen'!$D$2:$D$492,0),8),"")</f>
        <v/>
      </c>
      <c r="J573" s="332"/>
      <c r="K573" s="332"/>
      <c r="L573" s="332"/>
      <c r="M573" s="332"/>
      <c r="N573" s="332"/>
      <c r="O573" s="332"/>
      <c r="P573" s="332"/>
      <c r="Q573" s="332"/>
      <c r="R573" s="332"/>
      <c r="S573" s="332"/>
      <c r="T573" s="332"/>
      <c r="U573" s="332"/>
      <c r="V573" s="332"/>
      <c r="W573" s="332"/>
      <c r="X573" s="332"/>
      <c r="Y573" s="332"/>
      <c r="Z573" s="332"/>
      <c r="AA573" s="332"/>
      <c r="AB573" s="332"/>
      <c r="AC573" s="332"/>
      <c r="AD573" s="332"/>
      <c r="AE573" s="332"/>
      <c r="AF573" s="332"/>
      <c r="AG573" s="332"/>
      <c r="AH573" s="332"/>
      <c r="AI573" s="332"/>
      <c r="AJ573" s="333"/>
      <c r="AK573" s="333"/>
      <c r="AL573" s="333"/>
      <c r="AM573" s="333"/>
    </row>
    <row r="574" spans="2:39" s="316" customFormat="1" ht="26.25" customHeight="1" x14ac:dyDescent="0.2">
      <c r="B574" s="340" t="str">
        <f t="array" ref="B574">IF(ISERROR(INDEX('Eingabe Meldungen'!$C$2:$C$492,LARGE(('Eingabe Meldungen'!$A$2:$A$492=$B$559)*(ROW('Eingabe Meldungen'!$A$2:$A$492)-1),COUNTIF('Eingabe Meldungen'!$A$2:$A$492,$B$559)+1-ROW('Eingabe Meldungen'!A14)))),"",INDEX('Eingabe Meldungen'!$C$2:$C$492,LARGE(('Eingabe Meldungen'!$A$2:$A$492=$B$559)*(ROW('Eingabe Meldungen'!$A$2:$A$492)-1),COUNTIF('Eingabe Meldungen'!$A$2:$A$492,$B$559)+1-ROW('Eingabe Meldungen'!A14))))</f>
        <v/>
      </c>
      <c r="C574" s="316" t="str">
        <f t="array" ref="C574">IF(ISERROR(INDEX('Eingabe Meldungen'!$D$2:$D$492,LARGE(('Eingabe Meldungen'!$A$2:$A$492=$B$559)*(ROW('Eingabe Meldungen'!$A$2:$A$492)-1),COUNTIF('Eingabe Meldungen'!$A$2:$A$492,$B$559)+1-ROW('Eingabe Meldungen'!A14)))),"",INDEX('Eingabe Meldungen'!$D$2:$D$492,LARGE(('Eingabe Meldungen'!$A$2:$A$492=$B$559)*(ROW('Eingabe Meldungen'!$A$2:$A$492)-1),COUNTIF('Eingabe Meldungen'!$A$2:$A$492,$B$559)+1-ROW('Eingabe Meldungen'!A14))))</f>
        <v/>
      </c>
      <c r="D574" s="341" t="str">
        <f t="array" ref="D574">IF(B574&lt;&gt;"",INDEX('Eingabe Meldungen'!$C$2:$H$492,MATCH(B574&amp;C574,'Eingabe Meldungen'!$C$2:$C$492&amp;'Eingabe Meldungen'!$D$2:$D$492,0),6),"")</f>
        <v/>
      </c>
      <c r="E574" s="382" t="str">
        <f t="array" ref="E574">IF(B574&lt;&gt;"",INDEX('Eingabe Meldungen'!$C$2:$H$492,MATCH(B574&amp;C574,'Eingabe Meldungen'!$C$2:$C$492&amp;'Eingabe Meldungen'!$D$2:$D$492,0),4),"")</f>
        <v/>
      </c>
      <c r="F574" s="353" t="str">
        <f>IF(VLOOKUP(B574,Rennlisten!$B$334:$H$338,6,FALSE)=0,"",VLOOKUP(B574,Rennlisten!$B$334:$H$338,6,FALSE))</f>
        <v/>
      </c>
      <c r="G574" s="333" t="e">
        <f t="shared" si="60"/>
        <v>#VALUE!</v>
      </c>
      <c r="H574" s="343" t="str">
        <f t="array" ref="H574">IF(B574&lt;&gt;"",INDEX('Eingabe Meldungen'!$C$2:$J$492,MATCH(B574&amp;C574,'Eingabe Meldungen'!$C$2:$C$492&amp;'Eingabe Meldungen'!$D$2:$D$492,0),8),"")</f>
        <v/>
      </c>
      <c r="J574" s="332"/>
      <c r="K574" s="332"/>
      <c r="L574" s="332"/>
      <c r="M574" s="332"/>
      <c r="N574" s="332"/>
      <c r="O574" s="332"/>
      <c r="P574" s="332"/>
      <c r="Q574" s="332"/>
      <c r="R574" s="332"/>
      <c r="S574" s="332"/>
      <c r="T574" s="332"/>
      <c r="U574" s="332"/>
      <c r="V574" s="332"/>
      <c r="W574" s="332"/>
      <c r="X574" s="332"/>
      <c r="Y574" s="332"/>
      <c r="Z574" s="332"/>
      <c r="AA574" s="332"/>
      <c r="AB574" s="332"/>
      <c r="AC574" s="332"/>
      <c r="AD574" s="332"/>
      <c r="AE574" s="332"/>
      <c r="AF574" s="332"/>
      <c r="AG574" s="332"/>
      <c r="AH574" s="332"/>
      <c r="AI574" s="332"/>
      <c r="AJ574" s="333"/>
      <c r="AK574" s="333"/>
      <c r="AL574" s="333"/>
      <c r="AM574" s="333"/>
    </row>
    <row r="575" spans="2:39" s="316" customFormat="1" ht="26.25" customHeight="1" x14ac:dyDescent="0.2">
      <c r="B575" s="340" t="str">
        <f t="array" ref="B575">IF(ISERROR(INDEX('Eingabe Meldungen'!$C$2:$C$492,LARGE(('Eingabe Meldungen'!$A$2:$A$492=$B$559)*(ROW('Eingabe Meldungen'!$A$2:$A$492)-1),COUNTIF('Eingabe Meldungen'!$A$2:$A$492,$B$559)+1-ROW('Eingabe Meldungen'!A15)))),"",INDEX('Eingabe Meldungen'!$C$2:$C$492,LARGE(('Eingabe Meldungen'!$A$2:$A$492=$B$559)*(ROW('Eingabe Meldungen'!$A$2:$A$492)-1),COUNTIF('Eingabe Meldungen'!$A$2:$A$492,$B$559)+1-ROW('Eingabe Meldungen'!A15))))</f>
        <v/>
      </c>
      <c r="C575" s="316" t="str">
        <f t="array" ref="C575">IF(ISERROR(INDEX('Eingabe Meldungen'!$D$2:$D$492,LARGE(('Eingabe Meldungen'!$A$2:$A$492=$B$559)*(ROW('Eingabe Meldungen'!$A$2:$A$492)-1),COUNTIF('Eingabe Meldungen'!$A$2:$A$492,$B$559)+1-ROW('Eingabe Meldungen'!A15)))),"",INDEX('Eingabe Meldungen'!$D$2:$D$492,LARGE(('Eingabe Meldungen'!$A$2:$A$492=$B$559)*(ROW('Eingabe Meldungen'!$A$2:$A$492)-1),COUNTIF('Eingabe Meldungen'!$A$2:$A$492,$B$559)+1-ROW('Eingabe Meldungen'!A15))))</f>
        <v/>
      </c>
      <c r="D575" s="341" t="str">
        <f t="array" ref="D575">IF(B575&lt;&gt;"",INDEX('Eingabe Meldungen'!$C$2:$H$492,MATCH(B575&amp;C575,'Eingabe Meldungen'!$C$2:$C$492&amp;'Eingabe Meldungen'!$D$2:$D$492,0),6),"")</f>
        <v/>
      </c>
      <c r="E575" s="382" t="str">
        <f t="array" ref="E575">IF(B575&lt;&gt;"",INDEX('Eingabe Meldungen'!$C$2:$H$492,MATCH(B575&amp;C575,'Eingabe Meldungen'!$C$2:$C$492&amp;'Eingabe Meldungen'!$D$2:$D$492,0),4),"")</f>
        <v/>
      </c>
      <c r="F575" s="353" t="str">
        <f>IF(VLOOKUP(B575,Rennlisten!$B$334:$H$338,6,FALSE)=0,"",VLOOKUP(B575,Rennlisten!$B$334:$H$338,6,FALSE))</f>
        <v/>
      </c>
      <c r="G575" s="333" t="e">
        <f t="shared" si="60"/>
        <v>#VALUE!</v>
      </c>
      <c r="H575" s="343" t="str">
        <f t="array" ref="H575">IF(B575&lt;&gt;"",INDEX('Eingabe Meldungen'!$C$2:$J$492,MATCH(B575&amp;C575,'Eingabe Meldungen'!$C$2:$C$492&amp;'Eingabe Meldungen'!$D$2:$D$492,0),8),"")</f>
        <v/>
      </c>
      <c r="J575" s="332"/>
      <c r="K575" s="332"/>
      <c r="L575" s="332"/>
      <c r="M575" s="332"/>
      <c r="N575" s="332"/>
      <c r="O575" s="332"/>
      <c r="P575" s="332"/>
      <c r="Q575" s="332"/>
      <c r="R575" s="332"/>
      <c r="S575" s="332"/>
      <c r="T575" s="332"/>
      <c r="U575" s="332"/>
      <c r="V575" s="332"/>
      <c r="W575" s="332"/>
      <c r="X575" s="332"/>
      <c r="Y575" s="332"/>
      <c r="Z575" s="332"/>
      <c r="AA575" s="332"/>
      <c r="AB575" s="332"/>
      <c r="AC575" s="332"/>
      <c r="AD575" s="332"/>
      <c r="AE575" s="332"/>
      <c r="AF575" s="332"/>
      <c r="AG575" s="332"/>
      <c r="AH575" s="332"/>
      <c r="AI575" s="332"/>
      <c r="AJ575" s="333"/>
      <c r="AK575" s="333"/>
      <c r="AL575" s="333"/>
      <c r="AM575" s="333"/>
    </row>
    <row r="576" spans="2:39" s="316" customFormat="1" ht="26.25" customHeight="1" x14ac:dyDescent="0.2">
      <c r="B576" s="340" t="str">
        <f t="array" ref="B576">IF(ISERROR(INDEX('Eingabe Meldungen'!$C$2:$C$492,LARGE(('Eingabe Meldungen'!$A$2:$A$492=$B$559)*(ROW('Eingabe Meldungen'!$A$2:$A$492)-1),COUNTIF('Eingabe Meldungen'!$A$2:$A$492,$B$559)+1-ROW('Eingabe Meldungen'!A16)))),"",INDEX('Eingabe Meldungen'!$C$2:$C$492,LARGE(('Eingabe Meldungen'!$A$2:$A$492=$B$559)*(ROW('Eingabe Meldungen'!$A$2:$A$492)-1),COUNTIF('Eingabe Meldungen'!$A$2:$A$492,$B$559)+1-ROW('Eingabe Meldungen'!A16))))</f>
        <v/>
      </c>
      <c r="C576" s="316" t="str">
        <f t="array" ref="C576">IF(ISERROR(INDEX('Eingabe Meldungen'!$D$2:$D$492,LARGE(('Eingabe Meldungen'!$A$2:$A$492=$B$559)*(ROW('Eingabe Meldungen'!$A$2:$A$492)-1),COUNTIF('Eingabe Meldungen'!$A$2:$A$492,$B$559)+1-ROW('Eingabe Meldungen'!A16)))),"",INDEX('Eingabe Meldungen'!$D$2:$D$492,LARGE(('Eingabe Meldungen'!$A$2:$A$492=$B$559)*(ROW('Eingabe Meldungen'!$A$2:$A$492)-1),COUNTIF('Eingabe Meldungen'!$A$2:$A$492,$B$559)+1-ROW('Eingabe Meldungen'!A16))))</f>
        <v/>
      </c>
      <c r="D576" s="341" t="str">
        <f t="array" ref="D576">IF(B576&lt;&gt;"",INDEX('Eingabe Meldungen'!$C$2:$H$492,MATCH(B576&amp;C576,'Eingabe Meldungen'!$C$2:$C$492&amp;'Eingabe Meldungen'!$D$2:$D$492,0),6),"")</f>
        <v/>
      </c>
      <c r="E576" s="382" t="str">
        <f t="array" ref="E576">IF(B576&lt;&gt;"",INDEX('Eingabe Meldungen'!$C$2:$H$492,MATCH(B576&amp;C576,'Eingabe Meldungen'!$C$2:$C$492&amp;'Eingabe Meldungen'!$D$2:$D$492,0),4),"")</f>
        <v/>
      </c>
      <c r="F576" s="353" t="str">
        <f>IF(VLOOKUP(B576,Rennlisten!$B$334:$H$338,6,FALSE)=0,"",VLOOKUP(B576,Rennlisten!$B$334:$H$338,6,FALSE))</f>
        <v/>
      </c>
      <c r="G576" s="333" t="e">
        <f t="shared" si="60"/>
        <v>#VALUE!</v>
      </c>
      <c r="H576" s="343" t="str">
        <f t="array" ref="H576">IF(B576&lt;&gt;"",INDEX('Eingabe Meldungen'!$C$2:$J$492,MATCH(B576&amp;C576,'Eingabe Meldungen'!$C$2:$C$492&amp;'Eingabe Meldungen'!$D$2:$D$492,0),8),"")</f>
        <v/>
      </c>
      <c r="J576" s="332"/>
      <c r="K576" s="332"/>
      <c r="L576" s="332"/>
      <c r="M576" s="332"/>
      <c r="N576" s="332"/>
      <c r="O576" s="332"/>
      <c r="P576" s="332"/>
      <c r="Q576" s="332"/>
      <c r="R576" s="332"/>
      <c r="S576" s="332"/>
      <c r="T576" s="332"/>
      <c r="U576" s="332"/>
      <c r="V576" s="332"/>
      <c r="W576" s="332"/>
      <c r="X576" s="332"/>
      <c r="Y576" s="332"/>
      <c r="Z576" s="332"/>
      <c r="AA576" s="332"/>
      <c r="AB576" s="332"/>
      <c r="AC576" s="332"/>
      <c r="AD576" s="332"/>
      <c r="AE576" s="332"/>
      <c r="AF576" s="332"/>
      <c r="AG576" s="332"/>
      <c r="AH576" s="332"/>
      <c r="AI576" s="332"/>
      <c r="AJ576" s="333"/>
      <c r="AK576" s="333"/>
      <c r="AL576" s="333"/>
      <c r="AM576" s="333"/>
    </row>
    <row r="577" spans="2:39" s="316" customFormat="1" ht="26.25" customHeight="1" thickBot="1" x14ac:dyDescent="0.25">
      <c r="E577" s="352"/>
      <c r="F577" s="333"/>
      <c r="G577" s="333"/>
      <c r="J577" s="333"/>
      <c r="K577" s="333"/>
      <c r="L577" s="333"/>
      <c r="M577" s="333"/>
      <c r="N577" s="333"/>
      <c r="O577" s="333"/>
      <c r="P577" s="333"/>
      <c r="Q577" s="333"/>
      <c r="R577" s="333"/>
      <c r="S577" s="333"/>
      <c r="T577" s="333"/>
      <c r="U577" s="333"/>
      <c r="V577" s="333"/>
      <c r="W577" s="333"/>
      <c r="X577" s="333"/>
      <c r="Y577" s="333"/>
      <c r="Z577" s="333"/>
      <c r="AA577" s="333"/>
      <c r="AB577" s="333"/>
      <c r="AC577" s="333"/>
      <c r="AD577" s="333"/>
      <c r="AE577" s="333"/>
      <c r="AF577" s="333"/>
      <c r="AG577" s="333"/>
      <c r="AH577" s="333"/>
      <c r="AI577" s="333"/>
      <c r="AJ577" s="333"/>
      <c r="AK577" s="333"/>
      <c r="AL577" s="333"/>
      <c r="AM577" s="333"/>
    </row>
    <row r="578" spans="2:39" s="316" customFormat="1" ht="26.25" customHeight="1" x14ac:dyDescent="0.2">
      <c r="B578" s="326">
        <f>B559+1</f>
        <v>25</v>
      </c>
      <c r="C578" s="327" t="str">
        <f>VLOOKUP(B578,Ausschreibung!$B$5:$I$35,2,FALSE)</f>
        <v>Ergocup</v>
      </c>
      <c r="D578" s="328">
        <f>VLOOKUP(B578,Ausschreibung!$B$5:$I$35,3,FALSE)</f>
        <v>0.66249999999999976</v>
      </c>
      <c r="E578" s="327" t="str">
        <f>VLOOKUP(B578,Ausschreibung!$B$5:$I$35,4,FALSE)</f>
        <v>Masters A-H, männlich</v>
      </c>
      <c r="F578" s="329" t="str">
        <f>VLOOKUP(B578,Ausschreibung!$B$5:$I$35,5,FALSE)</f>
        <v>-</v>
      </c>
      <c r="G578" s="330" t="str">
        <f>VLOOKUP(B578,Ausschreibung!$B$5:$I$35,6,FALSE)</f>
        <v>27 und älter</v>
      </c>
      <c r="H578" s="331" t="str">
        <f>VLOOKUP(B578,Ausschreibung!$B$5:$I$35,8,FALSE)</f>
        <v>2000 m</v>
      </c>
      <c r="J578" s="332"/>
      <c r="K578" s="332"/>
      <c r="L578" s="332"/>
      <c r="M578" s="332"/>
      <c r="N578" s="332"/>
      <c r="O578" s="332"/>
      <c r="P578" s="332"/>
      <c r="Q578" s="332"/>
      <c r="R578" s="332"/>
      <c r="S578" s="332"/>
      <c r="T578" s="332"/>
      <c r="U578" s="332"/>
      <c r="V578" s="332"/>
      <c r="W578" s="332"/>
      <c r="X578" s="332"/>
      <c r="Y578" s="332"/>
      <c r="Z578" s="332"/>
      <c r="AA578" s="332"/>
      <c r="AB578" s="332"/>
      <c r="AC578" s="332"/>
      <c r="AD578" s="332"/>
      <c r="AE578" s="332"/>
      <c r="AF578" s="332"/>
      <c r="AG578" s="332"/>
      <c r="AH578" s="332"/>
      <c r="AI578" s="332"/>
      <c r="AJ578" s="333"/>
      <c r="AK578" s="333"/>
      <c r="AL578" s="333"/>
      <c r="AM578" s="333"/>
    </row>
    <row r="579" spans="2:39" s="316" customFormat="1" ht="26.25" customHeight="1" x14ac:dyDescent="0.2">
      <c r="B579" s="334" t="s">
        <v>1</v>
      </c>
      <c r="C579" s="335" t="s">
        <v>2</v>
      </c>
      <c r="D579" s="336" t="s">
        <v>49</v>
      </c>
      <c r="E579" s="381" t="s">
        <v>16</v>
      </c>
      <c r="F579" s="337" t="s">
        <v>50</v>
      </c>
      <c r="G579" s="338" t="s">
        <v>51</v>
      </c>
      <c r="H579" s="339" t="s">
        <v>17</v>
      </c>
      <c r="J579" s="332"/>
      <c r="K579" s="332"/>
      <c r="L579" s="332"/>
      <c r="M579" s="332"/>
      <c r="N579" s="332"/>
      <c r="O579" s="332"/>
      <c r="P579" s="332"/>
      <c r="Q579" s="332"/>
      <c r="R579" s="332"/>
      <c r="S579" s="332"/>
      <c r="T579" s="332"/>
      <c r="U579" s="332"/>
      <c r="V579" s="332"/>
      <c r="W579" s="332"/>
      <c r="X579" s="332"/>
      <c r="Y579" s="332"/>
      <c r="Z579" s="332"/>
      <c r="AA579" s="332"/>
      <c r="AB579" s="332"/>
      <c r="AC579" s="332"/>
      <c r="AD579" s="332"/>
      <c r="AE579" s="332"/>
      <c r="AF579" s="332"/>
      <c r="AG579" s="332"/>
      <c r="AH579" s="332"/>
      <c r="AI579" s="332"/>
      <c r="AJ579" s="333"/>
      <c r="AK579" s="333"/>
      <c r="AL579" s="333"/>
      <c r="AM579" s="333"/>
    </row>
    <row r="580" spans="2:39" s="316" customFormat="1" ht="26.25" customHeight="1" x14ac:dyDescent="0.2">
      <c r="B580" s="340" t="str">
        <f t="array" ref="B580">IF(ISERROR(INDEX('Eingabe Meldungen'!$C$2:$C$492,LARGE(('Eingabe Meldungen'!$A$2:$A$492=$B$578)*(ROW('Eingabe Meldungen'!$A$2:$A$492)-1),COUNTIF('Eingabe Meldungen'!$A$2:$A$492,$B$578)+1-ROW('Eingabe Meldungen'!A1)))),"",INDEX('Eingabe Meldungen'!$C$2:$C$492,LARGE(('Eingabe Meldungen'!$A$2:$A$492=$B$578)*(ROW('Eingabe Meldungen'!$A$2:$A$492)-1),COUNTIF('Eingabe Meldungen'!$A$2:$A$492,$B$578)+1-ROW('Eingabe Meldungen'!A1))))</f>
        <v>Sommer</v>
      </c>
      <c r="C580" s="316" t="str">
        <f t="array" ref="C580">IF(ISERROR(INDEX('Eingabe Meldungen'!$D$2:$D$492,LARGE(('Eingabe Meldungen'!$A$2:$A$492=$B$578)*(ROW('Eingabe Meldungen'!$A$2:$A$492)-1),COUNTIF('Eingabe Meldungen'!$A$2:$A$492,$B$578)+1-ROW('Eingabe Meldungen'!A1)))),"",INDEX('Eingabe Meldungen'!$D$2:$D$492,LARGE(('Eingabe Meldungen'!$A$2:$A$492=$B$578)*(ROW('Eingabe Meldungen'!$A$2:$A$492)-1),COUNTIF('Eingabe Meldungen'!$A$2:$A$492,$B$578)+1-ROW('Eingabe Meldungen'!A1))))</f>
        <v>Christian</v>
      </c>
      <c r="D580" s="341">
        <f t="array" ref="D580">IF(B580&lt;&gt;"",INDEX('Eingabe Meldungen'!$C$2:$H$492,MATCH(B580&amp;C580,'Eingabe Meldungen'!$C$2:$C$492&amp;'Eingabe Meldungen'!$D$2:$D$492,0),6),"")</f>
        <v>1942</v>
      </c>
      <c r="E580" s="382" t="str">
        <f t="array" ref="E580">IF(B580&lt;&gt;"",INDEX('Eingabe Meldungen'!$C$2:$H$492,MATCH(B580&amp;C580,'Eingabe Meldungen'!$C$2:$C$492&amp;'Eingabe Meldungen'!$D$2:$D$492,0),4),"")</f>
        <v>I</v>
      </c>
      <c r="F580" s="353" t="s">
        <v>654</v>
      </c>
      <c r="G580" s="333">
        <v>1</v>
      </c>
      <c r="H580" s="343" t="str">
        <f t="array" ref="H580">IF(B580&lt;&gt;"",INDEX('Eingabe Meldungen'!$C$2:$J$492,MATCH(B580&amp;C580,'Eingabe Meldungen'!$C$2:$C$492&amp;'Eingabe Meldungen'!$D$2:$D$492,0),8),"")</f>
        <v>USV TU Dresden</v>
      </c>
      <c r="J580" s="332"/>
      <c r="K580" s="332"/>
      <c r="L580" s="332"/>
      <c r="M580" s="332"/>
      <c r="N580" s="332"/>
      <c r="O580" s="332"/>
      <c r="P580" s="332"/>
      <c r="Q580" s="332"/>
      <c r="R580" s="332"/>
      <c r="S580" s="332"/>
      <c r="T580" s="332"/>
      <c r="U580" s="332"/>
      <c r="V580" s="332"/>
      <c r="W580" s="332"/>
      <c r="X580" s="332"/>
      <c r="Y580" s="332"/>
      <c r="Z580" s="332"/>
      <c r="AA580" s="332"/>
      <c r="AB580" s="332"/>
      <c r="AC580" s="332"/>
      <c r="AD580" s="332"/>
      <c r="AE580" s="332"/>
      <c r="AF580" s="332"/>
      <c r="AG580" s="332"/>
      <c r="AH580" s="332"/>
      <c r="AI580" s="332"/>
      <c r="AJ580" s="333"/>
      <c r="AK580" s="333"/>
      <c r="AL580" s="333"/>
      <c r="AM580" s="333"/>
    </row>
    <row r="581" spans="2:39" s="316" customFormat="1" ht="26.25" customHeight="1" x14ac:dyDescent="0.2">
      <c r="B581" s="340"/>
      <c r="D581" s="341"/>
      <c r="E581" s="382"/>
      <c r="F581" s="353"/>
      <c r="G581" s="333"/>
      <c r="H581" s="343"/>
      <c r="J581" s="332"/>
      <c r="K581" s="332"/>
      <c r="L581" s="332"/>
      <c r="M581" s="332"/>
      <c r="N581" s="332"/>
      <c r="O581" s="332"/>
      <c r="P581" s="332"/>
      <c r="Q581" s="332"/>
      <c r="R581" s="332"/>
      <c r="S581" s="332"/>
      <c r="T581" s="332"/>
      <c r="U581" s="332"/>
      <c r="V581" s="332"/>
      <c r="W581" s="332"/>
      <c r="X581" s="332"/>
      <c r="Y581" s="332"/>
      <c r="Z581" s="332"/>
      <c r="AA581" s="332"/>
      <c r="AB581" s="332"/>
      <c r="AC581" s="332"/>
      <c r="AD581" s="332"/>
      <c r="AE581" s="332"/>
      <c r="AF581" s="332"/>
      <c r="AG581" s="332"/>
      <c r="AH581" s="332"/>
      <c r="AI581" s="332"/>
      <c r="AJ581" s="333"/>
      <c r="AK581" s="333"/>
      <c r="AL581" s="333"/>
      <c r="AM581" s="333"/>
    </row>
    <row r="582" spans="2:39" s="316" customFormat="1" ht="26.25" customHeight="1" x14ac:dyDescent="0.2">
      <c r="B582" s="340" t="str">
        <f t="array" ref="B582">IF(ISERROR(INDEX('Eingabe Meldungen'!$C$2:$C$492,LARGE(('Eingabe Meldungen'!$A$2:$A$492=$B$578)*(ROW('Eingabe Meldungen'!$A$2:$A$492)-1),COUNTIF('Eingabe Meldungen'!$A$2:$A$492,$B$578)+1-ROW('Eingabe Meldungen'!A3)))),"",INDEX('Eingabe Meldungen'!$C$2:$C$492,LARGE(('Eingabe Meldungen'!$A$2:$A$492=$B$578)*(ROW('Eingabe Meldungen'!$A$2:$A$492)-1),COUNTIF('Eingabe Meldungen'!$A$2:$A$492,$B$578)+1-ROW('Eingabe Meldungen'!A3))))</f>
        <v>Grün</v>
      </c>
      <c r="C582" s="316" t="str">
        <f t="array" ref="C582">IF(ISERROR(INDEX('Eingabe Meldungen'!$D$2:$D$492,LARGE(('Eingabe Meldungen'!$A$2:$A$492=$B$578)*(ROW('Eingabe Meldungen'!$A$2:$A$492)-1),COUNTIF('Eingabe Meldungen'!$A$2:$A$492,$B$578)+1-ROW('Eingabe Meldungen'!A3)))),"",INDEX('Eingabe Meldungen'!$D$2:$D$492,LARGE(('Eingabe Meldungen'!$A$2:$A$492=$B$578)*(ROW('Eingabe Meldungen'!$A$2:$A$492)-1),COUNTIF('Eingabe Meldungen'!$A$2:$A$492,$B$578)+1-ROW('Eingabe Meldungen'!A3))))</f>
        <v>Michael</v>
      </c>
      <c r="D582" s="341">
        <f t="array" ref="D582">IF(B582&lt;&gt;"",INDEX('Eingabe Meldungen'!$C$2:$H$492,MATCH(B582&amp;C582,'Eingabe Meldungen'!$C$2:$C$492&amp;'Eingabe Meldungen'!$D$2:$D$492,0),6),"")</f>
        <v>1968</v>
      </c>
      <c r="E582" s="382" t="str">
        <f t="array" ref="E582">IF(B582&lt;&gt;"",INDEX('Eingabe Meldungen'!$C$2:$H$492,MATCH(B582&amp;C582,'Eingabe Meldungen'!$C$2:$C$492&amp;'Eingabe Meldungen'!$D$2:$D$492,0),4),"")</f>
        <v>D</v>
      </c>
      <c r="F582" s="353" t="s">
        <v>652</v>
      </c>
      <c r="G582" s="333">
        <v>1</v>
      </c>
      <c r="H582" s="343" t="str">
        <f t="array" ref="H582">IF(B582&lt;&gt;"",INDEX('Eingabe Meldungen'!$C$2:$J$492,MATCH(B582&amp;C582,'Eingabe Meldungen'!$C$2:$C$492&amp;'Eingabe Meldungen'!$D$2:$D$492,0),8),"")</f>
        <v>HRG Schwaben</v>
      </c>
      <c r="J582" s="332"/>
      <c r="K582" s="332"/>
      <c r="L582" s="332"/>
      <c r="M582" s="332"/>
      <c r="N582" s="332"/>
      <c r="O582" s="332"/>
      <c r="P582" s="332"/>
      <c r="Q582" s="332">
        <v>5</v>
      </c>
      <c r="R582" s="332"/>
      <c r="S582" s="332"/>
      <c r="T582" s="332"/>
      <c r="U582" s="332"/>
      <c r="V582" s="332"/>
      <c r="W582" s="332"/>
      <c r="X582" s="332"/>
      <c r="Y582" s="332"/>
      <c r="Z582" s="332"/>
      <c r="AA582" s="332"/>
      <c r="AB582" s="332"/>
      <c r="AC582" s="332"/>
      <c r="AD582" s="332"/>
      <c r="AE582" s="332"/>
      <c r="AF582" s="332"/>
      <c r="AG582" s="332"/>
      <c r="AH582" s="332"/>
      <c r="AI582" s="332"/>
      <c r="AJ582" s="333"/>
      <c r="AK582" s="333"/>
      <c r="AL582" s="333"/>
      <c r="AM582" s="333"/>
    </row>
    <row r="583" spans="2:39" s="316" customFormat="1" ht="26.25" customHeight="1" x14ac:dyDescent="0.2">
      <c r="B583" s="340" t="str">
        <f t="array" ref="B583">IF(ISERROR(INDEX('Eingabe Meldungen'!$C$2:$C$492,LARGE(('Eingabe Meldungen'!$A$2:$A$492=$B$578)*(ROW('Eingabe Meldungen'!$A$2:$A$492)-1),COUNTIF('Eingabe Meldungen'!$A$2:$A$492,$B$578)+1-ROW('Eingabe Meldungen'!A4)))),"",INDEX('Eingabe Meldungen'!$C$2:$C$492,LARGE(('Eingabe Meldungen'!$A$2:$A$492=$B$578)*(ROW('Eingabe Meldungen'!$A$2:$A$492)-1),COUNTIF('Eingabe Meldungen'!$A$2:$A$492,$B$578)+1-ROW('Eingabe Meldungen'!A4))))</f>
        <v>Angelakov</v>
      </c>
      <c r="C583" s="316" t="str">
        <f t="array" ref="C583">IF(ISERROR(INDEX('Eingabe Meldungen'!$D$2:$D$492,LARGE(('Eingabe Meldungen'!$A$2:$A$492=$B$578)*(ROW('Eingabe Meldungen'!$A$2:$A$492)-1),COUNTIF('Eingabe Meldungen'!$A$2:$A$492,$B$578)+1-ROW('Eingabe Meldungen'!A4)))),"",INDEX('Eingabe Meldungen'!$D$2:$D$492,LARGE(('Eingabe Meldungen'!$A$2:$A$492=$B$578)*(ROW('Eingabe Meldungen'!$A$2:$A$492)-1),COUNTIF('Eingabe Meldungen'!$A$2:$A$492,$B$578)+1-ROW('Eingabe Meldungen'!A4))))</f>
        <v>David</v>
      </c>
      <c r="D583" s="341">
        <f t="array" ref="D583">IF(B583&lt;&gt;"",INDEX('Eingabe Meldungen'!$C$2:$H$492,MATCH(B583&amp;C583,'Eingabe Meldungen'!$C$2:$C$492&amp;'Eingabe Meldungen'!$D$2:$D$492,0),6),"")</f>
        <v>1970</v>
      </c>
      <c r="E583" s="382" t="str">
        <f t="array" ref="E583">IF(B583&lt;&gt;"",INDEX('Eingabe Meldungen'!$C$2:$H$492,MATCH(B583&amp;C583,'Eingabe Meldungen'!$C$2:$C$492&amp;'Eingabe Meldungen'!$D$2:$D$492,0),4),"")</f>
        <v>D</v>
      </c>
      <c r="F583" s="353" t="s">
        <v>656</v>
      </c>
      <c r="G583" s="333">
        <v>2</v>
      </c>
      <c r="H583" s="343" t="str">
        <f t="array" ref="H583">IF(B583&lt;&gt;"",INDEX('Eingabe Meldungen'!$C$2:$J$492,MATCH(B583&amp;C583,'Eingabe Meldungen'!$C$2:$C$492&amp;'Eingabe Meldungen'!$D$2:$D$492,0),8),"")</f>
        <v>Marbacher Ruderverein</v>
      </c>
      <c r="J583" s="332"/>
      <c r="K583" s="332"/>
      <c r="L583" s="332"/>
      <c r="M583" s="332"/>
      <c r="N583" s="332"/>
      <c r="O583" s="332">
        <v>2</v>
      </c>
      <c r="P583" s="332"/>
      <c r="Q583" s="332"/>
      <c r="R583" s="332"/>
      <c r="S583" s="332"/>
      <c r="T583" s="332"/>
      <c r="U583" s="332"/>
      <c r="V583" s="332"/>
      <c r="W583" s="332"/>
      <c r="X583" s="332"/>
      <c r="Y583" s="332"/>
      <c r="Z583" s="332"/>
      <c r="AA583" s="332"/>
      <c r="AB583" s="332"/>
      <c r="AC583" s="332"/>
      <c r="AD583" s="332"/>
      <c r="AE583" s="332"/>
      <c r="AF583" s="332"/>
      <c r="AG583" s="332"/>
      <c r="AH583" s="332"/>
      <c r="AI583" s="332"/>
      <c r="AJ583" s="333"/>
      <c r="AK583" s="333"/>
      <c r="AL583" s="333"/>
      <c r="AM583" s="333"/>
    </row>
    <row r="584" spans="2:39" s="316" customFormat="1" ht="26.25" customHeight="1" x14ac:dyDescent="0.2">
      <c r="B584" s="340"/>
      <c r="D584" s="341"/>
      <c r="E584" s="382"/>
      <c r="F584" s="353"/>
      <c r="G584" s="333"/>
      <c r="H584" s="343"/>
      <c r="J584" s="332"/>
      <c r="K584" s="332"/>
      <c r="L584" s="332"/>
      <c r="M584" s="332"/>
      <c r="N584" s="332"/>
      <c r="O584" s="332"/>
      <c r="P584" s="332"/>
      <c r="Q584" s="332"/>
      <c r="R584" s="332"/>
      <c r="S584" s="332"/>
      <c r="T584" s="332"/>
      <c r="U584" s="332"/>
      <c r="V584" s="332"/>
      <c r="W584" s="332"/>
      <c r="X584" s="332"/>
      <c r="Y584" s="332"/>
      <c r="Z584" s="332"/>
      <c r="AA584" s="332"/>
      <c r="AB584" s="332"/>
      <c r="AC584" s="332"/>
      <c r="AD584" s="332"/>
      <c r="AE584" s="332"/>
      <c r="AF584" s="332"/>
      <c r="AG584" s="332"/>
      <c r="AH584" s="332"/>
      <c r="AI584" s="332"/>
      <c r="AJ584" s="333"/>
      <c r="AK584" s="333"/>
      <c r="AL584" s="333"/>
      <c r="AM584" s="333"/>
    </row>
    <row r="585" spans="2:39" s="316" customFormat="1" ht="26.25" customHeight="1" x14ac:dyDescent="0.2">
      <c r="B585" s="340"/>
      <c r="D585" s="341"/>
      <c r="E585" s="382"/>
      <c r="F585" s="353"/>
      <c r="G585" s="333"/>
      <c r="H585" s="343"/>
      <c r="J585" s="332"/>
      <c r="K585" s="332"/>
      <c r="L585" s="332"/>
      <c r="M585" s="332"/>
      <c r="N585" s="332"/>
      <c r="O585" s="332"/>
      <c r="P585" s="332"/>
      <c r="Q585" s="332"/>
      <c r="R585" s="332"/>
      <c r="S585" s="332"/>
      <c r="T585" s="332"/>
      <c r="U585" s="332"/>
      <c r="V585" s="332"/>
      <c r="W585" s="332"/>
      <c r="X585" s="332"/>
      <c r="Y585" s="332"/>
      <c r="Z585" s="332"/>
      <c r="AA585" s="332"/>
      <c r="AB585" s="332"/>
      <c r="AC585" s="332"/>
      <c r="AD585" s="332"/>
      <c r="AE585" s="332"/>
      <c r="AF585" s="332"/>
      <c r="AG585" s="332"/>
      <c r="AH585" s="332"/>
      <c r="AI585" s="332"/>
      <c r="AJ585" s="333"/>
      <c r="AK585" s="333"/>
      <c r="AL585" s="333"/>
      <c r="AM585" s="333"/>
    </row>
    <row r="586" spans="2:39" s="316" customFormat="1" ht="26.25" customHeight="1" x14ac:dyDescent="0.2">
      <c r="B586" s="340" t="str">
        <f t="array" ref="B586">IF(ISERROR(INDEX('Eingabe Meldungen'!$C$2:$C$492,LARGE(('Eingabe Meldungen'!$A$2:$A$492=$B$578)*(ROW('Eingabe Meldungen'!$A$2:$A$492)-1),COUNTIF('Eingabe Meldungen'!$A$2:$A$492,$B$578)+1-ROW('Eingabe Meldungen'!A7)))),"",INDEX('Eingabe Meldungen'!$C$2:$C$492,LARGE(('Eingabe Meldungen'!$A$2:$A$492=$B$578)*(ROW('Eingabe Meldungen'!$A$2:$A$492)-1),COUNTIF('Eingabe Meldungen'!$A$2:$A$492,$B$578)+1-ROW('Eingabe Meldungen'!A7))))</f>
        <v>Häfner</v>
      </c>
      <c r="C586" s="316" t="str">
        <f t="array" ref="C586">IF(ISERROR(INDEX('Eingabe Meldungen'!$D$2:$D$492,LARGE(('Eingabe Meldungen'!$A$2:$A$492=$B$578)*(ROW('Eingabe Meldungen'!$A$2:$A$492)-1),COUNTIF('Eingabe Meldungen'!$A$2:$A$492,$B$578)+1-ROW('Eingabe Meldungen'!A7)))),"",INDEX('Eingabe Meldungen'!$D$2:$D$492,LARGE(('Eingabe Meldungen'!$A$2:$A$492=$B$578)*(ROW('Eingabe Meldungen'!$A$2:$A$492)-1),COUNTIF('Eingabe Meldungen'!$A$2:$A$492,$B$578)+1-ROW('Eingabe Meldungen'!A7))))</f>
        <v>Christian</v>
      </c>
      <c r="D586" s="341">
        <f t="array" ref="D586">IF(B586&lt;&gt;"",INDEX('Eingabe Meldungen'!$C$2:$H$492,MATCH(B586&amp;C586,'Eingabe Meldungen'!$C$2:$C$492&amp;'Eingabe Meldungen'!$D$2:$D$492,0),6),"")</f>
        <v>1990</v>
      </c>
      <c r="E586" s="382" t="str">
        <f t="array" ref="E586">IF(B586&lt;&gt;"",INDEX('Eingabe Meldungen'!$C$2:$H$492,MATCH(B586&amp;C586,'Eingabe Meldungen'!$C$2:$C$492&amp;'Eingabe Meldungen'!$D$2:$D$492,0),4),"")</f>
        <v>A</v>
      </c>
      <c r="F586" s="353" t="s">
        <v>657</v>
      </c>
      <c r="G586" s="333">
        <v>2</v>
      </c>
      <c r="H586" s="343" t="str">
        <f t="array" ref="H586">IF(B586&lt;&gt;"",INDEX('Eingabe Meldungen'!$C$2:$J$492,MATCH(B586&amp;C586,'Eingabe Meldungen'!$C$2:$C$492&amp;'Eingabe Meldungen'!$D$2:$D$492,0),8),"")</f>
        <v>Ruderverein Bad Wimpfen</v>
      </c>
      <c r="J586" s="332">
        <v>1</v>
      </c>
      <c r="K586" s="332"/>
      <c r="L586" s="332"/>
      <c r="M586" s="332"/>
      <c r="N586" s="332"/>
      <c r="O586" s="332"/>
      <c r="P586" s="332"/>
      <c r="Q586" s="332"/>
      <c r="R586" s="332"/>
      <c r="S586" s="332"/>
      <c r="T586" s="332"/>
      <c r="U586" s="332"/>
      <c r="V586" s="332"/>
      <c r="W586" s="332"/>
      <c r="X586" s="332"/>
      <c r="Y586" s="332"/>
      <c r="Z586" s="332"/>
      <c r="AA586" s="332"/>
      <c r="AB586" s="332"/>
      <c r="AC586" s="332"/>
      <c r="AD586" s="332"/>
      <c r="AE586" s="332"/>
      <c r="AF586" s="332"/>
      <c r="AG586" s="332"/>
      <c r="AH586" s="332"/>
      <c r="AI586" s="332"/>
      <c r="AJ586" s="333"/>
      <c r="AK586" s="333"/>
      <c r="AL586" s="333"/>
      <c r="AM586" s="333"/>
    </row>
    <row r="587" spans="2:39" s="316" customFormat="1" ht="26.25" customHeight="1" x14ac:dyDescent="0.2">
      <c r="B587" s="340" t="str">
        <f t="array" ref="B587">IF(ISERROR(INDEX('Eingabe Meldungen'!$C$2:$C$492,LARGE(('Eingabe Meldungen'!$A$2:$A$492=$B$578)*(ROW('Eingabe Meldungen'!$A$2:$A$492)-1),COUNTIF('Eingabe Meldungen'!$A$2:$A$492,$B$578)+1-ROW('Eingabe Meldungen'!A8)))),"",INDEX('Eingabe Meldungen'!$C$2:$C$492,LARGE(('Eingabe Meldungen'!$A$2:$A$492=$B$578)*(ROW('Eingabe Meldungen'!$A$2:$A$492)-1),COUNTIF('Eingabe Meldungen'!$A$2:$A$492,$B$578)+1-ROW('Eingabe Meldungen'!A8))))</f>
        <v>Weiß</v>
      </c>
      <c r="C587" s="316" t="str">
        <f t="array" ref="C587">IF(ISERROR(INDEX('Eingabe Meldungen'!$D$2:$D$492,LARGE(('Eingabe Meldungen'!$A$2:$A$492=$B$578)*(ROW('Eingabe Meldungen'!$A$2:$A$492)-1),COUNTIF('Eingabe Meldungen'!$A$2:$A$492,$B$578)+1-ROW('Eingabe Meldungen'!A8)))),"",INDEX('Eingabe Meldungen'!$D$2:$D$492,LARGE(('Eingabe Meldungen'!$A$2:$A$492=$B$578)*(ROW('Eingabe Meldungen'!$A$2:$A$492)-1),COUNTIF('Eingabe Meldungen'!$A$2:$A$492,$B$578)+1-ROW('Eingabe Meldungen'!A8))))</f>
        <v>Fabian</v>
      </c>
      <c r="D587" s="341">
        <f t="array" ref="D587">IF(B587&lt;&gt;"",INDEX('Eingabe Meldungen'!$C$2:$H$492,MATCH(B587&amp;C587,'Eingabe Meldungen'!$C$2:$C$492&amp;'Eingabe Meldungen'!$D$2:$D$492,0),6),"")</f>
        <v>1992</v>
      </c>
      <c r="E587" s="382" t="str">
        <f t="array" ref="E587">IF(B587&lt;&gt;"",INDEX('Eingabe Meldungen'!$C$2:$H$492,MATCH(B587&amp;C587,'Eingabe Meldungen'!$C$2:$C$492&amp;'Eingabe Meldungen'!$D$2:$D$492,0),4),"")</f>
        <v>A</v>
      </c>
      <c r="F587" s="353" t="s">
        <v>653</v>
      </c>
      <c r="G587" s="333">
        <v>1</v>
      </c>
      <c r="H587" s="343" t="str">
        <f t="array" ref="H587">IF(B587&lt;&gt;"",INDEX('Eingabe Meldungen'!$C$2:$J$492,MATCH(B587&amp;C587,'Eingabe Meldungen'!$C$2:$C$492&amp;'Eingabe Meldungen'!$D$2:$D$492,0),8),"")</f>
        <v>HRG Schwaben</v>
      </c>
      <c r="J587" s="332"/>
      <c r="K587" s="332"/>
      <c r="L587" s="332"/>
      <c r="M587" s="332"/>
      <c r="N587" s="332"/>
      <c r="O587" s="332"/>
      <c r="P587" s="332"/>
      <c r="Q587" s="332">
        <v>3</v>
      </c>
      <c r="R587" s="332"/>
      <c r="S587" s="332"/>
      <c r="T587" s="332"/>
      <c r="U587" s="332"/>
      <c r="V587" s="332"/>
      <c r="W587" s="332"/>
      <c r="X587" s="332"/>
      <c r="Y587" s="332"/>
      <c r="Z587" s="332"/>
      <c r="AA587" s="332"/>
      <c r="AB587" s="332"/>
      <c r="AC587" s="332"/>
      <c r="AD587" s="332"/>
      <c r="AE587" s="332"/>
      <c r="AF587" s="332"/>
      <c r="AG587" s="332"/>
      <c r="AH587" s="332"/>
      <c r="AI587" s="332"/>
      <c r="AJ587" s="333"/>
      <c r="AK587" s="333"/>
      <c r="AL587" s="333"/>
      <c r="AM587" s="333"/>
    </row>
    <row r="588" spans="2:39" s="316" customFormat="1" ht="26.25" customHeight="1" x14ac:dyDescent="0.2">
      <c r="B588" s="340" t="s">
        <v>118</v>
      </c>
      <c r="C588" s="316" t="s">
        <v>119</v>
      </c>
      <c r="D588" s="341">
        <f t="array" ref="D588">IF(B588&lt;&gt;"",INDEX('Eingabe Meldungen'!$C$2:$H$492,MATCH(B588&amp;C588,'Eingabe Meldungen'!$C$2:$C$492&amp;'Eingabe Meldungen'!$D$2:$D$492,0),6),"")</f>
        <v>1965</v>
      </c>
      <c r="E588" s="382" t="str">
        <f t="array" ref="E588">IF(B588&lt;&gt;"",INDEX('Eingabe Meldungen'!$C$2:$H$492,MATCH(B588&amp;C588,'Eingabe Meldungen'!$C$2:$C$492&amp;'Eingabe Meldungen'!$D$2:$D$492,0),4),"")</f>
        <v>D</v>
      </c>
      <c r="F588" s="353" t="s">
        <v>655</v>
      </c>
      <c r="G588" s="333">
        <v>3</v>
      </c>
      <c r="H588" s="343" t="str">
        <f t="array" ref="H588">IF(B588&lt;&gt;"",INDEX('Eingabe Meldungen'!$C$2:$J$492,MATCH(B588&amp;C588,'Eingabe Meldungen'!$C$2:$C$492&amp;'Eingabe Meldungen'!$D$2:$D$492,0),8),"")</f>
        <v>Sub7 IRC</v>
      </c>
      <c r="J588" s="332"/>
      <c r="K588" s="332"/>
      <c r="L588" s="332"/>
      <c r="M588" s="332"/>
      <c r="N588" s="332"/>
      <c r="O588" s="332"/>
      <c r="P588" s="332"/>
      <c r="Q588" s="332"/>
      <c r="R588" s="332"/>
      <c r="S588" s="332"/>
      <c r="T588" s="332"/>
      <c r="U588" s="332"/>
      <c r="V588" s="332"/>
      <c r="W588" s="332"/>
      <c r="X588" s="332"/>
      <c r="Y588" s="332"/>
      <c r="Z588" s="332"/>
      <c r="AA588" s="332"/>
      <c r="AB588" s="332"/>
      <c r="AC588" s="332"/>
      <c r="AD588" s="332"/>
      <c r="AE588" s="332"/>
      <c r="AF588" s="332"/>
      <c r="AG588" s="332"/>
      <c r="AH588" s="332"/>
      <c r="AI588" s="332"/>
      <c r="AJ588" s="333"/>
      <c r="AK588" s="333"/>
      <c r="AL588" s="333"/>
      <c r="AM588" s="333"/>
    </row>
    <row r="589" spans="2:39" s="316" customFormat="1" ht="26.25" customHeight="1" x14ac:dyDescent="0.2">
      <c r="B589" s="340" t="str">
        <f t="array" ref="B589">IF(ISERROR(INDEX('Eingabe Meldungen'!$C$2:$C$492,LARGE(('Eingabe Meldungen'!$A$2:$A$492=$B$578)*(ROW('Eingabe Meldungen'!$A$2:$A$492)-1),COUNTIF('Eingabe Meldungen'!$A$2:$A$492,$B$578)+1-ROW('Eingabe Meldungen'!A10)))),"",INDEX('Eingabe Meldungen'!$C$2:$C$492,LARGE(('Eingabe Meldungen'!$A$2:$A$492=$B$578)*(ROW('Eingabe Meldungen'!$A$2:$A$492)-1),COUNTIF('Eingabe Meldungen'!$A$2:$A$492,$B$578)+1-ROW('Eingabe Meldungen'!A10))))</f>
        <v/>
      </c>
      <c r="C589" s="316" t="str">
        <f t="array" ref="C589">IF(ISERROR(INDEX('Eingabe Meldungen'!$D$2:$D$492,LARGE(('Eingabe Meldungen'!$A$2:$A$492=$B$578)*(ROW('Eingabe Meldungen'!$A$2:$A$492)-1),COUNTIF('Eingabe Meldungen'!$A$2:$A$492,$B$578)+1-ROW('Eingabe Meldungen'!A10)))),"",INDEX('Eingabe Meldungen'!$D$2:$D$492,LARGE(('Eingabe Meldungen'!$A$2:$A$492=$B$578)*(ROW('Eingabe Meldungen'!$A$2:$A$492)-1),COUNTIF('Eingabe Meldungen'!$A$2:$A$492,$B$578)+1-ROW('Eingabe Meldungen'!A10))))</f>
        <v/>
      </c>
      <c r="D589" s="341" t="str">
        <f t="array" ref="D589">IF(B589&lt;&gt;"",INDEX('Eingabe Meldungen'!$C$2:$H$492,MATCH(B589&amp;C589,'Eingabe Meldungen'!$C$2:$C$492&amp;'Eingabe Meldungen'!$D$2:$D$492,0),6),"")</f>
        <v/>
      </c>
      <c r="E589" s="382" t="str">
        <f t="array" ref="E589">IF(B589&lt;&gt;"",INDEX('Eingabe Meldungen'!$C$2:$H$492,MATCH(B589&amp;C589,'Eingabe Meldungen'!$C$2:$C$492&amp;'Eingabe Meldungen'!$D$2:$D$492,0),4),"")</f>
        <v/>
      </c>
      <c r="F589" s="353" t="str">
        <f>IF(VLOOKUP(B589,Rennlisten!$B$342:$H$351,6,FALSE)=0,"",VLOOKUP(B589,Rennlisten!$B$342:$H$351,6,FALSE))</f>
        <v/>
      </c>
      <c r="G589" s="333" t="e">
        <f t="shared" ref="G589" si="61">RANK(F589,$F$580:$F$589,1)</f>
        <v>#VALUE!</v>
      </c>
      <c r="H589" s="343" t="str">
        <f t="array" ref="H589">IF(B589&lt;&gt;"",INDEX('Eingabe Meldungen'!$C$2:$J$492,MATCH(B589&amp;C589,'Eingabe Meldungen'!$C$2:$C$492&amp;'Eingabe Meldungen'!$D$2:$D$492,0),8),"")</f>
        <v/>
      </c>
      <c r="J589" s="332"/>
      <c r="K589" s="332"/>
      <c r="L589" s="332"/>
      <c r="M589" s="332"/>
      <c r="N589" s="332"/>
      <c r="O589" s="332"/>
      <c r="P589" s="332"/>
      <c r="Q589" s="332"/>
      <c r="R589" s="332"/>
      <c r="S589" s="332"/>
      <c r="T589" s="332"/>
      <c r="U589" s="332"/>
      <c r="V589" s="332"/>
      <c r="W589" s="332"/>
      <c r="X589" s="332"/>
      <c r="Y589" s="332"/>
      <c r="Z589" s="332"/>
      <c r="AA589" s="332"/>
      <c r="AB589" s="332"/>
      <c r="AC589" s="332"/>
      <c r="AD589" s="332"/>
      <c r="AE589" s="332"/>
      <c r="AF589" s="332"/>
      <c r="AG589" s="332"/>
      <c r="AH589" s="332"/>
      <c r="AI589" s="332"/>
      <c r="AJ589" s="333"/>
      <c r="AK589" s="333"/>
      <c r="AL589" s="333"/>
      <c r="AM589" s="333"/>
    </row>
    <row r="590" spans="2:39" s="316" customFormat="1" ht="26.25" customHeight="1" thickBot="1" x14ac:dyDescent="0.25">
      <c r="E590" s="352"/>
      <c r="F590" s="333"/>
      <c r="G590" s="333"/>
      <c r="J590" s="333"/>
      <c r="K590" s="333"/>
      <c r="L590" s="333"/>
      <c r="M590" s="333"/>
      <c r="N590" s="333"/>
      <c r="O590" s="333"/>
      <c r="P590" s="333"/>
      <c r="Q590" s="333"/>
      <c r="R590" s="333"/>
      <c r="S590" s="333"/>
      <c r="T590" s="333"/>
      <c r="U590" s="333"/>
      <c r="V590" s="333"/>
      <c r="W590" s="333"/>
      <c r="X590" s="333"/>
      <c r="Y590" s="333"/>
      <c r="Z590" s="333"/>
      <c r="AA590" s="333"/>
      <c r="AB590" s="333"/>
      <c r="AC590" s="333"/>
      <c r="AD590" s="333"/>
      <c r="AE590" s="333"/>
      <c r="AF590" s="333"/>
      <c r="AG590" s="333"/>
      <c r="AH590" s="333"/>
      <c r="AI590" s="333"/>
      <c r="AJ590" s="333"/>
      <c r="AK590" s="333"/>
      <c r="AL590" s="333"/>
      <c r="AM590" s="333"/>
    </row>
    <row r="591" spans="2:39" s="316" customFormat="1" ht="26.25" customHeight="1" x14ac:dyDescent="0.2">
      <c r="B591" s="326">
        <f>B578+1</f>
        <v>26</v>
      </c>
      <c r="C591" s="327" t="str">
        <f>VLOOKUP(B591,Ausschreibung!$B$5:$I$35,2,FALSE)</f>
        <v>Ergocup</v>
      </c>
      <c r="D591" s="328">
        <f>VLOOKUP(B591,Ausschreibung!$B$5:$I$35,3,FALSE)</f>
        <v>0.67291666666666639</v>
      </c>
      <c r="E591" s="327" t="str">
        <f>VLOOKUP(B591,Ausschreibung!$B$5:$I$35,4,FALSE)</f>
        <v>Masters A-H, weiblich</v>
      </c>
      <c r="F591" s="329" t="str">
        <f>VLOOKUP(B591,Ausschreibung!$B$5:$I$35,5,FALSE)</f>
        <v>-</v>
      </c>
      <c r="G591" s="330" t="str">
        <f>VLOOKUP(B591,Ausschreibung!$B$5:$I$35,6,FALSE)</f>
        <v>27 und älter</v>
      </c>
      <c r="H591" s="331" t="str">
        <f>VLOOKUP(B591,Ausschreibung!$B$5:$I$35,8,FALSE)</f>
        <v>2000 m</v>
      </c>
      <c r="J591" s="332"/>
      <c r="K591" s="332"/>
      <c r="L591" s="332"/>
      <c r="M591" s="332"/>
      <c r="N591" s="332"/>
      <c r="O591" s="332"/>
      <c r="P591" s="332"/>
      <c r="Q591" s="332"/>
      <c r="R591" s="332"/>
      <c r="S591" s="332"/>
      <c r="T591" s="332"/>
      <c r="U591" s="332"/>
      <c r="V591" s="332"/>
      <c r="W591" s="332"/>
      <c r="X591" s="332"/>
      <c r="Y591" s="332"/>
      <c r="Z591" s="332"/>
      <c r="AA591" s="332"/>
      <c r="AB591" s="332"/>
      <c r="AC591" s="332"/>
      <c r="AD591" s="332"/>
      <c r="AE591" s="332"/>
      <c r="AF591" s="332"/>
      <c r="AG591" s="332"/>
      <c r="AH591" s="332"/>
      <c r="AI591" s="332"/>
      <c r="AJ591" s="333"/>
      <c r="AK591" s="333"/>
      <c r="AL591" s="333"/>
      <c r="AM591" s="333"/>
    </row>
    <row r="592" spans="2:39" s="316" customFormat="1" ht="26.25" customHeight="1" x14ac:dyDescent="0.2">
      <c r="B592" s="334" t="s">
        <v>1</v>
      </c>
      <c r="C592" s="335" t="s">
        <v>2</v>
      </c>
      <c r="D592" s="336" t="s">
        <v>49</v>
      </c>
      <c r="E592" s="381" t="s">
        <v>16</v>
      </c>
      <c r="F592" s="337" t="s">
        <v>50</v>
      </c>
      <c r="G592" s="338" t="s">
        <v>51</v>
      </c>
      <c r="H592" s="339" t="s">
        <v>17</v>
      </c>
      <c r="J592" s="332"/>
      <c r="K592" s="332"/>
      <c r="L592" s="332"/>
      <c r="M592" s="332"/>
      <c r="N592" s="332"/>
      <c r="O592" s="332"/>
      <c r="P592" s="332"/>
      <c r="Q592" s="332"/>
      <c r="R592" s="332"/>
      <c r="S592" s="332"/>
      <c r="T592" s="332"/>
      <c r="U592" s="332"/>
      <c r="V592" s="332"/>
      <c r="W592" s="332"/>
      <c r="X592" s="332"/>
      <c r="Y592" s="332"/>
      <c r="Z592" s="332"/>
      <c r="AA592" s="332"/>
      <c r="AB592" s="332"/>
      <c r="AC592" s="332"/>
      <c r="AD592" s="332"/>
      <c r="AE592" s="332"/>
      <c r="AF592" s="332"/>
      <c r="AG592" s="332"/>
      <c r="AH592" s="332"/>
      <c r="AI592" s="332"/>
      <c r="AJ592" s="333"/>
      <c r="AK592" s="333"/>
      <c r="AL592" s="333"/>
      <c r="AM592" s="333"/>
    </row>
    <row r="593" spans="2:39" s="316" customFormat="1" ht="26.25" customHeight="1" x14ac:dyDescent="0.2">
      <c r="B593" s="340" t="str">
        <f t="array" ref="B593">IF(ISERROR(INDEX('Eingabe Meldungen'!$C$2:$C$492,LARGE(('Eingabe Meldungen'!$A$2:$A$492=$B$591)*(ROW('Eingabe Meldungen'!$A$2:$A$492)-1),COUNTIF('Eingabe Meldungen'!$A$2:$A$492,$B$591)+1-ROW('Eingabe Meldungen'!A1)))),"",INDEX('Eingabe Meldungen'!$C$2:$C$492,LARGE(('Eingabe Meldungen'!$A$2:$A$492=$B$591)*(ROW('Eingabe Meldungen'!$A$2:$A$492)-1),COUNTIF('Eingabe Meldungen'!$A$2:$A$492,$B$591)+1-ROW('Eingabe Meldungen'!A1))))</f>
        <v/>
      </c>
      <c r="C593" s="316" t="str">
        <f t="array" ref="C593">IF(ISERROR(INDEX('Eingabe Meldungen'!$D$2:$D$492,LARGE(('Eingabe Meldungen'!$A$2:$A$492=$B$591)*(ROW('Eingabe Meldungen'!$A$2:$A$492)-1),COUNTIF('Eingabe Meldungen'!$A$2:$A$492,$B$591)+1-ROW('Eingabe Meldungen'!A1)))),"",INDEX('Eingabe Meldungen'!$D$2:$D$492,LARGE(('Eingabe Meldungen'!$A$2:$A$492=$B$591)*(ROW('Eingabe Meldungen'!$A$2:$A$492)-1),COUNTIF('Eingabe Meldungen'!$A$2:$A$492,$B$591)+1-ROW('Eingabe Meldungen'!A1))))</f>
        <v/>
      </c>
      <c r="D593" s="341" t="str">
        <f t="array" ref="D593">IF(B593&lt;&gt;"",INDEX('Eingabe Meldungen'!$C$2:$H$492,MATCH(B593&amp;C593,'Eingabe Meldungen'!$C$2:$C$492&amp;'Eingabe Meldungen'!$D$2:$D$492,0),6),"")</f>
        <v/>
      </c>
      <c r="E593" s="382" t="str">
        <f t="array" ref="E593">IF(B593&lt;&gt;"",INDEX('Eingabe Meldungen'!$C$2:$H$492,MATCH(B593&amp;C593,'Eingabe Meldungen'!$C$2:$C$492&amp;'Eingabe Meldungen'!$D$2:$D$492,0),4),"")</f>
        <v/>
      </c>
      <c r="F593" s="353" t="str">
        <f>IF(VLOOKUP(B593,Rennlisten!$B$355:$H$355,6,FALSE)=0,"",VLOOKUP(B593,Rennlisten!$B$355:$H$355,6,FALSE))</f>
        <v/>
      </c>
      <c r="G593" s="333" t="e">
        <f>RANK(F593,$F$593:$F$602,1)</f>
        <v>#VALUE!</v>
      </c>
      <c r="H593" s="343" t="str">
        <f t="array" ref="H593">IF(B593&lt;&gt;"",INDEX('Eingabe Meldungen'!$C$2:$J$492,MATCH(B593&amp;C593,'Eingabe Meldungen'!$C$2:$C$492&amp;'Eingabe Meldungen'!$D$2:$D$492,0),8),"")</f>
        <v/>
      </c>
      <c r="J593" s="332"/>
      <c r="K593" s="332"/>
      <c r="L593" s="332"/>
      <c r="M593" s="332"/>
      <c r="N593" s="332"/>
      <c r="O593" s="332"/>
      <c r="P593" s="332"/>
      <c r="Q593" s="332"/>
      <c r="R593" s="332"/>
      <c r="S593" s="332"/>
      <c r="T593" s="332"/>
      <c r="U593" s="332"/>
      <c r="V593" s="332"/>
      <c r="W593" s="332"/>
      <c r="X593" s="332"/>
      <c r="Y593" s="332"/>
      <c r="Z593" s="332"/>
      <c r="AA593" s="332"/>
      <c r="AB593" s="332"/>
      <c r="AC593" s="332"/>
      <c r="AD593" s="332"/>
      <c r="AE593" s="332"/>
      <c r="AF593" s="332"/>
      <c r="AG593" s="332"/>
      <c r="AH593" s="332"/>
      <c r="AI593" s="332"/>
      <c r="AJ593" s="333"/>
      <c r="AK593" s="333"/>
      <c r="AL593" s="333"/>
      <c r="AM593" s="333"/>
    </row>
    <row r="594" spans="2:39" s="316" customFormat="1" ht="26.25" customHeight="1" x14ac:dyDescent="0.2">
      <c r="B594" s="340" t="str">
        <f t="array" ref="B594">IF(ISERROR(INDEX('Eingabe Meldungen'!$C$2:$C$492,LARGE(('Eingabe Meldungen'!$A$2:$A$492=$B$591)*(ROW('Eingabe Meldungen'!$A$2:$A$492)-1),COUNTIF('Eingabe Meldungen'!$A$2:$A$492,$B$591)+1-ROW('Eingabe Meldungen'!A2)))),"",INDEX('Eingabe Meldungen'!$C$2:$C$492,LARGE(('Eingabe Meldungen'!$A$2:$A$492=$B$591)*(ROW('Eingabe Meldungen'!$A$2:$A$492)-1),COUNTIF('Eingabe Meldungen'!$A$2:$A$492,$B$591)+1-ROW('Eingabe Meldungen'!A2))))</f>
        <v/>
      </c>
      <c r="C594" s="316" t="str">
        <f t="array" ref="C594">IF(ISERROR(INDEX('Eingabe Meldungen'!$D$2:$D$492,LARGE(('Eingabe Meldungen'!$A$2:$A$492=$B$591)*(ROW('Eingabe Meldungen'!$A$2:$A$492)-1),COUNTIF('Eingabe Meldungen'!$A$2:$A$492,$B$591)+1-ROW('Eingabe Meldungen'!A2)))),"",INDEX('Eingabe Meldungen'!$D$2:$D$492,LARGE(('Eingabe Meldungen'!$A$2:$A$492=$B$591)*(ROW('Eingabe Meldungen'!$A$2:$A$492)-1),COUNTIF('Eingabe Meldungen'!$A$2:$A$492,$B$591)+1-ROW('Eingabe Meldungen'!A2))))</f>
        <v/>
      </c>
      <c r="D594" s="341" t="str">
        <f t="array" ref="D594">IF(B594&lt;&gt;"",INDEX('Eingabe Meldungen'!$C$2:$H$492,MATCH(B594&amp;C594,'Eingabe Meldungen'!$C$2:$C$492&amp;'Eingabe Meldungen'!$D$2:$D$492,0),6),"")</f>
        <v/>
      </c>
      <c r="E594" s="382" t="str">
        <f t="array" ref="E594">IF(B594&lt;&gt;"",INDEX('Eingabe Meldungen'!$C$2:$H$492,MATCH(B594&amp;C594,'Eingabe Meldungen'!$C$2:$C$492&amp;'Eingabe Meldungen'!$D$2:$D$492,0),4),"")</f>
        <v/>
      </c>
      <c r="F594" s="353" t="str">
        <f>IF(VLOOKUP(B594,Rennlisten!$B$355:$H$355,6,FALSE)=0,"",VLOOKUP(B594,Rennlisten!$B$355:$H$355,6,FALSE))</f>
        <v/>
      </c>
      <c r="G594" s="333" t="e">
        <f t="shared" ref="G594:G602" si="62">RANK(F594,$F$593:$F$602,1)</f>
        <v>#VALUE!</v>
      </c>
      <c r="H594" s="343" t="str">
        <f t="array" ref="H594">IF(B594&lt;&gt;"",INDEX('Eingabe Meldungen'!$C$2:$J$492,MATCH(B594&amp;C594,'Eingabe Meldungen'!$C$2:$C$492&amp;'Eingabe Meldungen'!$D$2:$D$492,0),8),"")</f>
        <v/>
      </c>
      <c r="J594" s="332"/>
      <c r="K594" s="332"/>
      <c r="L594" s="332"/>
      <c r="M594" s="332"/>
      <c r="N594" s="332"/>
      <c r="O594" s="332"/>
      <c r="P594" s="332"/>
      <c r="Q594" s="332"/>
      <c r="R594" s="332"/>
      <c r="S594" s="332"/>
      <c r="T594" s="332"/>
      <c r="U594" s="332"/>
      <c r="V594" s="332"/>
      <c r="W594" s="332"/>
      <c r="X594" s="332"/>
      <c r="Y594" s="332"/>
      <c r="Z594" s="332"/>
      <c r="AA594" s="332"/>
      <c r="AB594" s="332"/>
      <c r="AC594" s="332"/>
      <c r="AD594" s="332"/>
      <c r="AE594" s="332"/>
      <c r="AF594" s="332"/>
      <c r="AG594" s="332"/>
      <c r="AH594" s="332"/>
      <c r="AI594" s="332"/>
      <c r="AJ594" s="333"/>
      <c r="AK594" s="333"/>
      <c r="AL594" s="333"/>
      <c r="AM594" s="333"/>
    </row>
    <row r="595" spans="2:39" s="316" customFormat="1" ht="26.25" customHeight="1" x14ac:dyDescent="0.2">
      <c r="B595" s="340" t="str">
        <f t="array" ref="B595">IF(ISERROR(INDEX('Eingabe Meldungen'!$C$2:$C$492,LARGE(('Eingabe Meldungen'!$A$2:$A$492=$B$591)*(ROW('Eingabe Meldungen'!$A$2:$A$492)-1),COUNTIF('Eingabe Meldungen'!$A$2:$A$492,$B$591)+1-ROW('Eingabe Meldungen'!A3)))),"",INDEX('Eingabe Meldungen'!$C$2:$C$492,LARGE(('Eingabe Meldungen'!$A$2:$A$492=$B$591)*(ROW('Eingabe Meldungen'!$A$2:$A$492)-1),COUNTIF('Eingabe Meldungen'!$A$2:$A$492,$B$591)+1-ROW('Eingabe Meldungen'!A3))))</f>
        <v/>
      </c>
      <c r="C595" s="316" t="str">
        <f t="array" ref="C595">IF(ISERROR(INDEX('Eingabe Meldungen'!$D$2:$D$492,LARGE(('Eingabe Meldungen'!$A$2:$A$492=$B$591)*(ROW('Eingabe Meldungen'!$A$2:$A$492)-1),COUNTIF('Eingabe Meldungen'!$A$2:$A$492,$B$591)+1-ROW('Eingabe Meldungen'!A3)))),"",INDEX('Eingabe Meldungen'!$D$2:$D$492,LARGE(('Eingabe Meldungen'!$A$2:$A$492=$B$591)*(ROW('Eingabe Meldungen'!$A$2:$A$492)-1),COUNTIF('Eingabe Meldungen'!$A$2:$A$492,$B$591)+1-ROW('Eingabe Meldungen'!A3))))</f>
        <v/>
      </c>
      <c r="D595" s="341" t="str">
        <f t="array" ref="D595">IF(B595&lt;&gt;"",INDEX('Eingabe Meldungen'!$C$2:$H$492,MATCH(B595&amp;C595,'Eingabe Meldungen'!$C$2:$C$492&amp;'Eingabe Meldungen'!$D$2:$D$492,0),6),"")</f>
        <v/>
      </c>
      <c r="E595" s="382" t="str">
        <f t="array" ref="E595">IF(B595&lt;&gt;"",INDEX('Eingabe Meldungen'!$C$2:$H$492,MATCH(B595&amp;C595,'Eingabe Meldungen'!$C$2:$C$492&amp;'Eingabe Meldungen'!$D$2:$D$492,0),4),"")</f>
        <v/>
      </c>
      <c r="F595" s="353" t="str">
        <f>IF(VLOOKUP(B595,Rennlisten!$B$355:$H$355,6,FALSE)=0,"",VLOOKUP(B595,Rennlisten!$B$355:$H$355,6,FALSE))</f>
        <v/>
      </c>
      <c r="G595" s="333" t="e">
        <f t="shared" si="62"/>
        <v>#VALUE!</v>
      </c>
      <c r="H595" s="343" t="str">
        <f t="array" ref="H595">IF(B595&lt;&gt;"",INDEX('Eingabe Meldungen'!$C$2:$J$492,MATCH(B595&amp;C595,'Eingabe Meldungen'!$C$2:$C$492&amp;'Eingabe Meldungen'!$D$2:$D$492,0),8),"")</f>
        <v/>
      </c>
      <c r="J595" s="332"/>
      <c r="K595" s="332"/>
      <c r="L595" s="332"/>
      <c r="M595" s="332"/>
      <c r="N595" s="332"/>
      <c r="O595" s="332"/>
      <c r="P595" s="332"/>
      <c r="Q595" s="332"/>
      <c r="R595" s="332"/>
      <c r="S595" s="332"/>
      <c r="T595" s="332"/>
      <c r="U595" s="332"/>
      <c r="V595" s="332"/>
      <c r="W595" s="332"/>
      <c r="X595" s="332"/>
      <c r="Y595" s="332"/>
      <c r="Z595" s="332"/>
      <c r="AA595" s="332"/>
      <c r="AB595" s="332"/>
      <c r="AC595" s="332"/>
      <c r="AD595" s="332"/>
      <c r="AE595" s="332"/>
      <c r="AF595" s="332"/>
      <c r="AG595" s="332"/>
      <c r="AH595" s="332"/>
      <c r="AI595" s="332"/>
      <c r="AJ595" s="333"/>
      <c r="AK595" s="333"/>
      <c r="AL595" s="333"/>
      <c r="AM595" s="333"/>
    </row>
    <row r="596" spans="2:39" s="316" customFormat="1" ht="26.25" customHeight="1" x14ac:dyDescent="0.2">
      <c r="B596" s="340" t="str">
        <f t="array" ref="B596">IF(ISERROR(INDEX('Eingabe Meldungen'!$C$2:$C$492,LARGE(('Eingabe Meldungen'!$A$2:$A$492=$B$591)*(ROW('Eingabe Meldungen'!$A$2:$A$492)-1),COUNTIF('Eingabe Meldungen'!$A$2:$A$492,$B$591)+1-ROW('Eingabe Meldungen'!A4)))),"",INDEX('Eingabe Meldungen'!$C$2:$C$492,LARGE(('Eingabe Meldungen'!$A$2:$A$492=$B$591)*(ROW('Eingabe Meldungen'!$A$2:$A$492)-1),COUNTIF('Eingabe Meldungen'!$A$2:$A$492,$B$591)+1-ROW('Eingabe Meldungen'!A4))))</f>
        <v/>
      </c>
      <c r="C596" s="316" t="str">
        <f t="array" ref="C596">IF(ISERROR(INDEX('Eingabe Meldungen'!$D$2:$D$492,LARGE(('Eingabe Meldungen'!$A$2:$A$492=$B$591)*(ROW('Eingabe Meldungen'!$A$2:$A$492)-1),COUNTIF('Eingabe Meldungen'!$A$2:$A$492,$B$591)+1-ROW('Eingabe Meldungen'!A4)))),"",INDEX('Eingabe Meldungen'!$D$2:$D$492,LARGE(('Eingabe Meldungen'!$A$2:$A$492=$B$591)*(ROW('Eingabe Meldungen'!$A$2:$A$492)-1),COUNTIF('Eingabe Meldungen'!$A$2:$A$492,$B$591)+1-ROW('Eingabe Meldungen'!A4))))</f>
        <v/>
      </c>
      <c r="D596" s="341" t="str">
        <f t="array" ref="D596">IF(B596&lt;&gt;"",INDEX('Eingabe Meldungen'!$C$2:$H$492,MATCH(B596&amp;C596,'Eingabe Meldungen'!$C$2:$C$492&amp;'Eingabe Meldungen'!$D$2:$D$492,0),6),"")</f>
        <v/>
      </c>
      <c r="E596" s="382" t="str">
        <f t="array" ref="E596">IF(B596&lt;&gt;"",INDEX('Eingabe Meldungen'!$C$2:$H$492,MATCH(B596&amp;C596,'Eingabe Meldungen'!$C$2:$C$492&amp;'Eingabe Meldungen'!$D$2:$D$492,0),4),"")</f>
        <v/>
      </c>
      <c r="F596" s="353" t="str">
        <f>IF(VLOOKUP(B596,Rennlisten!$B$355:$H$355,6,FALSE)=0,"",VLOOKUP(B596,Rennlisten!$B$355:$H$355,6,FALSE))</f>
        <v/>
      </c>
      <c r="G596" s="333" t="e">
        <f t="shared" si="62"/>
        <v>#VALUE!</v>
      </c>
      <c r="H596" s="343" t="str">
        <f t="array" ref="H596">IF(B596&lt;&gt;"",INDEX('Eingabe Meldungen'!$C$2:$J$492,MATCH(B596&amp;C596,'Eingabe Meldungen'!$C$2:$C$492&amp;'Eingabe Meldungen'!$D$2:$D$492,0),8),"")</f>
        <v/>
      </c>
      <c r="J596" s="332"/>
      <c r="K596" s="332"/>
      <c r="L596" s="332"/>
      <c r="M596" s="332"/>
      <c r="N596" s="332"/>
      <c r="O596" s="332"/>
      <c r="P596" s="332"/>
      <c r="Q596" s="332"/>
      <c r="R596" s="332"/>
      <c r="S596" s="332"/>
      <c r="T596" s="332"/>
      <c r="U596" s="332"/>
      <c r="V596" s="332"/>
      <c r="W596" s="332"/>
      <c r="X596" s="332"/>
      <c r="Y596" s="332"/>
      <c r="Z596" s="332"/>
      <c r="AA596" s="332"/>
      <c r="AB596" s="332"/>
      <c r="AC596" s="332"/>
      <c r="AD596" s="332"/>
      <c r="AE596" s="332"/>
      <c r="AF596" s="332"/>
      <c r="AG596" s="332"/>
      <c r="AH596" s="332"/>
      <c r="AI596" s="332"/>
      <c r="AJ596" s="333"/>
      <c r="AK596" s="333"/>
      <c r="AL596" s="333"/>
      <c r="AM596" s="333"/>
    </row>
    <row r="597" spans="2:39" s="316" customFormat="1" ht="26.25" customHeight="1" x14ac:dyDescent="0.2">
      <c r="B597" s="340" t="str">
        <f t="array" ref="B597">IF(ISERROR(INDEX('Eingabe Meldungen'!$C$2:$C$492,LARGE(('Eingabe Meldungen'!$A$2:$A$492=$B$591)*(ROW('Eingabe Meldungen'!$A$2:$A$492)-1),COUNTIF('Eingabe Meldungen'!$A$2:$A$492,$B$591)+1-ROW('Eingabe Meldungen'!A5)))),"",INDEX('Eingabe Meldungen'!$C$2:$C$492,LARGE(('Eingabe Meldungen'!$A$2:$A$492=$B$591)*(ROW('Eingabe Meldungen'!$A$2:$A$492)-1),COUNTIF('Eingabe Meldungen'!$A$2:$A$492,$B$591)+1-ROW('Eingabe Meldungen'!A5))))</f>
        <v/>
      </c>
      <c r="C597" s="316" t="str">
        <f t="array" ref="C597">IF(ISERROR(INDEX('Eingabe Meldungen'!$D$2:$D$492,LARGE(('Eingabe Meldungen'!$A$2:$A$492=$B$591)*(ROW('Eingabe Meldungen'!$A$2:$A$492)-1),COUNTIF('Eingabe Meldungen'!$A$2:$A$492,$B$591)+1-ROW('Eingabe Meldungen'!A5)))),"",INDEX('Eingabe Meldungen'!$D$2:$D$492,LARGE(('Eingabe Meldungen'!$A$2:$A$492=$B$591)*(ROW('Eingabe Meldungen'!$A$2:$A$492)-1),COUNTIF('Eingabe Meldungen'!$A$2:$A$492,$B$591)+1-ROW('Eingabe Meldungen'!A5))))</f>
        <v/>
      </c>
      <c r="D597" s="341" t="str">
        <f t="array" ref="D597">IF(B597&lt;&gt;"",INDEX('Eingabe Meldungen'!$C$2:$H$492,MATCH(B597&amp;C597,'Eingabe Meldungen'!$C$2:$C$492&amp;'Eingabe Meldungen'!$D$2:$D$492,0),6),"")</f>
        <v/>
      </c>
      <c r="E597" s="382" t="str">
        <f t="array" ref="E597">IF(B597&lt;&gt;"",INDEX('Eingabe Meldungen'!$C$2:$H$492,MATCH(B597&amp;C597,'Eingabe Meldungen'!$C$2:$C$492&amp;'Eingabe Meldungen'!$D$2:$D$492,0),4),"")</f>
        <v/>
      </c>
      <c r="F597" s="353" t="str">
        <f>IF(VLOOKUP(B597,Rennlisten!$B$355:$H$355,6,FALSE)=0,"",VLOOKUP(B597,Rennlisten!$B$355:$H$355,6,FALSE))</f>
        <v/>
      </c>
      <c r="G597" s="333" t="e">
        <f t="shared" si="62"/>
        <v>#VALUE!</v>
      </c>
      <c r="H597" s="343" t="str">
        <f t="array" ref="H597">IF(B597&lt;&gt;"",INDEX('Eingabe Meldungen'!$C$2:$J$492,MATCH(B597&amp;C597,'Eingabe Meldungen'!$C$2:$C$492&amp;'Eingabe Meldungen'!$D$2:$D$492,0),8),"")</f>
        <v/>
      </c>
      <c r="J597" s="332"/>
      <c r="K597" s="332"/>
      <c r="L597" s="332"/>
      <c r="M597" s="332"/>
      <c r="N597" s="332"/>
      <c r="O597" s="332"/>
      <c r="P597" s="332"/>
      <c r="Q597" s="332"/>
      <c r="R597" s="332"/>
      <c r="S597" s="332"/>
      <c r="T597" s="332"/>
      <c r="U597" s="332"/>
      <c r="V597" s="332"/>
      <c r="W597" s="332"/>
      <c r="X597" s="332"/>
      <c r="Y597" s="332"/>
      <c r="Z597" s="332"/>
      <c r="AA597" s="332"/>
      <c r="AB597" s="332"/>
      <c r="AC597" s="332"/>
      <c r="AD597" s="332"/>
      <c r="AE597" s="332"/>
      <c r="AF597" s="332"/>
      <c r="AG597" s="332"/>
      <c r="AH597" s="332"/>
      <c r="AI597" s="332"/>
      <c r="AJ597" s="333"/>
      <c r="AK597" s="333"/>
      <c r="AL597" s="333"/>
      <c r="AM597" s="333"/>
    </row>
    <row r="598" spans="2:39" s="316" customFormat="1" ht="26.25" customHeight="1" x14ac:dyDescent="0.2">
      <c r="B598" s="340" t="str">
        <f t="array" ref="B598">IF(ISERROR(INDEX('Eingabe Meldungen'!$C$2:$C$492,LARGE(('Eingabe Meldungen'!$A$2:$A$492=$B$591)*(ROW('Eingabe Meldungen'!$A$2:$A$492)-1),COUNTIF('Eingabe Meldungen'!$A$2:$A$492,$B$591)+1-ROW('Eingabe Meldungen'!A6)))),"",INDEX('Eingabe Meldungen'!$C$2:$C$492,LARGE(('Eingabe Meldungen'!$A$2:$A$492=$B$591)*(ROW('Eingabe Meldungen'!$A$2:$A$492)-1),COUNTIF('Eingabe Meldungen'!$A$2:$A$492,$B$591)+1-ROW('Eingabe Meldungen'!A6))))</f>
        <v/>
      </c>
      <c r="C598" s="316" t="str">
        <f t="array" ref="C598">IF(ISERROR(INDEX('Eingabe Meldungen'!$D$2:$D$492,LARGE(('Eingabe Meldungen'!$A$2:$A$492=$B$591)*(ROW('Eingabe Meldungen'!$A$2:$A$492)-1),COUNTIF('Eingabe Meldungen'!$A$2:$A$492,$B$591)+1-ROW('Eingabe Meldungen'!A6)))),"",INDEX('Eingabe Meldungen'!$D$2:$D$492,LARGE(('Eingabe Meldungen'!$A$2:$A$492=$B$591)*(ROW('Eingabe Meldungen'!$A$2:$A$492)-1),COUNTIF('Eingabe Meldungen'!$A$2:$A$492,$B$591)+1-ROW('Eingabe Meldungen'!A6))))</f>
        <v/>
      </c>
      <c r="D598" s="341" t="str">
        <f t="array" ref="D598">IF(B598&lt;&gt;"",INDEX('Eingabe Meldungen'!$C$2:$H$492,MATCH(B598&amp;C598,'Eingabe Meldungen'!$C$2:$C$492&amp;'Eingabe Meldungen'!$D$2:$D$492,0),6),"")</f>
        <v/>
      </c>
      <c r="E598" s="382" t="str">
        <f t="array" ref="E598">IF(B598&lt;&gt;"",INDEX('Eingabe Meldungen'!$C$2:$H$492,MATCH(B598&amp;C598,'Eingabe Meldungen'!$C$2:$C$492&amp;'Eingabe Meldungen'!$D$2:$D$492,0),4),"")</f>
        <v/>
      </c>
      <c r="F598" s="353" t="str">
        <f>IF(VLOOKUP(B598,Rennlisten!$B$355:$H$355,6,FALSE)=0,"",VLOOKUP(B598,Rennlisten!$B$355:$H$355,6,FALSE))</f>
        <v/>
      </c>
      <c r="G598" s="333" t="e">
        <f t="shared" si="62"/>
        <v>#VALUE!</v>
      </c>
      <c r="H598" s="343" t="str">
        <f t="array" ref="H598">IF(B598&lt;&gt;"",INDEX('Eingabe Meldungen'!$C$2:$J$492,MATCH(B598&amp;C598,'Eingabe Meldungen'!$C$2:$C$492&amp;'Eingabe Meldungen'!$D$2:$D$492,0),8),"")</f>
        <v/>
      </c>
      <c r="J598" s="332"/>
      <c r="K598" s="332"/>
      <c r="L598" s="332"/>
      <c r="M598" s="332"/>
      <c r="N598" s="332"/>
      <c r="O598" s="332"/>
      <c r="P598" s="332"/>
      <c r="Q598" s="332"/>
      <c r="R598" s="332"/>
      <c r="S598" s="332"/>
      <c r="T598" s="332"/>
      <c r="U598" s="332"/>
      <c r="V598" s="332"/>
      <c r="W598" s="332"/>
      <c r="X598" s="332"/>
      <c r="Y598" s="332"/>
      <c r="Z598" s="332"/>
      <c r="AA598" s="332"/>
      <c r="AB598" s="332"/>
      <c r="AC598" s="332"/>
      <c r="AD598" s="332"/>
      <c r="AE598" s="332"/>
      <c r="AF598" s="332"/>
      <c r="AG598" s="332"/>
      <c r="AH598" s="332"/>
      <c r="AI598" s="332"/>
      <c r="AJ598" s="333"/>
      <c r="AK598" s="333"/>
      <c r="AL598" s="333"/>
      <c r="AM598" s="333"/>
    </row>
    <row r="599" spans="2:39" s="316" customFormat="1" ht="26.25" customHeight="1" x14ac:dyDescent="0.2">
      <c r="B599" s="340" t="str">
        <f t="array" ref="B599">IF(ISERROR(INDEX('Eingabe Meldungen'!$C$2:$C$492,LARGE(('Eingabe Meldungen'!$A$2:$A$492=$B$591)*(ROW('Eingabe Meldungen'!$A$2:$A$492)-1),COUNTIF('Eingabe Meldungen'!$A$2:$A$492,$B$591)+1-ROW('Eingabe Meldungen'!A7)))),"",INDEX('Eingabe Meldungen'!$C$2:$C$492,LARGE(('Eingabe Meldungen'!$A$2:$A$492=$B$591)*(ROW('Eingabe Meldungen'!$A$2:$A$492)-1),COUNTIF('Eingabe Meldungen'!$A$2:$A$492,$B$591)+1-ROW('Eingabe Meldungen'!A7))))</f>
        <v/>
      </c>
      <c r="C599" s="316" t="str">
        <f t="array" ref="C599">IF(ISERROR(INDEX('Eingabe Meldungen'!$D$2:$D$492,LARGE(('Eingabe Meldungen'!$A$2:$A$492=$B$591)*(ROW('Eingabe Meldungen'!$A$2:$A$492)-1),COUNTIF('Eingabe Meldungen'!$A$2:$A$492,$B$591)+1-ROW('Eingabe Meldungen'!A7)))),"",INDEX('Eingabe Meldungen'!$D$2:$D$492,LARGE(('Eingabe Meldungen'!$A$2:$A$492=$B$591)*(ROW('Eingabe Meldungen'!$A$2:$A$492)-1),COUNTIF('Eingabe Meldungen'!$A$2:$A$492,$B$591)+1-ROW('Eingabe Meldungen'!A7))))</f>
        <v/>
      </c>
      <c r="D599" s="341" t="str">
        <f t="array" ref="D599">IF(B599&lt;&gt;"",INDEX('Eingabe Meldungen'!$C$2:$H$492,MATCH(B599&amp;C599,'Eingabe Meldungen'!$C$2:$C$492&amp;'Eingabe Meldungen'!$D$2:$D$492,0),6),"")</f>
        <v/>
      </c>
      <c r="E599" s="382" t="str">
        <f t="array" ref="E599">IF(B599&lt;&gt;"",INDEX('Eingabe Meldungen'!$C$2:$H$492,MATCH(B599&amp;C599,'Eingabe Meldungen'!$C$2:$C$492&amp;'Eingabe Meldungen'!$D$2:$D$492,0),4),"")</f>
        <v/>
      </c>
      <c r="F599" s="353" t="str">
        <f>IF(VLOOKUP(B599,Rennlisten!$B$355:$H$355,6,FALSE)=0,"",VLOOKUP(B599,Rennlisten!$B$355:$H$355,6,FALSE))</f>
        <v/>
      </c>
      <c r="G599" s="333" t="e">
        <f t="shared" si="62"/>
        <v>#VALUE!</v>
      </c>
      <c r="H599" s="343" t="str">
        <f t="array" ref="H599">IF(B599&lt;&gt;"",INDEX('Eingabe Meldungen'!$C$2:$J$492,MATCH(B599&amp;C599,'Eingabe Meldungen'!$C$2:$C$492&amp;'Eingabe Meldungen'!$D$2:$D$492,0),8),"")</f>
        <v/>
      </c>
      <c r="J599" s="332"/>
      <c r="K599" s="332"/>
      <c r="L599" s="332"/>
      <c r="M599" s="332"/>
      <c r="N599" s="332"/>
      <c r="O599" s="332"/>
      <c r="P599" s="332"/>
      <c r="Q599" s="332"/>
      <c r="R599" s="332"/>
      <c r="S599" s="332"/>
      <c r="T599" s="332"/>
      <c r="U599" s="332"/>
      <c r="V599" s="332"/>
      <c r="W599" s="332"/>
      <c r="X599" s="332"/>
      <c r="Y599" s="332"/>
      <c r="Z599" s="332"/>
      <c r="AA599" s="332"/>
      <c r="AB599" s="332"/>
      <c r="AC599" s="332"/>
      <c r="AD599" s="332"/>
      <c r="AE599" s="332"/>
      <c r="AF599" s="332"/>
      <c r="AG599" s="332"/>
      <c r="AH599" s="332"/>
      <c r="AI599" s="332"/>
      <c r="AJ599" s="333"/>
      <c r="AK599" s="333"/>
      <c r="AL599" s="333"/>
      <c r="AM599" s="333"/>
    </row>
    <row r="600" spans="2:39" s="316" customFormat="1" ht="26.25" customHeight="1" x14ac:dyDescent="0.2">
      <c r="B600" s="340" t="str">
        <f t="array" ref="B600">IF(ISERROR(INDEX('Eingabe Meldungen'!$C$2:$C$492,LARGE(('Eingabe Meldungen'!$A$2:$A$492=$B$591)*(ROW('Eingabe Meldungen'!$A$2:$A$492)-1),COUNTIF('Eingabe Meldungen'!$A$2:$A$492,$B$591)+1-ROW('Eingabe Meldungen'!A8)))),"",INDEX('Eingabe Meldungen'!$C$2:$C$492,LARGE(('Eingabe Meldungen'!$A$2:$A$492=$B$591)*(ROW('Eingabe Meldungen'!$A$2:$A$492)-1),COUNTIF('Eingabe Meldungen'!$A$2:$A$492,$B$591)+1-ROW('Eingabe Meldungen'!A8))))</f>
        <v/>
      </c>
      <c r="C600" s="316" t="str">
        <f t="array" ref="C600">IF(ISERROR(INDEX('Eingabe Meldungen'!$D$2:$D$492,LARGE(('Eingabe Meldungen'!$A$2:$A$492=$B$591)*(ROW('Eingabe Meldungen'!$A$2:$A$492)-1),COUNTIF('Eingabe Meldungen'!$A$2:$A$492,$B$591)+1-ROW('Eingabe Meldungen'!A8)))),"",INDEX('Eingabe Meldungen'!$D$2:$D$492,LARGE(('Eingabe Meldungen'!$A$2:$A$492=$B$591)*(ROW('Eingabe Meldungen'!$A$2:$A$492)-1),COUNTIF('Eingabe Meldungen'!$A$2:$A$492,$B$591)+1-ROW('Eingabe Meldungen'!A8))))</f>
        <v/>
      </c>
      <c r="D600" s="341" t="str">
        <f t="array" ref="D600">IF(B600&lt;&gt;"",INDEX('Eingabe Meldungen'!$C$2:$H$492,MATCH(B600&amp;C600,'Eingabe Meldungen'!$C$2:$C$492&amp;'Eingabe Meldungen'!$D$2:$D$492,0),6),"")</f>
        <v/>
      </c>
      <c r="E600" s="382" t="str">
        <f t="array" ref="E600">IF(B600&lt;&gt;"",INDEX('Eingabe Meldungen'!$C$2:$H$492,MATCH(B600&amp;C600,'Eingabe Meldungen'!$C$2:$C$492&amp;'Eingabe Meldungen'!$D$2:$D$492,0),4),"")</f>
        <v/>
      </c>
      <c r="F600" s="353" t="str">
        <f>IF(VLOOKUP(B600,Rennlisten!$B$355:$H$355,6,FALSE)=0,"",VLOOKUP(B600,Rennlisten!$B$355:$H$355,6,FALSE))</f>
        <v/>
      </c>
      <c r="G600" s="333" t="e">
        <f t="shared" si="62"/>
        <v>#VALUE!</v>
      </c>
      <c r="H600" s="343" t="str">
        <f t="array" ref="H600">IF(B600&lt;&gt;"",INDEX('Eingabe Meldungen'!$C$2:$J$492,MATCH(B600&amp;C600,'Eingabe Meldungen'!$C$2:$C$492&amp;'Eingabe Meldungen'!$D$2:$D$492,0),8),"")</f>
        <v/>
      </c>
      <c r="J600" s="332"/>
      <c r="K600" s="332"/>
      <c r="L600" s="332"/>
      <c r="M600" s="332"/>
      <c r="N600" s="332"/>
      <c r="O600" s="332"/>
      <c r="P600" s="332"/>
      <c r="Q600" s="332"/>
      <c r="R600" s="332"/>
      <c r="S600" s="332"/>
      <c r="T600" s="332"/>
      <c r="U600" s="332"/>
      <c r="V600" s="332"/>
      <c r="W600" s="332"/>
      <c r="X600" s="332"/>
      <c r="Y600" s="332"/>
      <c r="Z600" s="332"/>
      <c r="AA600" s="332"/>
      <c r="AB600" s="332"/>
      <c r="AC600" s="332"/>
      <c r="AD600" s="332"/>
      <c r="AE600" s="332"/>
      <c r="AF600" s="332"/>
      <c r="AG600" s="332"/>
      <c r="AH600" s="332"/>
      <c r="AI600" s="332"/>
      <c r="AJ600" s="333"/>
      <c r="AK600" s="333"/>
      <c r="AL600" s="333"/>
      <c r="AM600" s="333"/>
    </row>
    <row r="601" spans="2:39" s="316" customFormat="1" ht="26.25" customHeight="1" x14ac:dyDescent="0.2">
      <c r="B601" s="340" t="str">
        <f t="array" ref="B601">IF(ISERROR(INDEX('Eingabe Meldungen'!$C$2:$C$492,LARGE(('Eingabe Meldungen'!$A$2:$A$492=$B$591)*(ROW('Eingabe Meldungen'!$A$2:$A$492)-1),COUNTIF('Eingabe Meldungen'!$A$2:$A$492,$B$591)+1-ROW('Eingabe Meldungen'!A9)))),"",INDEX('Eingabe Meldungen'!$C$2:$C$492,LARGE(('Eingabe Meldungen'!$A$2:$A$492=$B$591)*(ROW('Eingabe Meldungen'!$A$2:$A$492)-1),COUNTIF('Eingabe Meldungen'!$A$2:$A$492,$B$591)+1-ROW('Eingabe Meldungen'!A9))))</f>
        <v/>
      </c>
      <c r="C601" s="316" t="str">
        <f t="array" ref="C601">IF(ISERROR(INDEX('Eingabe Meldungen'!$D$2:$D$492,LARGE(('Eingabe Meldungen'!$A$2:$A$492=$B$591)*(ROW('Eingabe Meldungen'!$A$2:$A$492)-1),COUNTIF('Eingabe Meldungen'!$A$2:$A$492,$B$591)+1-ROW('Eingabe Meldungen'!A9)))),"",INDEX('Eingabe Meldungen'!$D$2:$D$492,LARGE(('Eingabe Meldungen'!$A$2:$A$492=$B$591)*(ROW('Eingabe Meldungen'!$A$2:$A$492)-1),COUNTIF('Eingabe Meldungen'!$A$2:$A$492,$B$591)+1-ROW('Eingabe Meldungen'!A9))))</f>
        <v/>
      </c>
      <c r="D601" s="341" t="str">
        <f t="array" ref="D601">IF(B601&lt;&gt;"",INDEX('Eingabe Meldungen'!$C$2:$H$492,MATCH(B601&amp;C601,'Eingabe Meldungen'!$C$2:$C$492&amp;'Eingabe Meldungen'!$D$2:$D$492,0),6),"")</f>
        <v/>
      </c>
      <c r="E601" s="382" t="str">
        <f t="array" ref="E601">IF(B601&lt;&gt;"",INDEX('Eingabe Meldungen'!$C$2:$H$492,MATCH(B601&amp;C601,'Eingabe Meldungen'!$C$2:$C$492&amp;'Eingabe Meldungen'!$D$2:$D$492,0),4),"")</f>
        <v/>
      </c>
      <c r="F601" s="353" t="str">
        <f>IF(VLOOKUP(B601,Rennlisten!$B$355:$H$355,6,FALSE)=0,"",VLOOKUP(B601,Rennlisten!$B$355:$H$355,6,FALSE))</f>
        <v/>
      </c>
      <c r="G601" s="333" t="e">
        <f t="shared" si="62"/>
        <v>#VALUE!</v>
      </c>
      <c r="H601" s="343" t="str">
        <f t="array" ref="H601">IF(B601&lt;&gt;"",INDEX('Eingabe Meldungen'!$C$2:$J$492,MATCH(B601&amp;C601,'Eingabe Meldungen'!$C$2:$C$492&amp;'Eingabe Meldungen'!$D$2:$D$492,0),8),"")</f>
        <v/>
      </c>
      <c r="J601" s="332"/>
      <c r="K601" s="332"/>
      <c r="L601" s="332"/>
      <c r="M601" s="332"/>
      <c r="N601" s="332"/>
      <c r="O601" s="332"/>
      <c r="P601" s="332"/>
      <c r="Q601" s="332"/>
      <c r="R601" s="332"/>
      <c r="S601" s="332"/>
      <c r="T601" s="332"/>
      <c r="U601" s="332"/>
      <c r="V601" s="332"/>
      <c r="W601" s="332"/>
      <c r="X601" s="332"/>
      <c r="Y601" s="332"/>
      <c r="Z601" s="332"/>
      <c r="AA601" s="332"/>
      <c r="AB601" s="332"/>
      <c r="AC601" s="332"/>
      <c r="AD601" s="332"/>
      <c r="AE601" s="332"/>
      <c r="AF601" s="332"/>
      <c r="AG601" s="332"/>
      <c r="AH601" s="332"/>
      <c r="AI601" s="332"/>
      <c r="AJ601" s="333"/>
      <c r="AK601" s="333"/>
      <c r="AL601" s="333"/>
      <c r="AM601" s="333"/>
    </row>
    <row r="602" spans="2:39" s="316" customFormat="1" ht="26.25" customHeight="1" x14ac:dyDescent="0.2">
      <c r="B602" s="340" t="str">
        <f t="array" ref="B602">IF(ISERROR(INDEX('Eingabe Meldungen'!$C$2:$C$492,LARGE(('Eingabe Meldungen'!$A$2:$A$492=$B$591)*(ROW('Eingabe Meldungen'!$A$2:$A$492)-1),COUNTIF('Eingabe Meldungen'!$A$2:$A$492,$B$591)+1-ROW('Eingabe Meldungen'!A10)))),"",INDEX('Eingabe Meldungen'!$C$2:$C$492,LARGE(('Eingabe Meldungen'!$A$2:$A$492=$B$591)*(ROW('Eingabe Meldungen'!$A$2:$A$492)-1),COUNTIF('Eingabe Meldungen'!$A$2:$A$492,$B$591)+1-ROW('Eingabe Meldungen'!A10))))</f>
        <v/>
      </c>
      <c r="C602" s="316" t="str">
        <f t="array" ref="C602">IF(ISERROR(INDEX('Eingabe Meldungen'!$D$2:$D$492,LARGE(('Eingabe Meldungen'!$A$2:$A$492=$B$591)*(ROW('Eingabe Meldungen'!$A$2:$A$492)-1),COUNTIF('Eingabe Meldungen'!$A$2:$A$492,$B$591)+1-ROW('Eingabe Meldungen'!A10)))),"",INDEX('Eingabe Meldungen'!$D$2:$D$492,LARGE(('Eingabe Meldungen'!$A$2:$A$492=$B$591)*(ROW('Eingabe Meldungen'!$A$2:$A$492)-1),COUNTIF('Eingabe Meldungen'!$A$2:$A$492,$B$591)+1-ROW('Eingabe Meldungen'!A10))))</f>
        <v/>
      </c>
      <c r="D602" s="341" t="str">
        <f t="array" ref="D602">IF(B602&lt;&gt;"",INDEX('Eingabe Meldungen'!$C$2:$H$492,MATCH(B602&amp;C602,'Eingabe Meldungen'!$C$2:$C$492&amp;'Eingabe Meldungen'!$D$2:$D$492,0),6),"")</f>
        <v/>
      </c>
      <c r="E602" s="382" t="str">
        <f t="array" ref="E602">IF(B602&lt;&gt;"",INDEX('Eingabe Meldungen'!$C$2:$H$492,MATCH(B602&amp;C602,'Eingabe Meldungen'!$C$2:$C$492&amp;'Eingabe Meldungen'!$D$2:$D$492,0),4),"")</f>
        <v/>
      </c>
      <c r="F602" s="353" t="str">
        <f>IF(VLOOKUP(B602,Rennlisten!$B$355:$H$355,6,FALSE)=0,"",VLOOKUP(B602,Rennlisten!$B$355:$H$355,6,FALSE))</f>
        <v/>
      </c>
      <c r="G602" s="333" t="e">
        <f t="shared" si="62"/>
        <v>#VALUE!</v>
      </c>
      <c r="H602" s="343" t="str">
        <f t="array" ref="H602">IF(B602&lt;&gt;"",INDEX('Eingabe Meldungen'!$C$2:$J$492,MATCH(B602&amp;C602,'Eingabe Meldungen'!$C$2:$C$492&amp;'Eingabe Meldungen'!$D$2:$D$492,0),8),"")</f>
        <v/>
      </c>
      <c r="J602" s="332"/>
      <c r="K602" s="332"/>
      <c r="L602" s="332"/>
      <c r="M602" s="332"/>
      <c r="N602" s="332"/>
      <c r="O602" s="332"/>
      <c r="P602" s="332"/>
      <c r="Q602" s="332"/>
      <c r="R602" s="332"/>
      <c r="S602" s="332"/>
      <c r="T602" s="332"/>
      <c r="U602" s="332"/>
      <c r="V602" s="332"/>
      <c r="W602" s="332"/>
      <c r="X602" s="332"/>
      <c r="Y602" s="332"/>
      <c r="Z602" s="332"/>
      <c r="AA602" s="332"/>
      <c r="AB602" s="332"/>
      <c r="AC602" s="332"/>
      <c r="AD602" s="332"/>
      <c r="AE602" s="332"/>
      <c r="AF602" s="332"/>
      <c r="AG602" s="332"/>
      <c r="AH602" s="332"/>
      <c r="AI602" s="332"/>
      <c r="AJ602" s="333"/>
      <c r="AK602" s="333"/>
      <c r="AL602" s="333"/>
      <c r="AM602" s="333"/>
    </row>
    <row r="603" spans="2:39" s="316" customFormat="1" ht="26.25" customHeight="1" thickBot="1" x14ac:dyDescent="0.25">
      <c r="E603" s="352"/>
      <c r="F603" s="333"/>
      <c r="G603" s="333"/>
      <c r="J603" s="333"/>
      <c r="K603" s="333"/>
      <c r="L603" s="333"/>
      <c r="M603" s="333"/>
      <c r="N603" s="333"/>
      <c r="O603" s="333"/>
      <c r="P603" s="333"/>
      <c r="Q603" s="333"/>
      <c r="R603" s="333"/>
      <c r="S603" s="333"/>
      <c r="T603" s="333"/>
      <c r="U603" s="333"/>
      <c r="V603" s="333"/>
      <c r="W603" s="333"/>
      <c r="X603" s="333"/>
      <c r="Y603" s="333"/>
      <c r="Z603" s="333"/>
      <c r="AA603" s="333"/>
      <c r="AB603" s="333"/>
      <c r="AC603" s="333"/>
      <c r="AD603" s="333"/>
      <c r="AE603" s="333"/>
      <c r="AF603" s="333"/>
      <c r="AG603" s="333"/>
      <c r="AH603" s="333"/>
      <c r="AI603" s="333"/>
      <c r="AJ603" s="333"/>
      <c r="AK603" s="333"/>
      <c r="AL603" s="333"/>
      <c r="AM603" s="333"/>
    </row>
    <row r="604" spans="2:39" s="316" customFormat="1" ht="26.25" customHeight="1" x14ac:dyDescent="0.2">
      <c r="B604" s="326">
        <v>27</v>
      </c>
      <c r="C604" s="327" t="str">
        <f>VLOOKUP(B604,Ausschreibung!$B$5:$I$35,2,FALSE)</f>
        <v>Ergocup</v>
      </c>
      <c r="D604" s="328">
        <f>VLOOKUP(B604,Ausschreibung!$B$5:$I$35,3,FALSE)</f>
        <v>0.67291666666666639</v>
      </c>
      <c r="E604" s="327" t="str">
        <f>VLOOKUP(B604,Ausschreibung!$B$5:$I$35,4,FALSE)</f>
        <v>Masters A-H, männlich</v>
      </c>
      <c r="F604" s="329" t="str">
        <f>VLOOKUP(B604,Ausschreibung!$B$5:$I$35,5,FALSE)</f>
        <v>-</v>
      </c>
      <c r="G604" s="330" t="str">
        <f>VLOOKUP(B604,Ausschreibung!$B$5:$I$35,6,FALSE)</f>
        <v>27 und älter</v>
      </c>
      <c r="H604" s="331" t="str">
        <f>VLOOKUP(B604,Ausschreibung!$B$5:$I$35,8,FALSE)</f>
        <v>1000 m</v>
      </c>
      <c r="J604" s="357"/>
      <c r="K604" s="357"/>
      <c r="L604" s="357"/>
      <c r="M604" s="357"/>
      <c r="N604" s="357"/>
      <c r="O604" s="357"/>
      <c r="P604" s="357"/>
      <c r="Q604" s="357"/>
      <c r="R604" s="357"/>
      <c r="S604" s="357"/>
      <c r="T604" s="357"/>
      <c r="U604" s="357"/>
      <c r="V604" s="357"/>
      <c r="W604" s="357"/>
      <c r="X604" s="357"/>
      <c r="Y604" s="357"/>
      <c r="Z604" s="357"/>
      <c r="AA604" s="357"/>
      <c r="AB604" s="357"/>
      <c r="AC604" s="357"/>
      <c r="AD604" s="357"/>
      <c r="AE604" s="357"/>
      <c r="AF604" s="357"/>
      <c r="AG604" s="357"/>
      <c r="AH604" s="357"/>
      <c r="AI604" s="357"/>
      <c r="AJ604" s="333"/>
      <c r="AK604" s="333"/>
      <c r="AL604" s="333"/>
      <c r="AM604" s="333"/>
    </row>
    <row r="605" spans="2:39" s="316" customFormat="1" ht="26.25" customHeight="1" x14ac:dyDescent="0.2">
      <c r="B605" s="334" t="s">
        <v>1</v>
      </c>
      <c r="C605" s="335" t="s">
        <v>2</v>
      </c>
      <c r="D605" s="336" t="s">
        <v>49</v>
      </c>
      <c r="E605" s="381" t="s">
        <v>16</v>
      </c>
      <c r="F605" s="338" t="s">
        <v>50</v>
      </c>
      <c r="G605" s="338" t="s">
        <v>51</v>
      </c>
      <c r="H605" s="339" t="s">
        <v>17</v>
      </c>
      <c r="J605" s="357"/>
      <c r="K605" s="357"/>
      <c r="L605" s="357"/>
      <c r="M605" s="357"/>
      <c r="N605" s="357"/>
      <c r="O605" s="357"/>
      <c r="P605" s="357"/>
      <c r="Q605" s="357"/>
      <c r="R605" s="357"/>
      <c r="S605" s="357"/>
      <c r="T605" s="357"/>
      <c r="U605" s="357"/>
      <c r="V605" s="357"/>
      <c r="W605" s="357"/>
      <c r="X605" s="357"/>
      <c r="Y605" s="357"/>
      <c r="Z605" s="357"/>
      <c r="AA605" s="357"/>
      <c r="AB605" s="357"/>
      <c r="AC605" s="357"/>
      <c r="AD605" s="357"/>
      <c r="AE605" s="357"/>
      <c r="AF605" s="357"/>
      <c r="AG605" s="357"/>
      <c r="AH605" s="357"/>
      <c r="AI605" s="357"/>
      <c r="AJ605" s="333"/>
      <c r="AK605" s="333"/>
      <c r="AL605" s="333"/>
      <c r="AM605" s="333"/>
    </row>
    <row r="606" spans="2:39" s="316" customFormat="1" ht="26.25" customHeight="1" x14ac:dyDescent="0.2">
      <c r="B606" s="340" t="str">
        <f t="array" ref="B606">IF(ISERROR(INDEX('Eingabe Meldungen'!$C$2:$C$492,LARGE(('Eingabe Meldungen'!$A$2:$A$492=$B$604)*(ROW('Eingabe Meldungen'!$A$2:$A$492)-1),COUNTIF('Eingabe Meldungen'!$A$2:$A$492,$B$604)+1-ROW('Eingabe Meldungen'!A1)))),"",INDEX('Eingabe Meldungen'!$C$2:$C$492,LARGE(('Eingabe Meldungen'!$A$2:$A$492=$B$604)*(ROW('Eingabe Meldungen'!$A$2:$A$492)-1),COUNTIF('Eingabe Meldungen'!$A$2:$A$492,$B$604)+1-ROW('Eingabe Meldungen'!A1))))</f>
        <v>Köhler</v>
      </c>
      <c r="C606" s="316" t="str">
        <f t="array" ref="C606">IF(ISERROR(INDEX('Eingabe Meldungen'!$D$2:$D$492,LARGE(('Eingabe Meldungen'!$A$2:$A$492=$B$604)*(ROW('Eingabe Meldungen'!$A$2:$A$492)-1),COUNTIF('Eingabe Meldungen'!$A$2:$A$492,$B$604)+1-ROW('Eingabe Meldungen'!A1)))),"",INDEX('Eingabe Meldungen'!$D$2:$D$492,LARGE(('Eingabe Meldungen'!$A$2:$A$492=$B$604)*(ROW('Eingabe Meldungen'!$A$2:$A$492)-1),COUNTIF('Eingabe Meldungen'!$A$2:$A$492,$B$604)+1-ROW('Eingabe Meldungen'!A1))))</f>
        <v>Bernhard</v>
      </c>
      <c r="D606" s="341">
        <f t="array" ref="D606">IF(B606&lt;&gt;"",INDEX('Eingabe Meldungen'!$C$2:$H$492,MATCH(B606&amp;C606,'Eingabe Meldungen'!$C$2:$C$492&amp;'Eingabe Meldungen'!$D$2:$D$492,0),6),"")</f>
        <v>1958</v>
      </c>
      <c r="E606" s="382" t="str">
        <f t="array" ref="E606">IF(B606&lt;&gt;"",INDEX('Eingabe Meldungen'!$C$2:$H$492,MATCH(B606&amp;C606,'Eingabe Meldungen'!$C$2:$C$492&amp;'Eingabe Meldungen'!$D$2:$D$492,0),4),"")</f>
        <v>F</v>
      </c>
      <c r="F606" s="358"/>
      <c r="G606" s="333" t="e">
        <f>RANK(F606,$F$606:$F$615,1)</f>
        <v>#N/A</v>
      </c>
      <c r="H606" s="343" t="str">
        <f t="array" ref="H606">IF(B606&lt;&gt;"",INDEX('Eingabe Meldungen'!$C$2:$J$492,MATCH(B606&amp;C606,'Eingabe Meldungen'!$C$2:$C$492&amp;'Eingabe Meldungen'!$D$2:$D$492,0),8),"")</f>
        <v>Fitness Oase in Regen</v>
      </c>
      <c r="J606" s="357"/>
      <c r="K606" s="357"/>
      <c r="L606" s="357"/>
      <c r="M606" s="357"/>
      <c r="N606" s="357"/>
      <c r="O606" s="357"/>
      <c r="P606" s="357"/>
      <c r="Q606" s="357"/>
      <c r="R606" s="357"/>
      <c r="S606" s="357"/>
      <c r="T606" s="357"/>
      <c r="U606" s="357"/>
      <c r="V606" s="357"/>
      <c r="W606" s="357"/>
      <c r="X606" s="357"/>
      <c r="Y606" s="357"/>
      <c r="Z606" s="357"/>
      <c r="AA606" s="357"/>
      <c r="AB606" s="357"/>
      <c r="AC606" s="357"/>
      <c r="AD606" s="357"/>
      <c r="AE606" s="357"/>
      <c r="AF606" s="357"/>
      <c r="AG606" s="357"/>
      <c r="AH606" s="357"/>
      <c r="AI606" s="357"/>
      <c r="AJ606" s="333"/>
      <c r="AK606" s="333"/>
      <c r="AL606" s="333"/>
      <c r="AM606" s="333"/>
    </row>
    <row r="607" spans="2:39" s="316" customFormat="1" ht="26.25" customHeight="1" x14ac:dyDescent="0.2">
      <c r="B607" s="340" t="str">
        <f t="array" ref="B607">IF(ISERROR(INDEX('Eingabe Meldungen'!$C$2:$C$492,LARGE(('Eingabe Meldungen'!$A$2:$A$492=$B$604)*(ROW('Eingabe Meldungen'!$A$2:$A$492)-1),COUNTIF('Eingabe Meldungen'!$A$2:$A$492,$B$604)+1-ROW('Eingabe Meldungen'!A2)))),"",INDEX('Eingabe Meldungen'!$C$2:$C$492,LARGE(('Eingabe Meldungen'!$A$2:$A$492=$B$604)*(ROW('Eingabe Meldungen'!$A$2:$A$492)-1),COUNTIF('Eingabe Meldungen'!$A$2:$A$492,$B$604)+1-ROW('Eingabe Meldungen'!A2))))</f>
        <v/>
      </c>
      <c r="C607" s="316" t="str">
        <f t="array" ref="C607">IF(ISERROR(INDEX('Eingabe Meldungen'!$D$2:$D$492,LARGE(('Eingabe Meldungen'!$A$2:$A$492=$B$604)*(ROW('Eingabe Meldungen'!$A$2:$A$492)-1),COUNTIF('Eingabe Meldungen'!$A$2:$A$492,$B$604)+1-ROW('Eingabe Meldungen'!A2)))),"",INDEX('Eingabe Meldungen'!$D$2:$D$492,LARGE(('Eingabe Meldungen'!$A$2:$A$492=$B$604)*(ROW('Eingabe Meldungen'!$A$2:$A$492)-1),COUNTIF('Eingabe Meldungen'!$A$2:$A$492,$B$604)+1-ROW('Eingabe Meldungen'!A2))))</f>
        <v/>
      </c>
      <c r="D607" s="341" t="str">
        <f t="array" ref="D607">IF(B607&lt;&gt;"",INDEX('Eingabe Meldungen'!$C$2:$H$492,MATCH(B607&amp;C607,'Eingabe Meldungen'!$C$2:$C$492&amp;'Eingabe Meldungen'!$D$2:$D$492,0),6),"")</f>
        <v/>
      </c>
      <c r="E607" s="382" t="str">
        <f t="array" ref="E607">IF(B607&lt;&gt;"",INDEX('Eingabe Meldungen'!$C$2:$H$492,MATCH(B607&amp;C607,'Eingabe Meldungen'!$C$2:$C$492&amp;'Eingabe Meldungen'!$D$2:$D$492,0),4),"")</f>
        <v/>
      </c>
      <c r="F607" s="358"/>
      <c r="G607" s="333" t="e">
        <f t="shared" ref="G607:G615" si="63">RANK(F607,$F$606:$F$615,1)</f>
        <v>#N/A</v>
      </c>
      <c r="H607" s="343" t="str">
        <f t="array" ref="H607">IF(B607&lt;&gt;"",INDEX('Eingabe Meldungen'!$C$2:$J$492,MATCH(B607&amp;C607,'Eingabe Meldungen'!$C$2:$C$492&amp;'Eingabe Meldungen'!$D$2:$D$492,0),8),"")</f>
        <v/>
      </c>
      <c r="J607" s="357"/>
      <c r="K607" s="357"/>
      <c r="L607" s="357"/>
      <c r="M607" s="357"/>
      <c r="N607" s="357"/>
      <c r="O607" s="357"/>
      <c r="P607" s="357"/>
      <c r="Q607" s="357"/>
      <c r="R607" s="357"/>
      <c r="S607" s="357"/>
      <c r="T607" s="357"/>
      <c r="U607" s="357"/>
      <c r="V607" s="357"/>
      <c r="W607" s="357"/>
      <c r="X607" s="357"/>
      <c r="Y607" s="357"/>
      <c r="Z607" s="357"/>
      <c r="AA607" s="357"/>
      <c r="AB607" s="357"/>
      <c r="AC607" s="357"/>
      <c r="AD607" s="357"/>
      <c r="AE607" s="357"/>
      <c r="AF607" s="357"/>
      <c r="AG607" s="357"/>
      <c r="AH607" s="357"/>
      <c r="AI607" s="357"/>
      <c r="AJ607" s="333"/>
      <c r="AK607" s="333"/>
      <c r="AL607" s="333"/>
      <c r="AM607" s="333"/>
    </row>
    <row r="608" spans="2:39" s="316" customFormat="1" ht="26.25" customHeight="1" x14ac:dyDescent="0.2">
      <c r="B608" s="340" t="str">
        <f t="array" ref="B608">IF(ISERROR(INDEX('Eingabe Meldungen'!$C$2:$C$492,LARGE(('Eingabe Meldungen'!$A$2:$A$492=$B$604)*(ROW('Eingabe Meldungen'!$A$2:$A$492)-1),COUNTIF('Eingabe Meldungen'!$A$2:$A$492,$B$604)+1-ROW('Eingabe Meldungen'!A3)))),"",INDEX('Eingabe Meldungen'!$C$2:$C$492,LARGE(('Eingabe Meldungen'!$A$2:$A$492=$B$604)*(ROW('Eingabe Meldungen'!$A$2:$A$492)-1),COUNTIF('Eingabe Meldungen'!$A$2:$A$492,$B$604)+1-ROW('Eingabe Meldungen'!A3))))</f>
        <v/>
      </c>
      <c r="C608" s="316" t="str">
        <f t="array" ref="C608">IF(ISERROR(INDEX('Eingabe Meldungen'!$D$2:$D$492,LARGE(('Eingabe Meldungen'!$A$2:$A$492=$B$604)*(ROW('Eingabe Meldungen'!$A$2:$A$492)-1),COUNTIF('Eingabe Meldungen'!$A$2:$A$492,$B$604)+1-ROW('Eingabe Meldungen'!A3)))),"",INDEX('Eingabe Meldungen'!$D$2:$D$492,LARGE(('Eingabe Meldungen'!$A$2:$A$492=$B$604)*(ROW('Eingabe Meldungen'!$A$2:$A$492)-1),COUNTIF('Eingabe Meldungen'!$A$2:$A$492,$B$604)+1-ROW('Eingabe Meldungen'!A3))))</f>
        <v/>
      </c>
      <c r="D608" s="341" t="str">
        <f t="array" ref="D608">IF(B608&lt;&gt;"",INDEX('Eingabe Meldungen'!$C$2:$H$492,MATCH(B608&amp;C608,'Eingabe Meldungen'!$C$2:$C$492&amp;'Eingabe Meldungen'!$D$2:$D$492,0),6),"")</f>
        <v/>
      </c>
      <c r="E608" s="382" t="str">
        <f t="array" ref="E608">IF(B608&lt;&gt;"",INDEX('Eingabe Meldungen'!$C$2:$H$492,MATCH(B608&amp;C608,'Eingabe Meldungen'!$C$2:$C$492&amp;'Eingabe Meldungen'!$D$2:$D$492,0),4),"")</f>
        <v/>
      </c>
      <c r="F608" s="358"/>
      <c r="G608" s="333" t="e">
        <f t="shared" si="63"/>
        <v>#N/A</v>
      </c>
      <c r="H608" s="343" t="str">
        <f t="array" ref="H608">IF(B608&lt;&gt;"",INDEX('Eingabe Meldungen'!$C$2:$J$492,MATCH(B608&amp;C608,'Eingabe Meldungen'!$C$2:$C$492&amp;'Eingabe Meldungen'!$D$2:$D$492,0),8),"")</f>
        <v/>
      </c>
      <c r="J608" s="357"/>
      <c r="K608" s="357"/>
      <c r="L608" s="357"/>
      <c r="M608" s="357"/>
      <c r="N608" s="357"/>
      <c r="O608" s="357"/>
      <c r="P608" s="357"/>
      <c r="Q608" s="357"/>
      <c r="R608" s="357"/>
      <c r="S608" s="357"/>
      <c r="T608" s="357"/>
      <c r="U608" s="357"/>
      <c r="V608" s="357"/>
      <c r="W608" s="357"/>
      <c r="X608" s="357"/>
      <c r="Y608" s="357"/>
      <c r="Z608" s="357"/>
      <c r="AA608" s="357"/>
      <c r="AB608" s="357"/>
      <c r="AC608" s="357"/>
      <c r="AD608" s="357"/>
      <c r="AE608" s="357"/>
      <c r="AF608" s="357"/>
      <c r="AG608" s="357"/>
      <c r="AH608" s="357"/>
      <c r="AI608" s="357"/>
      <c r="AJ608" s="333"/>
      <c r="AK608" s="333"/>
      <c r="AL608" s="333"/>
      <c r="AM608" s="333"/>
    </row>
    <row r="609" spans="2:39" s="316" customFormat="1" ht="26.25" customHeight="1" x14ac:dyDescent="0.2">
      <c r="B609" s="340" t="str">
        <f t="array" ref="B609">IF(ISERROR(INDEX('Eingabe Meldungen'!$C$2:$C$492,LARGE(('Eingabe Meldungen'!$A$2:$A$492=$B$604)*(ROW('Eingabe Meldungen'!$A$2:$A$492)-1),COUNTIF('Eingabe Meldungen'!$A$2:$A$492,$B$604)+1-ROW('Eingabe Meldungen'!A4)))),"",INDEX('Eingabe Meldungen'!$C$2:$C$492,LARGE(('Eingabe Meldungen'!$A$2:$A$492=$B$604)*(ROW('Eingabe Meldungen'!$A$2:$A$492)-1),COUNTIF('Eingabe Meldungen'!$A$2:$A$492,$B$604)+1-ROW('Eingabe Meldungen'!A4))))</f>
        <v/>
      </c>
      <c r="C609" s="316" t="str">
        <f t="array" ref="C609">IF(ISERROR(INDEX('Eingabe Meldungen'!$D$2:$D$492,LARGE(('Eingabe Meldungen'!$A$2:$A$492=$B$604)*(ROW('Eingabe Meldungen'!$A$2:$A$492)-1),COUNTIF('Eingabe Meldungen'!$A$2:$A$492,$B$604)+1-ROW('Eingabe Meldungen'!A4)))),"",INDEX('Eingabe Meldungen'!$D$2:$D$492,LARGE(('Eingabe Meldungen'!$A$2:$A$492=$B$604)*(ROW('Eingabe Meldungen'!$A$2:$A$492)-1),COUNTIF('Eingabe Meldungen'!$A$2:$A$492,$B$604)+1-ROW('Eingabe Meldungen'!A4))))</f>
        <v/>
      </c>
      <c r="D609" s="341" t="str">
        <f t="array" ref="D609">IF(B609&lt;&gt;"",INDEX('Eingabe Meldungen'!$C$2:$H$492,MATCH(B609&amp;C609,'Eingabe Meldungen'!$C$2:$C$492&amp;'Eingabe Meldungen'!$D$2:$D$492,0),6),"")</f>
        <v/>
      </c>
      <c r="E609" s="382" t="str">
        <f t="array" ref="E609">IF(B609&lt;&gt;"",INDEX('Eingabe Meldungen'!$C$2:$H$492,MATCH(B609&amp;C609,'Eingabe Meldungen'!$C$2:$C$492&amp;'Eingabe Meldungen'!$D$2:$D$492,0),4),"")</f>
        <v/>
      </c>
      <c r="F609" s="358"/>
      <c r="G609" s="333" t="e">
        <f t="shared" si="63"/>
        <v>#N/A</v>
      </c>
      <c r="H609" s="343" t="str">
        <f t="array" ref="H609">IF(B609&lt;&gt;"",INDEX('Eingabe Meldungen'!$C$2:$J$492,MATCH(B609&amp;C609,'Eingabe Meldungen'!$C$2:$C$492&amp;'Eingabe Meldungen'!$D$2:$D$492,0),8),"")</f>
        <v/>
      </c>
      <c r="J609" s="357"/>
      <c r="K609" s="357"/>
      <c r="L609" s="357"/>
      <c r="M609" s="357"/>
      <c r="N609" s="357"/>
      <c r="O609" s="357"/>
      <c r="P609" s="357"/>
      <c r="Q609" s="357"/>
      <c r="R609" s="357"/>
      <c r="S609" s="357"/>
      <c r="T609" s="357"/>
      <c r="U609" s="357"/>
      <c r="V609" s="357"/>
      <c r="W609" s="357"/>
      <c r="X609" s="357"/>
      <c r="Y609" s="357"/>
      <c r="Z609" s="357"/>
      <c r="AA609" s="357"/>
      <c r="AB609" s="357"/>
      <c r="AC609" s="357"/>
      <c r="AD609" s="357"/>
      <c r="AE609" s="357"/>
      <c r="AF609" s="357"/>
      <c r="AG609" s="357"/>
      <c r="AH609" s="357"/>
      <c r="AI609" s="357"/>
      <c r="AJ609" s="333"/>
      <c r="AK609" s="333"/>
      <c r="AL609" s="333"/>
      <c r="AM609" s="333"/>
    </row>
    <row r="610" spans="2:39" s="316" customFormat="1" ht="26.25" customHeight="1" x14ac:dyDescent="0.2">
      <c r="B610" s="340" t="str">
        <f t="array" ref="B610">IF(ISERROR(INDEX('Eingabe Meldungen'!$C$2:$C$492,LARGE(('Eingabe Meldungen'!$A$2:$A$492=$B$604)*(ROW('Eingabe Meldungen'!$A$2:$A$492)-1),COUNTIF('Eingabe Meldungen'!$A$2:$A$492,$B$604)+1-ROW('Eingabe Meldungen'!A5)))),"",INDEX('Eingabe Meldungen'!$C$2:$C$492,LARGE(('Eingabe Meldungen'!$A$2:$A$492=$B$604)*(ROW('Eingabe Meldungen'!$A$2:$A$492)-1),COUNTIF('Eingabe Meldungen'!$A$2:$A$492,$B$604)+1-ROW('Eingabe Meldungen'!A5))))</f>
        <v/>
      </c>
      <c r="C610" s="316" t="str">
        <f t="array" ref="C610">IF(ISERROR(INDEX('Eingabe Meldungen'!$D$2:$D$492,LARGE(('Eingabe Meldungen'!$A$2:$A$492=$B$604)*(ROW('Eingabe Meldungen'!$A$2:$A$492)-1),COUNTIF('Eingabe Meldungen'!$A$2:$A$492,$B$604)+1-ROW('Eingabe Meldungen'!A5)))),"",INDEX('Eingabe Meldungen'!$D$2:$D$492,LARGE(('Eingabe Meldungen'!$A$2:$A$492=$B$604)*(ROW('Eingabe Meldungen'!$A$2:$A$492)-1),COUNTIF('Eingabe Meldungen'!$A$2:$A$492,$B$604)+1-ROW('Eingabe Meldungen'!A5))))</f>
        <v/>
      </c>
      <c r="D610" s="341" t="str">
        <f t="array" ref="D610">IF(B610&lt;&gt;"",INDEX('Eingabe Meldungen'!$C$2:$H$492,MATCH(B610&amp;C610,'Eingabe Meldungen'!$C$2:$C$492&amp;'Eingabe Meldungen'!$D$2:$D$492,0),6),"")</f>
        <v/>
      </c>
      <c r="E610" s="382" t="str">
        <f t="array" ref="E610">IF(B610&lt;&gt;"",INDEX('Eingabe Meldungen'!$C$2:$H$492,MATCH(B610&amp;C610,'Eingabe Meldungen'!$C$2:$C$492&amp;'Eingabe Meldungen'!$D$2:$D$492,0),4),"")</f>
        <v/>
      </c>
      <c r="F610" s="358"/>
      <c r="G610" s="333" t="e">
        <f t="shared" si="63"/>
        <v>#N/A</v>
      </c>
      <c r="H610" s="343" t="str">
        <f t="array" ref="H610">IF(B610&lt;&gt;"",INDEX('Eingabe Meldungen'!$C$2:$J$492,MATCH(B610&amp;C610,'Eingabe Meldungen'!$C$2:$C$492&amp;'Eingabe Meldungen'!$D$2:$D$492,0),8),"")</f>
        <v/>
      </c>
      <c r="J610" s="357"/>
      <c r="K610" s="357"/>
      <c r="L610" s="357"/>
      <c r="M610" s="357"/>
      <c r="N610" s="357"/>
      <c r="O610" s="357"/>
      <c r="P610" s="357"/>
      <c r="Q610" s="357"/>
      <c r="R610" s="357"/>
      <c r="S610" s="357"/>
      <c r="T610" s="357"/>
      <c r="U610" s="357"/>
      <c r="V610" s="357"/>
      <c r="W610" s="357"/>
      <c r="X610" s="357"/>
      <c r="Y610" s="357"/>
      <c r="Z610" s="357"/>
      <c r="AA610" s="357"/>
      <c r="AB610" s="357"/>
      <c r="AC610" s="357"/>
      <c r="AD610" s="357"/>
      <c r="AE610" s="357"/>
      <c r="AF610" s="357"/>
      <c r="AG610" s="357"/>
      <c r="AH610" s="357"/>
      <c r="AI610" s="357"/>
      <c r="AJ610" s="333"/>
      <c r="AK610" s="333"/>
      <c r="AL610" s="333"/>
      <c r="AM610" s="333"/>
    </row>
    <row r="611" spans="2:39" s="316" customFormat="1" ht="26.25" customHeight="1" x14ac:dyDescent="0.2">
      <c r="B611" s="340" t="str">
        <f t="array" ref="B611">IF(ISERROR(INDEX('Eingabe Meldungen'!$C$2:$C$492,LARGE(('Eingabe Meldungen'!$A$2:$A$492=$B$604)*(ROW('Eingabe Meldungen'!$A$2:$A$492)-1),COUNTIF('Eingabe Meldungen'!$A$2:$A$492,$B$604)+1-ROW('Eingabe Meldungen'!A6)))),"",INDEX('Eingabe Meldungen'!$C$2:$C$492,LARGE(('Eingabe Meldungen'!$A$2:$A$492=$B$604)*(ROW('Eingabe Meldungen'!$A$2:$A$492)-1),COUNTIF('Eingabe Meldungen'!$A$2:$A$492,$B$604)+1-ROW('Eingabe Meldungen'!A6))))</f>
        <v/>
      </c>
      <c r="C611" s="316" t="str">
        <f t="array" ref="C611">IF(ISERROR(INDEX('Eingabe Meldungen'!$D$2:$D$492,LARGE(('Eingabe Meldungen'!$A$2:$A$492=$B$604)*(ROW('Eingabe Meldungen'!$A$2:$A$492)-1),COUNTIF('Eingabe Meldungen'!$A$2:$A$492,$B$604)+1-ROW('Eingabe Meldungen'!A6)))),"",INDEX('Eingabe Meldungen'!$D$2:$D$492,LARGE(('Eingabe Meldungen'!$A$2:$A$492=$B$604)*(ROW('Eingabe Meldungen'!$A$2:$A$492)-1),COUNTIF('Eingabe Meldungen'!$A$2:$A$492,$B$604)+1-ROW('Eingabe Meldungen'!A6))))</f>
        <v/>
      </c>
      <c r="D611" s="341" t="str">
        <f t="array" ref="D611">IF(B611&lt;&gt;"",INDEX('Eingabe Meldungen'!$C$2:$H$492,MATCH(B611&amp;C611,'Eingabe Meldungen'!$C$2:$C$492&amp;'Eingabe Meldungen'!$D$2:$D$492,0),6),"")</f>
        <v/>
      </c>
      <c r="E611" s="382" t="str">
        <f t="array" ref="E611">IF(B611&lt;&gt;"",INDEX('Eingabe Meldungen'!$C$2:$H$492,MATCH(B611&amp;C611,'Eingabe Meldungen'!$C$2:$C$492&amp;'Eingabe Meldungen'!$D$2:$D$492,0),4),"")</f>
        <v/>
      </c>
      <c r="F611" s="358"/>
      <c r="G611" s="333" t="e">
        <f t="shared" si="63"/>
        <v>#N/A</v>
      </c>
      <c r="H611" s="343" t="str">
        <f t="array" ref="H611">IF(B611&lt;&gt;"",INDEX('Eingabe Meldungen'!$C$2:$J$492,MATCH(B611&amp;C611,'Eingabe Meldungen'!$C$2:$C$492&amp;'Eingabe Meldungen'!$D$2:$D$492,0),8),"")</f>
        <v/>
      </c>
      <c r="J611" s="357"/>
      <c r="K611" s="357"/>
      <c r="L611" s="357"/>
      <c r="M611" s="357"/>
      <c r="N611" s="357"/>
      <c r="O611" s="357"/>
      <c r="P611" s="357"/>
      <c r="Q611" s="357"/>
      <c r="R611" s="357"/>
      <c r="S611" s="357"/>
      <c r="T611" s="357"/>
      <c r="U611" s="357"/>
      <c r="V611" s="357"/>
      <c r="W611" s="357"/>
      <c r="X611" s="357"/>
      <c r="Y611" s="357"/>
      <c r="Z611" s="357"/>
      <c r="AA611" s="357"/>
      <c r="AB611" s="357"/>
      <c r="AC611" s="357"/>
      <c r="AD611" s="357"/>
      <c r="AE611" s="357"/>
      <c r="AF611" s="357"/>
      <c r="AG611" s="357"/>
      <c r="AH611" s="357"/>
      <c r="AI611" s="357"/>
      <c r="AJ611" s="333"/>
      <c r="AK611" s="333"/>
      <c r="AL611" s="333"/>
      <c r="AM611" s="333"/>
    </row>
    <row r="612" spans="2:39" s="316" customFormat="1" ht="26.25" customHeight="1" x14ac:dyDescent="0.2">
      <c r="B612" s="340" t="str">
        <f t="array" ref="B612">IF(ISERROR(INDEX('Eingabe Meldungen'!$C$2:$C$492,LARGE(('Eingabe Meldungen'!$A$2:$A$492=$B$604)*(ROW('Eingabe Meldungen'!$A$2:$A$492)-1),COUNTIF('Eingabe Meldungen'!$A$2:$A$492,$B$604)+1-ROW('Eingabe Meldungen'!A7)))),"",INDEX('Eingabe Meldungen'!$C$2:$C$492,LARGE(('Eingabe Meldungen'!$A$2:$A$492=$B$604)*(ROW('Eingabe Meldungen'!$A$2:$A$492)-1),COUNTIF('Eingabe Meldungen'!$A$2:$A$492,$B$604)+1-ROW('Eingabe Meldungen'!A7))))</f>
        <v/>
      </c>
      <c r="C612" s="316" t="str">
        <f t="array" ref="C612">IF(ISERROR(INDEX('Eingabe Meldungen'!$D$2:$D$492,LARGE(('Eingabe Meldungen'!$A$2:$A$492=$B$604)*(ROW('Eingabe Meldungen'!$A$2:$A$492)-1),COUNTIF('Eingabe Meldungen'!$A$2:$A$492,$B$604)+1-ROW('Eingabe Meldungen'!A7)))),"",INDEX('Eingabe Meldungen'!$D$2:$D$492,LARGE(('Eingabe Meldungen'!$A$2:$A$492=$B$604)*(ROW('Eingabe Meldungen'!$A$2:$A$492)-1),COUNTIF('Eingabe Meldungen'!$A$2:$A$492,$B$604)+1-ROW('Eingabe Meldungen'!A7))))</f>
        <v/>
      </c>
      <c r="D612" s="341" t="str">
        <f t="array" ref="D612">IF(B612&lt;&gt;"",INDEX('Eingabe Meldungen'!$C$2:$H$492,MATCH(B612&amp;C612,'Eingabe Meldungen'!$C$2:$C$492&amp;'Eingabe Meldungen'!$D$2:$D$492,0),6),"")</f>
        <v/>
      </c>
      <c r="E612" s="382" t="str">
        <f t="array" ref="E612">IF(B612&lt;&gt;"",INDEX('Eingabe Meldungen'!$C$2:$H$492,MATCH(B612&amp;C612,'Eingabe Meldungen'!$C$2:$C$492&amp;'Eingabe Meldungen'!$D$2:$D$492,0),4),"")</f>
        <v/>
      </c>
      <c r="F612" s="358"/>
      <c r="G612" s="333" t="e">
        <f t="shared" si="63"/>
        <v>#N/A</v>
      </c>
      <c r="H612" s="343" t="str">
        <f t="array" ref="H612">IF(B612&lt;&gt;"",INDEX('Eingabe Meldungen'!$C$2:$J$492,MATCH(B612&amp;C612,'Eingabe Meldungen'!$C$2:$C$492&amp;'Eingabe Meldungen'!$D$2:$D$492,0),8),"")</f>
        <v/>
      </c>
      <c r="J612" s="357"/>
      <c r="K612" s="357"/>
      <c r="L612" s="357"/>
      <c r="M612" s="357"/>
      <c r="N612" s="357"/>
      <c r="O612" s="357"/>
      <c r="P612" s="357"/>
      <c r="Q612" s="357"/>
      <c r="R612" s="357"/>
      <c r="S612" s="357"/>
      <c r="T612" s="357"/>
      <c r="U612" s="357"/>
      <c r="V612" s="357"/>
      <c r="W612" s="357"/>
      <c r="X612" s="357"/>
      <c r="Y612" s="357"/>
      <c r="Z612" s="357"/>
      <c r="AA612" s="357"/>
      <c r="AB612" s="357"/>
      <c r="AC612" s="357"/>
      <c r="AD612" s="357"/>
      <c r="AE612" s="357"/>
      <c r="AF612" s="357"/>
      <c r="AG612" s="357"/>
      <c r="AH612" s="357"/>
      <c r="AI612" s="357"/>
      <c r="AJ612" s="333"/>
      <c r="AK612" s="333"/>
      <c r="AL612" s="333"/>
      <c r="AM612" s="333"/>
    </row>
    <row r="613" spans="2:39" s="316" customFormat="1" ht="26.25" customHeight="1" x14ac:dyDescent="0.2">
      <c r="B613" s="340" t="str">
        <f t="array" ref="B613">IF(ISERROR(INDEX('Eingabe Meldungen'!$C$2:$C$492,LARGE(('Eingabe Meldungen'!$A$2:$A$492=$B$604)*(ROW('Eingabe Meldungen'!$A$2:$A$492)-1),COUNTIF('Eingabe Meldungen'!$A$2:$A$492,$B$604)+1-ROW('Eingabe Meldungen'!A8)))),"",INDEX('Eingabe Meldungen'!$C$2:$C$492,LARGE(('Eingabe Meldungen'!$A$2:$A$492=$B$604)*(ROW('Eingabe Meldungen'!$A$2:$A$492)-1),COUNTIF('Eingabe Meldungen'!$A$2:$A$492,$B$604)+1-ROW('Eingabe Meldungen'!A8))))</f>
        <v/>
      </c>
      <c r="C613" s="316" t="str">
        <f t="array" ref="C613">IF(ISERROR(INDEX('Eingabe Meldungen'!$D$2:$D$492,LARGE(('Eingabe Meldungen'!$A$2:$A$492=$B$604)*(ROW('Eingabe Meldungen'!$A$2:$A$492)-1),COUNTIF('Eingabe Meldungen'!$A$2:$A$492,$B$604)+1-ROW('Eingabe Meldungen'!A8)))),"",INDEX('Eingabe Meldungen'!$D$2:$D$492,LARGE(('Eingabe Meldungen'!$A$2:$A$492=$B$604)*(ROW('Eingabe Meldungen'!$A$2:$A$492)-1),COUNTIF('Eingabe Meldungen'!$A$2:$A$492,$B$604)+1-ROW('Eingabe Meldungen'!A8))))</f>
        <v/>
      </c>
      <c r="D613" s="341" t="str">
        <f t="array" ref="D613">IF(B613&lt;&gt;"",INDEX('Eingabe Meldungen'!$C$2:$H$492,MATCH(B613&amp;C613,'Eingabe Meldungen'!$C$2:$C$492&amp;'Eingabe Meldungen'!$D$2:$D$492,0),6),"")</f>
        <v/>
      </c>
      <c r="E613" s="382" t="str">
        <f t="array" ref="E613">IF(B613&lt;&gt;"",INDEX('Eingabe Meldungen'!$C$2:$H$492,MATCH(B613&amp;C613,'Eingabe Meldungen'!$C$2:$C$492&amp;'Eingabe Meldungen'!$D$2:$D$492,0),4),"")</f>
        <v/>
      </c>
      <c r="F613" s="358"/>
      <c r="G613" s="333" t="e">
        <f t="shared" si="63"/>
        <v>#N/A</v>
      </c>
      <c r="H613" s="343" t="str">
        <f t="array" ref="H613">IF(B613&lt;&gt;"",INDEX('Eingabe Meldungen'!$C$2:$J$492,MATCH(B613&amp;C613,'Eingabe Meldungen'!$C$2:$C$492&amp;'Eingabe Meldungen'!$D$2:$D$492,0),8),"")</f>
        <v/>
      </c>
      <c r="J613" s="357"/>
      <c r="K613" s="357"/>
      <c r="L613" s="357"/>
      <c r="M613" s="357"/>
      <c r="N613" s="357"/>
      <c r="O613" s="357"/>
      <c r="P613" s="357"/>
      <c r="Q613" s="357"/>
      <c r="R613" s="357"/>
      <c r="S613" s="357"/>
      <c r="T613" s="357"/>
      <c r="U613" s="357"/>
      <c r="V613" s="357"/>
      <c r="W613" s="357"/>
      <c r="X613" s="357"/>
      <c r="Y613" s="357"/>
      <c r="Z613" s="357"/>
      <c r="AA613" s="357"/>
      <c r="AB613" s="357"/>
      <c r="AC613" s="357"/>
      <c r="AD613" s="357"/>
      <c r="AE613" s="357"/>
      <c r="AF613" s="357"/>
      <c r="AG613" s="357"/>
      <c r="AH613" s="357"/>
      <c r="AI613" s="357"/>
      <c r="AJ613" s="333"/>
      <c r="AK613" s="333"/>
      <c r="AL613" s="333"/>
      <c r="AM613" s="333"/>
    </row>
    <row r="614" spans="2:39" s="316" customFormat="1" ht="26.25" customHeight="1" x14ac:dyDescent="0.2">
      <c r="B614" s="340" t="str">
        <f t="array" ref="B614">IF(ISERROR(INDEX('Eingabe Meldungen'!$C$2:$C$492,LARGE(('Eingabe Meldungen'!$A$2:$A$492=$B$604)*(ROW('Eingabe Meldungen'!$A$2:$A$492)-1),COUNTIF('Eingabe Meldungen'!$A$2:$A$492,$B$604)+1-ROW('Eingabe Meldungen'!A9)))),"",INDEX('Eingabe Meldungen'!$C$2:$C$492,LARGE(('Eingabe Meldungen'!$A$2:$A$492=$B$604)*(ROW('Eingabe Meldungen'!$A$2:$A$492)-1),COUNTIF('Eingabe Meldungen'!$A$2:$A$492,$B$604)+1-ROW('Eingabe Meldungen'!A9))))</f>
        <v/>
      </c>
      <c r="C614" s="316" t="str">
        <f t="array" ref="C614">IF(ISERROR(INDEX('Eingabe Meldungen'!$D$2:$D$492,LARGE(('Eingabe Meldungen'!$A$2:$A$492=$B$604)*(ROW('Eingabe Meldungen'!$A$2:$A$492)-1),COUNTIF('Eingabe Meldungen'!$A$2:$A$492,$B$604)+1-ROW('Eingabe Meldungen'!A9)))),"",INDEX('Eingabe Meldungen'!$D$2:$D$492,LARGE(('Eingabe Meldungen'!$A$2:$A$492=$B$604)*(ROW('Eingabe Meldungen'!$A$2:$A$492)-1),COUNTIF('Eingabe Meldungen'!$A$2:$A$492,$B$604)+1-ROW('Eingabe Meldungen'!A9))))</f>
        <v/>
      </c>
      <c r="D614" s="341" t="str">
        <f t="array" ref="D614">IF(B614&lt;&gt;"",INDEX('Eingabe Meldungen'!$C$2:$H$492,MATCH(B614&amp;C614,'Eingabe Meldungen'!$C$2:$C$492&amp;'Eingabe Meldungen'!$D$2:$D$492,0),6),"")</f>
        <v/>
      </c>
      <c r="E614" s="382" t="str">
        <f t="array" ref="E614">IF(B614&lt;&gt;"",INDEX('Eingabe Meldungen'!$C$2:$H$492,MATCH(B614&amp;C614,'Eingabe Meldungen'!$C$2:$C$492&amp;'Eingabe Meldungen'!$D$2:$D$492,0),4),"")</f>
        <v/>
      </c>
      <c r="F614" s="358"/>
      <c r="G614" s="333" t="e">
        <f t="shared" si="63"/>
        <v>#N/A</v>
      </c>
      <c r="H614" s="343" t="str">
        <f t="array" ref="H614">IF(B614&lt;&gt;"",INDEX('Eingabe Meldungen'!$C$2:$J$492,MATCH(B614&amp;C614,'Eingabe Meldungen'!$C$2:$C$492&amp;'Eingabe Meldungen'!$D$2:$D$492,0),8),"")</f>
        <v/>
      </c>
      <c r="J614" s="357"/>
      <c r="K614" s="357"/>
      <c r="L614" s="357"/>
      <c r="M614" s="357"/>
      <c r="N614" s="357"/>
      <c r="O614" s="357"/>
      <c r="P614" s="357"/>
      <c r="Q614" s="357"/>
      <c r="R614" s="357"/>
      <c r="S614" s="357"/>
      <c r="T614" s="357"/>
      <c r="U614" s="357"/>
      <c r="V614" s="357"/>
      <c r="W614" s="357"/>
      <c r="X614" s="357"/>
      <c r="Y614" s="357"/>
      <c r="Z614" s="357"/>
      <c r="AA614" s="357"/>
      <c r="AB614" s="357"/>
      <c r="AC614" s="357"/>
      <c r="AD614" s="357"/>
      <c r="AE614" s="357"/>
      <c r="AF614" s="357"/>
      <c r="AG614" s="357"/>
      <c r="AH614" s="357"/>
      <c r="AI614" s="357"/>
      <c r="AJ614" s="333"/>
      <c r="AK614" s="333"/>
      <c r="AL614" s="333"/>
      <c r="AM614" s="333"/>
    </row>
    <row r="615" spans="2:39" s="316" customFormat="1" ht="26.25" customHeight="1" x14ac:dyDescent="0.2">
      <c r="B615" s="340" t="str">
        <f t="array" ref="B615">IF(ISERROR(INDEX('Eingabe Meldungen'!$C$2:$C$492,LARGE(('Eingabe Meldungen'!$A$2:$A$492=$B$604)*(ROW('Eingabe Meldungen'!$A$2:$A$492)-1),COUNTIF('Eingabe Meldungen'!$A$2:$A$492,$B$604)+1-ROW('Eingabe Meldungen'!A10)))),"",INDEX('Eingabe Meldungen'!$C$2:$C$492,LARGE(('Eingabe Meldungen'!$A$2:$A$492=$B$604)*(ROW('Eingabe Meldungen'!$A$2:$A$492)-1),COUNTIF('Eingabe Meldungen'!$A$2:$A$492,$B$604)+1-ROW('Eingabe Meldungen'!A10))))</f>
        <v/>
      </c>
      <c r="C615" s="316" t="str">
        <f t="array" ref="C615">IF(ISERROR(INDEX('Eingabe Meldungen'!$D$2:$D$492,LARGE(('Eingabe Meldungen'!$A$2:$A$492=$B$604)*(ROW('Eingabe Meldungen'!$A$2:$A$492)-1),COUNTIF('Eingabe Meldungen'!$A$2:$A$492,$B$604)+1-ROW('Eingabe Meldungen'!A10)))),"",INDEX('Eingabe Meldungen'!$D$2:$D$492,LARGE(('Eingabe Meldungen'!$A$2:$A$492=$B$604)*(ROW('Eingabe Meldungen'!$A$2:$A$492)-1),COUNTIF('Eingabe Meldungen'!$A$2:$A$492,$B$604)+1-ROW('Eingabe Meldungen'!A10))))</f>
        <v/>
      </c>
      <c r="D615" s="341" t="str">
        <f t="array" ref="D615">IF(B615&lt;&gt;"",INDEX('Eingabe Meldungen'!$C$2:$H$492,MATCH(B615&amp;C615,'Eingabe Meldungen'!$C$2:$C$492&amp;'Eingabe Meldungen'!$D$2:$D$492,0),6),"")</f>
        <v/>
      </c>
      <c r="E615" s="382" t="str">
        <f t="array" ref="E615">IF(B615&lt;&gt;"",INDEX('Eingabe Meldungen'!$C$2:$H$492,MATCH(B615&amp;C615,'Eingabe Meldungen'!$C$2:$C$492&amp;'Eingabe Meldungen'!$D$2:$D$492,0),4),"")</f>
        <v/>
      </c>
      <c r="F615" s="358"/>
      <c r="G615" s="333" t="e">
        <f t="shared" si="63"/>
        <v>#N/A</v>
      </c>
      <c r="H615" s="343" t="str">
        <f t="array" ref="H615">IF(B615&lt;&gt;"",INDEX('Eingabe Meldungen'!$C$2:$J$492,MATCH(B615&amp;C615,'Eingabe Meldungen'!$C$2:$C$492&amp;'Eingabe Meldungen'!$D$2:$D$492,0),8),"")</f>
        <v/>
      </c>
      <c r="J615" s="357"/>
      <c r="K615" s="357"/>
      <c r="L615" s="357"/>
      <c r="M615" s="357"/>
      <c r="N615" s="357"/>
      <c r="O615" s="357"/>
      <c r="P615" s="357"/>
      <c r="Q615" s="357"/>
      <c r="R615" s="357"/>
      <c r="S615" s="357"/>
      <c r="T615" s="357"/>
      <c r="U615" s="357"/>
      <c r="V615" s="357"/>
      <c r="W615" s="357"/>
      <c r="X615" s="357"/>
      <c r="Y615" s="357"/>
      <c r="Z615" s="357"/>
      <c r="AA615" s="357"/>
      <c r="AB615" s="357"/>
      <c r="AC615" s="357"/>
      <c r="AD615" s="357"/>
      <c r="AE615" s="357"/>
      <c r="AF615" s="357"/>
      <c r="AG615" s="357"/>
      <c r="AH615" s="357"/>
      <c r="AI615" s="357"/>
      <c r="AJ615" s="333"/>
      <c r="AK615" s="333"/>
      <c r="AL615" s="333"/>
      <c r="AM615" s="333"/>
    </row>
    <row r="616" spans="2:39" s="316" customFormat="1" ht="26.25" customHeight="1" x14ac:dyDescent="0.2">
      <c r="D616" s="341"/>
      <c r="E616" s="382"/>
      <c r="F616" s="358"/>
      <c r="G616" s="333"/>
      <c r="H616" s="341"/>
      <c r="J616" s="357"/>
      <c r="K616" s="357"/>
      <c r="L616" s="357"/>
      <c r="M616" s="357"/>
      <c r="N616" s="357"/>
      <c r="O616" s="357"/>
      <c r="P616" s="357"/>
      <c r="Q616" s="357"/>
      <c r="R616" s="357"/>
      <c r="S616" s="357"/>
      <c r="T616" s="357"/>
      <c r="U616" s="357"/>
      <c r="V616" s="357"/>
      <c r="W616" s="357"/>
      <c r="X616" s="357"/>
      <c r="Y616" s="357"/>
      <c r="Z616" s="357"/>
      <c r="AA616" s="357"/>
      <c r="AB616" s="357"/>
      <c r="AC616" s="357"/>
      <c r="AD616" s="357"/>
      <c r="AE616" s="357"/>
      <c r="AF616" s="357"/>
      <c r="AG616" s="357"/>
      <c r="AH616" s="357"/>
      <c r="AI616" s="357"/>
      <c r="AJ616" s="333"/>
      <c r="AK616" s="333"/>
      <c r="AL616" s="333"/>
      <c r="AM616" s="333"/>
    </row>
    <row r="617" spans="2:39" s="316" customFormat="1" ht="26.25" customHeight="1" thickBot="1" x14ac:dyDescent="0.25">
      <c r="D617" s="341"/>
      <c r="E617" s="382"/>
      <c r="F617" s="358"/>
      <c r="G617" s="333"/>
      <c r="H617" s="341"/>
      <c r="J617" s="357"/>
      <c r="K617" s="357"/>
      <c r="L617" s="357"/>
      <c r="M617" s="357"/>
      <c r="N617" s="357"/>
      <c r="O617" s="357"/>
      <c r="P617" s="357"/>
      <c r="Q617" s="357"/>
      <c r="R617" s="357"/>
      <c r="S617" s="357"/>
      <c r="T617" s="357"/>
      <c r="U617" s="357"/>
      <c r="V617" s="357"/>
      <c r="W617" s="357"/>
      <c r="X617" s="357"/>
      <c r="Y617" s="357"/>
      <c r="Z617" s="357"/>
      <c r="AA617" s="357"/>
      <c r="AB617" s="357"/>
      <c r="AC617" s="357"/>
      <c r="AD617" s="357"/>
      <c r="AE617" s="357"/>
      <c r="AF617" s="357"/>
      <c r="AG617" s="357"/>
      <c r="AH617" s="357"/>
      <c r="AI617" s="357"/>
      <c r="AJ617" s="333"/>
      <c r="AK617" s="333"/>
      <c r="AL617" s="333"/>
      <c r="AM617" s="333"/>
    </row>
    <row r="618" spans="2:39" s="316" customFormat="1" ht="26.25" customHeight="1" x14ac:dyDescent="0.2">
      <c r="B618" s="326">
        <f>B604+1</f>
        <v>28</v>
      </c>
      <c r="C618" s="327" t="str">
        <f>VLOOKUP(B618,Ausschreibung!$B$5:$I$35,2,FALSE)</f>
        <v>Ergocup</v>
      </c>
      <c r="D618" s="328">
        <f>VLOOKUP(B618,Ausschreibung!$B$5:$I$35,3,FALSE)</f>
        <v>0.67291666666666639</v>
      </c>
      <c r="E618" s="327" t="str">
        <f>VLOOKUP(B618,Ausschreibung!$B$5:$I$35,4,FALSE)</f>
        <v>Masters A-H, weiblich</v>
      </c>
      <c r="F618" s="329" t="str">
        <f>VLOOKUP(B618,Ausschreibung!$B$5:$I$35,5,FALSE)</f>
        <v>-</v>
      </c>
      <c r="G618" s="330" t="str">
        <f>VLOOKUP(B618,Ausschreibung!$B$5:$I$35,6,FALSE)</f>
        <v>27 und älter</v>
      </c>
      <c r="H618" s="331" t="str">
        <f>VLOOKUP(B618,Ausschreibung!$B$5:$I$35,8,FALSE)</f>
        <v>1000 m</v>
      </c>
      <c r="J618" s="357"/>
      <c r="K618" s="357"/>
      <c r="L618" s="357"/>
      <c r="M618" s="357"/>
      <c r="N618" s="357"/>
      <c r="O618" s="357"/>
      <c r="P618" s="357"/>
      <c r="Q618" s="357"/>
      <c r="R618" s="357"/>
      <c r="S618" s="357"/>
      <c r="T618" s="357"/>
      <c r="U618" s="357"/>
      <c r="V618" s="357"/>
      <c r="W618" s="357"/>
      <c r="X618" s="357"/>
      <c r="Y618" s="357"/>
      <c r="Z618" s="357"/>
      <c r="AA618" s="357"/>
      <c r="AB618" s="357"/>
      <c r="AC618" s="357"/>
      <c r="AD618" s="357"/>
      <c r="AE618" s="357"/>
      <c r="AF618" s="357"/>
      <c r="AG618" s="357"/>
      <c r="AH618" s="357"/>
      <c r="AI618" s="357"/>
      <c r="AJ618" s="333"/>
      <c r="AK618" s="333"/>
      <c r="AL618" s="333"/>
      <c r="AM618" s="333"/>
    </row>
    <row r="619" spans="2:39" s="316" customFormat="1" ht="26.25" customHeight="1" x14ac:dyDescent="0.2">
      <c r="B619" s="334" t="s">
        <v>1</v>
      </c>
      <c r="C619" s="335" t="s">
        <v>2</v>
      </c>
      <c r="D619" s="336" t="s">
        <v>49</v>
      </c>
      <c r="E619" s="381" t="s">
        <v>16</v>
      </c>
      <c r="F619" s="338" t="s">
        <v>50</v>
      </c>
      <c r="G619" s="338" t="s">
        <v>51</v>
      </c>
      <c r="H619" s="339" t="s">
        <v>17</v>
      </c>
      <c r="J619" s="357"/>
      <c r="K619" s="357"/>
      <c r="L619" s="357"/>
      <c r="M619" s="357"/>
      <c r="N619" s="357"/>
      <c r="O619" s="357"/>
      <c r="P619" s="357"/>
      <c r="Q619" s="357"/>
      <c r="R619" s="357"/>
      <c r="S619" s="357"/>
      <c r="T619" s="357"/>
      <c r="U619" s="357"/>
      <c r="V619" s="357"/>
      <c r="W619" s="357"/>
      <c r="X619" s="357"/>
      <c r="Y619" s="357"/>
      <c r="Z619" s="357"/>
      <c r="AA619" s="357"/>
      <c r="AB619" s="357"/>
      <c r="AC619" s="357"/>
      <c r="AD619" s="357"/>
      <c r="AE619" s="357"/>
      <c r="AF619" s="357"/>
      <c r="AG619" s="357"/>
      <c r="AH619" s="357"/>
      <c r="AI619" s="357"/>
      <c r="AJ619" s="333"/>
      <c r="AK619" s="333"/>
      <c r="AL619" s="333"/>
      <c r="AM619" s="333"/>
    </row>
    <row r="620" spans="2:39" s="316" customFormat="1" ht="26.25" customHeight="1" x14ac:dyDescent="0.2">
      <c r="B620" s="340" t="str">
        <f t="array" ref="B620">IF(ISERROR(INDEX('Eingabe Meldungen'!$C$2:$C$492,LARGE(('Eingabe Meldungen'!$A$2:$A$492=$B$618)*(ROW('Eingabe Meldungen'!$A$2:$A$492)-1),COUNTIF('Eingabe Meldungen'!$A$2:$A$492,$B$618)+1-ROW('Eingabe Meldungen'!A1)))),"",INDEX('Eingabe Meldungen'!$C$2:$C$492,LARGE(('Eingabe Meldungen'!$A$2:$A$492=$B$618)*(ROW('Eingabe Meldungen'!$A$2:$A$492)-1),COUNTIF('Eingabe Meldungen'!$A$2:$A$492,$B$618)+1-ROW('Eingabe Meldungen'!A1))))</f>
        <v>Gocke</v>
      </c>
      <c r="C620" s="316" t="str">
        <f t="array" ref="C620">IF(ISERROR(INDEX('Eingabe Meldungen'!$D$2:$D$492,LARGE(('Eingabe Meldungen'!$A$2:$A$492=$B$618)*(ROW('Eingabe Meldungen'!$A$2:$A$492)-1),COUNTIF('Eingabe Meldungen'!$A$2:$A$492,$B$618)+1-ROW('Eingabe Meldungen'!A1)))),"",INDEX('Eingabe Meldungen'!$D$2:$D$492,LARGE(('Eingabe Meldungen'!$A$2:$A$492=$B$618)*(ROW('Eingabe Meldungen'!$A$2:$A$492)-1),COUNTIF('Eingabe Meldungen'!$A$2:$A$492,$B$618)+1-ROW('Eingabe Meldungen'!A1))))</f>
        <v>Eberhard</v>
      </c>
      <c r="D620" s="341">
        <f t="array" ref="D620">IF(B620&lt;&gt;"",INDEX('Eingabe Meldungen'!$C$2:$H$492,MATCH(B620&amp;C620,'Eingabe Meldungen'!$C$2:$C$492&amp;'Eingabe Meldungen'!$D$2:$D$492,0),6),"")</f>
        <v>1940</v>
      </c>
      <c r="E620" s="382" t="str">
        <f t="array" ref="E620">IF(B620&lt;&gt;"",INDEX('Eingabe Meldungen'!$C$2:$H$492,MATCH(B620&amp;C620,'Eingabe Meldungen'!$C$2:$C$492&amp;'Eingabe Meldungen'!$D$2:$D$492,0),4),"")</f>
        <v>J</v>
      </c>
      <c r="F620" s="358" t="s">
        <v>664</v>
      </c>
      <c r="G620" s="333">
        <v>2</v>
      </c>
      <c r="H620" s="343" t="str">
        <f t="array" ref="H620">IF(B620&lt;&gt;"",INDEX('Eingabe Meldungen'!$C$2:$J$492,MATCH(B620&amp;C620,'Eingabe Meldungen'!$C$2:$C$492&amp;'Eingabe Meldungen'!$D$2:$D$492,0),8),"")</f>
        <v>RC Neptun Neckarelz</v>
      </c>
      <c r="J620" s="357"/>
      <c r="K620" s="357"/>
      <c r="L620" s="357"/>
      <c r="M620" s="357"/>
      <c r="N620" s="357">
        <v>1</v>
      </c>
      <c r="O620" s="357"/>
      <c r="P620" s="357"/>
      <c r="Q620" s="357"/>
      <c r="R620" s="357"/>
      <c r="S620" s="357"/>
      <c r="T620" s="357"/>
      <c r="U620" s="357"/>
      <c r="V620" s="357"/>
      <c r="W620" s="357"/>
      <c r="X620" s="357"/>
      <c r="Y620" s="357"/>
      <c r="Z620" s="357"/>
      <c r="AA620" s="357"/>
      <c r="AB620" s="357"/>
      <c r="AC620" s="357"/>
      <c r="AD620" s="357"/>
      <c r="AE620" s="357"/>
      <c r="AF620" s="357"/>
      <c r="AG620" s="357"/>
      <c r="AH620" s="357"/>
      <c r="AI620" s="357"/>
      <c r="AJ620" s="333"/>
      <c r="AK620" s="333"/>
      <c r="AL620" s="333"/>
      <c r="AM620" s="333"/>
    </row>
    <row r="621" spans="2:39" s="316" customFormat="1" ht="26.25" customHeight="1" x14ac:dyDescent="0.2">
      <c r="B621" s="340" t="str">
        <f t="array" ref="B621">IF(ISERROR(INDEX('Eingabe Meldungen'!$C$2:$C$492,LARGE(('Eingabe Meldungen'!$A$2:$A$492=$B$618)*(ROW('Eingabe Meldungen'!$A$2:$A$492)-1),COUNTIF('Eingabe Meldungen'!$A$2:$A$492,$B$618)+1-ROW('Eingabe Meldungen'!A2)))),"",INDEX('Eingabe Meldungen'!$C$2:$C$492,LARGE(('Eingabe Meldungen'!$A$2:$A$492=$B$618)*(ROW('Eingabe Meldungen'!$A$2:$A$492)-1),COUNTIF('Eingabe Meldungen'!$A$2:$A$492,$B$618)+1-ROW('Eingabe Meldungen'!A2))))</f>
        <v>Schmiedeknecht</v>
      </c>
      <c r="C621" s="316" t="str">
        <f t="array" ref="C621">IF(ISERROR(INDEX('Eingabe Meldungen'!$D$2:$D$492,LARGE(('Eingabe Meldungen'!$A$2:$A$492=$B$618)*(ROW('Eingabe Meldungen'!$A$2:$A$492)-1),COUNTIF('Eingabe Meldungen'!$A$2:$A$492,$B$618)+1-ROW('Eingabe Meldungen'!A2)))),"",INDEX('Eingabe Meldungen'!$D$2:$D$492,LARGE(('Eingabe Meldungen'!$A$2:$A$492=$B$618)*(ROW('Eingabe Meldungen'!$A$2:$A$492)-1),COUNTIF('Eingabe Meldungen'!$A$2:$A$492,$B$618)+1-ROW('Eingabe Meldungen'!A2))))</f>
        <v>Helmut</v>
      </c>
      <c r="D621" s="341">
        <f t="array" ref="D621">IF(B621&lt;&gt;"",INDEX('Eingabe Meldungen'!$C$2:$H$492,MATCH(B621&amp;C621,'Eingabe Meldungen'!$C$2:$C$492&amp;'Eingabe Meldungen'!$D$2:$D$492,0),6),"")</f>
        <v>1947</v>
      </c>
      <c r="E621" s="382" t="str">
        <f t="array" ref="E621">IF(B621&lt;&gt;"",INDEX('Eingabe Meldungen'!$C$2:$H$492,MATCH(B621&amp;C621,'Eingabe Meldungen'!$C$2:$C$492&amp;'Eingabe Meldungen'!$D$2:$D$492,0),4),"")</f>
        <v>H</v>
      </c>
      <c r="F621" s="358" t="s">
        <v>660</v>
      </c>
      <c r="G621" s="333">
        <v>1</v>
      </c>
      <c r="H621" s="343" t="str">
        <f t="array" ref="H621">IF(B621&lt;&gt;"",INDEX('Eingabe Meldungen'!$C$2:$J$492,MATCH(B621&amp;C621,'Eingabe Meldungen'!$C$2:$C$492&amp;'Eingabe Meldungen'!$D$2:$D$492,0),8),"")</f>
        <v>Ruderverein Bad Wimpfen</v>
      </c>
      <c r="J621" s="357">
        <v>1</v>
      </c>
      <c r="K621" s="357"/>
      <c r="L621" s="357"/>
      <c r="M621" s="357"/>
      <c r="N621" s="357"/>
      <c r="O621" s="357"/>
      <c r="P621" s="357"/>
      <c r="Q621" s="357"/>
      <c r="R621" s="357"/>
      <c r="S621" s="357"/>
      <c r="T621" s="357"/>
      <c r="U621" s="357"/>
      <c r="V621" s="357"/>
      <c r="W621" s="357"/>
      <c r="X621" s="357"/>
      <c r="Y621" s="357"/>
      <c r="Z621" s="357"/>
      <c r="AA621" s="357"/>
      <c r="AB621" s="357"/>
      <c r="AC621" s="357"/>
      <c r="AD621" s="357"/>
      <c r="AE621" s="357"/>
      <c r="AF621" s="357"/>
      <c r="AG621" s="357"/>
      <c r="AH621" s="357"/>
      <c r="AI621" s="357"/>
      <c r="AJ621" s="333"/>
      <c r="AK621" s="333"/>
      <c r="AL621" s="333"/>
      <c r="AM621" s="333"/>
    </row>
    <row r="622" spans="2:39" s="316" customFormat="1" ht="26.25" customHeight="1" x14ac:dyDescent="0.2">
      <c r="B622" s="340" t="str">
        <f t="array" ref="B622">IF(ISERROR(INDEX('Eingabe Meldungen'!$C$2:$C$492,LARGE(('Eingabe Meldungen'!$A$2:$A$492=$B$618)*(ROW('Eingabe Meldungen'!$A$2:$A$492)-1),COUNTIF('Eingabe Meldungen'!$A$2:$A$492,$B$618)+1-ROW('Eingabe Meldungen'!A3)))),"",INDEX('Eingabe Meldungen'!$C$2:$C$492,LARGE(('Eingabe Meldungen'!$A$2:$A$492=$B$618)*(ROW('Eingabe Meldungen'!$A$2:$A$492)-1),COUNTIF('Eingabe Meldungen'!$A$2:$A$492,$B$618)+1-ROW('Eingabe Meldungen'!A3))))</f>
        <v>Münzing</v>
      </c>
      <c r="C622" s="316" t="str">
        <f t="array" ref="C622">IF(ISERROR(INDEX('Eingabe Meldungen'!$D$2:$D$492,LARGE(('Eingabe Meldungen'!$A$2:$A$492=$B$618)*(ROW('Eingabe Meldungen'!$A$2:$A$492)-1),COUNTIF('Eingabe Meldungen'!$A$2:$A$492,$B$618)+1-ROW('Eingabe Meldungen'!A3)))),"",INDEX('Eingabe Meldungen'!$D$2:$D$492,LARGE(('Eingabe Meldungen'!$A$2:$A$492=$B$618)*(ROW('Eingabe Meldungen'!$A$2:$A$492)-1),COUNTIF('Eingabe Meldungen'!$A$2:$A$492,$B$618)+1-ROW('Eingabe Meldungen'!A3))))</f>
        <v>Bernhard</v>
      </c>
      <c r="D622" s="341">
        <f t="array" ref="D622">IF(B622&lt;&gt;"",INDEX('Eingabe Meldungen'!$C$2:$H$492,MATCH(B622&amp;C622,'Eingabe Meldungen'!$C$2:$C$492&amp;'Eingabe Meldungen'!$D$2:$D$492,0),6),"")</f>
        <v>1960</v>
      </c>
      <c r="E622" s="382" t="str">
        <f t="array" ref="E622">IF(B622&lt;&gt;"",INDEX('Eingabe Meldungen'!$C$2:$H$492,MATCH(B622&amp;C622,'Eingabe Meldungen'!$C$2:$C$492&amp;'Eingabe Meldungen'!$D$2:$D$492,0),4),"")</f>
        <v>F</v>
      </c>
      <c r="F622" s="358" t="s">
        <v>658</v>
      </c>
      <c r="G622" s="333">
        <v>1</v>
      </c>
      <c r="H622" s="343" t="str">
        <f t="array" ref="H622">IF(B622&lt;&gt;"",INDEX('Eingabe Meldungen'!$C$2:$J$492,MATCH(B622&amp;C622,'Eingabe Meldungen'!$C$2:$C$492&amp;'Eingabe Meldungen'!$D$2:$D$492,0),8),"")</f>
        <v>HRG Schwaben</v>
      </c>
      <c r="J622" s="357"/>
      <c r="K622" s="357"/>
      <c r="L622" s="357"/>
      <c r="M622" s="357"/>
      <c r="N622" s="357"/>
      <c r="O622" s="357"/>
      <c r="P622" s="357"/>
      <c r="Q622" s="357">
        <v>1</v>
      </c>
      <c r="R622" s="357"/>
      <c r="S622" s="357"/>
      <c r="T622" s="357"/>
      <c r="U622" s="357"/>
      <c r="V622" s="357"/>
      <c r="W622" s="357"/>
      <c r="X622" s="357"/>
      <c r="Y622" s="357"/>
      <c r="Z622" s="357"/>
      <c r="AA622" s="357"/>
      <c r="AB622" s="357"/>
      <c r="AC622" s="357"/>
      <c r="AD622" s="357"/>
      <c r="AE622" s="357"/>
      <c r="AF622" s="357"/>
      <c r="AG622" s="357"/>
      <c r="AH622" s="357"/>
      <c r="AI622" s="357"/>
      <c r="AJ622" s="333"/>
      <c r="AK622" s="333"/>
      <c r="AL622" s="333"/>
      <c r="AM622" s="333"/>
    </row>
    <row r="623" spans="2:39" s="316" customFormat="1" ht="26.25" customHeight="1" x14ac:dyDescent="0.2">
      <c r="B623" s="340" t="str">
        <f t="array" ref="B623">IF(ISERROR(INDEX('Eingabe Meldungen'!$C$2:$C$492,LARGE(('Eingabe Meldungen'!$A$2:$A$492=$B$618)*(ROW('Eingabe Meldungen'!$A$2:$A$492)-1),COUNTIF('Eingabe Meldungen'!$A$2:$A$492,$B$618)+1-ROW('Eingabe Meldungen'!A4)))),"",INDEX('Eingabe Meldungen'!$C$2:$C$492,LARGE(('Eingabe Meldungen'!$A$2:$A$492=$B$618)*(ROW('Eingabe Meldungen'!$A$2:$A$492)-1),COUNTIF('Eingabe Meldungen'!$A$2:$A$492,$B$618)+1-ROW('Eingabe Meldungen'!A4))))</f>
        <v>Kunz</v>
      </c>
      <c r="C623" s="316" t="str">
        <f t="array" ref="C623">IF(ISERROR(INDEX('Eingabe Meldungen'!$D$2:$D$492,LARGE(('Eingabe Meldungen'!$A$2:$A$492=$B$618)*(ROW('Eingabe Meldungen'!$A$2:$A$492)-1),COUNTIF('Eingabe Meldungen'!$A$2:$A$492,$B$618)+1-ROW('Eingabe Meldungen'!A4)))),"",INDEX('Eingabe Meldungen'!$D$2:$D$492,LARGE(('Eingabe Meldungen'!$A$2:$A$492=$B$618)*(ROW('Eingabe Meldungen'!$A$2:$A$492)-1),COUNTIF('Eingabe Meldungen'!$A$2:$A$492,$B$618)+1-ROW('Eingabe Meldungen'!A4))))</f>
        <v>Gert</v>
      </c>
      <c r="D623" s="341">
        <f t="array" ref="D623">IF(B623&lt;&gt;"",INDEX('Eingabe Meldungen'!$C$2:$H$492,MATCH(B623&amp;C623,'Eingabe Meldungen'!$C$2:$C$492&amp;'Eingabe Meldungen'!$D$2:$D$492,0),6),"")</f>
        <v>1940</v>
      </c>
      <c r="E623" s="382" t="str">
        <f t="array" ref="E623">IF(B623&lt;&gt;"",INDEX('Eingabe Meldungen'!$C$2:$H$492,MATCH(B623&amp;C623,'Eingabe Meldungen'!$C$2:$C$492&amp;'Eingabe Meldungen'!$D$2:$D$492,0),4),"")</f>
        <v>J</v>
      </c>
      <c r="F623" s="358" t="s">
        <v>659</v>
      </c>
      <c r="G623" s="333">
        <v>1</v>
      </c>
      <c r="H623" s="343" t="str">
        <f t="array" ref="H623">IF(B623&lt;&gt;"",INDEX('Eingabe Meldungen'!$C$2:$J$492,MATCH(B623&amp;C623,'Eingabe Meldungen'!$C$2:$C$492&amp;'Eingabe Meldungen'!$D$2:$D$492,0),8),"")</f>
        <v>USV TU Dresden</v>
      </c>
      <c r="J623" s="357"/>
      <c r="K623" s="357"/>
      <c r="L623" s="357"/>
      <c r="M623" s="357"/>
      <c r="N623" s="357"/>
      <c r="O623" s="357"/>
      <c r="P623" s="357"/>
      <c r="Q623" s="357"/>
      <c r="R623" s="357"/>
      <c r="S623" s="357"/>
      <c r="T623" s="357"/>
      <c r="U623" s="357"/>
      <c r="V623" s="357"/>
      <c r="W623" s="357"/>
      <c r="X623" s="357"/>
      <c r="Y623" s="357"/>
      <c r="Z623" s="357"/>
      <c r="AA623" s="357"/>
      <c r="AB623" s="357"/>
      <c r="AC623" s="357"/>
      <c r="AD623" s="357"/>
      <c r="AE623" s="357"/>
      <c r="AF623" s="357"/>
      <c r="AG623" s="357"/>
      <c r="AH623" s="357"/>
      <c r="AI623" s="357"/>
      <c r="AJ623" s="333"/>
      <c r="AK623" s="333"/>
      <c r="AL623" s="333"/>
      <c r="AM623" s="333"/>
    </row>
    <row r="624" spans="2:39" s="316" customFormat="1" ht="26.25" customHeight="1" x14ac:dyDescent="0.2">
      <c r="B624" s="340" t="str">
        <f t="array" ref="B624">IF(ISERROR(INDEX('Eingabe Meldungen'!$C$2:$C$492,LARGE(('Eingabe Meldungen'!$A$2:$A$492=$B$618)*(ROW('Eingabe Meldungen'!$A$2:$A$492)-1),COUNTIF('Eingabe Meldungen'!$A$2:$A$492,$B$618)+1-ROW('Eingabe Meldungen'!A5)))),"",INDEX('Eingabe Meldungen'!$C$2:$C$492,LARGE(('Eingabe Meldungen'!$A$2:$A$492=$B$618)*(ROW('Eingabe Meldungen'!$A$2:$A$492)-1),COUNTIF('Eingabe Meldungen'!$A$2:$A$492,$B$618)+1-ROW('Eingabe Meldungen'!A5))))</f>
        <v>Öynhausen</v>
      </c>
      <c r="C624" s="316" t="str">
        <f t="array" ref="C624">IF(ISERROR(INDEX('Eingabe Meldungen'!$D$2:$D$492,LARGE(('Eingabe Meldungen'!$A$2:$A$492=$B$618)*(ROW('Eingabe Meldungen'!$A$2:$A$492)-1),COUNTIF('Eingabe Meldungen'!$A$2:$A$492,$B$618)+1-ROW('Eingabe Meldungen'!A5)))),"",INDEX('Eingabe Meldungen'!$D$2:$D$492,LARGE(('Eingabe Meldungen'!$A$2:$A$492=$B$618)*(ROW('Eingabe Meldungen'!$A$2:$A$492)-1),COUNTIF('Eingabe Meldungen'!$A$2:$A$492,$B$618)+1-ROW('Eingabe Meldungen'!A5))))</f>
        <v>Jörg</v>
      </c>
      <c r="D624" s="341">
        <f t="array" ref="D624">IF(B624&lt;&gt;"",INDEX('Eingabe Meldungen'!$C$2:$H$492,MATCH(B624&amp;C624,'Eingabe Meldungen'!$C$2:$C$492&amp;'Eingabe Meldungen'!$D$2:$D$492,0),6),"")</f>
        <v>1967</v>
      </c>
      <c r="E624" s="382" t="str">
        <f t="array" ref="E624">IF(B624&lt;&gt;"",INDEX('Eingabe Meldungen'!$C$2:$H$492,MATCH(B624&amp;C624,'Eingabe Meldungen'!$C$2:$C$492&amp;'Eingabe Meldungen'!$D$2:$D$492,0),4),"")</f>
        <v>D</v>
      </c>
      <c r="F624" s="358" t="s">
        <v>665</v>
      </c>
      <c r="G624" s="333">
        <v>2</v>
      </c>
      <c r="H624" s="343" t="str">
        <f t="array" ref="H624">IF(B624&lt;&gt;"",INDEX('Eingabe Meldungen'!$C$2:$J$492,MATCH(B624&amp;C624,'Eingabe Meldungen'!$C$2:$C$492&amp;'Eingabe Meldungen'!$D$2:$D$492,0),8),"")</f>
        <v>HRG Schwaben</v>
      </c>
      <c r="J624" s="357"/>
      <c r="K624" s="357"/>
      <c r="L624" s="357"/>
      <c r="M624" s="357"/>
      <c r="N624" s="357"/>
      <c r="O624" s="357"/>
      <c r="P624" s="357"/>
      <c r="Q624" s="357">
        <v>1</v>
      </c>
      <c r="R624" s="357"/>
      <c r="S624" s="357"/>
      <c r="T624" s="357"/>
      <c r="U624" s="357"/>
      <c r="V624" s="357"/>
      <c r="W624" s="357"/>
      <c r="X624" s="357"/>
      <c r="Y624" s="357"/>
      <c r="Z624" s="357"/>
      <c r="AA624" s="357"/>
      <c r="AB624" s="357"/>
      <c r="AC624" s="357"/>
      <c r="AD624" s="357"/>
      <c r="AE624" s="357"/>
      <c r="AF624" s="357"/>
      <c r="AG624" s="357"/>
      <c r="AH624" s="357"/>
      <c r="AI624" s="357"/>
      <c r="AJ624" s="333"/>
      <c r="AK624" s="333"/>
      <c r="AL624" s="333"/>
      <c r="AM624" s="333"/>
    </row>
    <row r="625" spans="2:39" s="316" customFormat="1" ht="26.25" customHeight="1" x14ac:dyDescent="0.2">
      <c r="B625" s="340" t="str">
        <f t="array" ref="B625">IF(ISERROR(INDEX('Eingabe Meldungen'!$C$2:$C$492,LARGE(('Eingabe Meldungen'!$A$2:$A$492=$B$618)*(ROW('Eingabe Meldungen'!$A$2:$A$492)-1),COUNTIF('Eingabe Meldungen'!$A$2:$A$492,$B$618)+1-ROW('Eingabe Meldungen'!A6)))),"",INDEX('Eingabe Meldungen'!$C$2:$C$492,LARGE(('Eingabe Meldungen'!$A$2:$A$492=$B$618)*(ROW('Eingabe Meldungen'!$A$2:$A$492)-1),COUNTIF('Eingabe Meldungen'!$A$2:$A$492,$B$618)+1-ROW('Eingabe Meldungen'!A6))))</f>
        <v>Heszler</v>
      </c>
      <c r="C625" s="316" t="str">
        <f t="array" ref="C625">IF(ISERROR(INDEX('Eingabe Meldungen'!$D$2:$D$492,LARGE(('Eingabe Meldungen'!$A$2:$A$492=$B$618)*(ROW('Eingabe Meldungen'!$A$2:$A$492)-1),COUNTIF('Eingabe Meldungen'!$A$2:$A$492,$B$618)+1-ROW('Eingabe Meldungen'!A6)))),"",INDEX('Eingabe Meldungen'!$D$2:$D$492,LARGE(('Eingabe Meldungen'!$A$2:$A$492=$B$618)*(ROW('Eingabe Meldungen'!$A$2:$A$492)-1),COUNTIF('Eingabe Meldungen'!$A$2:$A$492,$B$618)+1-ROW('Eingabe Meldungen'!A6))))</f>
        <v>Peter</v>
      </c>
      <c r="D625" s="341">
        <f t="array" ref="D625">IF(B625&lt;&gt;"",INDEX('Eingabe Meldungen'!$C$2:$H$492,MATCH(B625&amp;C625,'Eingabe Meldungen'!$C$2:$C$492&amp;'Eingabe Meldungen'!$D$2:$D$492,0),6),"")</f>
        <v>1967</v>
      </c>
      <c r="E625" s="382" t="str">
        <f t="array" ref="E625">IF(B625&lt;&gt;"",INDEX('Eingabe Meldungen'!$C$2:$H$492,MATCH(B625&amp;C625,'Eingabe Meldungen'!$C$2:$C$492&amp;'Eingabe Meldungen'!$D$2:$D$492,0),4),"")</f>
        <v>D</v>
      </c>
      <c r="F625" s="358" t="s">
        <v>661</v>
      </c>
      <c r="G625" s="333">
        <v>1</v>
      </c>
      <c r="H625" s="343" t="str">
        <f t="array" ref="H625">IF(B625&lt;&gt;"",INDEX('Eingabe Meldungen'!$C$2:$J$492,MATCH(B625&amp;C625,'Eingabe Meldungen'!$C$2:$C$492&amp;'Eingabe Meldungen'!$D$2:$D$492,0),8),"")</f>
        <v>RC Nürtingen</v>
      </c>
      <c r="J625" s="357"/>
      <c r="K625" s="357"/>
      <c r="L625" s="357"/>
      <c r="M625" s="357">
        <v>3</v>
      </c>
      <c r="N625" s="357"/>
      <c r="O625" s="357"/>
      <c r="P625" s="357"/>
      <c r="Q625" s="357"/>
      <c r="R625" s="357"/>
      <c r="S625" s="357"/>
      <c r="T625" s="357"/>
      <c r="U625" s="357"/>
      <c r="V625" s="357"/>
      <c r="W625" s="357"/>
      <c r="X625" s="357"/>
      <c r="Y625" s="357"/>
      <c r="Z625" s="357"/>
      <c r="AA625" s="357"/>
      <c r="AB625" s="357"/>
      <c r="AC625" s="357"/>
      <c r="AD625" s="357"/>
      <c r="AE625" s="357"/>
      <c r="AF625" s="357"/>
      <c r="AG625" s="357"/>
      <c r="AH625" s="357"/>
      <c r="AI625" s="357"/>
      <c r="AJ625" s="333"/>
      <c r="AK625" s="333"/>
      <c r="AL625" s="333"/>
      <c r="AM625" s="333"/>
    </row>
    <row r="626" spans="2:39" s="316" customFormat="1" ht="26.25" customHeight="1" x14ac:dyDescent="0.2">
      <c r="B626" s="340" t="str">
        <f t="array" ref="B626">IF(ISERROR(INDEX('Eingabe Meldungen'!$C$2:$C$492,LARGE(('Eingabe Meldungen'!$A$2:$A$492=$B$618)*(ROW('Eingabe Meldungen'!$A$2:$A$492)-1),COUNTIF('Eingabe Meldungen'!$A$2:$A$492,$B$618)+1-ROW('Eingabe Meldungen'!A7)))),"",INDEX('Eingabe Meldungen'!$C$2:$C$492,LARGE(('Eingabe Meldungen'!$A$2:$A$492=$B$618)*(ROW('Eingabe Meldungen'!$A$2:$A$492)-1),COUNTIF('Eingabe Meldungen'!$A$2:$A$492,$B$618)+1-ROW('Eingabe Meldungen'!A7))))</f>
        <v>Arnold</v>
      </c>
      <c r="C626" s="316" t="str">
        <f t="array" ref="C626">IF(ISERROR(INDEX('Eingabe Meldungen'!$D$2:$D$492,LARGE(('Eingabe Meldungen'!$A$2:$A$492=$B$618)*(ROW('Eingabe Meldungen'!$A$2:$A$492)-1),COUNTIF('Eingabe Meldungen'!$A$2:$A$492,$B$618)+1-ROW('Eingabe Meldungen'!A7)))),"",INDEX('Eingabe Meldungen'!$D$2:$D$492,LARGE(('Eingabe Meldungen'!$A$2:$A$492=$B$618)*(ROW('Eingabe Meldungen'!$A$2:$A$492)-1),COUNTIF('Eingabe Meldungen'!$A$2:$A$492,$B$618)+1-ROW('Eingabe Meldungen'!A7))))</f>
        <v>Frank</v>
      </c>
      <c r="D626" s="341">
        <f t="array" ref="D626">IF(B626&lt;&gt;"",INDEX('Eingabe Meldungen'!$C$2:$H$492,MATCH(B626&amp;C626,'Eingabe Meldungen'!$C$2:$C$492&amp;'Eingabe Meldungen'!$D$2:$D$492,0),6),"")</f>
        <v>1973</v>
      </c>
      <c r="E626" s="382" t="str">
        <f t="array" ref="E626">IF(B626&lt;&gt;"",INDEX('Eingabe Meldungen'!$C$2:$H$492,MATCH(B626&amp;C626,'Eingabe Meldungen'!$C$2:$C$492&amp;'Eingabe Meldungen'!$D$2:$D$492,0),4),"")</f>
        <v>C</v>
      </c>
      <c r="F626" s="358" t="s">
        <v>666</v>
      </c>
      <c r="G626" s="333">
        <v>2</v>
      </c>
      <c r="H626" s="343" t="str">
        <f t="array" ref="H626">IF(B626&lt;&gt;"",INDEX('Eingabe Meldungen'!$C$2:$J$492,MATCH(B626&amp;C626,'Eingabe Meldungen'!$C$2:$C$492&amp;'Eingabe Meldungen'!$D$2:$D$492,0),8),"")</f>
        <v>Hanauer Rudergesellschaft 1879</v>
      </c>
      <c r="J626" s="357"/>
      <c r="K626" s="357"/>
      <c r="L626" s="357"/>
      <c r="M626" s="357"/>
      <c r="N626" s="357"/>
      <c r="O626" s="357"/>
      <c r="P626" s="357"/>
      <c r="Q626" s="357"/>
      <c r="R626" s="357"/>
      <c r="S626" s="357"/>
      <c r="T626" s="357"/>
      <c r="U626" s="357"/>
      <c r="V626" s="357"/>
      <c r="W626" s="357"/>
      <c r="X626" s="357"/>
      <c r="Y626" s="357"/>
      <c r="Z626" s="357"/>
      <c r="AA626" s="357"/>
      <c r="AB626" s="357"/>
      <c r="AC626" s="357"/>
      <c r="AD626" s="357"/>
      <c r="AE626" s="357"/>
      <c r="AF626" s="357"/>
      <c r="AG626" s="357"/>
      <c r="AH626" s="357"/>
      <c r="AI626" s="357"/>
      <c r="AJ626" s="333"/>
      <c r="AK626" s="333"/>
      <c r="AL626" s="333"/>
      <c r="AM626" s="333"/>
    </row>
    <row r="627" spans="2:39" s="316" customFormat="1" ht="26.25" customHeight="1" x14ac:dyDescent="0.2">
      <c r="B627" s="340" t="str">
        <f t="array" ref="B627">IF(ISERROR(INDEX('Eingabe Meldungen'!$C$2:$C$492,LARGE(('Eingabe Meldungen'!$A$2:$A$492=$B$618)*(ROW('Eingabe Meldungen'!$A$2:$A$492)-1),COUNTIF('Eingabe Meldungen'!$A$2:$A$492,$B$618)+1-ROW('Eingabe Meldungen'!A8)))),"",INDEX('Eingabe Meldungen'!$C$2:$C$492,LARGE(('Eingabe Meldungen'!$A$2:$A$492=$B$618)*(ROW('Eingabe Meldungen'!$A$2:$A$492)-1),COUNTIF('Eingabe Meldungen'!$A$2:$A$492,$B$618)+1-ROW('Eingabe Meldungen'!A8))))</f>
        <v>Rebmann</v>
      </c>
      <c r="C627" s="316" t="str">
        <f t="array" ref="C627">IF(ISERROR(INDEX('Eingabe Meldungen'!$D$2:$D$492,LARGE(('Eingabe Meldungen'!$A$2:$A$492=$B$618)*(ROW('Eingabe Meldungen'!$A$2:$A$492)-1),COUNTIF('Eingabe Meldungen'!$A$2:$A$492,$B$618)+1-ROW('Eingabe Meldungen'!A8)))),"",INDEX('Eingabe Meldungen'!$D$2:$D$492,LARGE(('Eingabe Meldungen'!$A$2:$A$492=$B$618)*(ROW('Eingabe Meldungen'!$A$2:$A$492)-1),COUNTIF('Eingabe Meldungen'!$A$2:$A$492,$B$618)+1-ROW('Eingabe Meldungen'!A8))))</f>
        <v>Sebastian</v>
      </c>
      <c r="D627" s="341">
        <f t="array" ref="D627">IF(B627&lt;&gt;"",INDEX('Eingabe Meldungen'!$C$2:$H$492,MATCH(B627&amp;C627,'Eingabe Meldungen'!$C$2:$C$492&amp;'Eingabe Meldungen'!$D$2:$D$492,0),6),"")</f>
        <v>1976</v>
      </c>
      <c r="E627" s="382" t="str">
        <f t="array" ref="E627">IF(B627&lt;&gt;"",INDEX('Eingabe Meldungen'!$C$2:$H$492,MATCH(B627&amp;C627,'Eingabe Meldungen'!$C$2:$C$492&amp;'Eingabe Meldungen'!$D$2:$D$492,0),4),"")</f>
        <v>C</v>
      </c>
      <c r="F627" s="358" t="s">
        <v>662</v>
      </c>
      <c r="G627" s="333">
        <v>1</v>
      </c>
      <c r="H627" s="343" t="str">
        <f t="array" ref="H627">IF(B627&lt;&gt;"",INDEX('Eingabe Meldungen'!$C$2:$J$492,MATCH(B627&amp;C627,'Eingabe Meldungen'!$C$2:$C$492&amp;'Eingabe Meldungen'!$D$2:$D$492,0),8),"")</f>
        <v>Marbacher Ruderverein</v>
      </c>
      <c r="J627" s="357"/>
      <c r="K627" s="357"/>
      <c r="L627" s="357"/>
      <c r="M627" s="357"/>
      <c r="N627" s="357"/>
      <c r="O627" s="357">
        <v>3</v>
      </c>
      <c r="P627" s="357"/>
      <c r="Q627" s="357"/>
      <c r="R627" s="357"/>
      <c r="S627" s="357"/>
      <c r="T627" s="357"/>
      <c r="U627" s="357"/>
      <c r="V627" s="357"/>
      <c r="W627" s="357"/>
      <c r="X627" s="357"/>
      <c r="Y627" s="357"/>
      <c r="Z627" s="357"/>
      <c r="AA627" s="357"/>
      <c r="AB627" s="357"/>
      <c r="AC627" s="357"/>
      <c r="AD627" s="357"/>
      <c r="AE627" s="357"/>
      <c r="AF627" s="357"/>
      <c r="AG627" s="357"/>
      <c r="AH627" s="357"/>
      <c r="AI627" s="357"/>
      <c r="AJ627" s="333"/>
      <c r="AK627" s="333"/>
      <c r="AL627" s="333"/>
      <c r="AM627" s="333"/>
    </row>
    <row r="628" spans="2:39" s="316" customFormat="1" ht="26.25" customHeight="1" x14ac:dyDescent="0.2">
      <c r="B628" s="340" t="str">
        <f t="array" ref="B628">IF(ISERROR(INDEX('Eingabe Meldungen'!$C$2:$C$492,LARGE(('Eingabe Meldungen'!$A$2:$A$492=$B$618)*(ROW('Eingabe Meldungen'!$A$2:$A$492)-1),COUNTIF('Eingabe Meldungen'!$A$2:$A$492,$B$618)+1-ROW('Eingabe Meldungen'!A9)))),"",INDEX('Eingabe Meldungen'!$C$2:$C$492,LARGE(('Eingabe Meldungen'!$A$2:$A$492=$B$618)*(ROW('Eingabe Meldungen'!$A$2:$A$492)-1),COUNTIF('Eingabe Meldungen'!$A$2:$A$492,$B$618)+1-ROW('Eingabe Meldungen'!A9))))</f>
        <v>Aydin</v>
      </c>
      <c r="C628" s="316" t="str">
        <f t="array" ref="C628">IF(ISERROR(INDEX('Eingabe Meldungen'!$D$2:$D$492,LARGE(('Eingabe Meldungen'!$A$2:$A$492=$B$618)*(ROW('Eingabe Meldungen'!$A$2:$A$492)-1),COUNTIF('Eingabe Meldungen'!$A$2:$A$492,$B$618)+1-ROW('Eingabe Meldungen'!A9)))),"",INDEX('Eingabe Meldungen'!$D$2:$D$492,LARGE(('Eingabe Meldungen'!$A$2:$A$492=$B$618)*(ROW('Eingabe Meldungen'!$A$2:$A$492)-1),COUNTIF('Eingabe Meldungen'!$A$2:$A$492,$B$618)+1-ROW('Eingabe Meldungen'!A9))))</f>
        <v>Semih</v>
      </c>
      <c r="D628" s="341">
        <f t="array" ref="D628">IF(B628&lt;&gt;"",INDEX('Eingabe Meldungen'!$C$2:$H$492,MATCH(B628&amp;C628,'Eingabe Meldungen'!$C$2:$C$492&amp;'Eingabe Meldungen'!$D$2:$D$492,0),6),"")</f>
        <v>1989</v>
      </c>
      <c r="E628" s="382" t="str">
        <f t="array" ref="E628">IF(B628&lt;&gt;"",INDEX('Eingabe Meldungen'!$C$2:$H$492,MATCH(B628&amp;C628,'Eingabe Meldungen'!$C$2:$C$492&amp;'Eingabe Meldungen'!$D$2:$D$492,0),4),"")</f>
        <v>A</v>
      </c>
      <c r="F628" s="358" t="s">
        <v>663</v>
      </c>
      <c r="G628" s="333">
        <v>1</v>
      </c>
      <c r="H628" s="343" t="str">
        <f t="array" ref="H628">IF(B628&lt;&gt;"",INDEX('Eingabe Meldungen'!$C$2:$J$492,MATCH(B628&amp;C628,'Eingabe Meldungen'!$C$2:$C$492&amp;'Eingabe Meldungen'!$D$2:$D$492,0),8),"")</f>
        <v>RC Nürtingen</v>
      </c>
      <c r="J628" s="357"/>
      <c r="K628" s="357"/>
      <c r="L628" s="357"/>
      <c r="M628" s="357">
        <v>1</v>
      </c>
      <c r="N628" s="357"/>
      <c r="O628" s="357"/>
      <c r="P628" s="357"/>
      <c r="Q628" s="357"/>
      <c r="R628" s="357"/>
      <c r="S628" s="357"/>
      <c r="T628" s="357"/>
      <c r="U628" s="357"/>
      <c r="V628" s="357"/>
      <c r="W628" s="357"/>
      <c r="X628" s="357"/>
      <c r="Y628" s="357"/>
      <c r="Z628" s="357"/>
      <c r="AA628" s="357"/>
      <c r="AB628" s="357"/>
      <c r="AC628" s="357"/>
      <c r="AD628" s="357"/>
      <c r="AE628" s="357"/>
      <c r="AF628" s="357"/>
      <c r="AG628" s="357"/>
      <c r="AH628" s="357"/>
      <c r="AI628" s="357"/>
      <c r="AJ628" s="333"/>
      <c r="AK628" s="333"/>
      <c r="AL628" s="333"/>
      <c r="AM628" s="333"/>
    </row>
    <row r="629" spans="2:39" s="316" customFormat="1" ht="26.25" customHeight="1" x14ac:dyDescent="0.2">
      <c r="B629" s="340" t="str">
        <f t="array" ref="B629">IF(ISERROR(INDEX('Eingabe Meldungen'!$C$2:$C$492,LARGE(('Eingabe Meldungen'!$A$2:$A$492=$B$618)*(ROW('Eingabe Meldungen'!$A$2:$A$492)-1),COUNTIF('Eingabe Meldungen'!$A$2:$A$492,$B$618)+1-ROW('Eingabe Meldungen'!A10)))),"",INDEX('Eingabe Meldungen'!$C$2:$C$492,LARGE(('Eingabe Meldungen'!$A$2:$A$492=$B$618)*(ROW('Eingabe Meldungen'!$A$2:$A$492)-1),COUNTIF('Eingabe Meldungen'!$A$2:$A$492,$B$618)+1-ROW('Eingabe Meldungen'!A10))))</f>
        <v/>
      </c>
      <c r="C629" s="316" t="str">
        <f t="array" ref="C629">IF(ISERROR(INDEX('Eingabe Meldungen'!$D$2:$D$492,LARGE(('Eingabe Meldungen'!$A$2:$A$492=$B$618)*(ROW('Eingabe Meldungen'!$A$2:$A$492)-1),COUNTIF('Eingabe Meldungen'!$A$2:$A$492,$B$618)+1-ROW('Eingabe Meldungen'!A10)))),"",INDEX('Eingabe Meldungen'!$D$2:$D$492,LARGE(('Eingabe Meldungen'!$A$2:$A$492=$B$618)*(ROW('Eingabe Meldungen'!$A$2:$A$492)-1),COUNTIF('Eingabe Meldungen'!$A$2:$A$492,$B$618)+1-ROW('Eingabe Meldungen'!A10))))</f>
        <v/>
      </c>
      <c r="D629" s="341" t="str">
        <f t="array" ref="D629">IF(B629&lt;&gt;"",INDEX('Eingabe Meldungen'!$C$2:$H$492,MATCH(B629&amp;C629,'Eingabe Meldungen'!$C$2:$C$492&amp;'Eingabe Meldungen'!$D$2:$D$492,0),6),"")</f>
        <v/>
      </c>
      <c r="E629" s="382" t="str">
        <f t="array" ref="E629">IF(B629&lt;&gt;"",INDEX('Eingabe Meldungen'!$C$2:$H$492,MATCH(B629&amp;C629,'Eingabe Meldungen'!$C$2:$C$492&amp;'Eingabe Meldungen'!$D$2:$D$492,0),4),"")</f>
        <v/>
      </c>
      <c r="F629" s="358"/>
      <c r="G629" s="333"/>
      <c r="H629" s="343" t="str">
        <f t="array" ref="H629">IF(B629&lt;&gt;"",INDEX('Eingabe Meldungen'!$C$2:$J$492,MATCH(B629&amp;C629,'Eingabe Meldungen'!$C$2:$C$492&amp;'Eingabe Meldungen'!$D$2:$D$492,0),8),"")</f>
        <v/>
      </c>
      <c r="J629" s="357"/>
      <c r="K629" s="357"/>
      <c r="L629" s="357"/>
      <c r="M629" s="357"/>
      <c r="N629" s="357"/>
      <c r="O629" s="357"/>
      <c r="P629" s="357"/>
      <c r="Q629" s="357"/>
      <c r="R629" s="357"/>
      <c r="S629" s="357"/>
      <c r="T629" s="357"/>
      <c r="U629" s="357"/>
      <c r="V629" s="357"/>
      <c r="W629" s="357"/>
      <c r="X629" s="357"/>
      <c r="Y629" s="357"/>
      <c r="Z629" s="357"/>
      <c r="AA629" s="357"/>
      <c r="AB629" s="357"/>
      <c r="AC629" s="357"/>
      <c r="AD629" s="357"/>
      <c r="AE629" s="357"/>
      <c r="AF629" s="357"/>
      <c r="AG629" s="357"/>
      <c r="AH629" s="357"/>
      <c r="AI629" s="357"/>
      <c r="AJ629" s="333"/>
      <c r="AK629" s="333"/>
      <c r="AL629" s="333"/>
      <c r="AM629" s="333"/>
    </row>
    <row r="630" spans="2:39" s="316" customFormat="1" ht="26.25" customHeight="1" thickBot="1" x14ac:dyDescent="0.25">
      <c r="E630" s="352"/>
      <c r="F630" s="333"/>
      <c r="G630" s="333"/>
      <c r="J630" s="357"/>
      <c r="K630" s="357"/>
      <c r="L630" s="357"/>
      <c r="M630" s="357"/>
      <c r="N630" s="357"/>
      <c r="O630" s="357"/>
      <c r="P630" s="357"/>
      <c r="Q630" s="357"/>
      <c r="R630" s="357"/>
      <c r="S630" s="357"/>
      <c r="T630" s="357"/>
      <c r="U630" s="357"/>
      <c r="V630" s="357"/>
      <c r="W630" s="357"/>
      <c r="X630" s="357"/>
      <c r="Y630" s="357"/>
      <c r="Z630" s="357"/>
      <c r="AA630" s="357"/>
      <c r="AB630" s="357"/>
      <c r="AC630" s="357"/>
      <c r="AD630" s="357"/>
      <c r="AE630" s="357"/>
      <c r="AF630" s="357"/>
      <c r="AG630" s="357"/>
      <c r="AH630" s="357"/>
      <c r="AI630" s="357"/>
      <c r="AJ630" s="333"/>
      <c r="AK630" s="333"/>
      <c r="AL630" s="333"/>
      <c r="AM630" s="333"/>
    </row>
    <row r="631" spans="2:39" s="316" customFormat="1" ht="26.25" customHeight="1" x14ac:dyDescent="0.2">
      <c r="B631" s="326">
        <v>29</v>
      </c>
      <c r="C631" s="327" t="str">
        <f>VLOOKUP(B631,Ausschreibung!$B$5:$I$35,2,FALSE)</f>
        <v>Ergocup</v>
      </c>
      <c r="D631" s="328">
        <f>VLOOKUP(B631,Ausschreibung!$B$5:$I$35,3,FALSE)</f>
        <v>0.67986111111111081</v>
      </c>
      <c r="E631" s="327" t="str">
        <f>VLOOKUP(B631,Ausschreibung!$B$5:$I$35,4,FALSE)</f>
        <v>Mannschaft offen - 2 Personen</v>
      </c>
      <c r="F631" s="329" t="str">
        <f>VLOOKUP(B631,Ausschreibung!$B$5:$I$35,5,FALSE)</f>
        <v>-</v>
      </c>
      <c r="G631" s="330" t="str">
        <f>VLOOKUP(B631,Ausschreibung!$B$5:$I$35,6,FALSE)</f>
        <v>offen</v>
      </c>
      <c r="H631" s="331" t="str">
        <f>VLOOKUP(B631,Ausschreibung!$B$5:$I$35,8,FALSE)</f>
        <v>5000 m</v>
      </c>
      <c r="J631" s="332"/>
      <c r="K631" s="332"/>
      <c r="L631" s="332"/>
      <c r="M631" s="332"/>
      <c r="N631" s="332"/>
      <c r="O631" s="332"/>
      <c r="P631" s="332"/>
      <c r="Q631" s="332"/>
      <c r="R631" s="332"/>
      <c r="S631" s="332"/>
      <c r="T631" s="332"/>
      <c r="U631" s="332"/>
      <c r="V631" s="332"/>
      <c r="W631" s="332"/>
      <c r="X631" s="332"/>
      <c r="Y631" s="332"/>
      <c r="Z631" s="332"/>
      <c r="AA631" s="332"/>
      <c r="AB631" s="332"/>
      <c r="AC631" s="332"/>
      <c r="AD631" s="332"/>
      <c r="AE631" s="332"/>
      <c r="AF631" s="332"/>
      <c r="AG631" s="332"/>
      <c r="AH631" s="332"/>
      <c r="AI631" s="332"/>
      <c r="AJ631" s="333"/>
      <c r="AK631" s="333"/>
      <c r="AL631" s="333"/>
      <c r="AM631" s="333"/>
    </row>
    <row r="632" spans="2:39" s="316" customFormat="1" ht="26.25" customHeight="1" thickBot="1" x14ac:dyDescent="0.25">
      <c r="B632" s="334" t="s">
        <v>1</v>
      </c>
      <c r="C632" s="335" t="s">
        <v>2</v>
      </c>
      <c r="D632" s="336" t="s">
        <v>49</v>
      </c>
      <c r="E632" s="381" t="s">
        <v>16</v>
      </c>
      <c r="F632" s="337" t="s">
        <v>50</v>
      </c>
      <c r="G632" s="338" t="s">
        <v>51</v>
      </c>
      <c r="H632" s="339" t="s">
        <v>17</v>
      </c>
      <c r="J632" s="332"/>
      <c r="K632" s="332"/>
      <c r="L632" s="332"/>
      <c r="M632" s="332"/>
      <c r="N632" s="332"/>
      <c r="O632" s="332"/>
      <c r="P632" s="332"/>
      <c r="Q632" s="332"/>
      <c r="R632" s="332"/>
      <c r="S632" s="332"/>
      <c r="T632" s="332"/>
      <c r="U632" s="332"/>
      <c r="V632" s="332"/>
      <c r="W632" s="332"/>
      <c r="X632" s="332"/>
      <c r="Y632" s="332"/>
      <c r="Z632" s="332"/>
      <c r="AA632" s="332"/>
      <c r="AB632" s="332"/>
      <c r="AC632" s="332"/>
      <c r="AD632" s="332"/>
      <c r="AE632" s="332"/>
      <c r="AF632" s="332"/>
      <c r="AG632" s="332"/>
      <c r="AH632" s="332"/>
      <c r="AI632" s="332"/>
      <c r="AJ632" s="333"/>
      <c r="AK632" s="333"/>
      <c r="AL632" s="333"/>
      <c r="AM632" s="333"/>
    </row>
    <row r="633" spans="2:39" s="316" customFormat="1" ht="26.25" customHeight="1" x14ac:dyDescent="0.2">
      <c r="B633" s="361" t="str">
        <f t="array" ref="B633">IF(ISERROR(INDEX('Eingabe Meldungen'!$C$2:$C$492,LARGE(('Eingabe Meldungen'!$A$2:$A$492=$B$631)*(ROW('Eingabe Meldungen'!$A$2:$A$492)-1),COUNTIF('Eingabe Meldungen'!$A$2:$A$492,$B$631)+1-ROW('Eingabe Meldungen'!A1)))),"",INDEX('Eingabe Meldungen'!$C$2:$C$492,LARGE(('Eingabe Meldungen'!$A$2:$A$492=$B$631)*(ROW('Eingabe Meldungen'!$A$2:$A$492)-1),COUNTIF('Eingabe Meldungen'!$A$2:$A$492,$B$631)+1-ROW('Eingabe Meldungen'!A1))))</f>
        <v>Killinger</v>
      </c>
      <c r="C633" s="362" t="str">
        <f t="array" ref="C633">IF(ISERROR(INDEX('Eingabe Meldungen'!$D$2:$D$492,LARGE(('Eingabe Meldungen'!$A$2:$A$492=$B$631)*(ROW('Eingabe Meldungen'!$A$2:$A$492)-1),COUNTIF('Eingabe Meldungen'!$A$2:$A$492,$B$631)+1-ROW('Eingabe Meldungen'!A1)))),"",INDEX('Eingabe Meldungen'!$D$2:$D$492,LARGE(('Eingabe Meldungen'!$A$2:$A$492=$B$631)*(ROW('Eingabe Meldungen'!$A$2:$A$492)-1),COUNTIF('Eingabe Meldungen'!$A$2:$A$492,$B$631)+1-ROW('Eingabe Meldungen'!A1))))</f>
        <v>Cornelius/</v>
      </c>
      <c r="D633" s="363">
        <f t="array" ref="D633">IF(B633&lt;&gt;"",INDEX('Eingabe Meldungen'!$C$2:$H$492,MATCH(B633&amp;C633,'Eingabe Meldungen'!$C$2:$C$492&amp;'Eingabe Meldungen'!$D$2:$D$492,0),6),"")</f>
        <v>1992</v>
      </c>
      <c r="E633" s="384" t="str">
        <f t="array" ref="E633">IF(B633&lt;&gt;"",INDEX('Eingabe Meldungen'!$C$2:$H$492,MATCH(B633&amp;C633,'Eingabe Meldungen'!$C$2:$C$492&amp;'Eingabe Meldungen'!$D$2:$D$492,0),4),"")</f>
        <v>-</v>
      </c>
      <c r="F633" s="441" t="s">
        <v>667</v>
      </c>
      <c r="G633" s="364">
        <v>1</v>
      </c>
      <c r="H633" s="365" t="str">
        <f t="array" ref="H633">IF(B633&lt;&gt;"",INDEX('Eingabe Meldungen'!$C$2:$J$492,MATCH(B633&amp;C633,'Eingabe Meldungen'!$C$2:$C$492&amp;'Eingabe Meldungen'!$D$2:$D$492,0),8),"")</f>
        <v>Marbacher Ruderverein</v>
      </c>
      <c r="J633" s="332"/>
      <c r="K633" s="332"/>
      <c r="L633" s="332"/>
      <c r="M633" s="332"/>
      <c r="N633" s="332"/>
      <c r="O633" s="332">
        <v>5</v>
      </c>
      <c r="P633" s="332"/>
      <c r="Q633" s="332"/>
      <c r="R633" s="332"/>
      <c r="S633" s="332"/>
      <c r="T633" s="332"/>
      <c r="U633" s="332"/>
      <c r="V633" s="332"/>
      <c r="W633" s="332"/>
      <c r="X633" s="332"/>
      <c r="Y633" s="332"/>
      <c r="Z633" s="332"/>
      <c r="AA633" s="332"/>
      <c r="AB633" s="332"/>
      <c r="AC633" s="332"/>
      <c r="AD633" s="332"/>
      <c r="AE633" s="332"/>
      <c r="AF633" s="332"/>
      <c r="AG633" s="332"/>
      <c r="AH633" s="332"/>
      <c r="AI633" s="332"/>
      <c r="AJ633" s="333"/>
      <c r="AK633" s="333"/>
      <c r="AL633" s="333"/>
      <c r="AM633" s="333"/>
    </row>
    <row r="634" spans="2:39" s="316" customFormat="1" ht="26.25" customHeight="1" thickBot="1" x14ac:dyDescent="0.25">
      <c r="B634" s="366" t="str">
        <f t="array" ref="B634">IF(ISERROR(INDEX('Eingabe Meldungen'!$C$2:$C$492,LARGE(('Eingabe Meldungen'!$A$2:$A$492=$B$631)*(ROW('Eingabe Meldungen'!$A$2:$A$492)-1),COUNTIF('Eingabe Meldungen'!$A$2:$A$492,$B$631)+1-ROW('Eingabe Meldungen'!A2)))),"",INDEX('Eingabe Meldungen'!$C$2:$C$492,LARGE(('Eingabe Meldungen'!$A$2:$A$492=$B$631)*(ROW('Eingabe Meldungen'!$A$2:$A$492)-1),COUNTIF('Eingabe Meldungen'!$A$2:$A$492,$B$631)+1-ROW('Eingabe Meldungen'!A2))))</f>
        <v>Breitenbücher</v>
      </c>
      <c r="C634" s="367" t="str">
        <f t="array" ref="C634">IF(ISERROR(INDEX('Eingabe Meldungen'!$D$2:$D$492,LARGE(('Eingabe Meldungen'!$A$2:$A$492=$B$631)*(ROW('Eingabe Meldungen'!$A$2:$A$492)-1),COUNTIF('Eingabe Meldungen'!$A$2:$A$492,$B$631)+1-ROW('Eingabe Meldungen'!A2)))),"",INDEX('Eingabe Meldungen'!$D$2:$D$492,LARGE(('Eingabe Meldungen'!$A$2:$A$492=$B$631)*(ROW('Eingabe Meldungen'!$A$2:$A$492)-1),COUNTIF('Eingabe Meldungen'!$A$2:$A$492,$B$631)+1-ROW('Eingabe Meldungen'!A2))))</f>
        <v>Michael</v>
      </c>
      <c r="D634" s="368">
        <f t="array" ref="D634">IF(B634&lt;&gt;"",INDEX('Eingabe Meldungen'!$C$2:$H$492,MATCH(B634&amp;C634,'Eingabe Meldungen'!$C$2:$C$492&amp;'Eingabe Meldungen'!$D$2:$D$492,0),6),"")</f>
        <v>1996</v>
      </c>
      <c r="E634" s="385" t="str">
        <f t="array" ref="E634">IF(B634&lt;&gt;"",INDEX('Eingabe Meldungen'!$C$2:$H$492,MATCH(B634&amp;C634,'Eingabe Meldungen'!$C$2:$C$492&amp;'Eingabe Meldungen'!$D$2:$D$492,0),4),"")</f>
        <v>-</v>
      </c>
      <c r="F634" s="442"/>
      <c r="G634" s="369">
        <v>1</v>
      </c>
      <c r="H634" s="370" t="str">
        <f t="array" ref="H634">IF(B634&lt;&gt;"",INDEX('Eingabe Meldungen'!$C$2:$J$492,MATCH(B634&amp;C634,'Eingabe Meldungen'!$C$2:$C$492&amp;'Eingabe Meldungen'!$D$2:$D$492,0),8),"")</f>
        <v>Marbacher Ruderverein</v>
      </c>
      <c r="J634" s="332"/>
      <c r="K634" s="332"/>
      <c r="L634" s="332"/>
      <c r="M634" s="332"/>
      <c r="N634" s="332"/>
      <c r="O634" s="332"/>
      <c r="P634" s="332"/>
      <c r="Q634" s="332"/>
      <c r="R634" s="332"/>
      <c r="S634" s="332"/>
      <c r="T634" s="332"/>
      <c r="U634" s="332"/>
      <c r="V634" s="332"/>
      <c r="W634" s="332"/>
      <c r="X634" s="332"/>
      <c r="Y634" s="332"/>
      <c r="Z634" s="332"/>
      <c r="AA634" s="332"/>
      <c r="AB634" s="332"/>
      <c r="AC634" s="332"/>
      <c r="AD634" s="332"/>
      <c r="AE634" s="332"/>
      <c r="AF634" s="332"/>
      <c r="AG634" s="332"/>
      <c r="AH634" s="332"/>
      <c r="AI634" s="332"/>
      <c r="AJ634" s="333"/>
      <c r="AK634" s="333"/>
      <c r="AL634" s="333"/>
      <c r="AM634" s="333"/>
    </row>
    <row r="635" spans="2:39" s="316" customFormat="1" ht="26.25" customHeight="1" x14ac:dyDescent="0.2">
      <c r="B635" s="361" t="str">
        <f t="array" ref="B635">IF(ISERROR(INDEX('Eingabe Meldungen'!$C$2:$C$492,LARGE(('Eingabe Meldungen'!$A$2:$A$492=$B$631)*(ROW('Eingabe Meldungen'!$A$2:$A$492)-1),COUNTIF('Eingabe Meldungen'!$A$2:$A$492,$B$631)+1-ROW('Eingabe Meldungen'!A3)))),"",INDEX('Eingabe Meldungen'!$C$2:$C$492,LARGE(('Eingabe Meldungen'!$A$2:$A$492=$B$631)*(ROW('Eingabe Meldungen'!$A$2:$A$492)-1),COUNTIF('Eingabe Meldungen'!$A$2:$A$492,$B$631)+1-ROW('Eingabe Meldungen'!A3))))</f>
        <v>Grün</v>
      </c>
      <c r="C635" s="362" t="str">
        <f t="array" ref="C635">IF(ISERROR(INDEX('Eingabe Meldungen'!$D$2:$D$492,LARGE(('Eingabe Meldungen'!$A$2:$A$492=$B$631)*(ROW('Eingabe Meldungen'!$A$2:$A$492)-1),COUNTIF('Eingabe Meldungen'!$A$2:$A$492,$B$631)+1-ROW('Eingabe Meldungen'!A3)))),"",INDEX('Eingabe Meldungen'!$D$2:$D$492,LARGE(('Eingabe Meldungen'!$A$2:$A$492=$B$631)*(ROW('Eingabe Meldungen'!$A$2:$A$492)-1),COUNTIF('Eingabe Meldungen'!$A$2:$A$492,$B$631)+1-ROW('Eingabe Meldungen'!A3))))</f>
        <v>Michael</v>
      </c>
      <c r="D635" s="363">
        <f t="array" ref="D635">IF(B635&lt;&gt;"",INDEX('Eingabe Meldungen'!$C$2:$H$492,MATCH(B635&amp;C635,'Eingabe Meldungen'!$C$2:$C$492&amp;'Eingabe Meldungen'!$D$2:$D$492,0),6),"")</f>
        <v>1968</v>
      </c>
      <c r="E635" s="384" t="str">
        <f t="array" ref="E635">IF(B635&lt;&gt;"",INDEX('Eingabe Meldungen'!$C$2:$H$492,MATCH(B635&amp;C635,'Eingabe Meldungen'!$C$2:$C$492&amp;'Eingabe Meldungen'!$D$2:$D$492,0),4),"")</f>
        <v>D</v>
      </c>
      <c r="F635" s="441" t="s">
        <v>668</v>
      </c>
      <c r="G635" s="364">
        <v>2</v>
      </c>
      <c r="H635" s="365" t="str">
        <f t="array" ref="H635">IF(B635&lt;&gt;"",INDEX('Eingabe Meldungen'!$C$2:$J$492,MATCH(B635&amp;C635,'Eingabe Meldungen'!$C$2:$C$492&amp;'Eingabe Meldungen'!$D$2:$D$492,0),8),"")</f>
        <v>HRG Schwaben</v>
      </c>
      <c r="J635" s="332"/>
      <c r="K635" s="332"/>
      <c r="L635" s="332"/>
      <c r="M635" s="332"/>
      <c r="N635" s="332"/>
      <c r="O635" s="332"/>
      <c r="P635" s="332"/>
      <c r="Q635" s="332">
        <v>2</v>
      </c>
      <c r="R635" s="332"/>
      <c r="S635" s="332"/>
      <c r="T635" s="332"/>
      <c r="U635" s="332"/>
      <c r="V635" s="332"/>
      <c r="W635" s="332"/>
      <c r="X635" s="332"/>
      <c r="Y635" s="332"/>
      <c r="Z635" s="332"/>
      <c r="AA635" s="332"/>
      <c r="AB635" s="332"/>
      <c r="AC635" s="332"/>
      <c r="AD635" s="332"/>
      <c r="AE635" s="332"/>
      <c r="AF635" s="332"/>
      <c r="AG635" s="332"/>
      <c r="AH635" s="332"/>
      <c r="AI635" s="332"/>
      <c r="AJ635" s="333"/>
      <c r="AK635" s="333"/>
      <c r="AL635" s="333"/>
      <c r="AM635" s="333"/>
    </row>
    <row r="636" spans="2:39" s="316" customFormat="1" ht="26.25" customHeight="1" thickBot="1" x14ac:dyDescent="0.25">
      <c r="B636" s="366" t="str">
        <f t="array" ref="B636">IF(ISERROR(INDEX('Eingabe Meldungen'!$C$2:$C$492,LARGE(('Eingabe Meldungen'!$A$2:$A$492=$B$631)*(ROW('Eingabe Meldungen'!$A$2:$A$492)-1),COUNTIF('Eingabe Meldungen'!$A$2:$A$492,$B$631)+1-ROW('Eingabe Meldungen'!A4)))),"",INDEX('Eingabe Meldungen'!$C$2:$C$492,LARGE(('Eingabe Meldungen'!$A$2:$A$492=$B$631)*(ROW('Eingabe Meldungen'!$A$2:$A$492)-1),COUNTIF('Eingabe Meldungen'!$A$2:$A$492,$B$631)+1-ROW('Eingabe Meldungen'!A4))))</f>
        <v>Kern</v>
      </c>
      <c r="C636" s="367" t="str">
        <f t="array" ref="C636">IF(ISERROR(INDEX('Eingabe Meldungen'!$D$2:$D$492,LARGE(('Eingabe Meldungen'!$A$2:$A$492=$B$631)*(ROW('Eingabe Meldungen'!$A$2:$A$492)-1),COUNTIF('Eingabe Meldungen'!$A$2:$A$492,$B$631)+1-ROW('Eingabe Meldungen'!A4)))),"",INDEX('Eingabe Meldungen'!$D$2:$D$492,LARGE(('Eingabe Meldungen'!$A$2:$A$492=$B$631)*(ROW('Eingabe Meldungen'!$A$2:$A$492)-1),COUNTIF('Eingabe Meldungen'!$A$2:$A$492,$B$631)+1-ROW('Eingabe Meldungen'!A4))))</f>
        <v>Maximilian</v>
      </c>
      <c r="D636" s="368">
        <f t="array" ref="D636">IF(B636&lt;&gt;"",INDEX('Eingabe Meldungen'!$C$2:$H$492,MATCH(B636&amp;C636,'Eingabe Meldungen'!$C$2:$C$492&amp;'Eingabe Meldungen'!$D$2:$D$492,0),6),"")</f>
        <v>2001</v>
      </c>
      <c r="E636" s="385" t="str">
        <f t="array" ref="E636">IF(B636&lt;&gt;"",INDEX('Eingabe Meldungen'!$C$2:$H$492,MATCH(B636&amp;C636,'Eingabe Meldungen'!$C$2:$C$492&amp;'Eingabe Meldungen'!$D$2:$D$492,0),4),"")</f>
        <v>-</v>
      </c>
      <c r="F636" s="442"/>
      <c r="G636" s="369">
        <v>2</v>
      </c>
      <c r="H636" s="370" t="str">
        <f t="array" ref="H636">IF(B636&lt;&gt;"",INDEX('Eingabe Meldungen'!$C$2:$J$492,MATCH(B636&amp;C636,'Eingabe Meldungen'!$C$2:$C$492&amp;'Eingabe Meldungen'!$D$2:$D$492,0),8),"")</f>
        <v>HRG Schwaben</v>
      </c>
      <c r="J636" s="332"/>
      <c r="K636" s="332"/>
      <c r="L636" s="332"/>
      <c r="M636" s="332"/>
      <c r="N636" s="332"/>
      <c r="O636" s="332"/>
      <c r="P636" s="332"/>
      <c r="Q636" s="332"/>
      <c r="R636" s="332"/>
      <c r="S636" s="332"/>
      <c r="T636" s="332"/>
      <c r="U636" s="332"/>
      <c r="V636" s="332"/>
      <c r="W636" s="332"/>
      <c r="X636" s="332"/>
      <c r="Y636" s="332"/>
      <c r="Z636" s="332"/>
      <c r="AA636" s="332"/>
      <c r="AB636" s="332"/>
      <c r="AC636" s="332"/>
      <c r="AD636" s="332"/>
      <c r="AE636" s="332"/>
      <c r="AF636" s="332"/>
      <c r="AG636" s="332"/>
      <c r="AH636" s="332"/>
      <c r="AI636" s="332"/>
      <c r="AJ636" s="333"/>
      <c r="AK636" s="333"/>
      <c r="AL636" s="333"/>
      <c r="AM636" s="333"/>
    </row>
    <row r="637" spans="2:39" s="316" customFormat="1" ht="26.25" customHeight="1" x14ac:dyDescent="0.2">
      <c r="B637" s="371" t="s">
        <v>307</v>
      </c>
      <c r="C637" s="372" t="s">
        <v>293</v>
      </c>
      <c r="D637" s="373">
        <f t="array" ref="D637">IF(B637&lt;&gt;"",INDEX('Eingabe Meldungen'!$C$2:$H$492,MATCH(B637&amp;C637,'Eingabe Meldungen'!$C$2:$C$492&amp;'Eingabe Meldungen'!$D$2:$D$492,0),6),"")</f>
        <v>2006</v>
      </c>
      <c r="E637" s="386" t="str">
        <f t="array" ref="E637">IF(B637&lt;&gt;"",INDEX('Eingabe Meldungen'!$C$2:$H$492,MATCH(B637&amp;C637,'Eingabe Meldungen'!$C$2:$C$492&amp;'Eingabe Meldungen'!$D$2:$D$492,0),4),"")</f>
        <v>-</v>
      </c>
      <c r="F637" s="441" t="s">
        <v>669</v>
      </c>
      <c r="G637" s="374">
        <v>3</v>
      </c>
      <c r="H637" s="375" t="str">
        <f t="array" ref="H637">IF(B637&lt;&gt;"",INDEX('Eingabe Meldungen'!$C$2:$J$492,MATCH(B637&amp;C637,'Eingabe Meldungen'!$C$2:$C$492&amp;'Eingabe Meldungen'!$D$2:$D$492,0),8),"")</f>
        <v>Marbacher Ruderverein</v>
      </c>
      <c r="J637" s="332"/>
      <c r="K637" s="332"/>
      <c r="L637" s="332"/>
      <c r="M637" s="332"/>
      <c r="N637" s="332"/>
      <c r="O637" s="332">
        <v>1</v>
      </c>
      <c r="P637" s="332"/>
      <c r="Q637" s="332"/>
      <c r="R637" s="332"/>
      <c r="S637" s="332"/>
      <c r="T637" s="332"/>
      <c r="U637" s="332"/>
      <c r="V637" s="332"/>
      <c r="W637" s="332"/>
      <c r="X637" s="332"/>
      <c r="Y637" s="332"/>
      <c r="Z637" s="332"/>
      <c r="AA637" s="332"/>
      <c r="AB637" s="332"/>
      <c r="AC637" s="332"/>
      <c r="AD637" s="332"/>
      <c r="AE637" s="332"/>
      <c r="AF637" s="332"/>
      <c r="AG637" s="332"/>
      <c r="AH637" s="332"/>
      <c r="AI637" s="332"/>
      <c r="AJ637" s="333"/>
      <c r="AK637" s="333"/>
      <c r="AL637" s="333"/>
      <c r="AM637" s="333"/>
    </row>
    <row r="638" spans="2:39" s="316" customFormat="1" ht="26.25" customHeight="1" thickBot="1" x14ac:dyDescent="0.25">
      <c r="B638" s="376" t="s">
        <v>297</v>
      </c>
      <c r="C638" s="377" t="s">
        <v>341</v>
      </c>
      <c r="D638" s="378">
        <f t="array" ref="D638">IF(B638&lt;&gt;"",INDEX('Eingabe Meldungen'!$C$2:$H$492,MATCH(B638&amp;C638,'Eingabe Meldungen'!$C$2:$C$492&amp;'Eingabe Meldungen'!$D$2:$D$492,0),6),"")</f>
        <v>1997</v>
      </c>
      <c r="E638" s="387" t="str">
        <f t="array" ref="E638">IF(B638&lt;&gt;"",INDEX('Eingabe Meldungen'!$C$2:$H$492,MATCH(B638&amp;C638,'Eingabe Meldungen'!$C$2:$C$492&amp;'Eingabe Meldungen'!$D$2:$D$492,0),4),"")</f>
        <v>-</v>
      </c>
      <c r="F638" s="442"/>
      <c r="G638" s="379">
        <v>3</v>
      </c>
      <c r="H638" s="380" t="str">
        <f t="array" ref="H638">IF(B638&lt;&gt;"",INDEX('Eingabe Meldungen'!$C$2:$J$492,MATCH(B638&amp;C638,'Eingabe Meldungen'!$C$2:$C$492&amp;'Eingabe Meldungen'!$D$2:$D$492,0),8),"")</f>
        <v>Marbacher Ruderverein</v>
      </c>
      <c r="J638" s="332"/>
      <c r="K638" s="332"/>
      <c r="L638" s="332"/>
      <c r="M638" s="332"/>
      <c r="N638" s="332"/>
      <c r="O638" s="332"/>
      <c r="P638" s="332"/>
      <c r="Q638" s="332"/>
      <c r="R638" s="332"/>
      <c r="S638" s="332"/>
      <c r="T638" s="332"/>
      <c r="U638" s="332"/>
      <c r="V638" s="332"/>
      <c r="W638" s="332"/>
      <c r="X638" s="332"/>
      <c r="Y638" s="332"/>
      <c r="Z638" s="332"/>
      <c r="AA638" s="332"/>
      <c r="AB638" s="332"/>
      <c r="AC638" s="332"/>
      <c r="AD638" s="332"/>
      <c r="AE638" s="332"/>
      <c r="AF638" s="332"/>
      <c r="AG638" s="332"/>
      <c r="AH638" s="332"/>
      <c r="AI638" s="332"/>
      <c r="AJ638" s="333"/>
      <c r="AK638" s="333"/>
      <c r="AL638" s="333"/>
      <c r="AM638" s="333"/>
    </row>
    <row r="639" spans="2:39" s="316" customFormat="1" ht="26.25" customHeight="1" x14ac:dyDescent="0.2">
      <c r="B639" s="361" t="str">
        <f t="array" ref="B639">IF(ISERROR(INDEX('Eingabe Meldungen'!$C$2:$C$492,LARGE(('Eingabe Meldungen'!$A$2:$A$492=$B$631)*(ROW('Eingabe Meldungen'!$A$2:$A$492)-1),COUNTIF('Eingabe Meldungen'!$A$2:$A$492,$B$631)+1-ROW('Eingabe Meldungen'!A7)))),"",INDEX('Eingabe Meldungen'!$C$2:$C$492,LARGE(('Eingabe Meldungen'!$A$2:$A$492=$B$631)*(ROW('Eingabe Meldungen'!$A$2:$A$492)-1),COUNTIF('Eingabe Meldungen'!$A$2:$A$492,$B$631)+1-ROW('Eingabe Meldungen'!A7))))</f>
        <v/>
      </c>
      <c r="C639" s="362" t="str">
        <f t="array" ref="C639">IF(ISERROR(INDEX('Eingabe Meldungen'!$D$2:$D$492,LARGE(('Eingabe Meldungen'!$A$2:$A$492=$B$631)*(ROW('Eingabe Meldungen'!$A$2:$A$492)-1),COUNTIF('Eingabe Meldungen'!$A$2:$A$492,$B$631)+1-ROW('Eingabe Meldungen'!A7)))),"",INDEX('Eingabe Meldungen'!$D$2:$D$492,LARGE(('Eingabe Meldungen'!$A$2:$A$492=$B$631)*(ROW('Eingabe Meldungen'!$A$2:$A$492)-1),COUNTIF('Eingabe Meldungen'!$A$2:$A$492,$B$631)+1-ROW('Eingabe Meldungen'!A7))))</f>
        <v/>
      </c>
      <c r="D639" s="363" t="str">
        <f t="array" ref="D639">IF(B639&lt;&gt;"",INDEX('Eingabe Meldungen'!$C$2:$H$492,MATCH(B639&amp;C639,'Eingabe Meldungen'!$C$2:$C$492&amp;'Eingabe Meldungen'!$D$2:$D$492,0),6),"")</f>
        <v/>
      </c>
      <c r="E639" s="384" t="str">
        <f t="array" ref="E639">IF(B639&lt;&gt;"",INDEX('Eingabe Meldungen'!$C$2:$H$492,MATCH(B639&amp;C639,'Eingabe Meldungen'!$C$2:$C$492&amp;'Eingabe Meldungen'!$D$2:$D$492,0),4),"")</f>
        <v/>
      </c>
      <c r="F639" s="441" t="str">
        <f>IF(VLOOKUP(B639,Rennlisten!$B$384:$H$403,6,FALSE)=0,"",VLOOKUP(B639,Rennlisten!$B$384:$H$403,6,FALSE))</f>
        <v/>
      </c>
      <c r="G639" s="364" t="e">
        <f t="shared" ref="G639:G652" si="64">RANK(F639,$F$633:$F$652,1)</f>
        <v>#VALUE!</v>
      </c>
      <c r="H639" s="365" t="str">
        <f t="array" ref="H639">IF(B639&lt;&gt;"",INDEX('Eingabe Meldungen'!$C$2:$J$492,MATCH(B639&amp;C639,'Eingabe Meldungen'!$C$2:$C$492&amp;'Eingabe Meldungen'!$D$2:$D$492,0),8),"")</f>
        <v/>
      </c>
      <c r="J639" s="332"/>
      <c r="K639" s="332"/>
      <c r="L639" s="332"/>
      <c r="M639" s="332"/>
      <c r="N639" s="332"/>
      <c r="O639" s="332"/>
      <c r="P639" s="332"/>
      <c r="Q639" s="332"/>
      <c r="R639" s="332"/>
      <c r="S639" s="332"/>
      <c r="T639" s="332"/>
      <c r="U639" s="332"/>
      <c r="V639" s="332"/>
      <c r="W639" s="332"/>
      <c r="X639" s="332"/>
      <c r="Y639" s="332"/>
      <c r="Z639" s="332"/>
      <c r="AA639" s="332"/>
      <c r="AB639" s="332"/>
      <c r="AC639" s="332"/>
      <c r="AD639" s="332"/>
      <c r="AE639" s="332"/>
      <c r="AF639" s="332"/>
      <c r="AG639" s="332"/>
      <c r="AH639" s="332"/>
      <c r="AI639" s="332"/>
      <c r="AJ639" s="333"/>
      <c r="AK639" s="333"/>
      <c r="AL639" s="333"/>
      <c r="AM639" s="333"/>
    </row>
    <row r="640" spans="2:39" s="316" customFormat="1" ht="26.25" customHeight="1" thickBot="1" x14ac:dyDescent="0.25">
      <c r="B640" s="366" t="str">
        <f t="array" ref="B640">IF(ISERROR(INDEX('Eingabe Meldungen'!$C$2:$C$492,LARGE(('Eingabe Meldungen'!$A$2:$A$492=$B$631)*(ROW('Eingabe Meldungen'!$A$2:$A$492)-1),COUNTIF('Eingabe Meldungen'!$A$2:$A$492,$B$631)+1-ROW('Eingabe Meldungen'!A8)))),"",INDEX('Eingabe Meldungen'!$C$2:$C$492,LARGE(('Eingabe Meldungen'!$A$2:$A$492=$B$631)*(ROW('Eingabe Meldungen'!$A$2:$A$492)-1),COUNTIF('Eingabe Meldungen'!$A$2:$A$492,$B$631)+1-ROW('Eingabe Meldungen'!A8))))</f>
        <v/>
      </c>
      <c r="C640" s="367" t="str">
        <f t="array" ref="C640">IF(ISERROR(INDEX('Eingabe Meldungen'!$D$2:$D$492,LARGE(('Eingabe Meldungen'!$A$2:$A$492=$B$631)*(ROW('Eingabe Meldungen'!$A$2:$A$492)-1),COUNTIF('Eingabe Meldungen'!$A$2:$A$492,$B$631)+1-ROW('Eingabe Meldungen'!A8)))),"",INDEX('Eingabe Meldungen'!$D$2:$D$492,LARGE(('Eingabe Meldungen'!$A$2:$A$492=$B$631)*(ROW('Eingabe Meldungen'!$A$2:$A$492)-1),COUNTIF('Eingabe Meldungen'!$A$2:$A$492,$B$631)+1-ROW('Eingabe Meldungen'!A8))))</f>
        <v/>
      </c>
      <c r="D640" s="368" t="str">
        <f t="array" ref="D640">IF(B640&lt;&gt;"",INDEX('Eingabe Meldungen'!$C$2:$H$492,MATCH(B640&amp;C640,'Eingabe Meldungen'!$C$2:$C$492&amp;'Eingabe Meldungen'!$D$2:$D$492,0),6),"")</f>
        <v/>
      </c>
      <c r="E640" s="385" t="str">
        <f t="array" ref="E640">IF(B640&lt;&gt;"",INDEX('Eingabe Meldungen'!$C$2:$H$492,MATCH(B640&amp;C640,'Eingabe Meldungen'!$C$2:$C$492&amp;'Eingabe Meldungen'!$D$2:$D$492,0),4),"")</f>
        <v/>
      </c>
      <c r="F640" s="442"/>
      <c r="G640" s="369" t="e">
        <f t="shared" si="64"/>
        <v>#N/A</v>
      </c>
      <c r="H640" s="370" t="str">
        <f t="array" ref="H640">IF(B640&lt;&gt;"",INDEX('Eingabe Meldungen'!$C$2:$J$492,MATCH(B640&amp;C640,'Eingabe Meldungen'!$C$2:$C$492&amp;'Eingabe Meldungen'!$D$2:$D$492,0),8),"")</f>
        <v/>
      </c>
      <c r="J640" s="332"/>
      <c r="K640" s="332"/>
      <c r="L640" s="332"/>
      <c r="M640" s="332"/>
      <c r="N640" s="332"/>
      <c r="O640" s="332"/>
      <c r="P640" s="332"/>
      <c r="Q640" s="332"/>
      <c r="R640" s="332"/>
      <c r="S640" s="332"/>
      <c r="T640" s="332"/>
      <c r="U640" s="332"/>
      <c r="V640" s="332"/>
      <c r="W640" s="332"/>
      <c r="X640" s="332"/>
      <c r="Y640" s="332"/>
      <c r="Z640" s="332"/>
      <c r="AA640" s="332"/>
      <c r="AB640" s="332"/>
      <c r="AC640" s="332"/>
      <c r="AD640" s="332"/>
      <c r="AE640" s="332"/>
      <c r="AF640" s="332"/>
      <c r="AG640" s="332"/>
      <c r="AH640" s="332"/>
      <c r="AI640" s="332"/>
      <c r="AJ640" s="333"/>
      <c r="AK640" s="333"/>
      <c r="AL640" s="333"/>
      <c r="AM640" s="333"/>
    </row>
    <row r="641" spans="2:39" s="316" customFormat="1" ht="26.25" customHeight="1" x14ac:dyDescent="0.2">
      <c r="B641" s="371" t="str">
        <f t="array" ref="B641">IF(ISERROR(INDEX('Eingabe Meldungen'!$C$2:$C$492,LARGE(('Eingabe Meldungen'!$A$2:$A$492=$B$631)*(ROW('Eingabe Meldungen'!$A$2:$A$492)-1),COUNTIF('Eingabe Meldungen'!$A$2:$A$492,$B$631)+1-ROW('Eingabe Meldungen'!A9)))),"",INDEX('Eingabe Meldungen'!$C$2:$C$492,LARGE(('Eingabe Meldungen'!$A$2:$A$492=$B$631)*(ROW('Eingabe Meldungen'!$A$2:$A$492)-1),COUNTIF('Eingabe Meldungen'!$A$2:$A$492,$B$631)+1-ROW('Eingabe Meldungen'!A9))))</f>
        <v/>
      </c>
      <c r="C641" s="372" t="str">
        <f t="array" ref="C641">IF(ISERROR(INDEX('Eingabe Meldungen'!$D$2:$D$492,LARGE(('Eingabe Meldungen'!$A$2:$A$492=$B$631)*(ROW('Eingabe Meldungen'!$A$2:$A$492)-1),COUNTIF('Eingabe Meldungen'!$A$2:$A$492,$B$631)+1-ROW('Eingabe Meldungen'!A9)))),"",INDEX('Eingabe Meldungen'!$D$2:$D$492,LARGE(('Eingabe Meldungen'!$A$2:$A$492=$B$631)*(ROW('Eingabe Meldungen'!$A$2:$A$492)-1),COUNTIF('Eingabe Meldungen'!$A$2:$A$492,$B$631)+1-ROW('Eingabe Meldungen'!A9))))</f>
        <v/>
      </c>
      <c r="D641" s="373" t="str">
        <f t="array" ref="D641">IF(B641&lt;&gt;"",INDEX('Eingabe Meldungen'!$C$2:$H$492,MATCH(B641&amp;C641,'Eingabe Meldungen'!$C$2:$C$492&amp;'Eingabe Meldungen'!$D$2:$D$492,0),6),"")</f>
        <v/>
      </c>
      <c r="E641" s="386" t="str">
        <f t="array" ref="E641">IF(B641&lt;&gt;"",INDEX('Eingabe Meldungen'!$C$2:$H$492,MATCH(B641&amp;C641,'Eingabe Meldungen'!$C$2:$C$492&amp;'Eingabe Meldungen'!$D$2:$D$492,0),4),"")</f>
        <v/>
      </c>
      <c r="F641" s="441" t="str">
        <f>IF(VLOOKUP(B641,Rennlisten!$B$384:$H$403,6,FALSE)=0,"",VLOOKUP(B641,Rennlisten!$B$384:$H$403,6,FALSE))</f>
        <v/>
      </c>
      <c r="G641" s="374" t="e">
        <f t="shared" si="64"/>
        <v>#VALUE!</v>
      </c>
      <c r="H641" s="375" t="str">
        <f t="array" ref="H641">IF(B641&lt;&gt;"",INDEX('Eingabe Meldungen'!$C$2:$J$492,MATCH(B641&amp;C641,'Eingabe Meldungen'!$C$2:$C$492&amp;'Eingabe Meldungen'!$D$2:$D$492,0),8),"")</f>
        <v/>
      </c>
      <c r="J641" s="332"/>
      <c r="K641" s="332"/>
      <c r="L641" s="332"/>
      <c r="M641" s="332"/>
      <c r="N641" s="332"/>
      <c r="O641" s="332"/>
      <c r="P641" s="332"/>
      <c r="Q641" s="332"/>
      <c r="R641" s="332"/>
      <c r="S641" s="332"/>
      <c r="T641" s="332"/>
      <c r="U641" s="332"/>
      <c r="V641" s="332"/>
      <c r="W641" s="332"/>
      <c r="X641" s="332"/>
      <c r="Y641" s="332"/>
      <c r="Z641" s="332"/>
      <c r="AA641" s="332"/>
      <c r="AB641" s="332"/>
      <c r="AC641" s="332"/>
      <c r="AD641" s="332"/>
      <c r="AE641" s="332"/>
      <c r="AF641" s="332"/>
      <c r="AG641" s="332"/>
      <c r="AH641" s="332"/>
      <c r="AI641" s="332"/>
      <c r="AJ641" s="333"/>
      <c r="AK641" s="333"/>
      <c r="AL641" s="333"/>
      <c r="AM641" s="333"/>
    </row>
    <row r="642" spans="2:39" s="316" customFormat="1" ht="26.25" customHeight="1" thickBot="1" x14ac:dyDescent="0.25">
      <c r="B642" s="376" t="str">
        <f t="array" ref="B642">IF(ISERROR(INDEX('Eingabe Meldungen'!$C$2:$C$492,LARGE(('Eingabe Meldungen'!$A$2:$A$492=$B$631)*(ROW('Eingabe Meldungen'!$A$2:$A$492)-1),COUNTIF('Eingabe Meldungen'!$A$2:$A$492,$B$631)+1-ROW('Eingabe Meldungen'!A10)))),"",INDEX('Eingabe Meldungen'!$C$2:$C$492,LARGE(('Eingabe Meldungen'!$A$2:$A$492=$B$631)*(ROW('Eingabe Meldungen'!$A$2:$A$492)-1),COUNTIF('Eingabe Meldungen'!$A$2:$A$492,$B$631)+1-ROW('Eingabe Meldungen'!A10))))</f>
        <v/>
      </c>
      <c r="C642" s="377" t="str">
        <f t="array" ref="C642">IF(ISERROR(INDEX('Eingabe Meldungen'!$D$2:$D$492,LARGE(('Eingabe Meldungen'!$A$2:$A$492=$B$631)*(ROW('Eingabe Meldungen'!$A$2:$A$492)-1),COUNTIF('Eingabe Meldungen'!$A$2:$A$492,$B$631)+1-ROW('Eingabe Meldungen'!A10)))),"",INDEX('Eingabe Meldungen'!$D$2:$D$492,LARGE(('Eingabe Meldungen'!$A$2:$A$492=$B$631)*(ROW('Eingabe Meldungen'!$A$2:$A$492)-1),COUNTIF('Eingabe Meldungen'!$A$2:$A$492,$B$631)+1-ROW('Eingabe Meldungen'!A10))))</f>
        <v/>
      </c>
      <c r="D642" s="378" t="str">
        <f t="array" ref="D642">IF(B642&lt;&gt;"",INDEX('Eingabe Meldungen'!$C$2:$H$492,MATCH(B642&amp;C642,'Eingabe Meldungen'!$C$2:$C$492&amp;'Eingabe Meldungen'!$D$2:$D$492,0),6),"")</f>
        <v/>
      </c>
      <c r="E642" s="387" t="str">
        <f t="array" ref="E642">IF(B642&lt;&gt;"",INDEX('Eingabe Meldungen'!$C$2:$H$492,MATCH(B642&amp;C642,'Eingabe Meldungen'!$C$2:$C$492&amp;'Eingabe Meldungen'!$D$2:$D$492,0),4),"")</f>
        <v/>
      </c>
      <c r="F642" s="442"/>
      <c r="G642" s="379" t="e">
        <f t="shared" si="64"/>
        <v>#N/A</v>
      </c>
      <c r="H642" s="380" t="str">
        <f t="array" ref="H642">IF(B642&lt;&gt;"",INDEX('Eingabe Meldungen'!$C$2:$J$492,MATCH(B642&amp;C642,'Eingabe Meldungen'!$C$2:$C$492&amp;'Eingabe Meldungen'!$D$2:$D$492,0),8),"")</f>
        <v/>
      </c>
      <c r="J642" s="332"/>
      <c r="K642" s="332"/>
      <c r="L642" s="332"/>
      <c r="M642" s="332"/>
      <c r="N642" s="332"/>
      <c r="O642" s="332"/>
      <c r="P642" s="332"/>
      <c r="Q642" s="332"/>
      <c r="R642" s="332"/>
      <c r="S642" s="332"/>
      <c r="T642" s="332"/>
      <c r="U642" s="332"/>
      <c r="V642" s="332"/>
      <c r="W642" s="332"/>
      <c r="X642" s="332"/>
      <c r="Y642" s="332"/>
      <c r="Z642" s="332"/>
      <c r="AA642" s="332"/>
      <c r="AB642" s="332"/>
      <c r="AC642" s="332"/>
      <c r="AD642" s="332"/>
      <c r="AE642" s="332"/>
      <c r="AF642" s="332"/>
      <c r="AG642" s="332"/>
      <c r="AH642" s="332"/>
      <c r="AI642" s="332"/>
      <c r="AJ642" s="333"/>
      <c r="AK642" s="333"/>
      <c r="AL642" s="333"/>
      <c r="AM642" s="333"/>
    </row>
    <row r="643" spans="2:39" s="316" customFormat="1" ht="26.25" customHeight="1" x14ac:dyDescent="0.2">
      <c r="B643" s="361" t="str">
        <f t="array" ref="B643">IF(ISERROR(INDEX('Eingabe Meldungen'!$C$2:$C$492,LARGE(('Eingabe Meldungen'!$A$2:$A$492=$B$631)*(ROW('Eingabe Meldungen'!$A$2:$A$492)-1),COUNTIF('Eingabe Meldungen'!$A$2:$A$492,$B$631)+1-ROW('Eingabe Meldungen'!A11)))),"",INDEX('Eingabe Meldungen'!$C$2:$C$492,LARGE(('Eingabe Meldungen'!$A$2:$A$492=$B$631)*(ROW('Eingabe Meldungen'!$A$2:$A$492)-1),COUNTIF('Eingabe Meldungen'!$A$2:$A$492,$B$631)+1-ROW('Eingabe Meldungen'!A11))))</f>
        <v/>
      </c>
      <c r="C643" s="362" t="str">
        <f t="array" ref="C643">IF(ISERROR(INDEX('Eingabe Meldungen'!$D$2:$D$492,LARGE(('Eingabe Meldungen'!$A$2:$A$492=$B$631)*(ROW('Eingabe Meldungen'!$A$2:$A$492)-1),COUNTIF('Eingabe Meldungen'!$A$2:$A$492,$B$631)+1-ROW('Eingabe Meldungen'!A11)))),"",INDEX('Eingabe Meldungen'!$D$2:$D$492,LARGE(('Eingabe Meldungen'!$A$2:$A$492=$B$631)*(ROW('Eingabe Meldungen'!$A$2:$A$492)-1),COUNTIF('Eingabe Meldungen'!$A$2:$A$492,$B$631)+1-ROW('Eingabe Meldungen'!A11))))</f>
        <v/>
      </c>
      <c r="D643" s="363" t="str">
        <f t="array" ref="D643">IF(B643&lt;&gt;"",INDEX('Eingabe Meldungen'!$C$2:$H$492,MATCH(B643&amp;C643,'Eingabe Meldungen'!$C$2:$C$492&amp;'Eingabe Meldungen'!$D$2:$D$492,0),6),"")</f>
        <v/>
      </c>
      <c r="E643" s="384" t="str">
        <f t="array" ref="E643">IF(B643&lt;&gt;"",INDEX('Eingabe Meldungen'!$C$2:$H$492,MATCH(B643&amp;C643,'Eingabe Meldungen'!$C$2:$C$492&amp;'Eingabe Meldungen'!$D$2:$D$492,0),4),"")</f>
        <v/>
      </c>
      <c r="F643" s="441" t="str">
        <f>IF(VLOOKUP(B643,Rennlisten!$B$384:$H$403,6,FALSE)=0,"",VLOOKUP(B643,Rennlisten!$B$384:$H$403,6,FALSE))</f>
        <v/>
      </c>
      <c r="G643" s="364" t="e">
        <f t="shared" si="64"/>
        <v>#VALUE!</v>
      </c>
      <c r="H643" s="365" t="str">
        <f t="array" ref="H643">IF(B643&lt;&gt;"",INDEX('Eingabe Meldungen'!$C$2:$J$492,MATCH(B643&amp;C643,'Eingabe Meldungen'!$C$2:$C$492&amp;'Eingabe Meldungen'!$D$2:$D$492,0),8),"")</f>
        <v/>
      </c>
      <c r="J643" s="332"/>
      <c r="K643" s="332"/>
      <c r="L643" s="332"/>
      <c r="M643" s="332"/>
      <c r="N643" s="332"/>
      <c r="O643" s="332"/>
      <c r="P643" s="332"/>
      <c r="Q643" s="332"/>
      <c r="R643" s="332"/>
      <c r="S643" s="332"/>
      <c r="T643" s="332"/>
      <c r="U643" s="332"/>
      <c r="V643" s="332"/>
      <c r="W643" s="332"/>
      <c r="X643" s="332"/>
      <c r="Y643" s="332"/>
      <c r="Z643" s="332"/>
      <c r="AA643" s="332"/>
      <c r="AB643" s="332"/>
      <c r="AC643" s="332"/>
      <c r="AD643" s="332"/>
      <c r="AE643" s="332"/>
      <c r="AF643" s="332"/>
      <c r="AG643" s="332"/>
      <c r="AH643" s="332"/>
      <c r="AI643" s="332"/>
      <c r="AJ643" s="333"/>
      <c r="AK643" s="333"/>
      <c r="AL643" s="333"/>
      <c r="AM643" s="333"/>
    </row>
    <row r="644" spans="2:39" s="316" customFormat="1" ht="26.25" customHeight="1" thickBot="1" x14ac:dyDescent="0.25">
      <c r="B644" s="366" t="str">
        <f t="array" ref="B644">IF(ISERROR(INDEX('Eingabe Meldungen'!$C$2:$C$492,LARGE(('Eingabe Meldungen'!$A$2:$A$492=$B$631)*(ROW('Eingabe Meldungen'!$A$2:$A$492)-1),COUNTIF('Eingabe Meldungen'!$A$2:$A$492,$B$631)+1-ROW('Eingabe Meldungen'!A12)))),"",INDEX('Eingabe Meldungen'!$C$2:$C$492,LARGE(('Eingabe Meldungen'!$A$2:$A$492=$B$631)*(ROW('Eingabe Meldungen'!$A$2:$A$492)-1),COUNTIF('Eingabe Meldungen'!$A$2:$A$492,$B$631)+1-ROW('Eingabe Meldungen'!A12))))</f>
        <v/>
      </c>
      <c r="C644" s="367" t="str">
        <f t="array" ref="C644">IF(ISERROR(INDEX('Eingabe Meldungen'!$D$2:$D$492,LARGE(('Eingabe Meldungen'!$A$2:$A$492=$B$631)*(ROW('Eingabe Meldungen'!$A$2:$A$492)-1),COUNTIF('Eingabe Meldungen'!$A$2:$A$492,$B$631)+1-ROW('Eingabe Meldungen'!A12)))),"",INDEX('Eingabe Meldungen'!$D$2:$D$492,LARGE(('Eingabe Meldungen'!$A$2:$A$492=$B$631)*(ROW('Eingabe Meldungen'!$A$2:$A$492)-1),COUNTIF('Eingabe Meldungen'!$A$2:$A$492,$B$631)+1-ROW('Eingabe Meldungen'!A12))))</f>
        <v/>
      </c>
      <c r="D644" s="368" t="str">
        <f t="array" ref="D644">IF(B644&lt;&gt;"",INDEX('Eingabe Meldungen'!$C$2:$H$492,MATCH(B644&amp;C644,'Eingabe Meldungen'!$C$2:$C$492&amp;'Eingabe Meldungen'!$D$2:$D$492,0),6),"")</f>
        <v/>
      </c>
      <c r="E644" s="385" t="str">
        <f t="array" ref="E644">IF(B644&lt;&gt;"",INDEX('Eingabe Meldungen'!$C$2:$H$492,MATCH(B644&amp;C644,'Eingabe Meldungen'!$C$2:$C$492&amp;'Eingabe Meldungen'!$D$2:$D$492,0),4),"")</f>
        <v/>
      </c>
      <c r="F644" s="442"/>
      <c r="G644" s="369" t="e">
        <f t="shared" si="64"/>
        <v>#N/A</v>
      </c>
      <c r="H644" s="370" t="str">
        <f t="array" ref="H644">IF(B644&lt;&gt;"",INDEX('Eingabe Meldungen'!$C$2:$J$492,MATCH(B644&amp;C644,'Eingabe Meldungen'!$C$2:$C$492&amp;'Eingabe Meldungen'!$D$2:$D$492,0),8),"")</f>
        <v/>
      </c>
      <c r="J644" s="332"/>
      <c r="K644" s="332"/>
      <c r="L644" s="332"/>
      <c r="M644" s="332"/>
      <c r="N644" s="332"/>
      <c r="O644" s="332"/>
      <c r="P644" s="332"/>
      <c r="Q644" s="332"/>
      <c r="R644" s="332"/>
      <c r="S644" s="332"/>
      <c r="T644" s="332"/>
      <c r="U644" s="332"/>
      <c r="V644" s="332"/>
      <c r="W644" s="332"/>
      <c r="X644" s="332"/>
      <c r="Y644" s="332"/>
      <c r="Z644" s="332"/>
      <c r="AA644" s="332"/>
      <c r="AB644" s="332"/>
      <c r="AC644" s="332"/>
      <c r="AD644" s="332"/>
      <c r="AE644" s="332"/>
      <c r="AF644" s="332"/>
      <c r="AG644" s="332"/>
      <c r="AH644" s="332"/>
      <c r="AI644" s="332"/>
      <c r="AJ644" s="333"/>
      <c r="AK644" s="333"/>
      <c r="AL644" s="333"/>
      <c r="AM644" s="333"/>
    </row>
    <row r="645" spans="2:39" s="316" customFormat="1" ht="26.25" customHeight="1" x14ac:dyDescent="0.2">
      <c r="B645" s="371" t="str">
        <f t="array" ref="B645">IF(ISERROR(INDEX('Eingabe Meldungen'!$C$2:$C$492,LARGE(('Eingabe Meldungen'!$A$2:$A$492=$B$631)*(ROW('Eingabe Meldungen'!$A$2:$A$492)-1),COUNTIF('Eingabe Meldungen'!$A$2:$A$492,$B$631)+1-ROW('Eingabe Meldungen'!A13)))),"",INDEX('Eingabe Meldungen'!$C$2:$C$492,LARGE(('Eingabe Meldungen'!$A$2:$A$492=$B$631)*(ROW('Eingabe Meldungen'!$A$2:$A$492)-1),COUNTIF('Eingabe Meldungen'!$A$2:$A$492,$B$631)+1-ROW('Eingabe Meldungen'!A13))))</f>
        <v/>
      </c>
      <c r="C645" s="372" t="str">
        <f t="array" ref="C645">IF(ISERROR(INDEX('Eingabe Meldungen'!$D$2:$D$492,LARGE(('Eingabe Meldungen'!$A$2:$A$492=$B$631)*(ROW('Eingabe Meldungen'!$A$2:$A$492)-1),COUNTIF('Eingabe Meldungen'!$A$2:$A$492,$B$631)+1-ROW('Eingabe Meldungen'!A13)))),"",INDEX('Eingabe Meldungen'!$D$2:$D$492,LARGE(('Eingabe Meldungen'!$A$2:$A$492=$B$631)*(ROW('Eingabe Meldungen'!$A$2:$A$492)-1),COUNTIF('Eingabe Meldungen'!$A$2:$A$492,$B$631)+1-ROW('Eingabe Meldungen'!A13))))</f>
        <v/>
      </c>
      <c r="D645" s="373" t="str">
        <f t="array" ref="D645">IF(B645&lt;&gt;"",INDEX('Eingabe Meldungen'!$C$2:$H$492,MATCH(B645&amp;C645,'Eingabe Meldungen'!$C$2:$C$492&amp;'Eingabe Meldungen'!$D$2:$D$492,0),6),"")</f>
        <v/>
      </c>
      <c r="E645" s="386" t="str">
        <f t="array" ref="E645">IF(B645&lt;&gt;"",INDEX('Eingabe Meldungen'!$C$2:$H$492,MATCH(B645&amp;C645,'Eingabe Meldungen'!$C$2:$C$492&amp;'Eingabe Meldungen'!$D$2:$D$492,0),4),"")</f>
        <v/>
      </c>
      <c r="F645" s="441" t="str">
        <f>IF(VLOOKUP(B645,Rennlisten!$B$384:$H$403,6,FALSE)=0,"",VLOOKUP(B645,Rennlisten!$B$384:$H$403,6,FALSE))</f>
        <v/>
      </c>
      <c r="G645" s="374" t="e">
        <f t="shared" si="64"/>
        <v>#VALUE!</v>
      </c>
      <c r="H645" s="375" t="str">
        <f t="array" ref="H645">IF(B645&lt;&gt;"",INDEX('Eingabe Meldungen'!$C$2:$J$492,MATCH(B645&amp;C645,'Eingabe Meldungen'!$C$2:$C$492&amp;'Eingabe Meldungen'!$D$2:$D$492,0),8),"")</f>
        <v/>
      </c>
      <c r="J645" s="332"/>
      <c r="K645" s="332"/>
      <c r="L645" s="332"/>
      <c r="M645" s="332"/>
      <c r="N645" s="332"/>
      <c r="O645" s="332"/>
      <c r="P645" s="332"/>
      <c r="Q645" s="332"/>
      <c r="R645" s="332"/>
      <c r="S645" s="332"/>
      <c r="T645" s="332"/>
      <c r="U645" s="332"/>
      <c r="V645" s="332"/>
      <c r="W645" s="332"/>
      <c r="X645" s="332"/>
      <c r="Y645" s="332"/>
      <c r="Z645" s="332"/>
      <c r="AA645" s="332"/>
      <c r="AB645" s="332"/>
      <c r="AC645" s="332"/>
      <c r="AD645" s="332"/>
      <c r="AE645" s="332"/>
      <c r="AF645" s="332"/>
      <c r="AG645" s="332"/>
      <c r="AH645" s="332"/>
      <c r="AI645" s="332"/>
      <c r="AJ645" s="333"/>
      <c r="AK645" s="333"/>
      <c r="AL645" s="333"/>
      <c r="AM645" s="333"/>
    </row>
    <row r="646" spans="2:39" s="316" customFormat="1" ht="26.25" customHeight="1" thickBot="1" x14ac:dyDescent="0.25">
      <c r="B646" s="376" t="str">
        <f t="array" ref="B646">IF(ISERROR(INDEX('Eingabe Meldungen'!$C$2:$C$492,LARGE(('Eingabe Meldungen'!$A$2:$A$492=$B$631)*(ROW('Eingabe Meldungen'!$A$2:$A$492)-1),COUNTIF('Eingabe Meldungen'!$A$2:$A$492,$B$631)+1-ROW('Eingabe Meldungen'!A14)))),"",INDEX('Eingabe Meldungen'!$C$2:$C$492,LARGE(('Eingabe Meldungen'!$A$2:$A$492=$B$631)*(ROW('Eingabe Meldungen'!$A$2:$A$492)-1),COUNTIF('Eingabe Meldungen'!$A$2:$A$492,$B$631)+1-ROW('Eingabe Meldungen'!A14))))</f>
        <v/>
      </c>
      <c r="C646" s="377" t="str">
        <f t="array" ref="C646">IF(ISERROR(INDEX('Eingabe Meldungen'!$D$2:$D$492,LARGE(('Eingabe Meldungen'!$A$2:$A$492=$B$631)*(ROW('Eingabe Meldungen'!$A$2:$A$492)-1),COUNTIF('Eingabe Meldungen'!$A$2:$A$492,$B$631)+1-ROW('Eingabe Meldungen'!A14)))),"",INDEX('Eingabe Meldungen'!$D$2:$D$492,LARGE(('Eingabe Meldungen'!$A$2:$A$492=$B$631)*(ROW('Eingabe Meldungen'!$A$2:$A$492)-1),COUNTIF('Eingabe Meldungen'!$A$2:$A$492,$B$631)+1-ROW('Eingabe Meldungen'!A14))))</f>
        <v/>
      </c>
      <c r="D646" s="378" t="str">
        <f t="array" ref="D646">IF(B646&lt;&gt;"",INDEX('Eingabe Meldungen'!$C$2:$H$492,MATCH(B646&amp;C646,'Eingabe Meldungen'!$C$2:$C$492&amp;'Eingabe Meldungen'!$D$2:$D$492,0),6),"")</f>
        <v/>
      </c>
      <c r="E646" s="387" t="str">
        <f t="array" ref="E646">IF(B646&lt;&gt;"",INDEX('Eingabe Meldungen'!$C$2:$H$492,MATCH(B646&amp;C646,'Eingabe Meldungen'!$C$2:$C$492&amp;'Eingabe Meldungen'!$D$2:$D$492,0),4),"")</f>
        <v/>
      </c>
      <c r="F646" s="442"/>
      <c r="G646" s="379" t="e">
        <f t="shared" si="64"/>
        <v>#N/A</v>
      </c>
      <c r="H646" s="380" t="str">
        <f t="array" ref="H646">IF(B646&lt;&gt;"",INDEX('Eingabe Meldungen'!$C$2:$J$492,MATCH(B646&amp;C646,'Eingabe Meldungen'!$C$2:$C$492&amp;'Eingabe Meldungen'!$D$2:$D$492,0),8),"")</f>
        <v/>
      </c>
      <c r="J646" s="332"/>
      <c r="K646" s="332"/>
      <c r="L646" s="332"/>
      <c r="M646" s="332"/>
      <c r="N646" s="332"/>
      <c r="O646" s="332"/>
      <c r="P646" s="332"/>
      <c r="Q646" s="332"/>
      <c r="R646" s="332"/>
      <c r="S646" s="332"/>
      <c r="T646" s="332"/>
      <c r="U646" s="332"/>
      <c r="V646" s="332"/>
      <c r="W646" s="332"/>
      <c r="X646" s="332"/>
      <c r="Y646" s="332"/>
      <c r="Z646" s="332"/>
      <c r="AA646" s="332"/>
      <c r="AB646" s="332"/>
      <c r="AC646" s="332"/>
      <c r="AD646" s="332"/>
      <c r="AE646" s="332"/>
      <c r="AF646" s="332"/>
      <c r="AG646" s="332"/>
      <c r="AH646" s="332"/>
      <c r="AI646" s="332"/>
      <c r="AJ646" s="333"/>
      <c r="AK646" s="333"/>
      <c r="AL646" s="333"/>
      <c r="AM646" s="333"/>
    </row>
    <row r="647" spans="2:39" s="316" customFormat="1" ht="26.25" customHeight="1" x14ac:dyDescent="0.2">
      <c r="B647" s="361" t="str">
        <f t="array" ref="B647">IF(ISERROR(INDEX('Eingabe Meldungen'!$C$2:$C$492,LARGE(('Eingabe Meldungen'!$A$2:$A$492=$B$631)*(ROW('Eingabe Meldungen'!$A$2:$A$492)-1),COUNTIF('Eingabe Meldungen'!$A$2:$A$492,$B$631)+1-ROW('Eingabe Meldungen'!A15)))),"",INDEX('Eingabe Meldungen'!$C$2:$C$492,LARGE(('Eingabe Meldungen'!$A$2:$A$492=$B$631)*(ROW('Eingabe Meldungen'!$A$2:$A$492)-1),COUNTIF('Eingabe Meldungen'!$A$2:$A$492,$B$631)+1-ROW('Eingabe Meldungen'!A15))))</f>
        <v/>
      </c>
      <c r="C647" s="362" t="str">
        <f t="array" ref="C647">IF(ISERROR(INDEX('Eingabe Meldungen'!$D$2:$D$492,LARGE(('Eingabe Meldungen'!$A$2:$A$492=$B$631)*(ROW('Eingabe Meldungen'!$A$2:$A$492)-1),COUNTIF('Eingabe Meldungen'!$A$2:$A$492,$B$631)+1-ROW('Eingabe Meldungen'!A15)))),"",INDEX('Eingabe Meldungen'!$D$2:$D$492,LARGE(('Eingabe Meldungen'!$A$2:$A$492=$B$631)*(ROW('Eingabe Meldungen'!$A$2:$A$492)-1),COUNTIF('Eingabe Meldungen'!$A$2:$A$492,$B$631)+1-ROW('Eingabe Meldungen'!A15))))</f>
        <v/>
      </c>
      <c r="D647" s="363" t="str">
        <f t="array" ref="D647">IF(B647&lt;&gt;"",INDEX('Eingabe Meldungen'!$C$2:$H$492,MATCH(B647&amp;C647,'Eingabe Meldungen'!$C$2:$C$492&amp;'Eingabe Meldungen'!$D$2:$D$492,0),6),"")</f>
        <v/>
      </c>
      <c r="E647" s="384" t="str">
        <f t="array" ref="E647">IF(B647&lt;&gt;"",INDEX('Eingabe Meldungen'!$C$2:$H$492,MATCH(B647&amp;C647,'Eingabe Meldungen'!$C$2:$C$492&amp;'Eingabe Meldungen'!$D$2:$D$492,0),4),"")</f>
        <v/>
      </c>
      <c r="F647" s="441" t="str">
        <f>IF(VLOOKUP(B647,Rennlisten!$B$384:$H$403,6,FALSE)=0,"",VLOOKUP(B647,Rennlisten!$B$384:$H$403,6,FALSE))</f>
        <v/>
      </c>
      <c r="G647" s="364" t="e">
        <f t="shared" si="64"/>
        <v>#VALUE!</v>
      </c>
      <c r="H647" s="365" t="str">
        <f t="array" ref="H647">IF(B647&lt;&gt;"",INDEX('Eingabe Meldungen'!$C$2:$J$492,MATCH(B647&amp;C647,'Eingabe Meldungen'!$C$2:$C$492&amp;'Eingabe Meldungen'!$D$2:$D$492,0),8),"")</f>
        <v/>
      </c>
      <c r="J647" s="332"/>
      <c r="K647" s="332"/>
      <c r="L647" s="332"/>
      <c r="M647" s="332"/>
      <c r="N647" s="332"/>
      <c r="O647" s="332"/>
      <c r="P647" s="332"/>
      <c r="Q647" s="332"/>
      <c r="R647" s="332"/>
      <c r="S647" s="332"/>
      <c r="T647" s="332"/>
      <c r="U647" s="332"/>
      <c r="V647" s="332"/>
      <c r="W647" s="332"/>
      <c r="X647" s="332"/>
      <c r="Y647" s="332"/>
      <c r="Z647" s="332"/>
      <c r="AA647" s="332"/>
      <c r="AB647" s="332"/>
      <c r="AC647" s="332"/>
      <c r="AD647" s="332"/>
      <c r="AE647" s="332"/>
      <c r="AF647" s="332"/>
      <c r="AG647" s="332"/>
      <c r="AH647" s="332"/>
      <c r="AI647" s="332"/>
      <c r="AJ647" s="333"/>
      <c r="AK647" s="333"/>
      <c r="AL647" s="333"/>
      <c r="AM647" s="333"/>
    </row>
    <row r="648" spans="2:39" s="316" customFormat="1" ht="26.25" customHeight="1" thickBot="1" x14ac:dyDescent="0.25">
      <c r="B648" s="366" t="str">
        <f t="array" ref="B648">IF(ISERROR(INDEX('Eingabe Meldungen'!$C$2:$C$492,LARGE(('Eingabe Meldungen'!$A$2:$A$492=$B$631)*(ROW('Eingabe Meldungen'!$A$2:$A$492)-1),COUNTIF('Eingabe Meldungen'!$A$2:$A$492,$B$631)+1-ROW('Eingabe Meldungen'!A16)))),"",INDEX('Eingabe Meldungen'!$C$2:$C$492,LARGE(('Eingabe Meldungen'!$A$2:$A$492=$B$631)*(ROW('Eingabe Meldungen'!$A$2:$A$492)-1),COUNTIF('Eingabe Meldungen'!$A$2:$A$492,$B$631)+1-ROW('Eingabe Meldungen'!A16))))</f>
        <v/>
      </c>
      <c r="C648" s="367" t="str">
        <f t="array" ref="C648">IF(ISERROR(INDEX('Eingabe Meldungen'!$D$2:$D$492,LARGE(('Eingabe Meldungen'!$A$2:$A$492=$B$631)*(ROW('Eingabe Meldungen'!$A$2:$A$492)-1),COUNTIF('Eingabe Meldungen'!$A$2:$A$492,$B$631)+1-ROW('Eingabe Meldungen'!A16)))),"",INDEX('Eingabe Meldungen'!$D$2:$D$492,LARGE(('Eingabe Meldungen'!$A$2:$A$492=$B$631)*(ROW('Eingabe Meldungen'!$A$2:$A$492)-1),COUNTIF('Eingabe Meldungen'!$A$2:$A$492,$B$631)+1-ROW('Eingabe Meldungen'!A16))))</f>
        <v/>
      </c>
      <c r="D648" s="368" t="str">
        <f t="array" ref="D648">IF(B648&lt;&gt;"",INDEX('Eingabe Meldungen'!$C$2:$H$492,MATCH(B648&amp;C648,'Eingabe Meldungen'!$C$2:$C$492&amp;'Eingabe Meldungen'!$D$2:$D$492,0),6),"")</f>
        <v/>
      </c>
      <c r="E648" s="385" t="str">
        <f t="array" ref="E648">IF(B648&lt;&gt;"",INDEX('Eingabe Meldungen'!$C$2:$H$492,MATCH(B648&amp;C648,'Eingabe Meldungen'!$C$2:$C$492&amp;'Eingabe Meldungen'!$D$2:$D$492,0),4),"")</f>
        <v/>
      </c>
      <c r="F648" s="442"/>
      <c r="G648" s="369" t="e">
        <f t="shared" si="64"/>
        <v>#N/A</v>
      </c>
      <c r="H648" s="370" t="str">
        <f t="array" ref="H648">IF(B648&lt;&gt;"",INDEX('Eingabe Meldungen'!$C$2:$J$492,MATCH(B648&amp;C648,'Eingabe Meldungen'!$C$2:$C$492&amp;'Eingabe Meldungen'!$D$2:$D$492,0),8),"")</f>
        <v/>
      </c>
      <c r="J648" s="332"/>
      <c r="K648" s="332"/>
      <c r="L648" s="332"/>
      <c r="M648" s="332"/>
      <c r="N648" s="332"/>
      <c r="O648" s="332"/>
      <c r="P648" s="332"/>
      <c r="Q648" s="332"/>
      <c r="R648" s="332"/>
      <c r="S648" s="332"/>
      <c r="T648" s="332"/>
      <c r="U648" s="332"/>
      <c r="V648" s="332"/>
      <c r="W648" s="332"/>
      <c r="X648" s="332"/>
      <c r="Y648" s="332"/>
      <c r="Z648" s="332"/>
      <c r="AA648" s="332"/>
      <c r="AB648" s="332"/>
      <c r="AC648" s="332"/>
      <c r="AD648" s="332"/>
      <c r="AE648" s="332"/>
      <c r="AF648" s="332"/>
      <c r="AG648" s="332"/>
      <c r="AH648" s="332"/>
      <c r="AI648" s="332"/>
      <c r="AJ648" s="333"/>
      <c r="AK648" s="333"/>
      <c r="AL648" s="333"/>
      <c r="AM648" s="333"/>
    </row>
    <row r="649" spans="2:39" s="316" customFormat="1" ht="26.25" customHeight="1" x14ac:dyDescent="0.2">
      <c r="B649" s="371" t="str">
        <f t="array" ref="B649">IF(ISERROR(INDEX('Eingabe Meldungen'!$C$2:$C$492,LARGE(('Eingabe Meldungen'!$A$2:$A$492=$B$631)*(ROW('Eingabe Meldungen'!$A$2:$A$492)-1),COUNTIF('Eingabe Meldungen'!$A$2:$A$492,$B$631)+1-ROW('Eingabe Meldungen'!A17)))),"",INDEX('Eingabe Meldungen'!$C$2:$C$492,LARGE(('Eingabe Meldungen'!$A$2:$A$492=$B$631)*(ROW('Eingabe Meldungen'!$A$2:$A$492)-1),COUNTIF('Eingabe Meldungen'!$A$2:$A$492,$B$631)+1-ROW('Eingabe Meldungen'!A17))))</f>
        <v/>
      </c>
      <c r="C649" s="372" t="str">
        <f t="array" ref="C649">IF(ISERROR(INDEX('Eingabe Meldungen'!$D$2:$D$492,LARGE(('Eingabe Meldungen'!$A$2:$A$492=$B$631)*(ROW('Eingabe Meldungen'!$A$2:$A$492)-1),COUNTIF('Eingabe Meldungen'!$A$2:$A$492,$B$631)+1-ROW('Eingabe Meldungen'!A17)))),"",INDEX('Eingabe Meldungen'!$D$2:$D$492,LARGE(('Eingabe Meldungen'!$A$2:$A$492=$B$631)*(ROW('Eingabe Meldungen'!$A$2:$A$492)-1),COUNTIF('Eingabe Meldungen'!$A$2:$A$492,$B$631)+1-ROW('Eingabe Meldungen'!A17))))</f>
        <v/>
      </c>
      <c r="D649" s="373" t="str">
        <f t="array" ref="D649">IF(B649&lt;&gt;"",INDEX('Eingabe Meldungen'!$C$2:$H$492,MATCH(B649&amp;C649,'Eingabe Meldungen'!$C$2:$C$492&amp;'Eingabe Meldungen'!$D$2:$D$492,0),6),"")</f>
        <v/>
      </c>
      <c r="E649" s="386" t="str">
        <f t="array" ref="E649">IF(B649&lt;&gt;"",INDEX('Eingabe Meldungen'!$C$2:$H$492,MATCH(B649&amp;C649,'Eingabe Meldungen'!$C$2:$C$492&amp;'Eingabe Meldungen'!$D$2:$D$492,0),4),"")</f>
        <v/>
      </c>
      <c r="F649" s="441" t="str">
        <f>IF(VLOOKUP(B649,Rennlisten!$B$384:$H$403,6,FALSE)=0,"",VLOOKUP(B649,Rennlisten!$B$384:$H$403,6,FALSE))</f>
        <v/>
      </c>
      <c r="G649" s="374" t="e">
        <f t="shared" si="64"/>
        <v>#VALUE!</v>
      </c>
      <c r="H649" s="375" t="str">
        <f t="array" ref="H649">IF(B649&lt;&gt;"",INDEX('Eingabe Meldungen'!$C$2:$J$492,MATCH(B649&amp;C649,'Eingabe Meldungen'!$C$2:$C$492&amp;'Eingabe Meldungen'!$D$2:$D$492,0),8),"")</f>
        <v/>
      </c>
      <c r="J649" s="332"/>
      <c r="K649" s="332"/>
      <c r="L649" s="332"/>
      <c r="M649" s="332"/>
      <c r="N649" s="332"/>
      <c r="O649" s="332"/>
      <c r="P649" s="332"/>
      <c r="Q649" s="332"/>
      <c r="R649" s="332"/>
      <c r="S649" s="332"/>
      <c r="T649" s="332"/>
      <c r="U649" s="332"/>
      <c r="V649" s="332"/>
      <c r="W649" s="332"/>
      <c r="X649" s="332"/>
      <c r="Y649" s="332"/>
      <c r="Z649" s="332"/>
      <c r="AA649" s="332"/>
      <c r="AB649" s="332"/>
      <c r="AC649" s="332"/>
      <c r="AD649" s="332"/>
      <c r="AE649" s="332"/>
      <c r="AF649" s="332"/>
      <c r="AG649" s="332"/>
      <c r="AH649" s="332"/>
      <c r="AI649" s="332"/>
      <c r="AJ649" s="333"/>
      <c r="AK649" s="333"/>
      <c r="AL649" s="333"/>
      <c r="AM649" s="333"/>
    </row>
    <row r="650" spans="2:39" s="316" customFormat="1" ht="26.25" customHeight="1" thickBot="1" x14ac:dyDescent="0.25">
      <c r="B650" s="376" t="str">
        <f t="array" ref="B650">IF(ISERROR(INDEX('Eingabe Meldungen'!$C$2:$C$492,LARGE(('Eingabe Meldungen'!$A$2:$A$492=$B$631)*(ROW('Eingabe Meldungen'!$A$2:$A$492)-1),COUNTIF('Eingabe Meldungen'!$A$2:$A$492,$B$631)+1-ROW('Eingabe Meldungen'!A18)))),"",INDEX('Eingabe Meldungen'!$C$2:$C$492,LARGE(('Eingabe Meldungen'!$A$2:$A$492=$B$631)*(ROW('Eingabe Meldungen'!$A$2:$A$492)-1),COUNTIF('Eingabe Meldungen'!$A$2:$A$492,$B$631)+1-ROW('Eingabe Meldungen'!A18))))</f>
        <v/>
      </c>
      <c r="C650" s="377" t="str">
        <f t="array" ref="C650">IF(ISERROR(INDEX('Eingabe Meldungen'!$D$2:$D$492,LARGE(('Eingabe Meldungen'!$A$2:$A$492=$B$631)*(ROW('Eingabe Meldungen'!$A$2:$A$492)-1),COUNTIF('Eingabe Meldungen'!$A$2:$A$492,$B$631)+1-ROW('Eingabe Meldungen'!A18)))),"",INDEX('Eingabe Meldungen'!$D$2:$D$492,LARGE(('Eingabe Meldungen'!$A$2:$A$492=$B$631)*(ROW('Eingabe Meldungen'!$A$2:$A$492)-1),COUNTIF('Eingabe Meldungen'!$A$2:$A$492,$B$631)+1-ROW('Eingabe Meldungen'!A18))))</f>
        <v/>
      </c>
      <c r="D650" s="378" t="str">
        <f t="array" ref="D650">IF(B650&lt;&gt;"",INDEX('Eingabe Meldungen'!$C$2:$H$492,MATCH(B650&amp;C650,'Eingabe Meldungen'!$C$2:$C$492&amp;'Eingabe Meldungen'!$D$2:$D$492,0),6),"")</f>
        <v/>
      </c>
      <c r="E650" s="387" t="str">
        <f t="array" ref="E650">IF(B650&lt;&gt;"",INDEX('Eingabe Meldungen'!$C$2:$H$492,MATCH(B650&amp;C650,'Eingabe Meldungen'!$C$2:$C$492&amp;'Eingabe Meldungen'!$D$2:$D$492,0),4),"")</f>
        <v/>
      </c>
      <c r="F650" s="443"/>
      <c r="G650" s="379" t="e">
        <f t="shared" si="64"/>
        <v>#N/A</v>
      </c>
      <c r="H650" s="380" t="str">
        <f t="array" ref="H650">IF(B650&lt;&gt;"",INDEX('Eingabe Meldungen'!$C$2:$J$492,MATCH(B650&amp;C650,'Eingabe Meldungen'!$C$2:$C$492&amp;'Eingabe Meldungen'!$D$2:$D$492,0),8),"")</f>
        <v/>
      </c>
      <c r="J650" s="332"/>
      <c r="K650" s="332"/>
      <c r="L650" s="332"/>
      <c r="M650" s="332"/>
      <c r="N650" s="332"/>
      <c r="O650" s="332"/>
      <c r="P650" s="332"/>
      <c r="Q650" s="332"/>
      <c r="R650" s="332"/>
      <c r="S650" s="332"/>
      <c r="T650" s="332"/>
      <c r="U650" s="332"/>
      <c r="V650" s="332"/>
      <c r="W650" s="332"/>
      <c r="X650" s="332"/>
      <c r="Y650" s="332"/>
      <c r="Z650" s="332"/>
      <c r="AA650" s="332"/>
      <c r="AB650" s="332"/>
      <c r="AC650" s="332"/>
      <c r="AD650" s="332"/>
      <c r="AE650" s="332"/>
      <c r="AF650" s="332"/>
      <c r="AG650" s="332"/>
      <c r="AH650" s="332"/>
      <c r="AI650" s="332"/>
      <c r="AJ650" s="333"/>
      <c r="AK650" s="333"/>
      <c r="AL650" s="333"/>
      <c r="AM650" s="333"/>
    </row>
    <row r="651" spans="2:39" s="316" customFormat="1" ht="26.25" customHeight="1" x14ac:dyDescent="0.2">
      <c r="B651" s="361" t="str">
        <f t="array" ref="B651">IF(ISERROR(INDEX('Eingabe Meldungen'!$C$2:$C$492,LARGE(('Eingabe Meldungen'!$A$2:$A$492=$B$631)*(ROW('Eingabe Meldungen'!$A$2:$A$492)-1),COUNTIF('Eingabe Meldungen'!$A$2:$A$492,$B$631)+1-ROW('Eingabe Meldungen'!A19)))),"",INDEX('Eingabe Meldungen'!$C$2:$C$492,LARGE(('Eingabe Meldungen'!$A$2:$A$492=$B$631)*(ROW('Eingabe Meldungen'!$A$2:$A$492)-1),COUNTIF('Eingabe Meldungen'!$A$2:$A$492,$B$631)+1-ROW('Eingabe Meldungen'!A19))))</f>
        <v/>
      </c>
      <c r="C651" s="362" t="str">
        <f t="array" ref="C651">IF(ISERROR(INDEX('Eingabe Meldungen'!$D$2:$D$492,LARGE(('Eingabe Meldungen'!$A$2:$A$492=$B$631)*(ROW('Eingabe Meldungen'!$A$2:$A$492)-1),COUNTIF('Eingabe Meldungen'!$A$2:$A$492,$B$631)+1-ROW('Eingabe Meldungen'!A19)))),"",INDEX('Eingabe Meldungen'!$D$2:$D$492,LARGE(('Eingabe Meldungen'!$A$2:$A$492=$B$631)*(ROW('Eingabe Meldungen'!$A$2:$A$492)-1),COUNTIF('Eingabe Meldungen'!$A$2:$A$492,$B$631)+1-ROW('Eingabe Meldungen'!A19))))</f>
        <v/>
      </c>
      <c r="D651" s="363" t="str">
        <f t="array" ref="D651">IF(B651&lt;&gt;"",INDEX('Eingabe Meldungen'!$C$2:$H$492,MATCH(B651&amp;C651,'Eingabe Meldungen'!$C$2:$C$492&amp;'Eingabe Meldungen'!$D$2:$D$492,0),6),"")</f>
        <v/>
      </c>
      <c r="E651" s="384" t="str">
        <f t="array" ref="E651">IF(B651&lt;&gt;"",INDEX('Eingabe Meldungen'!$C$2:$H$492,MATCH(B651&amp;C651,'Eingabe Meldungen'!$C$2:$C$492&amp;'Eingabe Meldungen'!$D$2:$D$492,0),4),"")</f>
        <v/>
      </c>
      <c r="F651" s="441" t="str">
        <f>IF(VLOOKUP(B651,Rennlisten!$B$384:$H$403,6,FALSE)=0,"",VLOOKUP(B651,Rennlisten!$B$384:$H$403,6,FALSE))</f>
        <v/>
      </c>
      <c r="G651" s="364" t="e">
        <f t="shared" si="64"/>
        <v>#VALUE!</v>
      </c>
      <c r="H651" s="365" t="str">
        <f t="array" ref="H651">IF(B651&lt;&gt;"",INDEX('Eingabe Meldungen'!$C$2:$J$492,MATCH(B651&amp;C651,'Eingabe Meldungen'!$C$2:$C$492&amp;'Eingabe Meldungen'!$D$2:$D$492,0),8),"")</f>
        <v/>
      </c>
      <c r="J651" s="332"/>
      <c r="K651" s="332"/>
      <c r="L651" s="332"/>
      <c r="M651" s="332"/>
      <c r="N651" s="332"/>
      <c r="O651" s="332"/>
      <c r="P651" s="332"/>
      <c r="Q651" s="332"/>
      <c r="R651" s="332"/>
      <c r="S651" s="332"/>
      <c r="T651" s="332"/>
      <c r="U651" s="332"/>
      <c r="V651" s="332"/>
      <c r="W651" s="332"/>
      <c r="X651" s="332"/>
      <c r="Y651" s="332"/>
      <c r="Z651" s="332"/>
      <c r="AA651" s="332"/>
      <c r="AB651" s="332"/>
      <c r="AC651" s="332"/>
      <c r="AD651" s="332"/>
      <c r="AE651" s="332"/>
      <c r="AF651" s="332"/>
      <c r="AG651" s="332"/>
      <c r="AH651" s="332"/>
      <c r="AI651" s="332"/>
      <c r="AJ651" s="333"/>
      <c r="AK651" s="333"/>
      <c r="AL651" s="333"/>
      <c r="AM651" s="333"/>
    </row>
    <row r="652" spans="2:39" s="316" customFormat="1" ht="26.25" customHeight="1" thickBot="1" x14ac:dyDescent="0.25">
      <c r="B652" s="366" t="str">
        <f t="array" ref="B652">IF(ISERROR(INDEX('Eingabe Meldungen'!$C$2:$C$492,LARGE(('Eingabe Meldungen'!$A$2:$A$492=$B$631)*(ROW('Eingabe Meldungen'!$A$2:$A$492)-1),COUNTIF('Eingabe Meldungen'!$A$2:$A$492,$B$631)+1-ROW('Eingabe Meldungen'!A20)))),"",INDEX('Eingabe Meldungen'!$C$2:$C$492,LARGE(('Eingabe Meldungen'!$A$2:$A$492=$B$631)*(ROW('Eingabe Meldungen'!$A$2:$A$492)-1),COUNTIF('Eingabe Meldungen'!$A$2:$A$492,$B$631)+1-ROW('Eingabe Meldungen'!A20))))</f>
        <v/>
      </c>
      <c r="C652" s="367" t="str">
        <f t="array" ref="C652">IF(ISERROR(INDEX('Eingabe Meldungen'!$D$2:$D$492,LARGE(('Eingabe Meldungen'!$A$2:$A$492=$B$631)*(ROW('Eingabe Meldungen'!$A$2:$A$492)-1),COUNTIF('Eingabe Meldungen'!$A$2:$A$492,$B$631)+1-ROW('Eingabe Meldungen'!A20)))),"",INDEX('Eingabe Meldungen'!$D$2:$D$492,LARGE(('Eingabe Meldungen'!$A$2:$A$492=$B$631)*(ROW('Eingabe Meldungen'!$A$2:$A$492)-1),COUNTIF('Eingabe Meldungen'!$A$2:$A$492,$B$631)+1-ROW('Eingabe Meldungen'!A20))))</f>
        <v/>
      </c>
      <c r="D652" s="368" t="str">
        <f t="array" ref="D652">IF(B652&lt;&gt;"",INDEX('Eingabe Meldungen'!$C$2:$H$492,MATCH(B652&amp;C652,'Eingabe Meldungen'!$C$2:$C$492&amp;'Eingabe Meldungen'!$D$2:$D$492,0),6),"")</f>
        <v/>
      </c>
      <c r="E652" s="385" t="str">
        <f t="array" ref="E652">IF(B652&lt;&gt;"",INDEX('Eingabe Meldungen'!$C$2:$H$492,MATCH(B652&amp;C652,'Eingabe Meldungen'!$C$2:$C$492&amp;'Eingabe Meldungen'!$D$2:$D$492,0),4),"")</f>
        <v/>
      </c>
      <c r="F652" s="442"/>
      <c r="G652" s="369" t="e">
        <f t="shared" si="64"/>
        <v>#N/A</v>
      </c>
      <c r="H652" s="370" t="str">
        <f t="array" ref="H652">IF(B652&lt;&gt;"",INDEX('Eingabe Meldungen'!$C$2:$J$492,MATCH(B652&amp;C652,'Eingabe Meldungen'!$C$2:$C$492&amp;'Eingabe Meldungen'!$D$2:$D$492,0),8),"")</f>
        <v/>
      </c>
      <c r="J652" s="332"/>
      <c r="K652" s="332"/>
      <c r="L652" s="332"/>
      <c r="M652" s="332"/>
      <c r="N652" s="332"/>
      <c r="O652" s="332"/>
      <c r="P652" s="332"/>
      <c r="Q652" s="332"/>
      <c r="R652" s="332"/>
      <c r="S652" s="332"/>
      <c r="T652" s="332"/>
      <c r="U652" s="332"/>
      <c r="V652" s="332"/>
      <c r="W652" s="332"/>
      <c r="X652" s="332"/>
      <c r="Y652" s="332"/>
      <c r="Z652" s="332"/>
      <c r="AA652" s="332"/>
      <c r="AB652" s="332"/>
      <c r="AC652" s="332"/>
      <c r="AD652" s="332"/>
      <c r="AE652" s="332"/>
      <c r="AF652" s="332"/>
      <c r="AG652" s="332"/>
      <c r="AH652" s="332"/>
      <c r="AI652" s="332"/>
      <c r="AJ652" s="333"/>
      <c r="AK652" s="333"/>
      <c r="AL652" s="333"/>
      <c r="AM652" s="333"/>
    </row>
    <row r="653" spans="2:39" x14ac:dyDescent="0.2">
      <c r="J653"/>
    </row>
    <row r="654" spans="2:39" hidden="1" x14ac:dyDescent="0.2">
      <c r="B654" s="26">
        <f>B631+1</f>
        <v>30</v>
      </c>
      <c r="C654" s="65" t="e">
        <f>VLOOKUP(B654,Ausschreibung!$B$5:$I$35,2,FALSE)</f>
        <v>#N/A</v>
      </c>
      <c r="D654" s="27" t="e">
        <f>VLOOKUP(B654,Ausschreibung!$B$5:$I$35,3,FALSE)</f>
        <v>#N/A</v>
      </c>
      <c r="E654" s="65" t="e">
        <f>VLOOKUP(B654,Ausschreibung!$B$5:$I$35,4,FALSE)</f>
        <v>#N/A</v>
      </c>
      <c r="F654" s="68" t="e">
        <f>VLOOKUP(B654,Ausschreibung!$B$5:$I$35,5,FALSE)</f>
        <v>#N/A</v>
      </c>
      <c r="G654" s="65" t="e">
        <f>VLOOKUP(B654,Ausschreibung!$B$5:$I$35,6,FALSE)</f>
        <v>#N/A</v>
      </c>
      <c r="H654" s="28" t="e">
        <f>VLOOKUP(B654,Ausschreibung!$B$5:$I$35,8,FALSE)</f>
        <v>#N/A</v>
      </c>
      <c r="J654" s="20" t="e">
        <f t="shared" ref="J654:K673" si="65">IF(EXACT($H654,J$4),$I654,"")</f>
        <v>#N/A</v>
      </c>
      <c r="K654" s="20" t="e">
        <f t="shared" si="65"/>
        <v>#N/A</v>
      </c>
      <c r="L654" s="20" t="e">
        <f>IF(EXACT($H654,#REF!),$I654,"")</f>
        <v>#N/A</v>
      </c>
      <c r="M654" s="20" t="e">
        <f t="shared" ref="M654:M685" si="66">IF(EXACT($H654,L$4),$I654,"")</f>
        <v>#N/A</v>
      </c>
      <c r="N654" s="20" t="e">
        <f t="shared" ref="N654:W663" si="67">IF(EXACT($H654,N$4),$I654,"")</f>
        <v>#N/A</v>
      </c>
      <c r="O654" s="20" t="e">
        <f t="shared" si="67"/>
        <v>#N/A</v>
      </c>
      <c r="P654" s="20" t="e">
        <f t="shared" si="67"/>
        <v>#N/A</v>
      </c>
      <c r="Q654" s="20" t="e">
        <f t="shared" si="67"/>
        <v>#N/A</v>
      </c>
      <c r="R654" s="20" t="e">
        <f t="shared" si="67"/>
        <v>#N/A</v>
      </c>
      <c r="S654" s="20" t="e">
        <f t="shared" si="67"/>
        <v>#N/A</v>
      </c>
      <c r="T654" s="20" t="e">
        <f t="shared" si="67"/>
        <v>#N/A</v>
      </c>
      <c r="U654" s="20" t="e">
        <f t="shared" si="67"/>
        <v>#N/A</v>
      </c>
      <c r="V654" s="20" t="e">
        <f t="shared" si="67"/>
        <v>#N/A</v>
      </c>
      <c r="W654" s="20" t="e">
        <f t="shared" si="67"/>
        <v>#N/A</v>
      </c>
      <c r="X654" s="20" t="e">
        <f t="shared" ref="X654:AI663" si="68">IF(EXACT($H654,X$4),$I654,"")</f>
        <v>#N/A</v>
      </c>
      <c r="Y654" s="20" t="e">
        <f t="shared" si="68"/>
        <v>#N/A</v>
      </c>
      <c r="Z654" s="20" t="e">
        <f t="shared" si="68"/>
        <v>#N/A</v>
      </c>
      <c r="AA654" s="20" t="e">
        <f t="shared" si="68"/>
        <v>#N/A</v>
      </c>
      <c r="AB654" s="20" t="e">
        <f t="shared" si="68"/>
        <v>#N/A</v>
      </c>
      <c r="AC654" s="20" t="e">
        <f t="shared" si="68"/>
        <v>#N/A</v>
      </c>
      <c r="AD654" s="20" t="e">
        <f t="shared" si="68"/>
        <v>#N/A</v>
      </c>
      <c r="AE654" s="20"/>
      <c r="AF654" s="20"/>
      <c r="AG654" s="20" t="e">
        <f t="shared" si="68"/>
        <v>#N/A</v>
      </c>
      <c r="AH654" s="20" t="e">
        <f t="shared" si="68"/>
        <v>#N/A</v>
      </c>
      <c r="AI654" s="20" t="e">
        <f t="shared" si="68"/>
        <v>#N/A</v>
      </c>
    </row>
    <row r="655" spans="2:39" hidden="1" x14ac:dyDescent="0.2">
      <c r="B655" s="19" t="s">
        <v>1</v>
      </c>
      <c r="C655" s="18" t="s">
        <v>2</v>
      </c>
      <c r="D655" s="17" t="s">
        <v>49</v>
      </c>
      <c r="E655" s="130" t="s">
        <v>16</v>
      </c>
      <c r="F655" s="17" t="s">
        <v>50</v>
      </c>
      <c r="G655" s="17" t="s">
        <v>51</v>
      </c>
      <c r="H655" s="30" t="s">
        <v>17</v>
      </c>
      <c r="J655" s="20" t="str">
        <f t="shared" si="65"/>
        <v/>
      </c>
      <c r="K655" s="20" t="str">
        <f t="shared" si="65"/>
        <v/>
      </c>
      <c r="L655" s="20" t="e">
        <f>IF(EXACT($H655,#REF!),$I655,"")</f>
        <v>#REF!</v>
      </c>
      <c r="M655" s="20" t="str">
        <f t="shared" si="66"/>
        <v/>
      </c>
      <c r="N655" s="20" t="str">
        <f t="shared" si="67"/>
        <v/>
      </c>
      <c r="O655" s="20" t="str">
        <f t="shared" si="67"/>
        <v/>
      </c>
      <c r="P655" s="20" t="str">
        <f t="shared" si="67"/>
        <v/>
      </c>
      <c r="Q655" s="20" t="str">
        <f t="shared" si="67"/>
        <v/>
      </c>
      <c r="R655" s="20" t="str">
        <f t="shared" si="67"/>
        <v/>
      </c>
      <c r="S655" s="20" t="str">
        <f t="shared" si="67"/>
        <v/>
      </c>
      <c r="T655" s="20" t="str">
        <f t="shared" si="67"/>
        <v/>
      </c>
      <c r="U655" s="20" t="str">
        <f t="shared" si="67"/>
        <v/>
      </c>
      <c r="V655" s="20" t="str">
        <f t="shared" si="67"/>
        <v/>
      </c>
      <c r="W655" s="20" t="str">
        <f t="shared" si="67"/>
        <v/>
      </c>
      <c r="X655" s="20" t="str">
        <f t="shared" si="68"/>
        <v/>
      </c>
      <c r="Y655" s="20" t="str">
        <f t="shared" si="68"/>
        <v/>
      </c>
      <c r="Z655" s="20" t="str">
        <f t="shared" si="68"/>
        <v/>
      </c>
      <c r="AA655" s="20" t="str">
        <f t="shared" si="68"/>
        <v/>
      </c>
      <c r="AB655" s="20" t="str">
        <f t="shared" si="68"/>
        <v/>
      </c>
      <c r="AC655" s="20" t="str">
        <f t="shared" si="68"/>
        <v/>
      </c>
      <c r="AD655" s="20" t="str">
        <f t="shared" si="68"/>
        <v/>
      </c>
      <c r="AE655" s="20"/>
      <c r="AF655" s="20"/>
      <c r="AG655" s="20" t="str">
        <f t="shared" si="68"/>
        <v/>
      </c>
      <c r="AH655" s="20" t="str">
        <f t="shared" si="68"/>
        <v/>
      </c>
      <c r="AI655" s="20" t="str">
        <f t="shared" si="68"/>
        <v/>
      </c>
    </row>
    <row r="656" spans="2:39" hidden="1" x14ac:dyDescent="0.2">
      <c r="B656" s="20" t="str">
        <f t="array" ref="B656">IF(ISERROR(INDEX('Eingabe Meldungen'!$C$2:$C$492,LARGE(('Eingabe Meldungen'!$A$2:$A$492=$B$654)*(ROW('Eingabe Meldungen'!$A$2:$A$492)-1),COUNTIF('Eingabe Meldungen'!$A$2:$A$492,$B$654)+1-ROW('Eingabe Meldungen'!A1)))),"",INDEX('Eingabe Meldungen'!$C$2:$C$492,LARGE(('Eingabe Meldungen'!$A$2:$A$492=$B$654)*(ROW('Eingabe Meldungen'!$A$2:$A$492)-1),COUNTIF('Eingabe Meldungen'!$A$2:$A$492,$B$654)+1-ROW('Eingabe Meldungen'!A1))))</f>
        <v/>
      </c>
      <c r="C656" t="str">
        <f t="array" ref="C656">IF(ISERROR(INDEX('Eingabe Meldungen'!$D$2:$D$492,LARGE(('Eingabe Meldungen'!$A$2:$A$492=$B$654)*(ROW('Eingabe Meldungen'!$A$2:$A$492)-1),COUNTIF('Eingabe Meldungen'!$A$2:$A$492,$B$654)+1-ROW('Eingabe Meldungen'!A1)))),"",INDEX('Eingabe Meldungen'!$D$2:$D$492,LARGE(('Eingabe Meldungen'!$A$2:$A$492=$B$654)*(ROW('Eingabe Meldungen'!$A$2:$A$492)-1),COUNTIF('Eingabe Meldungen'!$A$2:$A$492,$B$654)+1-ROW('Eingabe Meldungen'!A1))))</f>
        <v/>
      </c>
      <c r="D656" s="11" t="str">
        <f t="array" ref="D656">IF(B656&lt;&gt;"",INDEX('Eingabe Meldungen'!$C$2:$H$492,MATCH(B656&amp;C656,'Eingabe Meldungen'!$C$2:$C$492&amp;'Eingabe Meldungen'!$D$2:$D$492,0),6),"")</f>
        <v/>
      </c>
      <c r="E656" s="66" t="str">
        <f t="array" ref="E656">IF(B656&lt;&gt;"",INDEX('Eingabe Meldungen'!$C$2:$H$492,MATCH(B656&amp;C656,'Eingabe Meldungen'!$C$2:$C$492&amp;'Eingabe Meldungen'!$D$2:$D$492,0),4),"")</f>
        <v/>
      </c>
      <c r="F656" s="32" t="e">
        <f>IF(VLOOKUP(B656,Rennlisten!$B$365:$J$393,10,FALSE)=0,"",VLOOKUP(B656,Rennlisten!$B$365:$J$393,10,FALSE))</f>
        <v>#REF!</v>
      </c>
      <c r="G656" t="e">
        <f t="shared" ref="G656:G687" si="69">RANK(F656,$F$656:$F$719,1)</f>
        <v>#REF!</v>
      </c>
      <c r="H656" s="21" t="str">
        <f t="array" ref="H656">IF(B656&lt;&gt;"",INDEX('Eingabe Meldungen'!$C$2:$J$492,MATCH(B656&amp;C656,'Eingabe Meldungen'!$C$2:$C$492&amp;'Eingabe Meldungen'!$D$2:$D$492,0),8),"")</f>
        <v/>
      </c>
      <c r="J656" s="20" t="str">
        <f t="shared" si="65"/>
        <v/>
      </c>
      <c r="K656" s="20" t="str">
        <f t="shared" si="65"/>
        <v/>
      </c>
      <c r="L656" s="20" t="e">
        <f>IF(EXACT($H656,#REF!),$I656,"")</f>
        <v>#REF!</v>
      </c>
      <c r="M656" s="20" t="str">
        <f t="shared" si="66"/>
        <v/>
      </c>
      <c r="N656" s="20" t="str">
        <f t="shared" si="67"/>
        <v/>
      </c>
      <c r="O656" s="20" t="str">
        <f t="shared" si="67"/>
        <v/>
      </c>
      <c r="P656" s="20" t="str">
        <f t="shared" si="67"/>
        <v/>
      </c>
      <c r="Q656" s="20" t="str">
        <f t="shared" si="67"/>
        <v/>
      </c>
      <c r="R656" s="20" t="str">
        <f t="shared" si="67"/>
        <v/>
      </c>
      <c r="S656" s="20" t="str">
        <f t="shared" si="67"/>
        <v/>
      </c>
      <c r="T656" s="20" t="str">
        <f t="shared" si="67"/>
        <v/>
      </c>
      <c r="U656" s="20" t="str">
        <f t="shared" si="67"/>
        <v/>
      </c>
      <c r="V656" s="20" t="str">
        <f t="shared" si="67"/>
        <v/>
      </c>
      <c r="W656" s="20">
        <f t="shared" si="67"/>
        <v>0</v>
      </c>
      <c r="X656" s="20">
        <f t="shared" si="68"/>
        <v>0</v>
      </c>
      <c r="Y656" s="20">
        <f t="shared" si="68"/>
        <v>0</v>
      </c>
      <c r="Z656" s="20">
        <f t="shared" si="68"/>
        <v>0</v>
      </c>
      <c r="AA656" s="20">
        <f t="shared" si="68"/>
        <v>0</v>
      </c>
      <c r="AB656" s="20">
        <f t="shared" si="68"/>
        <v>0</v>
      </c>
      <c r="AC656" s="20">
        <f t="shared" si="68"/>
        <v>0</v>
      </c>
      <c r="AD656" s="20">
        <f t="shared" si="68"/>
        <v>0</v>
      </c>
      <c r="AE656" s="20"/>
      <c r="AF656" s="20"/>
      <c r="AG656" s="20">
        <f t="shared" si="68"/>
        <v>0</v>
      </c>
      <c r="AH656" s="20">
        <f t="shared" si="68"/>
        <v>0</v>
      </c>
      <c r="AI656" s="20">
        <f t="shared" si="68"/>
        <v>0</v>
      </c>
    </row>
    <row r="657" spans="2:35" hidden="1" x14ac:dyDescent="0.2">
      <c r="B657" s="20" t="str">
        <f t="array" ref="B657">IF(ISERROR(INDEX('Eingabe Meldungen'!$C$2:$C$492,LARGE(('Eingabe Meldungen'!$A$2:$A$492=$B$654)*(ROW('Eingabe Meldungen'!$A$2:$A$492)-1),COUNTIF('Eingabe Meldungen'!$A$2:$A$492,$B$654)+1-ROW('Eingabe Meldungen'!A2)))),"",INDEX('Eingabe Meldungen'!$C$2:$C$492,LARGE(('Eingabe Meldungen'!$A$2:$A$492=$B$654)*(ROW('Eingabe Meldungen'!$A$2:$A$492)-1),COUNTIF('Eingabe Meldungen'!$A$2:$A$492,$B$654)+1-ROW('Eingabe Meldungen'!A2))))</f>
        <v/>
      </c>
      <c r="C657" t="str">
        <f t="array" ref="C657">IF(ISERROR(INDEX('Eingabe Meldungen'!$D$2:$D$492,LARGE(('Eingabe Meldungen'!$A$2:$A$492=$B$654)*(ROW('Eingabe Meldungen'!$A$2:$A$492)-1),COUNTIF('Eingabe Meldungen'!$A$2:$A$492,$B$654)+1-ROW('Eingabe Meldungen'!A2)))),"",INDEX('Eingabe Meldungen'!$D$2:$D$492,LARGE(('Eingabe Meldungen'!$A$2:$A$492=$B$654)*(ROW('Eingabe Meldungen'!$A$2:$A$492)-1),COUNTIF('Eingabe Meldungen'!$A$2:$A$492,$B$654)+1-ROW('Eingabe Meldungen'!A2))))</f>
        <v/>
      </c>
      <c r="D657" s="11" t="str">
        <f t="array" ref="D657">IF(B657&lt;&gt;"",INDEX('Eingabe Meldungen'!$C$2:$H$492,MATCH(B657&amp;C657,'Eingabe Meldungen'!$C$2:$C$492&amp;'Eingabe Meldungen'!$D$2:$D$492,0),6),"")</f>
        <v/>
      </c>
      <c r="E657" s="66" t="str">
        <f t="array" ref="E657">IF(B657&lt;&gt;"",INDEX('Eingabe Meldungen'!$C$2:$H$492,MATCH(B657&amp;C657,'Eingabe Meldungen'!$C$2:$C$492&amp;'Eingabe Meldungen'!$D$2:$D$492,0),4),"")</f>
        <v/>
      </c>
      <c r="F657" s="32" t="e">
        <f>IF(VLOOKUP(B657,Rennlisten!$B$365:$J$393,10,FALSE)=0,"",VLOOKUP(B657,Rennlisten!$B$365:$J$393,10,FALSE))</f>
        <v>#REF!</v>
      </c>
      <c r="G657" t="e">
        <f t="shared" si="69"/>
        <v>#REF!</v>
      </c>
      <c r="H657" s="21" t="str">
        <f t="array" ref="H657">IF(B657&lt;&gt;"",INDEX('Eingabe Meldungen'!$C$2:$J$492,MATCH(B657&amp;C657,'Eingabe Meldungen'!$C$2:$C$492&amp;'Eingabe Meldungen'!$D$2:$D$492,0),8),"")</f>
        <v/>
      </c>
      <c r="J657" s="20" t="str">
        <f t="shared" si="65"/>
        <v/>
      </c>
      <c r="K657" s="20" t="str">
        <f t="shared" si="65"/>
        <v/>
      </c>
      <c r="L657" s="20" t="e">
        <f>IF(EXACT($H657,#REF!),$I657,"")</f>
        <v>#REF!</v>
      </c>
      <c r="M657" s="20" t="str">
        <f t="shared" si="66"/>
        <v/>
      </c>
      <c r="N657" s="20" t="str">
        <f t="shared" si="67"/>
        <v/>
      </c>
      <c r="O657" s="20" t="str">
        <f t="shared" si="67"/>
        <v/>
      </c>
      <c r="P657" s="20" t="str">
        <f t="shared" si="67"/>
        <v/>
      </c>
      <c r="Q657" s="20" t="str">
        <f t="shared" si="67"/>
        <v/>
      </c>
      <c r="R657" s="20" t="str">
        <f t="shared" si="67"/>
        <v/>
      </c>
      <c r="S657" s="20" t="str">
        <f t="shared" si="67"/>
        <v/>
      </c>
      <c r="T657" s="20" t="str">
        <f t="shared" si="67"/>
        <v/>
      </c>
      <c r="U657" s="20" t="str">
        <f t="shared" si="67"/>
        <v/>
      </c>
      <c r="V657" s="20" t="str">
        <f t="shared" si="67"/>
        <v/>
      </c>
      <c r="W657" s="20">
        <f t="shared" si="67"/>
        <v>0</v>
      </c>
      <c r="X657" s="20">
        <f t="shared" si="68"/>
        <v>0</v>
      </c>
      <c r="Y657" s="20">
        <f t="shared" si="68"/>
        <v>0</v>
      </c>
      <c r="Z657" s="20">
        <f t="shared" si="68"/>
        <v>0</v>
      </c>
      <c r="AA657" s="20">
        <f t="shared" si="68"/>
        <v>0</v>
      </c>
      <c r="AB657" s="20">
        <f t="shared" si="68"/>
        <v>0</v>
      </c>
      <c r="AC657" s="20">
        <f t="shared" si="68"/>
        <v>0</v>
      </c>
      <c r="AD657" s="20">
        <f t="shared" si="68"/>
        <v>0</v>
      </c>
      <c r="AE657" s="20"/>
      <c r="AF657" s="20"/>
      <c r="AG657" s="20">
        <f t="shared" si="68"/>
        <v>0</v>
      </c>
      <c r="AH657" s="20">
        <f t="shared" si="68"/>
        <v>0</v>
      </c>
      <c r="AI657" s="20">
        <f t="shared" si="68"/>
        <v>0</v>
      </c>
    </row>
    <row r="658" spans="2:35" hidden="1" x14ac:dyDescent="0.2">
      <c r="B658" s="20" t="str">
        <f t="array" ref="B658">IF(ISERROR(INDEX('Eingabe Meldungen'!$C$2:$C$492,LARGE(('Eingabe Meldungen'!$A$2:$A$492=$B$654)*(ROW('Eingabe Meldungen'!$A$2:$A$492)-1),COUNTIF('Eingabe Meldungen'!$A$2:$A$492,$B$654)+1-ROW('Eingabe Meldungen'!A3)))),"",INDEX('Eingabe Meldungen'!$C$2:$C$492,LARGE(('Eingabe Meldungen'!$A$2:$A$492=$B$654)*(ROW('Eingabe Meldungen'!$A$2:$A$492)-1),COUNTIF('Eingabe Meldungen'!$A$2:$A$492,$B$654)+1-ROW('Eingabe Meldungen'!A3))))</f>
        <v/>
      </c>
      <c r="C658" t="str">
        <f t="array" ref="C658">IF(ISERROR(INDEX('Eingabe Meldungen'!$D$2:$D$492,LARGE(('Eingabe Meldungen'!$A$2:$A$492=$B$654)*(ROW('Eingabe Meldungen'!$A$2:$A$492)-1),COUNTIF('Eingabe Meldungen'!$A$2:$A$492,$B$654)+1-ROW('Eingabe Meldungen'!A3)))),"",INDEX('Eingabe Meldungen'!$D$2:$D$492,LARGE(('Eingabe Meldungen'!$A$2:$A$492=$B$654)*(ROW('Eingabe Meldungen'!$A$2:$A$492)-1),COUNTIF('Eingabe Meldungen'!$A$2:$A$492,$B$654)+1-ROW('Eingabe Meldungen'!A3))))</f>
        <v/>
      </c>
      <c r="D658" s="11" t="str">
        <f t="array" ref="D658">IF(B658&lt;&gt;"",INDEX('Eingabe Meldungen'!$C$2:$H$492,MATCH(B658&amp;C658,'Eingabe Meldungen'!$C$2:$C$492&amp;'Eingabe Meldungen'!$D$2:$D$492,0),6),"")</f>
        <v/>
      </c>
      <c r="E658" s="66" t="str">
        <f t="array" ref="E658">IF(B658&lt;&gt;"",INDEX('Eingabe Meldungen'!$C$2:$H$492,MATCH(B658&amp;C658,'Eingabe Meldungen'!$C$2:$C$492&amp;'Eingabe Meldungen'!$D$2:$D$492,0),4),"")</f>
        <v/>
      </c>
      <c r="F658" s="32" t="e">
        <f>IF(VLOOKUP(B658,Rennlisten!$B$365:$J$393,10,FALSE)=0,"",VLOOKUP(B658,Rennlisten!$B$365:$J$393,10,FALSE))</f>
        <v>#REF!</v>
      </c>
      <c r="G658" t="e">
        <f t="shared" si="69"/>
        <v>#REF!</v>
      </c>
      <c r="H658" s="21" t="str">
        <f t="array" ref="H658">IF(B658&lt;&gt;"",INDEX('Eingabe Meldungen'!$C$2:$J$492,MATCH(B658&amp;C658,'Eingabe Meldungen'!$C$2:$C$492&amp;'Eingabe Meldungen'!$D$2:$D$492,0),8),"")</f>
        <v/>
      </c>
      <c r="J658" s="20" t="str">
        <f t="shared" si="65"/>
        <v/>
      </c>
      <c r="K658" s="20" t="str">
        <f t="shared" si="65"/>
        <v/>
      </c>
      <c r="L658" s="20" t="e">
        <f>IF(EXACT($H658,#REF!),$I658,"")</f>
        <v>#REF!</v>
      </c>
      <c r="M658" s="20" t="str">
        <f t="shared" si="66"/>
        <v/>
      </c>
      <c r="N658" s="20" t="str">
        <f t="shared" si="67"/>
        <v/>
      </c>
      <c r="O658" s="20" t="str">
        <f t="shared" si="67"/>
        <v/>
      </c>
      <c r="P658" s="20" t="str">
        <f t="shared" si="67"/>
        <v/>
      </c>
      <c r="Q658" s="20" t="str">
        <f t="shared" si="67"/>
        <v/>
      </c>
      <c r="R658" s="20" t="str">
        <f t="shared" si="67"/>
        <v/>
      </c>
      <c r="S658" s="20" t="str">
        <f t="shared" si="67"/>
        <v/>
      </c>
      <c r="T658" s="20" t="str">
        <f t="shared" si="67"/>
        <v/>
      </c>
      <c r="U658" s="20" t="str">
        <f t="shared" si="67"/>
        <v/>
      </c>
      <c r="V658" s="20" t="str">
        <f t="shared" si="67"/>
        <v/>
      </c>
      <c r="W658" s="20">
        <f t="shared" si="67"/>
        <v>0</v>
      </c>
      <c r="X658" s="20">
        <f t="shared" si="68"/>
        <v>0</v>
      </c>
      <c r="Y658" s="20">
        <f t="shared" si="68"/>
        <v>0</v>
      </c>
      <c r="Z658" s="20">
        <f t="shared" si="68"/>
        <v>0</v>
      </c>
      <c r="AA658" s="20">
        <f t="shared" si="68"/>
        <v>0</v>
      </c>
      <c r="AB658" s="20">
        <f t="shared" si="68"/>
        <v>0</v>
      </c>
      <c r="AC658" s="20">
        <f t="shared" si="68"/>
        <v>0</v>
      </c>
      <c r="AD658" s="20">
        <f t="shared" si="68"/>
        <v>0</v>
      </c>
      <c r="AE658" s="20"/>
      <c r="AF658" s="20"/>
      <c r="AG658" s="20">
        <f t="shared" si="68"/>
        <v>0</v>
      </c>
      <c r="AH658" s="20">
        <f t="shared" si="68"/>
        <v>0</v>
      </c>
      <c r="AI658" s="20">
        <f t="shared" si="68"/>
        <v>0</v>
      </c>
    </row>
    <row r="659" spans="2:35" hidden="1" x14ac:dyDescent="0.2">
      <c r="B659" s="20" t="str">
        <f t="array" ref="B659">IF(ISERROR(INDEX('Eingabe Meldungen'!$C$2:$C$492,LARGE(('Eingabe Meldungen'!$A$2:$A$492=$B$654)*(ROW('Eingabe Meldungen'!$A$2:$A$492)-1),COUNTIF('Eingabe Meldungen'!$A$2:$A$492,$B$654)+1-ROW('Eingabe Meldungen'!A4)))),"",INDEX('Eingabe Meldungen'!$C$2:$C$492,LARGE(('Eingabe Meldungen'!$A$2:$A$492=$B$654)*(ROW('Eingabe Meldungen'!$A$2:$A$492)-1),COUNTIF('Eingabe Meldungen'!$A$2:$A$492,$B$654)+1-ROW('Eingabe Meldungen'!A4))))</f>
        <v/>
      </c>
      <c r="C659" t="str">
        <f t="array" ref="C659">IF(ISERROR(INDEX('Eingabe Meldungen'!$D$2:$D$492,LARGE(('Eingabe Meldungen'!$A$2:$A$492=$B$654)*(ROW('Eingabe Meldungen'!$A$2:$A$492)-1),COUNTIF('Eingabe Meldungen'!$A$2:$A$492,$B$654)+1-ROW('Eingabe Meldungen'!A4)))),"",INDEX('Eingabe Meldungen'!$D$2:$D$492,LARGE(('Eingabe Meldungen'!$A$2:$A$492=$B$654)*(ROW('Eingabe Meldungen'!$A$2:$A$492)-1),COUNTIF('Eingabe Meldungen'!$A$2:$A$492,$B$654)+1-ROW('Eingabe Meldungen'!A4))))</f>
        <v/>
      </c>
      <c r="D659" s="11" t="str">
        <f t="array" ref="D659">IF(B659&lt;&gt;"",INDEX('Eingabe Meldungen'!$C$2:$H$492,MATCH(B659&amp;C659,'Eingabe Meldungen'!$C$2:$C$492&amp;'Eingabe Meldungen'!$D$2:$D$492,0),6),"")</f>
        <v/>
      </c>
      <c r="E659" s="66" t="str">
        <f t="array" ref="E659">IF(B659&lt;&gt;"",INDEX('Eingabe Meldungen'!$C$2:$H$492,MATCH(B659&amp;C659,'Eingabe Meldungen'!$C$2:$C$492&amp;'Eingabe Meldungen'!$D$2:$D$492,0),4),"")</f>
        <v/>
      </c>
      <c r="F659" s="32" t="e">
        <f>IF(VLOOKUP(B659,Rennlisten!$B$365:$J$393,10,FALSE)=0,"",VLOOKUP(B659,Rennlisten!$B$365:$J$393,10,FALSE))</f>
        <v>#REF!</v>
      </c>
      <c r="G659" t="e">
        <f t="shared" si="69"/>
        <v>#REF!</v>
      </c>
      <c r="H659" s="21" t="str">
        <f t="array" ref="H659">IF(B659&lt;&gt;"",INDEX('Eingabe Meldungen'!$C$2:$J$492,MATCH(B659&amp;C659,'Eingabe Meldungen'!$C$2:$C$492&amp;'Eingabe Meldungen'!$D$2:$D$492,0),8),"")</f>
        <v/>
      </c>
      <c r="J659" s="20" t="str">
        <f t="shared" si="65"/>
        <v/>
      </c>
      <c r="K659" s="20" t="str">
        <f t="shared" si="65"/>
        <v/>
      </c>
      <c r="L659" s="20" t="e">
        <f>IF(EXACT($H659,#REF!),$I659,"")</f>
        <v>#REF!</v>
      </c>
      <c r="M659" s="20" t="str">
        <f t="shared" si="66"/>
        <v/>
      </c>
      <c r="N659" s="20" t="str">
        <f t="shared" si="67"/>
        <v/>
      </c>
      <c r="O659" s="20" t="str">
        <f t="shared" si="67"/>
        <v/>
      </c>
      <c r="P659" s="20" t="str">
        <f t="shared" si="67"/>
        <v/>
      </c>
      <c r="Q659" s="20" t="str">
        <f t="shared" si="67"/>
        <v/>
      </c>
      <c r="R659" s="20" t="str">
        <f t="shared" si="67"/>
        <v/>
      </c>
      <c r="S659" s="20" t="str">
        <f t="shared" si="67"/>
        <v/>
      </c>
      <c r="T659" s="20" t="str">
        <f t="shared" si="67"/>
        <v/>
      </c>
      <c r="U659" s="20" t="str">
        <f t="shared" si="67"/>
        <v/>
      </c>
      <c r="V659" s="20" t="str">
        <f t="shared" si="67"/>
        <v/>
      </c>
      <c r="W659" s="20">
        <f t="shared" si="67"/>
        <v>0</v>
      </c>
      <c r="X659" s="20">
        <f t="shared" si="68"/>
        <v>0</v>
      </c>
      <c r="Y659" s="20">
        <f t="shared" si="68"/>
        <v>0</v>
      </c>
      <c r="Z659" s="20">
        <f t="shared" si="68"/>
        <v>0</v>
      </c>
      <c r="AA659" s="20">
        <f t="shared" si="68"/>
        <v>0</v>
      </c>
      <c r="AB659" s="20">
        <f t="shared" si="68"/>
        <v>0</v>
      </c>
      <c r="AC659" s="20">
        <f t="shared" si="68"/>
        <v>0</v>
      </c>
      <c r="AD659" s="20">
        <f t="shared" si="68"/>
        <v>0</v>
      </c>
      <c r="AE659" s="20"/>
      <c r="AF659" s="20"/>
      <c r="AG659" s="20">
        <f t="shared" si="68"/>
        <v>0</v>
      </c>
      <c r="AH659" s="20">
        <f t="shared" si="68"/>
        <v>0</v>
      </c>
      <c r="AI659" s="20">
        <f t="shared" si="68"/>
        <v>0</v>
      </c>
    </row>
    <row r="660" spans="2:35" hidden="1" x14ac:dyDescent="0.2">
      <c r="B660" s="20" t="str">
        <f t="array" ref="B660">IF(ISERROR(INDEX('Eingabe Meldungen'!$C$2:$C$492,LARGE(('Eingabe Meldungen'!$A$2:$A$492=$B$654)*(ROW('Eingabe Meldungen'!$A$2:$A$492)-1),COUNTIF('Eingabe Meldungen'!$A$2:$A$492,$B$654)+1-ROW('Eingabe Meldungen'!A5)))),"",INDEX('Eingabe Meldungen'!$C$2:$C$492,LARGE(('Eingabe Meldungen'!$A$2:$A$492=$B$654)*(ROW('Eingabe Meldungen'!$A$2:$A$492)-1),COUNTIF('Eingabe Meldungen'!$A$2:$A$492,$B$654)+1-ROW('Eingabe Meldungen'!A5))))</f>
        <v/>
      </c>
      <c r="C660" t="str">
        <f t="array" ref="C660">IF(ISERROR(INDEX('Eingabe Meldungen'!$D$2:$D$492,LARGE(('Eingabe Meldungen'!$A$2:$A$492=$B$654)*(ROW('Eingabe Meldungen'!$A$2:$A$492)-1),COUNTIF('Eingabe Meldungen'!$A$2:$A$492,$B$654)+1-ROW('Eingabe Meldungen'!A5)))),"",INDEX('Eingabe Meldungen'!$D$2:$D$492,LARGE(('Eingabe Meldungen'!$A$2:$A$492=$B$654)*(ROW('Eingabe Meldungen'!$A$2:$A$492)-1),COUNTIF('Eingabe Meldungen'!$A$2:$A$492,$B$654)+1-ROW('Eingabe Meldungen'!A5))))</f>
        <v/>
      </c>
      <c r="D660" s="11" t="str">
        <f t="array" ref="D660">IF(B660&lt;&gt;"",INDEX('Eingabe Meldungen'!$C$2:$H$492,MATCH(B660&amp;C660,'Eingabe Meldungen'!$C$2:$C$492&amp;'Eingabe Meldungen'!$D$2:$D$492,0),6),"")</f>
        <v/>
      </c>
      <c r="E660" s="66" t="str">
        <f t="array" ref="E660">IF(B660&lt;&gt;"",INDEX('Eingabe Meldungen'!$C$2:$H$492,MATCH(B660&amp;C660,'Eingabe Meldungen'!$C$2:$C$492&amp;'Eingabe Meldungen'!$D$2:$D$492,0),4),"")</f>
        <v/>
      </c>
      <c r="F660" s="32" t="e">
        <f>IF(VLOOKUP(B660,Rennlisten!$B$365:$J$393,10,FALSE)=0,"",VLOOKUP(B660,Rennlisten!$B$365:$J$393,10,FALSE))</f>
        <v>#REF!</v>
      </c>
      <c r="G660" t="e">
        <f t="shared" si="69"/>
        <v>#REF!</v>
      </c>
      <c r="H660" s="21" t="str">
        <f t="array" ref="H660">IF(B660&lt;&gt;"",INDEX('Eingabe Meldungen'!$C$2:$J$492,MATCH(B660&amp;C660,'Eingabe Meldungen'!$C$2:$C$492&amp;'Eingabe Meldungen'!$D$2:$D$492,0),8),"")</f>
        <v/>
      </c>
      <c r="J660" s="20" t="str">
        <f t="shared" si="65"/>
        <v/>
      </c>
      <c r="K660" s="20" t="str">
        <f t="shared" si="65"/>
        <v/>
      </c>
      <c r="L660" s="20" t="e">
        <f>IF(EXACT($H660,#REF!),$I660,"")</f>
        <v>#REF!</v>
      </c>
      <c r="M660" s="20" t="str">
        <f t="shared" si="66"/>
        <v/>
      </c>
      <c r="N660" s="20" t="str">
        <f t="shared" si="67"/>
        <v/>
      </c>
      <c r="O660" s="20" t="str">
        <f t="shared" si="67"/>
        <v/>
      </c>
      <c r="P660" s="20" t="str">
        <f t="shared" si="67"/>
        <v/>
      </c>
      <c r="Q660" s="20" t="str">
        <f t="shared" si="67"/>
        <v/>
      </c>
      <c r="R660" s="20" t="str">
        <f t="shared" si="67"/>
        <v/>
      </c>
      <c r="S660" s="20" t="str">
        <f t="shared" si="67"/>
        <v/>
      </c>
      <c r="T660" s="20" t="str">
        <f t="shared" si="67"/>
        <v/>
      </c>
      <c r="U660" s="20" t="str">
        <f t="shared" si="67"/>
        <v/>
      </c>
      <c r="V660" s="20" t="str">
        <f t="shared" si="67"/>
        <v/>
      </c>
      <c r="W660" s="20">
        <f t="shared" si="67"/>
        <v>0</v>
      </c>
      <c r="X660" s="20">
        <f t="shared" si="68"/>
        <v>0</v>
      </c>
      <c r="Y660" s="20">
        <f t="shared" si="68"/>
        <v>0</v>
      </c>
      <c r="Z660" s="20">
        <f t="shared" si="68"/>
        <v>0</v>
      </c>
      <c r="AA660" s="20">
        <f t="shared" si="68"/>
        <v>0</v>
      </c>
      <c r="AB660" s="20">
        <f t="shared" si="68"/>
        <v>0</v>
      </c>
      <c r="AC660" s="20">
        <f t="shared" si="68"/>
        <v>0</v>
      </c>
      <c r="AD660" s="20">
        <f t="shared" si="68"/>
        <v>0</v>
      </c>
      <c r="AE660" s="20"/>
      <c r="AF660" s="20"/>
      <c r="AG660" s="20">
        <f t="shared" si="68"/>
        <v>0</v>
      </c>
      <c r="AH660" s="20">
        <f t="shared" si="68"/>
        <v>0</v>
      </c>
      <c r="AI660" s="20">
        <f t="shared" si="68"/>
        <v>0</v>
      </c>
    </row>
    <row r="661" spans="2:35" hidden="1" x14ac:dyDescent="0.2">
      <c r="B661" s="20" t="str">
        <f t="array" ref="B661">IF(ISERROR(INDEX('Eingabe Meldungen'!$C$2:$C$492,LARGE(('Eingabe Meldungen'!$A$2:$A$492=$B$654)*(ROW('Eingabe Meldungen'!$A$2:$A$492)-1),COUNTIF('Eingabe Meldungen'!$A$2:$A$492,$B$654)+1-ROW('Eingabe Meldungen'!A6)))),"",INDEX('Eingabe Meldungen'!$C$2:$C$492,LARGE(('Eingabe Meldungen'!$A$2:$A$492=$B$654)*(ROW('Eingabe Meldungen'!$A$2:$A$492)-1),COUNTIF('Eingabe Meldungen'!$A$2:$A$492,$B$654)+1-ROW('Eingabe Meldungen'!A6))))</f>
        <v/>
      </c>
      <c r="C661" t="str">
        <f t="array" ref="C661">IF(ISERROR(INDEX('Eingabe Meldungen'!$D$2:$D$492,LARGE(('Eingabe Meldungen'!$A$2:$A$492=$B$654)*(ROW('Eingabe Meldungen'!$A$2:$A$492)-1),COUNTIF('Eingabe Meldungen'!$A$2:$A$492,$B$654)+1-ROW('Eingabe Meldungen'!A6)))),"",INDEX('Eingabe Meldungen'!$D$2:$D$492,LARGE(('Eingabe Meldungen'!$A$2:$A$492=$B$654)*(ROW('Eingabe Meldungen'!$A$2:$A$492)-1),COUNTIF('Eingabe Meldungen'!$A$2:$A$492,$B$654)+1-ROW('Eingabe Meldungen'!A6))))</f>
        <v/>
      </c>
      <c r="D661" s="11" t="str">
        <f t="array" ref="D661">IF(B661&lt;&gt;"",INDEX('Eingabe Meldungen'!$C$2:$H$492,MATCH(B661&amp;C661,'Eingabe Meldungen'!$C$2:$C$492&amp;'Eingabe Meldungen'!$D$2:$D$492,0),6),"")</f>
        <v/>
      </c>
      <c r="E661" s="66" t="str">
        <f t="array" ref="E661">IF(B661&lt;&gt;"",INDEX('Eingabe Meldungen'!$C$2:$H$492,MATCH(B661&amp;C661,'Eingabe Meldungen'!$C$2:$C$492&amp;'Eingabe Meldungen'!$D$2:$D$492,0),4),"")</f>
        <v/>
      </c>
      <c r="F661" s="32" t="e">
        <f>IF(VLOOKUP(B661,Rennlisten!$B$365:$J$393,10,FALSE)=0,"",VLOOKUP(B661,Rennlisten!$B$365:$J$393,10,FALSE))</f>
        <v>#REF!</v>
      </c>
      <c r="G661" t="e">
        <f t="shared" si="69"/>
        <v>#REF!</v>
      </c>
      <c r="H661" s="21" t="str">
        <f t="array" ref="H661">IF(B661&lt;&gt;"",INDEX('Eingabe Meldungen'!$C$2:$J$492,MATCH(B661&amp;C661,'Eingabe Meldungen'!$C$2:$C$492&amp;'Eingabe Meldungen'!$D$2:$D$492,0),8),"")</f>
        <v/>
      </c>
      <c r="J661" s="20" t="str">
        <f t="shared" si="65"/>
        <v/>
      </c>
      <c r="K661" s="20" t="str">
        <f t="shared" si="65"/>
        <v/>
      </c>
      <c r="L661" s="20" t="e">
        <f>IF(EXACT($H661,#REF!),$I661,"")</f>
        <v>#REF!</v>
      </c>
      <c r="M661" s="20" t="str">
        <f t="shared" si="66"/>
        <v/>
      </c>
      <c r="N661" s="20" t="str">
        <f t="shared" si="67"/>
        <v/>
      </c>
      <c r="O661" s="20" t="str">
        <f t="shared" si="67"/>
        <v/>
      </c>
      <c r="P661" s="20" t="str">
        <f t="shared" si="67"/>
        <v/>
      </c>
      <c r="Q661" s="20" t="str">
        <f t="shared" si="67"/>
        <v/>
      </c>
      <c r="R661" s="20" t="str">
        <f t="shared" si="67"/>
        <v/>
      </c>
      <c r="S661" s="20" t="str">
        <f t="shared" si="67"/>
        <v/>
      </c>
      <c r="T661" s="20" t="str">
        <f t="shared" si="67"/>
        <v/>
      </c>
      <c r="U661" s="20" t="str">
        <f t="shared" si="67"/>
        <v/>
      </c>
      <c r="V661" s="20" t="str">
        <f t="shared" si="67"/>
        <v/>
      </c>
      <c r="W661" s="20">
        <f t="shared" si="67"/>
        <v>0</v>
      </c>
      <c r="X661" s="20">
        <f t="shared" si="68"/>
        <v>0</v>
      </c>
      <c r="Y661" s="20">
        <f t="shared" si="68"/>
        <v>0</v>
      </c>
      <c r="Z661" s="20">
        <f t="shared" si="68"/>
        <v>0</v>
      </c>
      <c r="AA661" s="20">
        <f t="shared" si="68"/>
        <v>0</v>
      </c>
      <c r="AB661" s="20">
        <f t="shared" si="68"/>
        <v>0</v>
      </c>
      <c r="AC661" s="20">
        <f t="shared" si="68"/>
        <v>0</v>
      </c>
      <c r="AD661" s="20">
        <f t="shared" si="68"/>
        <v>0</v>
      </c>
      <c r="AE661" s="20"/>
      <c r="AF661" s="20"/>
      <c r="AG661" s="20">
        <f t="shared" si="68"/>
        <v>0</v>
      </c>
      <c r="AH661" s="20">
        <f t="shared" si="68"/>
        <v>0</v>
      </c>
      <c r="AI661" s="20">
        <f t="shared" si="68"/>
        <v>0</v>
      </c>
    </row>
    <row r="662" spans="2:35" hidden="1" x14ac:dyDescent="0.2">
      <c r="B662" s="20" t="str">
        <f t="array" ref="B662">IF(ISERROR(INDEX('Eingabe Meldungen'!$C$2:$C$492,LARGE(('Eingabe Meldungen'!$A$2:$A$492=$B$654)*(ROW('Eingabe Meldungen'!$A$2:$A$492)-1),COUNTIF('Eingabe Meldungen'!$A$2:$A$492,$B$654)+1-ROW('Eingabe Meldungen'!A8)))),"",INDEX('Eingabe Meldungen'!$C$2:$C$492,LARGE(('Eingabe Meldungen'!$A$2:$A$492=$B$654)*(ROW('Eingabe Meldungen'!$A$2:$A$492)-1),COUNTIF('Eingabe Meldungen'!$A$2:$A$492,$B$654)+1-ROW('Eingabe Meldungen'!A8))))</f>
        <v/>
      </c>
      <c r="C662" t="str">
        <f t="array" ref="C662">IF(ISERROR(INDEX('Eingabe Meldungen'!$D$2:$D$492,LARGE(('Eingabe Meldungen'!$A$2:$A$492=$B$654)*(ROW('Eingabe Meldungen'!$A$2:$A$492)-1),COUNTIF('Eingabe Meldungen'!$A$2:$A$492,$B$654)+1-ROW('Eingabe Meldungen'!A8)))),"",INDEX('Eingabe Meldungen'!$D$2:$D$492,LARGE(('Eingabe Meldungen'!$A$2:$A$492=$B$654)*(ROW('Eingabe Meldungen'!$A$2:$A$492)-1),COUNTIF('Eingabe Meldungen'!$A$2:$A$492,$B$654)+1-ROW('Eingabe Meldungen'!A8))))</f>
        <v/>
      </c>
      <c r="D662" s="11" t="str">
        <f t="array" ref="D662">IF(B662&lt;&gt;"",INDEX('Eingabe Meldungen'!$C$2:$H$492,MATCH(B662&amp;C662,'Eingabe Meldungen'!$C$2:$C$492&amp;'Eingabe Meldungen'!$D$2:$D$492,0),6),"")</f>
        <v/>
      </c>
      <c r="E662" s="66" t="str">
        <f t="array" ref="E662">IF(B662&lt;&gt;"",INDEX('Eingabe Meldungen'!$C$2:$H$492,MATCH(B662&amp;C662,'Eingabe Meldungen'!$C$2:$C$492&amp;'Eingabe Meldungen'!$D$2:$D$492,0),4),"")</f>
        <v/>
      </c>
      <c r="F662" s="32" t="e">
        <f>IF(VLOOKUP(B662,Rennlisten!$B$365:$J$393,10,FALSE)=0,"",VLOOKUP(B662,Rennlisten!$B$365:$J$393,10,FALSE))</f>
        <v>#REF!</v>
      </c>
      <c r="G662" t="e">
        <f t="shared" si="69"/>
        <v>#REF!</v>
      </c>
      <c r="H662" s="21" t="str">
        <f t="array" ref="H662">IF(B662&lt;&gt;"",INDEX('Eingabe Meldungen'!$C$2:$J$492,MATCH(B662&amp;C662,'Eingabe Meldungen'!$C$2:$C$492&amp;'Eingabe Meldungen'!$D$2:$D$492,0),8),"")</f>
        <v/>
      </c>
      <c r="J662" s="20" t="str">
        <f t="shared" si="65"/>
        <v/>
      </c>
      <c r="K662" s="20" t="str">
        <f t="shared" si="65"/>
        <v/>
      </c>
      <c r="L662" s="20" t="e">
        <f>IF(EXACT($H662,#REF!),$I662,"")</f>
        <v>#REF!</v>
      </c>
      <c r="M662" s="20" t="str">
        <f t="shared" si="66"/>
        <v/>
      </c>
      <c r="N662" s="20" t="str">
        <f t="shared" si="67"/>
        <v/>
      </c>
      <c r="O662" s="20" t="str">
        <f t="shared" si="67"/>
        <v/>
      </c>
      <c r="P662" s="20" t="str">
        <f t="shared" si="67"/>
        <v/>
      </c>
      <c r="Q662" s="20" t="str">
        <f t="shared" si="67"/>
        <v/>
      </c>
      <c r="R662" s="20" t="str">
        <f t="shared" si="67"/>
        <v/>
      </c>
      <c r="S662" s="20" t="str">
        <f t="shared" si="67"/>
        <v/>
      </c>
      <c r="T662" s="20" t="str">
        <f t="shared" si="67"/>
        <v/>
      </c>
      <c r="U662" s="20" t="str">
        <f t="shared" si="67"/>
        <v/>
      </c>
      <c r="V662" s="20" t="str">
        <f t="shared" si="67"/>
        <v/>
      </c>
      <c r="W662" s="20">
        <f t="shared" si="67"/>
        <v>0</v>
      </c>
      <c r="X662" s="20">
        <f t="shared" si="68"/>
        <v>0</v>
      </c>
      <c r="Y662" s="20">
        <f t="shared" si="68"/>
        <v>0</v>
      </c>
      <c r="Z662" s="20">
        <f t="shared" si="68"/>
        <v>0</v>
      </c>
      <c r="AA662" s="20">
        <f t="shared" si="68"/>
        <v>0</v>
      </c>
      <c r="AB662" s="20">
        <f t="shared" si="68"/>
        <v>0</v>
      </c>
      <c r="AC662" s="20">
        <f t="shared" si="68"/>
        <v>0</v>
      </c>
      <c r="AD662" s="20">
        <f t="shared" si="68"/>
        <v>0</v>
      </c>
      <c r="AE662" s="20"/>
      <c r="AF662" s="20"/>
      <c r="AG662" s="20">
        <f t="shared" si="68"/>
        <v>0</v>
      </c>
      <c r="AH662" s="20">
        <f t="shared" si="68"/>
        <v>0</v>
      </c>
      <c r="AI662" s="20">
        <f t="shared" si="68"/>
        <v>0</v>
      </c>
    </row>
    <row r="663" spans="2:35" hidden="1" x14ac:dyDescent="0.2">
      <c r="B663" s="20" t="str">
        <f t="array" ref="B663">IF(ISERROR(INDEX('Eingabe Meldungen'!$C$2:$C$492,LARGE(('Eingabe Meldungen'!$A$2:$A$492=$B$654)*(ROW('Eingabe Meldungen'!$A$2:$A$492)-1),COUNTIF('Eingabe Meldungen'!$A$2:$A$492,$B$654)+1-ROW('Eingabe Meldungen'!A9)))),"",INDEX('Eingabe Meldungen'!$C$2:$C$492,LARGE(('Eingabe Meldungen'!$A$2:$A$492=$B$654)*(ROW('Eingabe Meldungen'!$A$2:$A$492)-1),COUNTIF('Eingabe Meldungen'!$A$2:$A$492,$B$654)+1-ROW('Eingabe Meldungen'!A9))))</f>
        <v/>
      </c>
      <c r="C663" t="str">
        <f t="array" ref="C663">IF(ISERROR(INDEX('Eingabe Meldungen'!$D$2:$D$492,LARGE(('Eingabe Meldungen'!$A$2:$A$492=$B$654)*(ROW('Eingabe Meldungen'!$A$2:$A$492)-1),COUNTIF('Eingabe Meldungen'!$A$2:$A$492,$B$654)+1-ROW('Eingabe Meldungen'!A9)))),"",INDEX('Eingabe Meldungen'!$D$2:$D$492,LARGE(('Eingabe Meldungen'!$A$2:$A$492=$B$654)*(ROW('Eingabe Meldungen'!$A$2:$A$492)-1),COUNTIF('Eingabe Meldungen'!$A$2:$A$492,$B$654)+1-ROW('Eingabe Meldungen'!A9))))</f>
        <v/>
      </c>
      <c r="D663" s="11" t="str">
        <f t="array" ref="D663">IF(B663&lt;&gt;"",INDEX('Eingabe Meldungen'!$C$2:$H$492,MATCH(B663&amp;C663,'Eingabe Meldungen'!$C$2:$C$492&amp;'Eingabe Meldungen'!$D$2:$D$492,0),6),"")</f>
        <v/>
      </c>
      <c r="E663" s="66" t="str">
        <f t="array" ref="E663">IF(B663&lt;&gt;"",INDEX('Eingabe Meldungen'!$C$2:$H$492,MATCH(B663&amp;C663,'Eingabe Meldungen'!$C$2:$C$492&amp;'Eingabe Meldungen'!$D$2:$D$492,0),4),"")</f>
        <v/>
      </c>
      <c r="F663" s="32" t="e">
        <f>IF(VLOOKUP(B663,Rennlisten!$B$365:$J$393,10,FALSE)=0,"",VLOOKUP(B663,Rennlisten!$B$365:$J$393,10,FALSE))</f>
        <v>#REF!</v>
      </c>
      <c r="G663" t="e">
        <f t="shared" si="69"/>
        <v>#REF!</v>
      </c>
      <c r="H663" s="21" t="str">
        <f t="array" ref="H663">IF(B663&lt;&gt;"",INDEX('Eingabe Meldungen'!$C$2:$J$492,MATCH(B663&amp;C663,'Eingabe Meldungen'!$C$2:$C$492&amp;'Eingabe Meldungen'!$D$2:$D$492,0),8),"")</f>
        <v/>
      </c>
      <c r="J663" s="20" t="str">
        <f t="shared" si="65"/>
        <v/>
      </c>
      <c r="K663" s="20" t="str">
        <f t="shared" si="65"/>
        <v/>
      </c>
      <c r="L663" s="20" t="e">
        <f>IF(EXACT($H663,#REF!),$I663,"")</f>
        <v>#REF!</v>
      </c>
      <c r="M663" s="20" t="str">
        <f t="shared" si="66"/>
        <v/>
      </c>
      <c r="N663" s="20" t="str">
        <f t="shared" si="67"/>
        <v/>
      </c>
      <c r="O663" s="20" t="str">
        <f t="shared" si="67"/>
        <v/>
      </c>
      <c r="P663" s="20" t="str">
        <f t="shared" si="67"/>
        <v/>
      </c>
      <c r="Q663" s="20" t="str">
        <f t="shared" si="67"/>
        <v/>
      </c>
      <c r="R663" s="20" t="str">
        <f t="shared" si="67"/>
        <v/>
      </c>
      <c r="S663" s="20" t="str">
        <f t="shared" si="67"/>
        <v/>
      </c>
      <c r="T663" s="20" t="str">
        <f t="shared" si="67"/>
        <v/>
      </c>
      <c r="U663" s="20" t="str">
        <f t="shared" si="67"/>
        <v/>
      </c>
      <c r="V663" s="20" t="str">
        <f t="shared" si="67"/>
        <v/>
      </c>
      <c r="W663" s="20">
        <f t="shared" si="67"/>
        <v>0</v>
      </c>
      <c r="X663" s="20">
        <f t="shared" si="68"/>
        <v>0</v>
      </c>
      <c r="Y663" s="20">
        <f t="shared" si="68"/>
        <v>0</v>
      </c>
      <c r="Z663" s="20">
        <f t="shared" si="68"/>
        <v>0</v>
      </c>
      <c r="AA663" s="20">
        <f t="shared" si="68"/>
        <v>0</v>
      </c>
      <c r="AB663" s="20">
        <f t="shared" si="68"/>
        <v>0</v>
      </c>
      <c r="AC663" s="20">
        <f t="shared" si="68"/>
        <v>0</v>
      </c>
      <c r="AD663" s="20">
        <f t="shared" si="68"/>
        <v>0</v>
      </c>
      <c r="AE663" s="20"/>
      <c r="AF663" s="20"/>
      <c r="AG663" s="20">
        <f t="shared" si="68"/>
        <v>0</v>
      </c>
      <c r="AH663" s="20">
        <f t="shared" si="68"/>
        <v>0</v>
      </c>
      <c r="AI663" s="20">
        <f t="shared" si="68"/>
        <v>0</v>
      </c>
    </row>
    <row r="664" spans="2:35" hidden="1" x14ac:dyDescent="0.2">
      <c r="B664" s="20" t="str">
        <f t="array" ref="B664">IF(ISERROR(INDEX('Eingabe Meldungen'!$C$2:$C$492,LARGE(('Eingabe Meldungen'!$A$2:$A$492=$B$654)*(ROW('Eingabe Meldungen'!$A$2:$A$492)-1),COUNTIF('Eingabe Meldungen'!$A$2:$A$492,$B$654)+1-ROW('Eingabe Meldungen'!A10)))),"",INDEX('Eingabe Meldungen'!$C$2:$C$492,LARGE(('Eingabe Meldungen'!$A$2:$A$492=$B$654)*(ROW('Eingabe Meldungen'!$A$2:$A$492)-1),COUNTIF('Eingabe Meldungen'!$A$2:$A$492,$B$654)+1-ROW('Eingabe Meldungen'!A10))))</f>
        <v/>
      </c>
      <c r="C664" t="str">
        <f t="array" ref="C664">IF(ISERROR(INDEX('Eingabe Meldungen'!$D$2:$D$492,LARGE(('Eingabe Meldungen'!$A$2:$A$492=$B$654)*(ROW('Eingabe Meldungen'!$A$2:$A$492)-1),COUNTIF('Eingabe Meldungen'!$A$2:$A$492,$B$654)+1-ROW('Eingabe Meldungen'!A10)))),"",INDEX('Eingabe Meldungen'!$D$2:$D$492,LARGE(('Eingabe Meldungen'!$A$2:$A$492=$B$654)*(ROW('Eingabe Meldungen'!$A$2:$A$492)-1),COUNTIF('Eingabe Meldungen'!$A$2:$A$492,$B$654)+1-ROW('Eingabe Meldungen'!A10))))</f>
        <v/>
      </c>
      <c r="D664" s="11" t="str">
        <f t="array" ref="D664">IF(B664&lt;&gt;"",INDEX('Eingabe Meldungen'!$C$2:$H$492,MATCH(B664&amp;C664,'Eingabe Meldungen'!$C$2:$C$492&amp;'Eingabe Meldungen'!$D$2:$D$492,0),6),"")</f>
        <v/>
      </c>
      <c r="E664" s="66" t="str">
        <f t="array" ref="E664">IF(B664&lt;&gt;"",INDEX('Eingabe Meldungen'!$C$2:$H$492,MATCH(B664&amp;C664,'Eingabe Meldungen'!$C$2:$C$492&amp;'Eingabe Meldungen'!$D$2:$D$492,0),4),"")</f>
        <v/>
      </c>
      <c r="F664" s="32" t="e">
        <f>IF(VLOOKUP(B664,Rennlisten!$B$365:$J$393,10,FALSE)=0,"",VLOOKUP(B664,Rennlisten!$B$365:$J$393,10,FALSE))</f>
        <v>#REF!</v>
      </c>
      <c r="G664" t="e">
        <f t="shared" si="69"/>
        <v>#REF!</v>
      </c>
      <c r="H664" s="21" t="str">
        <f t="array" ref="H664">IF(B664&lt;&gt;"",INDEX('Eingabe Meldungen'!$C$2:$J$492,MATCH(B664&amp;C664,'Eingabe Meldungen'!$C$2:$C$492&amp;'Eingabe Meldungen'!$D$2:$D$492,0),8),"")</f>
        <v/>
      </c>
      <c r="J664" s="20" t="str">
        <f t="shared" si="65"/>
        <v/>
      </c>
      <c r="K664" s="20" t="str">
        <f t="shared" si="65"/>
        <v/>
      </c>
      <c r="L664" s="20" t="e">
        <f>IF(EXACT($H664,#REF!),$I664,"")</f>
        <v>#REF!</v>
      </c>
      <c r="M664" s="20" t="str">
        <f t="shared" si="66"/>
        <v/>
      </c>
      <c r="N664" s="20" t="str">
        <f t="shared" ref="N664:W673" si="70">IF(EXACT($H664,N$4),$I664,"")</f>
        <v/>
      </c>
      <c r="O664" s="20" t="str">
        <f t="shared" si="70"/>
        <v/>
      </c>
      <c r="P664" s="20" t="str">
        <f t="shared" si="70"/>
        <v/>
      </c>
      <c r="Q664" s="20" t="str">
        <f t="shared" si="70"/>
        <v/>
      </c>
      <c r="R664" s="20" t="str">
        <f t="shared" si="70"/>
        <v/>
      </c>
      <c r="S664" s="20" t="str">
        <f t="shared" si="70"/>
        <v/>
      </c>
      <c r="T664" s="20" t="str">
        <f t="shared" si="70"/>
        <v/>
      </c>
      <c r="U664" s="20" t="str">
        <f t="shared" si="70"/>
        <v/>
      </c>
      <c r="V664" s="20" t="str">
        <f t="shared" si="70"/>
        <v/>
      </c>
      <c r="W664" s="20">
        <f t="shared" si="70"/>
        <v>0</v>
      </c>
      <c r="X664" s="20">
        <f t="shared" ref="X664:AI673" si="71">IF(EXACT($H664,X$4),$I664,"")</f>
        <v>0</v>
      </c>
      <c r="Y664" s="20">
        <f t="shared" si="71"/>
        <v>0</v>
      </c>
      <c r="Z664" s="20">
        <f t="shared" si="71"/>
        <v>0</v>
      </c>
      <c r="AA664" s="20">
        <f t="shared" si="71"/>
        <v>0</v>
      </c>
      <c r="AB664" s="20">
        <f t="shared" si="71"/>
        <v>0</v>
      </c>
      <c r="AC664" s="20">
        <f t="shared" si="71"/>
        <v>0</v>
      </c>
      <c r="AD664" s="20">
        <f t="shared" si="71"/>
        <v>0</v>
      </c>
      <c r="AE664" s="20"/>
      <c r="AF664" s="20"/>
      <c r="AG664" s="20">
        <f t="shared" si="71"/>
        <v>0</v>
      </c>
      <c r="AH664" s="20">
        <f t="shared" si="71"/>
        <v>0</v>
      </c>
      <c r="AI664" s="20">
        <f t="shared" si="71"/>
        <v>0</v>
      </c>
    </row>
    <row r="665" spans="2:35" hidden="1" x14ac:dyDescent="0.2">
      <c r="B665" s="20" t="str">
        <f t="array" ref="B665">IF(ISERROR(INDEX('Eingabe Meldungen'!$C$2:$C$492,LARGE(('Eingabe Meldungen'!$A$2:$A$492=$B$654)*(ROW('Eingabe Meldungen'!$A$2:$A$492)-1),COUNTIF('Eingabe Meldungen'!$A$2:$A$492,$B$654)+1-ROW('Eingabe Meldungen'!A11)))),"",INDEX('Eingabe Meldungen'!$C$2:$C$492,LARGE(('Eingabe Meldungen'!$A$2:$A$492=$B$654)*(ROW('Eingabe Meldungen'!$A$2:$A$492)-1),COUNTIF('Eingabe Meldungen'!$A$2:$A$492,$B$654)+1-ROW('Eingabe Meldungen'!A11))))</f>
        <v/>
      </c>
      <c r="C665" t="str">
        <f t="array" ref="C665">IF(ISERROR(INDEX('Eingabe Meldungen'!$D$2:$D$492,LARGE(('Eingabe Meldungen'!$A$2:$A$492=$B$654)*(ROW('Eingabe Meldungen'!$A$2:$A$492)-1),COUNTIF('Eingabe Meldungen'!$A$2:$A$492,$B$654)+1-ROW('Eingabe Meldungen'!A11)))),"",INDEX('Eingabe Meldungen'!$D$2:$D$492,LARGE(('Eingabe Meldungen'!$A$2:$A$492=$B$654)*(ROW('Eingabe Meldungen'!$A$2:$A$492)-1),COUNTIF('Eingabe Meldungen'!$A$2:$A$492,$B$654)+1-ROW('Eingabe Meldungen'!A11))))</f>
        <v/>
      </c>
      <c r="D665" s="11" t="str">
        <f t="array" ref="D665">IF(B665&lt;&gt;"",INDEX('Eingabe Meldungen'!$C$2:$H$492,MATCH(B665&amp;C665,'Eingabe Meldungen'!$C$2:$C$492&amp;'Eingabe Meldungen'!$D$2:$D$492,0),6),"")</f>
        <v/>
      </c>
      <c r="E665" s="66" t="str">
        <f t="array" ref="E665">IF(B665&lt;&gt;"",INDEX('Eingabe Meldungen'!$C$2:$H$492,MATCH(B665&amp;C665,'Eingabe Meldungen'!$C$2:$C$492&amp;'Eingabe Meldungen'!$D$2:$D$492,0),4),"")</f>
        <v/>
      </c>
      <c r="F665" s="32" t="e">
        <f>IF(VLOOKUP(B665,Rennlisten!$B$365:$J$393,10,FALSE)=0,"",VLOOKUP(B665,Rennlisten!$B$365:$J$393,10,FALSE))</f>
        <v>#REF!</v>
      </c>
      <c r="G665" t="e">
        <f t="shared" si="69"/>
        <v>#REF!</v>
      </c>
      <c r="H665" s="21" t="str">
        <f t="array" ref="H665">IF(B665&lt;&gt;"",INDEX('Eingabe Meldungen'!$C$2:$J$492,MATCH(B665&amp;C665,'Eingabe Meldungen'!$C$2:$C$492&amp;'Eingabe Meldungen'!$D$2:$D$492,0),8),"")</f>
        <v/>
      </c>
      <c r="J665" s="20" t="str">
        <f t="shared" si="65"/>
        <v/>
      </c>
      <c r="K665" s="20" t="str">
        <f t="shared" si="65"/>
        <v/>
      </c>
      <c r="L665" s="20" t="e">
        <f>IF(EXACT($H665,#REF!),$I665,"")</f>
        <v>#REF!</v>
      </c>
      <c r="M665" s="20" t="str">
        <f t="shared" si="66"/>
        <v/>
      </c>
      <c r="N665" s="20" t="str">
        <f t="shared" si="70"/>
        <v/>
      </c>
      <c r="O665" s="20" t="str">
        <f t="shared" si="70"/>
        <v/>
      </c>
      <c r="P665" s="20" t="str">
        <f t="shared" si="70"/>
        <v/>
      </c>
      <c r="Q665" s="20" t="str">
        <f t="shared" si="70"/>
        <v/>
      </c>
      <c r="R665" s="20" t="str">
        <f t="shared" si="70"/>
        <v/>
      </c>
      <c r="S665" s="20" t="str">
        <f t="shared" si="70"/>
        <v/>
      </c>
      <c r="T665" s="20" t="str">
        <f t="shared" si="70"/>
        <v/>
      </c>
      <c r="U665" s="20" t="str">
        <f t="shared" si="70"/>
        <v/>
      </c>
      <c r="V665" s="20" t="str">
        <f t="shared" si="70"/>
        <v/>
      </c>
      <c r="W665" s="20">
        <f t="shared" si="70"/>
        <v>0</v>
      </c>
      <c r="X665" s="20">
        <f t="shared" si="71"/>
        <v>0</v>
      </c>
      <c r="Y665" s="20">
        <f t="shared" si="71"/>
        <v>0</v>
      </c>
      <c r="Z665" s="20">
        <f t="shared" si="71"/>
        <v>0</v>
      </c>
      <c r="AA665" s="20">
        <f t="shared" si="71"/>
        <v>0</v>
      </c>
      <c r="AB665" s="20">
        <f t="shared" si="71"/>
        <v>0</v>
      </c>
      <c r="AC665" s="20">
        <f t="shared" si="71"/>
        <v>0</v>
      </c>
      <c r="AD665" s="20">
        <f t="shared" si="71"/>
        <v>0</v>
      </c>
      <c r="AE665" s="20"/>
      <c r="AF665" s="20"/>
      <c r="AG665" s="20">
        <f t="shared" si="71"/>
        <v>0</v>
      </c>
      <c r="AH665" s="20">
        <f t="shared" si="71"/>
        <v>0</v>
      </c>
      <c r="AI665" s="20">
        <f t="shared" si="71"/>
        <v>0</v>
      </c>
    </row>
    <row r="666" spans="2:35" hidden="1" x14ac:dyDescent="0.2">
      <c r="B666" s="20" t="str">
        <f t="array" ref="B666">IF(ISERROR(INDEX('Eingabe Meldungen'!$C$2:$C$492,LARGE(('Eingabe Meldungen'!$A$2:$A$492=$B$654)*(ROW('Eingabe Meldungen'!$A$2:$A$492)-1),COUNTIF('Eingabe Meldungen'!$A$2:$A$492,$B$654)+1-ROW('Eingabe Meldungen'!A12)))),"",INDEX('Eingabe Meldungen'!$C$2:$C$492,LARGE(('Eingabe Meldungen'!$A$2:$A$492=$B$654)*(ROW('Eingabe Meldungen'!$A$2:$A$492)-1),COUNTIF('Eingabe Meldungen'!$A$2:$A$492,$B$654)+1-ROW('Eingabe Meldungen'!A12))))</f>
        <v/>
      </c>
      <c r="C666" t="str">
        <f t="array" ref="C666">IF(ISERROR(INDEX('Eingabe Meldungen'!$D$2:$D$492,LARGE(('Eingabe Meldungen'!$A$2:$A$492=$B$654)*(ROW('Eingabe Meldungen'!$A$2:$A$492)-1),COUNTIF('Eingabe Meldungen'!$A$2:$A$492,$B$654)+1-ROW('Eingabe Meldungen'!A12)))),"",INDEX('Eingabe Meldungen'!$D$2:$D$492,LARGE(('Eingabe Meldungen'!$A$2:$A$492=$B$654)*(ROW('Eingabe Meldungen'!$A$2:$A$492)-1),COUNTIF('Eingabe Meldungen'!$A$2:$A$492,$B$654)+1-ROW('Eingabe Meldungen'!A12))))</f>
        <v/>
      </c>
      <c r="D666" s="11" t="str">
        <f t="array" ref="D666">IF(B666&lt;&gt;"",INDEX('Eingabe Meldungen'!$C$2:$H$492,MATCH(B666&amp;C666,'Eingabe Meldungen'!$C$2:$C$492&amp;'Eingabe Meldungen'!$D$2:$D$492,0),6),"")</f>
        <v/>
      </c>
      <c r="E666" s="66" t="str">
        <f t="array" ref="E666">IF(B666&lt;&gt;"",INDEX('Eingabe Meldungen'!$C$2:$H$492,MATCH(B666&amp;C666,'Eingabe Meldungen'!$C$2:$C$492&amp;'Eingabe Meldungen'!$D$2:$D$492,0),4),"")</f>
        <v/>
      </c>
      <c r="F666" s="32" t="e">
        <f>IF(VLOOKUP(B666,Rennlisten!$B$365:$J$393,10,FALSE)=0,"",VLOOKUP(B666,Rennlisten!$B$365:$J$393,10,FALSE))</f>
        <v>#REF!</v>
      </c>
      <c r="G666" t="e">
        <f t="shared" si="69"/>
        <v>#REF!</v>
      </c>
      <c r="H666" s="21" t="str">
        <f t="array" ref="H666">IF(B666&lt;&gt;"",INDEX('Eingabe Meldungen'!$C$2:$J$492,MATCH(B666&amp;C666,'Eingabe Meldungen'!$C$2:$C$492&amp;'Eingabe Meldungen'!$D$2:$D$492,0),8),"")</f>
        <v/>
      </c>
      <c r="J666" s="20" t="str">
        <f t="shared" si="65"/>
        <v/>
      </c>
      <c r="K666" s="20" t="str">
        <f t="shared" si="65"/>
        <v/>
      </c>
      <c r="L666" s="20" t="e">
        <f>IF(EXACT($H666,#REF!),$I666,"")</f>
        <v>#REF!</v>
      </c>
      <c r="M666" s="20" t="str">
        <f t="shared" si="66"/>
        <v/>
      </c>
      <c r="N666" s="20" t="str">
        <f t="shared" si="70"/>
        <v/>
      </c>
      <c r="O666" s="20" t="str">
        <f t="shared" si="70"/>
        <v/>
      </c>
      <c r="P666" s="20" t="str">
        <f t="shared" si="70"/>
        <v/>
      </c>
      <c r="Q666" s="20" t="str">
        <f t="shared" si="70"/>
        <v/>
      </c>
      <c r="R666" s="20" t="str">
        <f t="shared" si="70"/>
        <v/>
      </c>
      <c r="S666" s="20" t="str">
        <f t="shared" si="70"/>
        <v/>
      </c>
      <c r="T666" s="20" t="str">
        <f t="shared" si="70"/>
        <v/>
      </c>
      <c r="U666" s="20" t="str">
        <f t="shared" si="70"/>
        <v/>
      </c>
      <c r="V666" s="20" t="str">
        <f t="shared" si="70"/>
        <v/>
      </c>
      <c r="W666" s="20">
        <f t="shared" si="70"/>
        <v>0</v>
      </c>
      <c r="X666" s="20">
        <f t="shared" si="71"/>
        <v>0</v>
      </c>
      <c r="Y666" s="20">
        <f t="shared" si="71"/>
        <v>0</v>
      </c>
      <c r="Z666" s="20">
        <f t="shared" si="71"/>
        <v>0</v>
      </c>
      <c r="AA666" s="20">
        <f t="shared" si="71"/>
        <v>0</v>
      </c>
      <c r="AB666" s="20">
        <f t="shared" si="71"/>
        <v>0</v>
      </c>
      <c r="AC666" s="20">
        <f t="shared" si="71"/>
        <v>0</v>
      </c>
      <c r="AD666" s="20">
        <f t="shared" si="71"/>
        <v>0</v>
      </c>
      <c r="AE666" s="20"/>
      <c r="AF666" s="20"/>
      <c r="AG666" s="20">
        <f t="shared" si="71"/>
        <v>0</v>
      </c>
      <c r="AH666" s="20">
        <f t="shared" si="71"/>
        <v>0</v>
      </c>
      <c r="AI666" s="20">
        <f t="shared" si="71"/>
        <v>0</v>
      </c>
    </row>
    <row r="667" spans="2:35" hidden="1" x14ac:dyDescent="0.2">
      <c r="B667" s="20" t="str">
        <f t="array" ref="B667">IF(ISERROR(INDEX('Eingabe Meldungen'!$C$2:$C$492,LARGE(('Eingabe Meldungen'!$A$2:$A$492=$B$654)*(ROW('Eingabe Meldungen'!$A$2:$A$492)-1),COUNTIF('Eingabe Meldungen'!$A$2:$A$492,$B$654)+1-ROW('Eingabe Meldungen'!A13)))),"",INDEX('Eingabe Meldungen'!$C$2:$C$492,LARGE(('Eingabe Meldungen'!$A$2:$A$492=$B$654)*(ROW('Eingabe Meldungen'!$A$2:$A$492)-1),COUNTIF('Eingabe Meldungen'!$A$2:$A$492,$B$654)+1-ROW('Eingabe Meldungen'!A13))))</f>
        <v/>
      </c>
      <c r="C667" t="str">
        <f t="array" ref="C667">IF(ISERROR(INDEX('Eingabe Meldungen'!$D$2:$D$492,LARGE(('Eingabe Meldungen'!$A$2:$A$492=$B$654)*(ROW('Eingabe Meldungen'!$A$2:$A$492)-1),COUNTIF('Eingabe Meldungen'!$A$2:$A$492,$B$654)+1-ROW('Eingabe Meldungen'!A13)))),"",INDEX('Eingabe Meldungen'!$D$2:$D$492,LARGE(('Eingabe Meldungen'!$A$2:$A$492=$B$654)*(ROW('Eingabe Meldungen'!$A$2:$A$492)-1),COUNTIF('Eingabe Meldungen'!$A$2:$A$492,$B$654)+1-ROW('Eingabe Meldungen'!A13))))</f>
        <v/>
      </c>
      <c r="D667" s="11" t="str">
        <f t="array" ref="D667">IF(B667&lt;&gt;"",INDEX('Eingabe Meldungen'!$C$2:$H$492,MATCH(B667&amp;C667,'Eingabe Meldungen'!$C$2:$C$492&amp;'Eingabe Meldungen'!$D$2:$D$492,0),6),"")</f>
        <v/>
      </c>
      <c r="E667" s="66" t="str">
        <f t="array" ref="E667">IF(B667&lt;&gt;"",INDEX('Eingabe Meldungen'!$C$2:$H$492,MATCH(B667&amp;C667,'Eingabe Meldungen'!$C$2:$C$492&amp;'Eingabe Meldungen'!$D$2:$D$492,0),4),"")</f>
        <v/>
      </c>
      <c r="F667" s="32" t="e">
        <f>IF(VLOOKUP(B667,Rennlisten!$B$365:$J$393,10,FALSE)=0,"",VLOOKUP(B667,Rennlisten!$B$365:$J$393,10,FALSE))</f>
        <v>#REF!</v>
      </c>
      <c r="G667" t="e">
        <f t="shared" si="69"/>
        <v>#REF!</v>
      </c>
      <c r="H667" s="21" t="str">
        <f t="array" ref="H667">IF(B667&lt;&gt;"",INDEX('Eingabe Meldungen'!$C$2:$J$492,MATCH(B667&amp;C667,'Eingabe Meldungen'!$C$2:$C$492&amp;'Eingabe Meldungen'!$D$2:$D$492,0),8),"")</f>
        <v/>
      </c>
      <c r="J667" s="20" t="str">
        <f t="shared" si="65"/>
        <v/>
      </c>
      <c r="K667" s="20" t="str">
        <f t="shared" si="65"/>
        <v/>
      </c>
      <c r="L667" s="20" t="e">
        <f>IF(EXACT($H667,#REF!),$I667,"")</f>
        <v>#REF!</v>
      </c>
      <c r="M667" s="20" t="str">
        <f t="shared" si="66"/>
        <v/>
      </c>
      <c r="N667" s="20" t="str">
        <f t="shared" si="70"/>
        <v/>
      </c>
      <c r="O667" s="20" t="str">
        <f t="shared" si="70"/>
        <v/>
      </c>
      <c r="P667" s="20" t="str">
        <f t="shared" si="70"/>
        <v/>
      </c>
      <c r="Q667" s="20" t="str">
        <f t="shared" si="70"/>
        <v/>
      </c>
      <c r="R667" s="20" t="str">
        <f t="shared" si="70"/>
        <v/>
      </c>
      <c r="S667" s="20" t="str">
        <f t="shared" si="70"/>
        <v/>
      </c>
      <c r="T667" s="20" t="str">
        <f t="shared" si="70"/>
        <v/>
      </c>
      <c r="U667" s="20" t="str">
        <f t="shared" si="70"/>
        <v/>
      </c>
      <c r="V667" s="20" t="str">
        <f t="shared" si="70"/>
        <v/>
      </c>
      <c r="W667" s="20">
        <f t="shared" si="70"/>
        <v>0</v>
      </c>
      <c r="X667" s="20">
        <f t="shared" si="71"/>
        <v>0</v>
      </c>
      <c r="Y667" s="20">
        <f t="shared" si="71"/>
        <v>0</v>
      </c>
      <c r="Z667" s="20">
        <f t="shared" si="71"/>
        <v>0</v>
      </c>
      <c r="AA667" s="20">
        <f t="shared" si="71"/>
        <v>0</v>
      </c>
      <c r="AB667" s="20">
        <f t="shared" si="71"/>
        <v>0</v>
      </c>
      <c r="AC667" s="20">
        <f t="shared" si="71"/>
        <v>0</v>
      </c>
      <c r="AD667" s="20">
        <f t="shared" si="71"/>
        <v>0</v>
      </c>
      <c r="AE667" s="20"/>
      <c r="AF667" s="20"/>
      <c r="AG667" s="20">
        <f t="shared" si="71"/>
        <v>0</v>
      </c>
      <c r="AH667" s="20">
        <f t="shared" si="71"/>
        <v>0</v>
      </c>
      <c r="AI667" s="20">
        <f t="shared" si="71"/>
        <v>0</v>
      </c>
    </row>
    <row r="668" spans="2:35" hidden="1" x14ac:dyDescent="0.2">
      <c r="B668" s="20" t="str">
        <f t="array" ref="B668">IF(ISERROR(INDEX('Eingabe Meldungen'!$C$2:$C$492,LARGE(('Eingabe Meldungen'!$A$2:$A$492=$B$654)*(ROW('Eingabe Meldungen'!$A$2:$A$492)-1),COUNTIF('Eingabe Meldungen'!$A$2:$A$492,$B$654)+1-ROW('Eingabe Meldungen'!A14)))),"",INDEX('Eingabe Meldungen'!$C$2:$C$492,LARGE(('Eingabe Meldungen'!$A$2:$A$492=$B$654)*(ROW('Eingabe Meldungen'!$A$2:$A$492)-1),COUNTIF('Eingabe Meldungen'!$A$2:$A$492,$B$654)+1-ROW('Eingabe Meldungen'!A14))))</f>
        <v/>
      </c>
      <c r="C668" t="str">
        <f t="array" ref="C668">IF(ISERROR(INDEX('Eingabe Meldungen'!$D$2:$D$492,LARGE(('Eingabe Meldungen'!$A$2:$A$492=$B$654)*(ROW('Eingabe Meldungen'!$A$2:$A$492)-1),COUNTIF('Eingabe Meldungen'!$A$2:$A$492,$B$654)+1-ROW('Eingabe Meldungen'!A14)))),"",INDEX('Eingabe Meldungen'!$D$2:$D$492,LARGE(('Eingabe Meldungen'!$A$2:$A$492=$B$654)*(ROW('Eingabe Meldungen'!$A$2:$A$492)-1),COUNTIF('Eingabe Meldungen'!$A$2:$A$492,$B$654)+1-ROW('Eingabe Meldungen'!A14))))</f>
        <v/>
      </c>
      <c r="D668" s="11" t="str">
        <f t="array" ref="D668">IF(B668&lt;&gt;"",INDEX('Eingabe Meldungen'!$C$2:$H$492,MATCH(B668&amp;C668,'Eingabe Meldungen'!$C$2:$C$492&amp;'Eingabe Meldungen'!$D$2:$D$492,0),6),"")</f>
        <v/>
      </c>
      <c r="E668" s="66" t="str">
        <f t="array" ref="E668">IF(B668&lt;&gt;"",INDEX('Eingabe Meldungen'!$C$2:$H$492,MATCH(B668&amp;C668,'Eingabe Meldungen'!$C$2:$C$492&amp;'Eingabe Meldungen'!$D$2:$D$492,0),4),"")</f>
        <v/>
      </c>
      <c r="F668" s="32" t="e">
        <f>IF(VLOOKUP(B668,Rennlisten!$B$365:$J$393,10,FALSE)=0,"",VLOOKUP(B668,Rennlisten!$B$365:$J$393,10,FALSE))</f>
        <v>#REF!</v>
      </c>
      <c r="G668" t="e">
        <f t="shared" si="69"/>
        <v>#REF!</v>
      </c>
      <c r="H668" s="21" t="str">
        <f t="array" ref="H668">IF(B668&lt;&gt;"",INDEX('Eingabe Meldungen'!$C$2:$J$492,MATCH(B668&amp;C668,'Eingabe Meldungen'!$C$2:$C$492&amp;'Eingabe Meldungen'!$D$2:$D$492,0),8),"")</f>
        <v/>
      </c>
      <c r="J668" s="20" t="str">
        <f t="shared" si="65"/>
        <v/>
      </c>
      <c r="K668" s="20" t="str">
        <f t="shared" si="65"/>
        <v/>
      </c>
      <c r="L668" s="20" t="e">
        <f>IF(EXACT($H668,#REF!),$I668,"")</f>
        <v>#REF!</v>
      </c>
      <c r="M668" s="20" t="str">
        <f t="shared" si="66"/>
        <v/>
      </c>
      <c r="N668" s="20" t="str">
        <f t="shared" si="70"/>
        <v/>
      </c>
      <c r="O668" s="20" t="str">
        <f t="shared" si="70"/>
        <v/>
      </c>
      <c r="P668" s="20" t="str">
        <f t="shared" si="70"/>
        <v/>
      </c>
      <c r="Q668" s="20" t="str">
        <f t="shared" si="70"/>
        <v/>
      </c>
      <c r="R668" s="20" t="str">
        <f t="shared" si="70"/>
        <v/>
      </c>
      <c r="S668" s="20" t="str">
        <f t="shared" si="70"/>
        <v/>
      </c>
      <c r="T668" s="20" t="str">
        <f t="shared" si="70"/>
        <v/>
      </c>
      <c r="U668" s="20" t="str">
        <f t="shared" si="70"/>
        <v/>
      </c>
      <c r="V668" s="20" t="str">
        <f t="shared" si="70"/>
        <v/>
      </c>
      <c r="W668" s="20">
        <f t="shared" si="70"/>
        <v>0</v>
      </c>
      <c r="X668" s="20">
        <f t="shared" si="71"/>
        <v>0</v>
      </c>
      <c r="Y668" s="20">
        <f t="shared" si="71"/>
        <v>0</v>
      </c>
      <c r="Z668" s="20">
        <f t="shared" si="71"/>
        <v>0</v>
      </c>
      <c r="AA668" s="20">
        <f t="shared" si="71"/>
        <v>0</v>
      </c>
      <c r="AB668" s="20">
        <f t="shared" si="71"/>
        <v>0</v>
      </c>
      <c r="AC668" s="20">
        <f t="shared" si="71"/>
        <v>0</v>
      </c>
      <c r="AD668" s="20">
        <f t="shared" si="71"/>
        <v>0</v>
      </c>
      <c r="AE668" s="20"/>
      <c r="AF668" s="20"/>
      <c r="AG668" s="20">
        <f t="shared" si="71"/>
        <v>0</v>
      </c>
      <c r="AH668" s="20">
        <f t="shared" si="71"/>
        <v>0</v>
      </c>
      <c r="AI668" s="20">
        <f t="shared" si="71"/>
        <v>0</v>
      </c>
    </row>
    <row r="669" spans="2:35" hidden="1" x14ac:dyDescent="0.2">
      <c r="B669" s="20" t="str">
        <f t="array" ref="B669">IF(ISERROR(INDEX('Eingabe Meldungen'!$C$2:$C$492,LARGE(('Eingabe Meldungen'!$A$2:$A$492=$B$654)*(ROW('Eingabe Meldungen'!$A$2:$A$492)-1),COUNTIF('Eingabe Meldungen'!$A$2:$A$492,$B$654)+1-ROW('Eingabe Meldungen'!A15)))),"",INDEX('Eingabe Meldungen'!$C$2:$C$492,LARGE(('Eingabe Meldungen'!$A$2:$A$492=$B$654)*(ROW('Eingabe Meldungen'!$A$2:$A$492)-1),COUNTIF('Eingabe Meldungen'!$A$2:$A$492,$B$654)+1-ROW('Eingabe Meldungen'!A15))))</f>
        <v/>
      </c>
      <c r="C669" t="str">
        <f t="array" ref="C669">IF(ISERROR(INDEX('Eingabe Meldungen'!$D$2:$D$492,LARGE(('Eingabe Meldungen'!$A$2:$A$492=$B$654)*(ROW('Eingabe Meldungen'!$A$2:$A$492)-1),COUNTIF('Eingabe Meldungen'!$A$2:$A$492,$B$654)+1-ROW('Eingabe Meldungen'!A15)))),"",INDEX('Eingabe Meldungen'!$D$2:$D$492,LARGE(('Eingabe Meldungen'!$A$2:$A$492=$B$654)*(ROW('Eingabe Meldungen'!$A$2:$A$492)-1),COUNTIF('Eingabe Meldungen'!$A$2:$A$492,$B$654)+1-ROW('Eingabe Meldungen'!A15))))</f>
        <v/>
      </c>
      <c r="D669" s="11" t="str">
        <f t="array" ref="D669">IF(B669&lt;&gt;"",INDEX('Eingabe Meldungen'!$C$2:$H$492,MATCH(B669&amp;C669,'Eingabe Meldungen'!$C$2:$C$492&amp;'Eingabe Meldungen'!$D$2:$D$492,0),6),"")</f>
        <v/>
      </c>
      <c r="E669" s="66" t="str">
        <f t="array" ref="E669">IF(B669&lt;&gt;"",INDEX('Eingabe Meldungen'!$C$2:$H$492,MATCH(B669&amp;C669,'Eingabe Meldungen'!$C$2:$C$492&amp;'Eingabe Meldungen'!$D$2:$D$492,0),4),"")</f>
        <v/>
      </c>
      <c r="F669" s="32" t="e">
        <f>IF(VLOOKUP(B669,Rennlisten!$B$365:$J$393,10,FALSE)=0,"",VLOOKUP(B669,Rennlisten!$B$365:$J$393,10,FALSE))</f>
        <v>#REF!</v>
      </c>
      <c r="G669" t="e">
        <f t="shared" si="69"/>
        <v>#REF!</v>
      </c>
      <c r="H669" s="21" t="str">
        <f t="array" ref="H669">IF(B669&lt;&gt;"",INDEX('Eingabe Meldungen'!$C$2:$J$492,MATCH(B669&amp;C669,'Eingabe Meldungen'!$C$2:$C$492&amp;'Eingabe Meldungen'!$D$2:$D$492,0),8),"")</f>
        <v/>
      </c>
      <c r="J669" s="20" t="str">
        <f t="shared" si="65"/>
        <v/>
      </c>
      <c r="K669" s="20" t="str">
        <f t="shared" si="65"/>
        <v/>
      </c>
      <c r="L669" s="20" t="e">
        <f>IF(EXACT($H669,#REF!),$I669,"")</f>
        <v>#REF!</v>
      </c>
      <c r="M669" s="20" t="str">
        <f t="shared" si="66"/>
        <v/>
      </c>
      <c r="N669" s="20" t="str">
        <f t="shared" si="70"/>
        <v/>
      </c>
      <c r="O669" s="20" t="str">
        <f t="shared" si="70"/>
        <v/>
      </c>
      <c r="P669" s="20" t="str">
        <f t="shared" si="70"/>
        <v/>
      </c>
      <c r="Q669" s="20" t="str">
        <f t="shared" si="70"/>
        <v/>
      </c>
      <c r="R669" s="20" t="str">
        <f t="shared" si="70"/>
        <v/>
      </c>
      <c r="S669" s="20" t="str">
        <f t="shared" si="70"/>
        <v/>
      </c>
      <c r="T669" s="20" t="str">
        <f t="shared" si="70"/>
        <v/>
      </c>
      <c r="U669" s="20" t="str">
        <f t="shared" si="70"/>
        <v/>
      </c>
      <c r="V669" s="20" t="str">
        <f t="shared" si="70"/>
        <v/>
      </c>
      <c r="W669" s="20">
        <f t="shared" si="70"/>
        <v>0</v>
      </c>
      <c r="X669" s="20">
        <f t="shared" si="71"/>
        <v>0</v>
      </c>
      <c r="Y669" s="20">
        <f t="shared" si="71"/>
        <v>0</v>
      </c>
      <c r="Z669" s="20">
        <f t="shared" si="71"/>
        <v>0</v>
      </c>
      <c r="AA669" s="20">
        <f t="shared" si="71"/>
        <v>0</v>
      </c>
      <c r="AB669" s="20">
        <f t="shared" si="71"/>
        <v>0</v>
      </c>
      <c r="AC669" s="20">
        <f t="shared" si="71"/>
        <v>0</v>
      </c>
      <c r="AD669" s="20">
        <f t="shared" si="71"/>
        <v>0</v>
      </c>
      <c r="AE669" s="20"/>
      <c r="AF669" s="20"/>
      <c r="AG669" s="20">
        <f t="shared" si="71"/>
        <v>0</v>
      </c>
      <c r="AH669" s="20">
        <f t="shared" si="71"/>
        <v>0</v>
      </c>
      <c r="AI669" s="20">
        <f t="shared" si="71"/>
        <v>0</v>
      </c>
    </row>
    <row r="670" spans="2:35" hidden="1" x14ac:dyDescent="0.2">
      <c r="B670" s="20" t="str">
        <f t="array" ref="B670">IF(ISERROR(INDEX('Eingabe Meldungen'!$C$2:$C$492,LARGE(('Eingabe Meldungen'!$A$2:$A$492=$B$654)*(ROW('Eingabe Meldungen'!$A$2:$A$492)-1),COUNTIF('Eingabe Meldungen'!$A$2:$A$492,$B$654)+1-ROW('Eingabe Meldungen'!A16)))),"",INDEX('Eingabe Meldungen'!$C$2:$C$492,LARGE(('Eingabe Meldungen'!$A$2:$A$492=$B$654)*(ROW('Eingabe Meldungen'!$A$2:$A$492)-1),COUNTIF('Eingabe Meldungen'!$A$2:$A$492,$B$654)+1-ROW('Eingabe Meldungen'!A16))))</f>
        <v/>
      </c>
      <c r="C670" t="str">
        <f t="array" ref="C670">IF(ISERROR(INDEX('Eingabe Meldungen'!$D$2:$D$492,LARGE(('Eingabe Meldungen'!$A$2:$A$492=$B$654)*(ROW('Eingabe Meldungen'!$A$2:$A$492)-1),COUNTIF('Eingabe Meldungen'!$A$2:$A$492,$B$654)+1-ROW('Eingabe Meldungen'!A16)))),"",INDEX('Eingabe Meldungen'!$D$2:$D$492,LARGE(('Eingabe Meldungen'!$A$2:$A$492=$B$654)*(ROW('Eingabe Meldungen'!$A$2:$A$492)-1),COUNTIF('Eingabe Meldungen'!$A$2:$A$492,$B$654)+1-ROW('Eingabe Meldungen'!A16))))</f>
        <v/>
      </c>
      <c r="D670" s="11" t="str">
        <f t="array" ref="D670">IF(B670&lt;&gt;"",INDEX('Eingabe Meldungen'!$C$2:$H$492,MATCH(B670&amp;C670,'Eingabe Meldungen'!$C$2:$C$492&amp;'Eingabe Meldungen'!$D$2:$D$492,0),6),"")</f>
        <v/>
      </c>
      <c r="E670" s="66" t="str">
        <f t="array" ref="E670">IF(B670&lt;&gt;"",INDEX('Eingabe Meldungen'!$C$2:$H$492,MATCH(B670&amp;C670,'Eingabe Meldungen'!$C$2:$C$492&amp;'Eingabe Meldungen'!$D$2:$D$492,0),4),"")</f>
        <v/>
      </c>
      <c r="F670" s="32" t="e">
        <f>IF(VLOOKUP(B670,Rennlisten!$B$365:$J$393,10,FALSE)=0,"",VLOOKUP(B670,Rennlisten!$B$365:$J$393,10,FALSE))</f>
        <v>#REF!</v>
      </c>
      <c r="G670" t="e">
        <f t="shared" si="69"/>
        <v>#REF!</v>
      </c>
      <c r="H670" s="21" t="str">
        <f t="array" ref="H670">IF(B670&lt;&gt;"",INDEX('Eingabe Meldungen'!$C$2:$J$492,MATCH(B670&amp;C670,'Eingabe Meldungen'!$C$2:$C$492&amp;'Eingabe Meldungen'!$D$2:$D$492,0),8),"")</f>
        <v/>
      </c>
      <c r="J670" s="20" t="str">
        <f t="shared" si="65"/>
        <v/>
      </c>
      <c r="K670" s="20" t="str">
        <f t="shared" si="65"/>
        <v/>
      </c>
      <c r="L670" s="20" t="e">
        <f>IF(EXACT($H670,#REF!),$I670,"")</f>
        <v>#REF!</v>
      </c>
      <c r="M670" s="20" t="str">
        <f t="shared" si="66"/>
        <v/>
      </c>
      <c r="N670" s="20" t="str">
        <f t="shared" si="70"/>
        <v/>
      </c>
      <c r="O670" s="20" t="str">
        <f t="shared" si="70"/>
        <v/>
      </c>
      <c r="P670" s="20" t="str">
        <f t="shared" si="70"/>
        <v/>
      </c>
      <c r="Q670" s="20" t="str">
        <f t="shared" si="70"/>
        <v/>
      </c>
      <c r="R670" s="20" t="str">
        <f t="shared" si="70"/>
        <v/>
      </c>
      <c r="S670" s="20" t="str">
        <f t="shared" si="70"/>
        <v/>
      </c>
      <c r="T670" s="20" t="str">
        <f t="shared" si="70"/>
        <v/>
      </c>
      <c r="U670" s="20" t="str">
        <f t="shared" si="70"/>
        <v/>
      </c>
      <c r="V670" s="20" t="str">
        <f t="shared" si="70"/>
        <v/>
      </c>
      <c r="W670" s="20">
        <f t="shared" si="70"/>
        <v>0</v>
      </c>
      <c r="X670" s="20">
        <f t="shared" si="71"/>
        <v>0</v>
      </c>
      <c r="Y670" s="20">
        <f t="shared" si="71"/>
        <v>0</v>
      </c>
      <c r="Z670" s="20">
        <f t="shared" si="71"/>
        <v>0</v>
      </c>
      <c r="AA670" s="20">
        <f t="shared" si="71"/>
        <v>0</v>
      </c>
      <c r="AB670" s="20">
        <f t="shared" si="71"/>
        <v>0</v>
      </c>
      <c r="AC670" s="20">
        <f t="shared" si="71"/>
        <v>0</v>
      </c>
      <c r="AD670" s="20">
        <f t="shared" si="71"/>
        <v>0</v>
      </c>
      <c r="AE670" s="20"/>
      <c r="AF670" s="20"/>
      <c r="AG670" s="20">
        <f t="shared" si="71"/>
        <v>0</v>
      </c>
      <c r="AH670" s="20">
        <f t="shared" si="71"/>
        <v>0</v>
      </c>
      <c r="AI670" s="20">
        <f t="shared" si="71"/>
        <v>0</v>
      </c>
    </row>
    <row r="671" spans="2:35" hidden="1" x14ac:dyDescent="0.2">
      <c r="B671" s="20" t="str">
        <f t="array" ref="B671">IF(ISERROR(INDEX('Eingabe Meldungen'!$C$2:$C$492,LARGE(('Eingabe Meldungen'!$A$2:$A$492=$B$654)*(ROW('Eingabe Meldungen'!$A$2:$A$492)-1),COUNTIF('Eingabe Meldungen'!$A$2:$A$492,$B$654)+1-ROW('Eingabe Meldungen'!A17)))),"",INDEX('Eingabe Meldungen'!$C$2:$C$492,LARGE(('Eingabe Meldungen'!$A$2:$A$492=$B$654)*(ROW('Eingabe Meldungen'!$A$2:$A$492)-1),COUNTIF('Eingabe Meldungen'!$A$2:$A$492,$B$654)+1-ROW('Eingabe Meldungen'!A17))))</f>
        <v/>
      </c>
      <c r="C671" t="str">
        <f t="array" ref="C671">IF(ISERROR(INDEX('Eingabe Meldungen'!$D$2:$D$492,LARGE(('Eingabe Meldungen'!$A$2:$A$492=$B$654)*(ROW('Eingabe Meldungen'!$A$2:$A$492)-1),COUNTIF('Eingabe Meldungen'!$A$2:$A$492,$B$654)+1-ROW('Eingabe Meldungen'!A17)))),"",INDEX('Eingabe Meldungen'!$D$2:$D$492,LARGE(('Eingabe Meldungen'!$A$2:$A$492=$B$654)*(ROW('Eingabe Meldungen'!$A$2:$A$492)-1),COUNTIF('Eingabe Meldungen'!$A$2:$A$492,$B$654)+1-ROW('Eingabe Meldungen'!A17))))</f>
        <v/>
      </c>
      <c r="D671" s="11" t="str">
        <f t="array" ref="D671">IF(B671&lt;&gt;"",INDEX('Eingabe Meldungen'!$C$2:$H$492,MATCH(B671&amp;C671,'Eingabe Meldungen'!$C$2:$C$492&amp;'Eingabe Meldungen'!$D$2:$D$492,0),6),"")</f>
        <v/>
      </c>
      <c r="E671" s="66" t="str">
        <f t="array" ref="E671">IF(B671&lt;&gt;"",INDEX('Eingabe Meldungen'!$C$2:$H$492,MATCH(B671&amp;C671,'Eingabe Meldungen'!$C$2:$C$492&amp;'Eingabe Meldungen'!$D$2:$D$492,0),4),"")</f>
        <v/>
      </c>
      <c r="F671" s="32" t="e">
        <f>IF(VLOOKUP(B671,Rennlisten!$B$365:$J$393,10,FALSE)=0,"",VLOOKUP(B671,Rennlisten!$B$365:$J$393,10,FALSE))</f>
        <v>#REF!</v>
      </c>
      <c r="G671" t="e">
        <f t="shared" si="69"/>
        <v>#REF!</v>
      </c>
      <c r="H671" s="21" t="str">
        <f t="array" ref="H671">IF(B671&lt;&gt;"",INDEX('Eingabe Meldungen'!$C$2:$J$492,MATCH(B671&amp;C671,'Eingabe Meldungen'!$C$2:$C$492&amp;'Eingabe Meldungen'!$D$2:$D$492,0),8),"")</f>
        <v/>
      </c>
      <c r="J671" s="20" t="str">
        <f t="shared" si="65"/>
        <v/>
      </c>
      <c r="K671" s="20" t="str">
        <f t="shared" si="65"/>
        <v/>
      </c>
      <c r="L671" s="20" t="e">
        <f>IF(EXACT($H671,#REF!),$I671,"")</f>
        <v>#REF!</v>
      </c>
      <c r="M671" s="20" t="str">
        <f t="shared" si="66"/>
        <v/>
      </c>
      <c r="N671" s="20" t="str">
        <f t="shared" si="70"/>
        <v/>
      </c>
      <c r="O671" s="20" t="str">
        <f t="shared" si="70"/>
        <v/>
      </c>
      <c r="P671" s="20" t="str">
        <f t="shared" si="70"/>
        <v/>
      </c>
      <c r="Q671" s="20" t="str">
        <f t="shared" si="70"/>
        <v/>
      </c>
      <c r="R671" s="20" t="str">
        <f t="shared" si="70"/>
        <v/>
      </c>
      <c r="S671" s="20" t="str">
        <f t="shared" si="70"/>
        <v/>
      </c>
      <c r="T671" s="20" t="str">
        <f t="shared" si="70"/>
        <v/>
      </c>
      <c r="U671" s="20" t="str">
        <f t="shared" si="70"/>
        <v/>
      </c>
      <c r="V671" s="20" t="str">
        <f t="shared" si="70"/>
        <v/>
      </c>
      <c r="W671" s="20">
        <f t="shared" si="70"/>
        <v>0</v>
      </c>
      <c r="X671" s="20">
        <f t="shared" si="71"/>
        <v>0</v>
      </c>
      <c r="Y671" s="20">
        <f t="shared" si="71"/>
        <v>0</v>
      </c>
      <c r="Z671" s="20">
        <f t="shared" si="71"/>
        <v>0</v>
      </c>
      <c r="AA671" s="20">
        <f t="shared" si="71"/>
        <v>0</v>
      </c>
      <c r="AB671" s="20">
        <f t="shared" si="71"/>
        <v>0</v>
      </c>
      <c r="AC671" s="20">
        <f t="shared" si="71"/>
        <v>0</v>
      </c>
      <c r="AD671" s="20">
        <f t="shared" si="71"/>
        <v>0</v>
      </c>
      <c r="AE671" s="20"/>
      <c r="AF671" s="20"/>
      <c r="AG671" s="20">
        <f t="shared" si="71"/>
        <v>0</v>
      </c>
      <c r="AH671" s="20">
        <f t="shared" si="71"/>
        <v>0</v>
      </c>
      <c r="AI671" s="20">
        <f t="shared" si="71"/>
        <v>0</v>
      </c>
    </row>
    <row r="672" spans="2:35" hidden="1" x14ac:dyDescent="0.2">
      <c r="B672" s="20" t="str">
        <f t="array" ref="B672">IF(ISERROR(INDEX('Eingabe Meldungen'!$C$2:$C$492,LARGE(('Eingabe Meldungen'!$A$2:$A$492=$B$654)*(ROW('Eingabe Meldungen'!$A$2:$A$492)-1),COUNTIF('Eingabe Meldungen'!$A$2:$A$492,$B$654)+1-ROW('Eingabe Meldungen'!A18)))),"",INDEX('Eingabe Meldungen'!$C$2:$C$492,LARGE(('Eingabe Meldungen'!$A$2:$A$492=$B$654)*(ROW('Eingabe Meldungen'!$A$2:$A$492)-1),COUNTIF('Eingabe Meldungen'!$A$2:$A$492,$B$654)+1-ROW('Eingabe Meldungen'!A18))))</f>
        <v/>
      </c>
      <c r="C672" t="str">
        <f t="array" ref="C672">IF(ISERROR(INDEX('Eingabe Meldungen'!$D$2:$D$492,LARGE(('Eingabe Meldungen'!$A$2:$A$492=$B$654)*(ROW('Eingabe Meldungen'!$A$2:$A$492)-1),COUNTIF('Eingabe Meldungen'!$A$2:$A$492,$B$654)+1-ROW('Eingabe Meldungen'!A18)))),"",INDEX('Eingabe Meldungen'!$D$2:$D$492,LARGE(('Eingabe Meldungen'!$A$2:$A$492=$B$654)*(ROW('Eingabe Meldungen'!$A$2:$A$492)-1),COUNTIF('Eingabe Meldungen'!$A$2:$A$492,$B$654)+1-ROW('Eingabe Meldungen'!A18))))</f>
        <v/>
      </c>
      <c r="D672" s="11" t="str">
        <f t="array" ref="D672">IF(B672&lt;&gt;"",INDEX('Eingabe Meldungen'!$C$2:$H$492,MATCH(B672&amp;C672,'Eingabe Meldungen'!$C$2:$C$492&amp;'Eingabe Meldungen'!$D$2:$D$492,0),6),"")</f>
        <v/>
      </c>
      <c r="E672" s="66" t="str">
        <f t="array" ref="E672">IF(B672&lt;&gt;"",INDEX('Eingabe Meldungen'!$C$2:$H$492,MATCH(B672&amp;C672,'Eingabe Meldungen'!$C$2:$C$492&amp;'Eingabe Meldungen'!$D$2:$D$492,0),4),"")</f>
        <v/>
      </c>
      <c r="F672" s="32" t="e">
        <f>IF(VLOOKUP(B672,Rennlisten!$B$365:$J$393,10,FALSE)=0,"",VLOOKUP(B672,Rennlisten!$B$365:$J$393,10,FALSE))</f>
        <v>#REF!</v>
      </c>
      <c r="G672" t="e">
        <f t="shared" si="69"/>
        <v>#REF!</v>
      </c>
      <c r="H672" s="21" t="str">
        <f t="array" ref="H672">IF(B672&lt;&gt;"",INDEX('Eingabe Meldungen'!$C$2:$J$492,MATCH(B672&amp;C672,'Eingabe Meldungen'!$C$2:$C$492&amp;'Eingabe Meldungen'!$D$2:$D$492,0),8),"")</f>
        <v/>
      </c>
      <c r="J672" s="20" t="str">
        <f t="shared" si="65"/>
        <v/>
      </c>
      <c r="K672" s="20" t="str">
        <f t="shared" si="65"/>
        <v/>
      </c>
      <c r="L672" s="20" t="e">
        <f>IF(EXACT($H672,#REF!),$I672,"")</f>
        <v>#REF!</v>
      </c>
      <c r="M672" s="20" t="str">
        <f t="shared" si="66"/>
        <v/>
      </c>
      <c r="N672" s="20" t="str">
        <f t="shared" si="70"/>
        <v/>
      </c>
      <c r="O672" s="20" t="str">
        <f t="shared" si="70"/>
        <v/>
      </c>
      <c r="P672" s="20" t="str">
        <f t="shared" si="70"/>
        <v/>
      </c>
      <c r="Q672" s="20" t="str">
        <f t="shared" si="70"/>
        <v/>
      </c>
      <c r="R672" s="20" t="str">
        <f t="shared" si="70"/>
        <v/>
      </c>
      <c r="S672" s="20" t="str">
        <f t="shared" si="70"/>
        <v/>
      </c>
      <c r="T672" s="20" t="str">
        <f t="shared" si="70"/>
        <v/>
      </c>
      <c r="U672" s="20" t="str">
        <f t="shared" si="70"/>
        <v/>
      </c>
      <c r="V672" s="20" t="str">
        <f t="shared" si="70"/>
        <v/>
      </c>
      <c r="W672" s="20">
        <f t="shared" si="70"/>
        <v>0</v>
      </c>
      <c r="X672" s="20">
        <f t="shared" si="71"/>
        <v>0</v>
      </c>
      <c r="Y672" s="20">
        <f t="shared" si="71"/>
        <v>0</v>
      </c>
      <c r="Z672" s="20">
        <f t="shared" si="71"/>
        <v>0</v>
      </c>
      <c r="AA672" s="20">
        <f t="shared" si="71"/>
        <v>0</v>
      </c>
      <c r="AB672" s="20">
        <f t="shared" si="71"/>
        <v>0</v>
      </c>
      <c r="AC672" s="20">
        <f t="shared" si="71"/>
        <v>0</v>
      </c>
      <c r="AD672" s="20">
        <f t="shared" si="71"/>
        <v>0</v>
      </c>
      <c r="AE672" s="20"/>
      <c r="AF672" s="20"/>
      <c r="AG672" s="20">
        <f t="shared" si="71"/>
        <v>0</v>
      </c>
      <c r="AH672" s="20">
        <f t="shared" si="71"/>
        <v>0</v>
      </c>
      <c r="AI672" s="20">
        <f t="shared" si="71"/>
        <v>0</v>
      </c>
    </row>
    <row r="673" spans="2:35" hidden="1" x14ac:dyDescent="0.2">
      <c r="B673" s="20" t="str">
        <f t="array" ref="B673">IF(ISERROR(INDEX('Eingabe Meldungen'!$C$2:$C$492,LARGE(('Eingabe Meldungen'!$A$2:$A$492=$B$654)*(ROW('Eingabe Meldungen'!$A$2:$A$492)-1),COUNTIF('Eingabe Meldungen'!$A$2:$A$492,$B$654)+1-ROW('Eingabe Meldungen'!A19)))),"",INDEX('Eingabe Meldungen'!$C$2:$C$492,LARGE(('Eingabe Meldungen'!$A$2:$A$492=$B$654)*(ROW('Eingabe Meldungen'!$A$2:$A$492)-1),COUNTIF('Eingabe Meldungen'!$A$2:$A$492,$B$654)+1-ROW('Eingabe Meldungen'!A19))))</f>
        <v/>
      </c>
      <c r="C673" t="str">
        <f t="array" ref="C673">IF(ISERROR(INDEX('Eingabe Meldungen'!$D$2:$D$492,LARGE(('Eingabe Meldungen'!$A$2:$A$492=$B$654)*(ROW('Eingabe Meldungen'!$A$2:$A$492)-1),COUNTIF('Eingabe Meldungen'!$A$2:$A$492,$B$654)+1-ROW('Eingabe Meldungen'!A19)))),"",INDEX('Eingabe Meldungen'!$D$2:$D$492,LARGE(('Eingabe Meldungen'!$A$2:$A$492=$B$654)*(ROW('Eingabe Meldungen'!$A$2:$A$492)-1),COUNTIF('Eingabe Meldungen'!$A$2:$A$492,$B$654)+1-ROW('Eingabe Meldungen'!A19))))</f>
        <v/>
      </c>
      <c r="D673" s="11" t="str">
        <f t="array" ref="D673">IF(B673&lt;&gt;"",INDEX('Eingabe Meldungen'!$C$2:$H$492,MATCH(B673&amp;C673,'Eingabe Meldungen'!$C$2:$C$492&amp;'Eingabe Meldungen'!$D$2:$D$492,0),6),"")</f>
        <v/>
      </c>
      <c r="E673" s="66" t="str">
        <f t="array" ref="E673">IF(B673&lt;&gt;"",INDEX('Eingabe Meldungen'!$C$2:$H$492,MATCH(B673&amp;C673,'Eingabe Meldungen'!$C$2:$C$492&amp;'Eingabe Meldungen'!$D$2:$D$492,0),4),"")</f>
        <v/>
      </c>
      <c r="F673" s="32" t="e">
        <f>IF(VLOOKUP(B673,Rennlisten!$B$365:$J$393,10,FALSE)=0,"",VLOOKUP(B673,Rennlisten!$B$365:$J$393,10,FALSE))</f>
        <v>#REF!</v>
      </c>
      <c r="G673" t="e">
        <f t="shared" si="69"/>
        <v>#REF!</v>
      </c>
      <c r="H673" s="21" t="str">
        <f t="array" ref="H673">IF(B673&lt;&gt;"",INDEX('Eingabe Meldungen'!$C$2:$J$492,MATCH(B673&amp;C673,'Eingabe Meldungen'!$C$2:$C$492&amp;'Eingabe Meldungen'!$D$2:$D$492,0),8),"")</f>
        <v/>
      </c>
      <c r="J673" s="20" t="str">
        <f t="shared" si="65"/>
        <v/>
      </c>
      <c r="K673" s="20" t="str">
        <f t="shared" si="65"/>
        <v/>
      </c>
      <c r="L673" s="20" t="e">
        <f>IF(EXACT($H673,#REF!),$I673,"")</f>
        <v>#REF!</v>
      </c>
      <c r="M673" s="20" t="str">
        <f t="shared" si="66"/>
        <v/>
      </c>
      <c r="N673" s="20" t="str">
        <f t="shared" si="70"/>
        <v/>
      </c>
      <c r="O673" s="20" t="str">
        <f t="shared" si="70"/>
        <v/>
      </c>
      <c r="P673" s="20" t="str">
        <f t="shared" si="70"/>
        <v/>
      </c>
      <c r="Q673" s="20" t="str">
        <f t="shared" si="70"/>
        <v/>
      </c>
      <c r="R673" s="20" t="str">
        <f t="shared" si="70"/>
        <v/>
      </c>
      <c r="S673" s="20" t="str">
        <f t="shared" si="70"/>
        <v/>
      </c>
      <c r="T673" s="20" t="str">
        <f t="shared" si="70"/>
        <v/>
      </c>
      <c r="U673" s="20" t="str">
        <f t="shared" si="70"/>
        <v/>
      </c>
      <c r="V673" s="20" t="str">
        <f t="shared" si="70"/>
        <v/>
      </c>
      <c r="W673" s="20">
        <f t="shared" si="70"/>
        <v>0</v>
      </c>
      <c r="X673" s="20">
        <f t="shared" si="71"/>
        <v>0</v>
      </c>
      <c r="Y673" s="20">
        <f t="shared" si="71"/>
        <v>0</v>
      </c>
      <c r="Z673" s="20">
        <f t="shared" si="71"/>
        <v>0</v>
      </c>
      <c r="AA673" s="20">
        <f t="shared" si="71"/>
        <v>0</v>
      </c>
      <c r="AB673" s="20">
        <f t="shared" si="71"/>
        <v>0</v>
      </c>
      <c r="AC673" s="20">
        <f t="shared" si="71"/>
        <v>0</v>
      </c>
      <c r="AD673" s="20">
        <f t="shared" si="71"/>
        <v>0</v>
      </c>
      <c r="AE673" s="20"/>
      <c r="AF673" s="20"/>
      <c r="AG673" s="20">
        <f t="shared" si="71"/>
        <v>0</v>
      </c>
      <c r="AH673" s="20">
        <f t="shared" si="71"/>
        <v>0</v>
      </c>
      <c r="AI673" s="20">
        <f t="shared" si="71"/>
        <v>0</v>
      </c>
    </row>
    <row r="674" spans="2:35" hidden="1" x14ac:dyDescent="0.2">
      <c r="B674" s="20" t="str">
        <f t="array" ref="B674">IF(ISERROR(INDEX('Eingabe Meldungen'!$C$2:$C$492,LARGE(('Eingabe Meldungen'!$A$2:$A$492=$B$654)*(ROW('Eingabe Meldungen'!$A$2:$A$492)-1),COUNTIF('Eingabe Meldungen'!$A$2:$A$492,$B$654)+1-ROW('Eingabe Meldungen'!A20)))),"",INDEX('Eingabe Meldungen'!$C$2:$C$492,LARGE(('Eingabe Meldungen'!$A$2:$A$492=$B$654)*(ROW('Eingabe Meldungen'!$A$2:$A$492)-1),COUNTIF('Eingabe Meldungen'!$A$2:$A$492,$B$654)+1-ROW('Eingabe Meldungen'!A20))))</f>
        <v/>
      </c>
      <c r="C674" t="str">
        <f t="array" ref="C674">IF(ISERROR(INDEX('Eingabe Meldungen'!$D$2:$D$492,LARGE(('Eingabe Meldungen'!$A$2:$A$492=$B$654)*(ROW('Eingabe Meldungen'!$A$2:$A$492)-1),COUNTIF('Eingabe Meldungen'!$A$2:$A$492,$B$654)+1-ROW('Eingabe Meldungen'!A20)))),"",INDEX('Eingabe Meldungen'!$D$2:$D$492,LARGE(('Eingabe Meldungen'!$A$2:$A$492=$B$654)*(ROW('Eingabe Meldungen'!$A$2:$A$492)-1),COUNTIF('Eingabe Meldungen'!$A$2:$A$492,$B$654)+1-ROW('Eingabe Meldungen'!A20))))</f>
        <v/>
      </c>
      <c r="D674" s="11" t="str">
        <f t="array" ref="D674">IF(B674&lt;&gt;"",INDEX('Eingabe Meldungen'!$C$2:$H$492,MATCH(B674&amp;C674,'Eingabe Meldungen'!$C$2:$C$492&amp;'Eingabe Meldungen'!$D$2:$D$492,0),6),"")</f>
        <v/>
      </c>
      <c r="E674" s="66" t="str">
        <f t="array" ref="E674">IF(B674&lt;&gt;"",INDEX('Eingabe Meldungen'!$C$2:$H$492,MATCH(B674&amp;C674,'Eingabe Meldungen'!$C$2:$C$492&amp;'Eingabe Meldungen'!$D$2:$D$492,0),4),"")</f>
        <v/>
      </c>
      <c r="F674" s="32" t="e">
        <f>IF(VLOOKUP(B674,Rennlisten!$B$365:$J$393,10,FALSE)=0,"",VLOOKUP(B674,Rennlisten!$B$365:$J$393,10,FALSE))</f>
        <v>#REF!</v>
      </c>
      <c r="G674" t="e">
        <f t="shared" si="69"/>
        <v>#REF!</v>
      </c>
      <c r="H674" s="21" t="str">
        <f t="array" ref="H674">IF(B674&lt;&gt;"",INDEX('Eingabe Meldungen'!$C$2:$J$492,MATCH(B674&amp;C674,'Eingabe Meldungen'!$C$2:$C$492&amp;'Eingabe Meldungen'!$D$2:$D$492,0),8),"")</f>
        <v/>
      </c>
      <c r="J674" s="20" t="str">
        <f t="shared" ref="J674:K693" si="72">IF(EXACT($H674,J$4),$I674,"")</f>
        <v/>
      </c>
      <c r="K674" s="20" t="str">
        <f t="shared" si="72"/>
        <v/>
      </c>
      <c r="L674" s="20" t="e">
        <f>IF(EXACT($H674,#REF!),$I674,"")</f>
        <v>#REF!</v>
      </c>
      <c r="M674" s="20" t="str">
        <f t="shared" si="66"/>
        <v/>
      </c>
      <c r="N674" s="20" t="str">
        <f t="shared" ref="N674:W683" si="73">IF(EXACT($H674,N$4),$I674,"")</f>
        <v/>
      </c>
      <c r="O674" s="20" t="str">
        <f t="shared" si="73"/>
        <v/>
      </c>
      <c r="P674" s="20" t="str">
        <f t="shared" si="73"/>
        <v/>
      </c>
      <c r="Q674" s="20" t="str">
        <f t="shared" si="73"/>
        <v/>
      </c>
      <c r="R674" s="20" t="str">
        <f t="shared" si="73"/>
        <v/>
      </c>
      <c r="S674" s="20" t="str">
        <f t="shared" si="73"/>
        <v/>
      </c>
      <c r="T674" s="20" t="str">
        <f t="shared" si="73"/>
        <v/>
      </c>
      <c r="U674" s="20" t="str">
        <f t="shared" si="73"/>
        <v/>
      </c>
      <c r="V674" s="20" t="str">
        <f t="shared" si="73"/>
        <v/>
      </c>
      <c r="W674" s="20">
        <f t="shared" si="73"/>
        <v>0</v>
      </c>
      <c r="X674" s="20">
        <f t="shared" ref="X674:AI683" si="74">IF(EXACT($H674,X$4),$I674,"")</f>
        <v>0</v>
      </c>
      <c r="Y674" s="20">
        <f t="shared" si="74"/>
        <v>0</v>
      </c>
      <c r="Z674" s="20">
        <f t="shared" si="74"/>
        <v>0</v>
      </c>
      <c r="AA674" s="20">
        <f t="shared" si="74"/>
        <v>0</v>
      </c>
      <c r="AB674" s="20">
        <f t="shared" si="74"/>
        <v>0</v>
      </c>
      <c r="AC674" s="20">
        <f t="shared" si="74"/>
        <v>0</v>
      </c>
      <c r="AD674" s="20">
        <f t="shared" si="74"/>
        <v>0</v>
      </c>
      <c r="AE674" s="20"/>
      <c r="AF674" s="20"/>
      <c r="AG674" s="20">
        <f t="shared" si="74"/>
        <v>0</v>
      </c>
      <c r="AH674" s="20">
        <f t="shared" si="74"/>
        <v>0</v>
      </c>
      <c r="AI674" s="20">
        <f t="shared" si="74"/>
        <v>0</v>
      </c>
    </row>
    <row r="675" spans="2:35" hidden="1" x14ac:dyDescent="0.2">
      <c r="B675" s="20" t="str">
        <f t="array" ref="B675">IF(ISERROR(INDEX('Eingabe Meldungen'!$C$2:$C$492,LARGE(('Eingabe Meldungen'!$A$2:$A$492=$B$654)*(ROW('Eingabe Meldungen'!$A$2:$A$492)-1),COUNTIF('Eingabe Meldungen'!$A$2:$A$492,$B$654)+1-ROW('Eingabe Meldungen'!A21)))),"",INDEX('Eingabe Meldungen'!$C$2:$C$492,LARGE(('Eingabe Meldungen'!$A$2:$A$492=$B$654)*(ROW('Eingabe Meldungen'!$A$2:$A$492)-1),COUNTIF('Eingabe Meldungen'!$A$2:$A$492,$B$654)+1-ROW('Eingabe Meldungen'!A21))))</f>
        <v/>
      </c>
      <c r="C675" t="str">
        <f t="array" ref="C675">IF(ISERROR(INDEX('Eingabe Meldungen'!$D$2:$D$492,LARGE(('Eingabe Meldungen'!$A$2:$A$492=$B$654)*(ROW('Eingabe Meldungen'!$A$2:$A$492)-1),COUNTIF('Eingabe Meldungen'!$A$2:$A$492,$B$654)+1-ROW('Eingabe Meldungen'!A21)))),"",INDEX('Eingabe Meldungen'!$D$2:$D$492,LARGE(('Eingabe Meldungen'!$A$2:$A$492=$B$654)*(ROW('Eingabe Meldungen'!$A$2:$A$492)-1),COUNTIF('Eingabe Meldungen'!$A$2:$A$492,$B$654)+1-ROW('Eingabe Meldungen'!A21))))</f>
        <v/>
      </c>
      <c r="D675" s="11" t="str">
        <f t="array" ref="D675">IF(B675&lt;&gt;"",INDEX('Eingabe Meldungen'!$C$2:$H$492,MATCH(B675&amp;C675,'Eingabe Meldungen'!$C$2:$C$492&amp;'Eingabe Meldungen'!$D$2:$D$492,0),6),"")</f>
        <v/>
      </c>
      <c r="E675" s="66" t="str">
        <f t="array" ref="E675">IF(B675&lt;&gt;"",INDEX('Eingabe Meldungen'!$C$2:$H$492,MATCH(B675&amp;C675,'Eingabe Meldungen'!$C$2:$C$492&amp;'Eingabe Meldungen'!$D$2:$D$492,0),4),"")</f>
        <v/>
      </c>
      <c r="F675" s="32" t="e">
        <f>IF(VLOOKUP(B675,Rennlisten!$B$365:$J$393,10,FALSE)=0,"",VLOOKUP(B675,Rennlisten!$B$365:$J$393,10,FALSE))</f>
        <v>#REF!</v>
      </c>
      <c r="G675" t="e">
        <f t="shared" si="69"/>
        <v>#REF!</v>
      </c>
      <c r="H675" s="21" t="str">
        <f t="array" ref="H675">IF(B675&lt;&gt;"",INDEX('Eingabe Meldungen'!$C$2:$J$492,MATCH(B675&amp;C675,'Eingabe Meldungen'!$C$2:$C$492&amp;'Eingabe Meldungen'!$D$2:$D$492,0),8),"")</f>
        <v/>
      </c>
      <c r="J675" s="20" t="str">
        <f t="shared" si="72"/>
        <v/>
      </c>
      <c r="K675" s="20" t="str">
        <f t="shared" si="72"/>
        <v/>
      </c>
      <c r="L675" s="20" t="e">
        <f>IF(EXACT($H675,#REF!),$I675,"")</f>
        <v>#REF!</v>
      </c>
      <c r="M675" s="20" t="str">
        <f t="shared" si="66"/>
        <v/>
      </c>
      <c r="N675" s="20" t="str">
        <f t="shared" si="73"/>
        <v/>
      </c>
      <c r="O675" s="20" t="str">
        <f t="shared" si="73"/>
        <v/>
      </c>
      <c r="P675" s="20" t="str">
        <f t="shared" si="73"/>
        <v/>
      </c>
      <c r="Q675" s="20" t="str">
        <f t="shared" si="73"/>
        <v/>
      </c>
      <c r="R675" s="20" t="str">
        <f t="shared" si="73"/>
        <v/>
      </c>
      <c r="S675" s="20" t="str">
        <f t="shared" si="73"/>
        <v/>
      </c>
      <c r="T675" s="20" t="str">
        <f t="shared" si="73"/>
        <v/>
      </c>
      <c r="U675" s="20" t="str">
        <f t="shared" si="73"/>
        <v/>
      </c>
      <c r="V675" s="20" t="str">
        <f t="shared" si="73"/>
        <v/>
      </c>
      <c r="W675" s="20">
        <f t="shared" si="73"/>
        <v>0</v>
      </c>
      <c r="X675" s="20">
        <f t="shared" si="74"/>
        <v>0</v>
      </c>
      <c r="Y675" s="20">
        <f t="shared" si="74"/>
        <v>0</v>
      </c>
      <c r="Z675" s="20">
        <f t="shared" si="74"/>
        <v>0</v>
      </c>
      <c r="AA675" s="20">
        <f t="shared" si="74"/>
        <v>0</v>
      </c>
      <c r="AB675" s="20">
        <f t="shared" si="74"/>
        <v>0</v>
      </c>
      <c r="AC675" s="20">
        <f t="shared" si="74"/>
        <v>0</v>
      </c>
      <c r="AD675" s="20">
        <f t="shared" si="74"/>
        <v>0</v>
      </c>
      <c r="AE675" s="20"/>
      <c r="AF675" s="20"/>
      <c r="AG675" s="20">
        <f t="shared" si="74"/>
        <v>0</v>
      </c>
      <c r="AH675" s="20">
        <f t="shared" si="74"/>
        <v>0</v>
      </c>
      <c r="AI675" s="20">
        <f t="shared" si="74"/>
        <v>0</v>
      </c>
    </row>
    <row r="676" spans="2:35" hidden="1" x14ac:dyDescent="0.2">
      <c r="B676" s="20" t="str">
        <f t="array" ref="B676">IF(ISERROR(INDEX('Eingabe Meldungen'!$C$2:$C$492,LARGE(('Eingabe Meldungen'!$A$2:$A$492=$B$654)*(ROW('Eingabe Meldungen'!$A$2:$A$492)-1),COUNTIF('Eingabe Meldungen'!$A$2:$A$492,$B$654)+1-ROW('Eingabe Meldungen'!A22)))),"",INDEX('Eingabe Meldungen'!$C$2:$C$492,LARGE(('Eingabe Meldungen'!$A$2:$A$492=$B$654)*(ROW('Eingabe Meldungen'!$A$2:$A$492)-1),COUNTIF('Eingabe Meldungen'!$A$2:$A$492,$B$654)+1-ROW('Eingabe Meldungen'!A22))))</f>
        <v/>
      </c>
      <c r="C676" t="str">
        <f t="array" ref="C676">IF(ISERROR(INDEX('Eingabe Meldungen'!$D$2:$D$492,LARGE(('Eingabe Meldungen'!$A$2:$A$492=$B$654)*(ROW('Eingabe Meldungen'!$A$2:$A$492)-1),COUNTIF('Eingabe Meldungen'!$A$2:$A$492,$B$654)+1-ROW('Eingabe Meldungen'!A22)))),"",INDEX('Eingabe Meldungen'!$D$2:$D$492,LARGE(('Eingabe Meldungen'!$A$2:$A$492=$B$654)*(ROW('Eingabe Meldungen'!$A$2:$A$492)-1),COUNTIF('Eingabe Meldungen'!$A$2:$A$492,$B$654)+1-ROW('Eingabe Meldungen'!A22))))</f>
        <v/>
      </c>
      <c r="D676" s="11" t="str">
        <f t="array" ref="D676">IF(B676&lt;&gt;"",INDEX('Eingabe Meldungen'!$C$2:$H$492,MATCH(B676&amp;C676,'Eingabe Meldungen'!$C$2:$C$492&amp;'Eingabe Meldungen'!$D$2:$D$492,0),6),"")</f>
        <v/>
      </c>
      <c r="E676" s="66" t="str">
        <f t="array" ref="E676">IF(B676&lt;&gt;"",INDEX('Eingabe Meldungen'!$C$2:$H$492,MATCH(B676&amp;C676,'Eingabe Meldungen'!$C$2:$C$492&amp;'Eingabe Meldungen'!$D$2:$D$492,0),4),"")</f>
        <v/>
      </c>
      <c r="F676" s="32" t="e">
        <f>IF(VLOOKUP(B676,Rennlisten!$B$365:$J$393,10,FALSE)=0,"",VLOOKUP(B676,Rennlisten!$B$365:$J$393,10,FALSE))</f>
        <v>#REF!</v>
      </c>
      <c r="G676" t="e">
        <f t="shared" si="69"/>
        <v>#REF!</v>
      </c>
      <c r="H676" s="21" t="str">
        <f t="array" ref="H676">IF(B676&lt;&gt;"",INDEX('Eingabe Meldungen'!$C$2:$J$492,MATCH(B676&amp;C676,'Eingabe Meldungen'!$C$2:$C$492&amp;'Eingabe Meldungen'!$D$2:$D$492,0),8),"")</f>
        <v/>
      </c>
      <c r="J676" s="20" t="str">
        <f t="shared" si="72"/>
        <v/>
      </c>
      <c r="K676" s="20" t="str">
        <f t="shared" si="72"/>
        <v/>
      </c>
      <c r="L676" s="20" t="e">
        <f>IF(EXACT($H676,#REF!),$I676,"")</f>
        <v>#REF!</v>
      </c>
      <c r="M676" s="20" t="str">
        <f t="shared" si="66"/>
        <v/>
      </c>
      <c r="N676" s="20" t="str">
        <f t="shared" si="73"/>
        <v/>
      </c>
      <c r="O676" s="20" t="str">
        <f t="shared" si="73"/>
        <v/>
      </c>
      <c r="P676" s="20" t="str">
        <f t="shared" si="73"/>
        <v/>
      </c>
      <c r="Q676" s="20" t="str">
        <f t="shared" si="73"/>
        <v/>
      </c>
      <c r="R676" s="20" t="str">
        <f t="shared" si="73"/>
        <v/>
      </c>
      <c r="S676" s="20" t="str">
        <f t="shared" si="73"/>
        <v/>
      </c>
      <c r="T676" s="20" t="str">
        <f t="shared" si="73"/>
        <v/>
      </c>
      <c r="U676" s="20" t="str">
        <f t="shared" si="73"/>
        <v/>
      </c>
      <c r="V676" s="20" t="str">
        <f t="shared" si="73"/>
        <v/>
      </c>
      <c r="W676" s="20">
        <f t="shared" si="73"/>
        <v>0</v>
      </c>
      <c r="X676" s="20">
        <f t="shared" si="74"/>
        <v>0</v>
      </c>
      <c r="Y676" s="20">
        <f t="shared" si="74"/>
        <v>0</v>
      </c>
      <c r="Z676" s="20">
        <f t="shared" si="74"/>
        <v>0</v>
      </c>
      <c r="AA676" s="20">
        <f t="shared" si="74"/>
        <v>0</v>
      </c>
      <c r="AB676" s="20">
        <f t="shared" si="74"/>
        <v>0</v>
      </c>
      <c r="AC676" s="20">
        <f t="shared" si="74"/>
        <v>0</v>
      </c>
      <c r="AD676" s="20">
        <f t="shared" si="74"/>
        <v>0</v>
      </c>
      <c r="AE676" s="20"/>
      <c r="AF676" s="20"/>
      <c r="AG676" s="20">
        <f t="shared" si="74"/>
        <v>0</v>
      </c>
      <c r="AH676" s="20">
        <f t="shared" si="74"/>
        <v>0</v>
      </c>
      <c r="AI676" s="20">
        <f t="shared" si="74"/>
        <v>0</v>
      </c>
    </row>
    <row r="677" spans="2:35" hidden="1" x14ac:dyDescent="0.2">
      <c r="B677" s="20" t="str">
        <f t="array" ref="B677">IF(ISERROR(INDEX('Eingabe Meldungen'!$C$2:$C$492,LARGE(('Eingabe Meldungen'!$A$2:$A$492=$B$654)*(ROW('Eingabe Meldungen'!$A$2:$A$492)-1),COUNTIF('Eingabe Meldungen'!$A$2:$A$492,$B$654)+1-ROW('Eingabe Meldungen'!A23)))),"",INDEX('Eingabe Meldungen'!$C$2:$C$492,LARGE(('Eingabe Meldungen'!$A$2:$A$492=$B$654)*(ROW('Eingabe Meldungen'!$A$2:$A$492)-1),COUNTIF('Eingabe Meldungen'!$A$2:$A$492,$B$654)+1-ROW('Eingabe Meldungen'!A23))))</f>
        <v/>
      </c>
      <c r="C677" t="str">
        <f t="array" ref="C677">IF(ISERROR(INDEX('Eingabe Meldungen'!$D$2:$D$492,LARGE(('Eingabe Meldungen'!$A$2:$A$492=$B$654)*(ROW('Eingabe Meldungen'!$A$2:$A$492)-1),COUNTIF('Eingabe Meldungen'!$A$2:$A$492,$B$654)+1-ROW('Eingabe Meldungen'!A23)))),"",INDEX('Eingabe Meldungen'!$D$2:$D$492,LARGE(('Eingabe Meldungen'!$A$2:$A$492=$B$654)*(ROW('Eingabe Meldungen'!$A$2:$A$492)-1),COUNTIF('Eingabe Meldungen'!$A$2:$A$492,$B$654)+1-ROW('Eingabe Meldungen'!A23))))</f>
        <v/>
      </c>
      <c r="D677" s="11" t="str">
        <f t="array" ref="D677">IF(B677&lt;&gt;"",INDEX('Eingabe Meldungen'!$C$2:$H$492,MATCH(B677&amp;C677,'Eingabe Meldungen'!$C$2:$C$492&amp;'Eingabe Meldungen'!$D$2:$D$492,0),6),"")</f>
        <v/>
      </c>
      <c r="E677" s="66" t="str">
        <f t="array" ref="E677">IF(B677&lt;&gt;"",INDEX('Eingabe Meldungen'!$C$2:$H$492,MATCH(B677&amp;C677,'Eingabe Meldungen'!$C$2:$C$492&amp;'Eingabe Meldungen'!$D$2:$D$492,0),4),"")</f>
        <v/>
      </c>
      <c r="F677" s="32" t="e">
        <f>IF(VLOOKUP(B677,Rennlisten!$B$365:$J$393,10,FALSE)=0,"",VLOOKUP(B677,Rennlisten!$B$365:$J$393,10,FALSE))</f>
        <v>#REF!</v>
      </c>
      <c r="G677" t="e">
        <f t="shared" si="69"/>
        <v>#REF!</v>
      </c>
      <c r="H677" s="21" t="str">
        <f t="array" ref="H677">IF(B677&lt;&gt;"",INDEX('Eingabe Meldungen'!$C$2:$J$492,MATCH(B677&amp;C677,'Eingabe Meldungen'!$C$2:$C$492&amp;'Eingabe Meldungen'!$D$2:$D$492,0),8),"")</f>
        <v/>
      </c>
      <c r="J677" s="20" t="str">
        <f t="shared" si="72"/>
        <v/>
      </c>
      <c r="K677" s="20" t="str">
        <f t="shared" si="72"/>
        <v/>
      </c>
      <c r="L677" s="20" t="e">
        <f>IF(EXACT($H677,#REF!),$I677,"")</f>
        <v>#REF!</v>
      </c>
      <c r="M677" s="20" t="str">
        <f t="shared" si="66"/>
        <v/>
      </c>
      <c r="N677" s="20" t="str">
        <f t="shared" si="73"/>
        <v/>
      </c>
      <c r="O677" s="20" t="str">
        <f t="shared" si="73"/>
        <v/>
      </c>
      <c r="P677" s="20" t="str">
        <f t="shared" si="73"/>
        <v/>
      </c>
      <c r="Q677" s="20" t="str">
        <f t="shared" si="73"/>
        <v/>
      </c>
      <c r="R677" s="20" t="str">
        <f t="shared" si="73"/>
        <v/>
      </c>
      <c r="S677" s="20" t="str">
        <f t="shared" si="73"/>
        <v/>
      </c>
      <c r="T677" s="20" t="str">
        <f t="shared" si="73"/>
        <v/>
      </c>
      <c r="U677" s="20" t="str">
        <f t="shared" si="73"/>
        <v/>
      </c>
      <c r="V677" s="20" t="str">
        <f t="shared" si="73"/>
        <v/>
      </c>
      <c r="W677" s="20">
        <f t="shared" si="73"/>
        <v>0</v>
      </c>
      <c r="X677" s="20">
        <f t="shared" si="74"/>
        <v>0</v>
      </c>
      <c r="Y677" s="20">
        <f t="shared" si="74"/>
        <v>0</v>
      </c>
      <c r="Z677" s="20">
        <f t="shared" si="74"/>
        <v>0</v>
      </c>
      <c r="AA677" s="20">
        <f t="shared" si="74"/>
        <v>0</v>
      </c>
      <c r="AB677" s="20">
        <f t="shared" si="74"/>
        <v>0</v>
      </c>
      <c r="AC677" s="20">
        <f t="shared" si="74"/>
        <v>0</v>
      </c>
      <c r="AD677" s="20">
        <f t="shared" si="74"/>
        <v>0</v>
      </c>
      <c r="AE677" s="20"/>
      <c r="AF677" s="20"/>
      <c r="AG677" s="20">
        <f t="shared" si="74"/>
        <v>0</v>
      </c>
      <c r="AH677" s="20">
        <f t="shared" si="74"/>
        <v>0</v>
      </c>
      <c r="AI677" s="20">
        <f t="shared" si="74"/>
        <v>0</v>
      </c>
    </row>
    <row r="678" spans="2:35" hidden="1" x14ac:dyDescent="0.2">
      <c r="B678" s="20" t="str">
        <f t="array" ref="B678">IF(ISERROR(INDEX('Eingabe Meldungen'!$C$2:$C$492,LARGE(('Eingabe Meldungen'!$A$2:$A$492=$B$654)*(ROW('Eingabe Meldungen'!$A$2:$A$492)-1),COUNTIF('Eingabe Meldungen'!$A$2:$A$492,$B$654)+1-ROW('Eingabe Meldungen'!A24)))),"",INDEX('Eingabe Meldungen'!$C$2:$C$492,LARGE(('Eingabe Meldungen'!$A$2:$A$492=$B$654)*(ROW('Eingabe Meldungen'!$A$2:$A$492)-1),COUNTIF('Eingabe Meldungen'!$A$2:$A$492,$B$654)+1-ROW('Eingabe Meldungen'!A24))))</f>
        <v/>
      </c>
      <c r="C678" t="str">
        <f t="array" ref="C678">IF(ISERROR(INDEX('Eingabe Meldungen'!$D$2:$D$492,LARGE(('Eingabe Meldungen'!$A$2:$A$492=$B$654)*(ROW('Eingabe Meldungen'!$A$2:$A$492)-1),COUNTIF('Eingabe Meldungen'!$A$2:$A$492,$B$654)+1-ROW('Eingabe Meldungen'!A24)))),"",INDEX('Eingabe Meldungen'!$D$2:$D$492,LARGE(('Eingabe Meldungen'!$A$2:$A$492=$B$654)*(ROW('Eingabe Meldungen'!$A$2:$A$492)-1),COUNTIF('Eingabe Meldungen'!$A$2:$A$492,$B$654)+1-ROW('Eingabe Meldungen'!A24))))</f>
        <v/>
      </c>
      <c r="D678" s="11" t="str">
        <f t="array" ref="D678">IF(B678&lt;&gt;"",INDEX('Eingabe Meldungen'!$C$2:$H$492,MATCH(B678&amp;C678,'Eingabe Meldungen'!$C$2:$C$492&amp;'Eingabe Meldungen'!$D$2:$D$492,0),6),"")</f>
        <v/>
      </c>
      <c r="E678" s="66" t="str">
        <f t="array" ref="E678">IF(B678&lt;&gt;"",INDEX('Eingabe Meldungen'!$C$2:$H$492,MATCH(B678&amp;C678,'Eingabe Meldungen'!$C$2:$C$492&amp;'Eingabe Meldungen'!$D$2:$D$492,0),4),"")</f>
        <v/>
      </c>
      <c r="F678" s="32" t="e">
        <f>IF(VLOOKUP(B678,Rennlisten!$B$365:$J$393,10,FALSE)=0,"",VLOOKUP(B678,Rennlisten!$B$365:$J$393,10,FALSE))</f>
        <v>#REF!</v>
      </c>
      <c r="G678" t="e">
        <f t="shared" si="69"/>
        <v>#REF!</v>
      </c>
      <c r="H678" s="21" t="str">
        <f t="array" ref="H678">IF(B678&lt;&gt;"",INDEX('Eingabe Meldungen'!$C$2:$J$492,MATCH(B678&amp;C678,'Eingabe Meldungen'!$C$2:$C$492&amp;'Eingabe Meldungen'!$D$2:$D$492,0),8),"")</f>
        <v/>
      </c>
      <c r="J678" s="20" t="str">
        <f t="shared" si="72"/>
        <v/>
      </c>
      <c r="K678" s="20" t="str">
        <f t="shared" si="72"/>
        <v/>
      </c>
      <c r="L678" s="20" t="e">
        <f>IF(EXACT($H678,#REF!),$I678,"")</f>
        <v>#REF!</v>
      </c>
      <c r="M678" s="20" t="str">
        <f t="shared" si="66"/>
        <v/>
      </c>
      <c r="N678" s="20" t="str">
        <f t="shared" si="73"/>
        <v/>
      </c>
      <c r="O678" s="20" t="str">
        <f t="shared" si="73"/>
        <v/>
      </c>
      <c r="P678" s="20" t="str">
        <f t="shared" si="73"/>
        <v/>
      </c>
      <c r="Q678" s="20" t="str">
        <f t="shared" si="73"/>
        <v/>
      </c>
      <c r="R678" s="20" t="str">
        <f t="shared" si="73"/>
        <v/>
      </c>
      <c r="S678" s="20" t="str">
        <f t="shared" si="73"/>
        <v/>
      </c>
      <c r="T678" s="20" t="str">
        <f t="shared" si="73"/>
        <v/>
      </c>
      <c r="U678" s="20" t="str">
        <f t="shared" si="73"/>
        <v/>
      </c>
      <c r="V678" s="20" t="str">
        <f t="shared" si="73"/>
        <v/>
      </c>
      <c r="W678" s="20">
        <f t="shared" si="73"/>
        <v>0</v>
      </c>
      <c r="X678" s="20">
        <f t="shared" si="74"/>
        <v>0</v>
      </c>
      <c r="Y678" s="20">
        <f t="shared" si="74"/>
        <v>0</v>
      </c>
      <c r="Z678" s="20">
        <f t="shared" si="74"/>
        <v>0</v>
      </c>
      <c r="AA678" s="20">
        <f t="shared" si="74"/>
        <v>0</v>
      </c>
      <c r="AB678" s="20">
        <f t="shared" si="74"/>
        <v>0</v>
      </c>
      <c r="AC678" s="20">
        <f t="shared" si="74"/>
        <v>0</v>
      </c>
      <c r="AD678" s="20">
        <f t="shared" si="74"/>
        <v>0</v>
      </c>
      <c r="AE678" s="20"/>
      <c r="AF678" s="20"/>
      <c r="AG678" s="20">
        <f t="shared" si="74"/>
        <v>0</v>
      </c>
      <c r="AH678" s="20">
        <f t="shared" si="74"/>
        <v>0</v>
      </c>
      <c r="AI678" s="20">
        <f t="shared" si="74"/>
        <v>0</v>
      </c>
    </row>
    <row r="679" spans="2:35" hidden="1" x14ac:dyDescent="0.2">
      <c r="B679" s="20" t="str">
        <f t="array" ref="B679">IF(ISERROR(INDEX('Eingabe Meldungen'!$C$2:$C$492,LARGE(('Eingabe Meldungen'!$A$2:$A$492=$B$654)*(ROW('Eingabe Meldungen'!$A$2:$A$492)-1),COUNTIF('Eingabe Meldungen'!$A$2:$A$492,$B$654)+1-ROW('Eingabe Meldungen'!A25)))),"",INDEX('Eingabe Meldungen'!$C$2:$C$492,LARGE(('Eingabe Meldungen'!$A$2:$A$492=$B$654)*(ROW('Eingabe Meldungen'!$A$2:$A$492)-1),COUNTIF('Eingabe Meldungen'!$A$2:$A$492,$B$654)+1-ROW('Eingabe Meldungen'!A25))))</f>
        <v/>
      </c>
      <c r="C679" t="str">
        <f t="array" ref="C679">IF(ISERROR(INDEX('Eingabe Meldungen'!$D$2:$D$492,LARGE(('Eingabe Meldungen'!$A$2:$A$492=$B$654)*(ROW('Eingabe Meldungen'!$A$2:$A$492)-1),COUNTIF('Eingabe Meldungen'!$A$2:$A$492,$B$654)+1-ROW('Eingabe Meldungen'!A25)))),"",INDEX('Eingabe Meldungen'!$D$2:$D$492,LARGE(('Eingabe Meldungen'!$A$2:$A$492=$B$654)*(ROW('Eingabe Meldungen'!$A$2:$A$492)-1),COUNTIF('Eingabe Meldungen'!$A$2:$A$492,$B$654)+1-ROW('Eingabe Meldungen'!A25))))</f>
        <v/>
      </c>
      <c r="D679" s="11" t="str">
        <f t="array" ref="D679">IF(B679&lt;&gt;"",INDEX('Eingabe Meldungen'!$C$2:$H$492,MATCH(B679&amp;C679,'Eingabe Meldungen'!$C$2:$C$492&amp;'Eingabe Meldungen'!$D$2:$D$492,0),6),"")</f>
        <v/>
      </c>
      <c r="E679" s="66" t="str">
        <f t="array" ref="E679">IF(B679&lt;&gt;"",INDEX('Eingabe Meldungen'!$C$2:$H$492,MATCH(B679&amp;C679,'Eingabe Meldungen'!$C$2:$C$492&amp;'Eingabe Meldungen'!$D$2:$D$492,0),4),"")</f>
        <v/>
      </c>
      <c r="F679" s="32" t="e">
        <f>IF(VLOOKUP(B679,Rennlisten!$B$365:$J$393,10,FALSE)=0,"",VLOOKUP(B679,Rennlisten!$B$365:$J$393,10,FALSE))</f>
        <v>#REF!</v>
      </c>
      <c r="G679" t="e">
        <f t="shared" si="69"/>
        <v>#REF!</v>
      </c>
      <c r="H679" s="21" t="str">
        <f t="array" ref="H679">IF(B679&lt;&gt;"",INDEX('Eingabe Meldungen'!$C$2:$J$492,MATCH(B679&amp;C679,'Eingabe Meldungen'!$C$2:$C$492&amp;'Eingabe Meldungen'!$D$2:$D$492,0),8),"")</f>
        <v/>
      </c>
      <c r="J679" s="20" t="str">
        <f t="shared" si="72"/>
        <v/>
      </c>
      <c r="K679" s="20" t="str">
        <f t="shared" si="72"/>
        <v/>
      </c>
      <c r="L679" s="20" t="e">
        <f>IF(EXACT($H679,#REF!),$I679,"")</f>
        <v>#REF!</v>
      </c>
      <c r="M679" s="20" t="str">
        <f t="shared" si="66"/>
        <v/>
      </c>
      <c r="N679" s="20" t="str">
        <f t="shared" si="73"/>
        <v/>
      </c>
      <c r="O679" s="20" t="str">
        <f t="shared" si="73"/>
        <v/>
      </c>
      <c r="P679" s="20" t="str">
        <f t="shared" si="73"/>
        <v/>
      </c>
      <c r="Q679" s="20" t="str">
        <f t="shared" si="73"/>
        <v/>
      </c>
      <c r="R679" s="20" t="str">
        <f t="shared" si="73"/>
        <v/>
      </c>
      <c r="S679" s="20" t="str">
        <f t="shared" si="73"/>
        <v/>
      </c>
      <c r="T679" s="20" t="str">
        <f t="shared" si="73"/>
        <v/>
      </c>
      <c r="U679" s="20" t="str">
        <f t="shared" si="73"/>
        <v/>
      </c>
      <c r="V679" s="20" t="str">
        <f t="shared" si="73"/>
        <v/>
      </c>
      <c r="W679" s="20">
        <f t="shared" si="73"/>
        <v>0</v>
      </c>
      <c r="X679" s="20">
        <f t="shared" si="74"/>
        <v>0</v>
      </c>
      <c r="Y679" s="20">
        <f t="shared" si="74"/>
        <v>0</v>
      </c>
      <c r="Z679" s="20">
        <f t="shared" si="74"/>
        <v>0</v>
      </c>
      <c r="AA679" s="20">
        <f t="shared" si="74"/>
        <v>0</v>
      </c>
      <c r="AB679" s="20">
        <f t="shared" si="74"/>
        <v>0</v>
      </c>
      <c r="AC679" s="20">
        <f t="shared" si="74"/>
        <v>0</v>
      </c>
      <c r="AD679" s="20">
        <f t="shared" si="74"/>
        <v>0</v>
      </c>
      <c r="AE679" s="20"/>
      <c r="AF679" s="20"/>
      <c r="AG679" s="20">
        <f t="shared" si="74"/>
        <v>0</v>
      </c>
      <c r="AH679" s="20">
        <f t="shared" si="74"/>
        <v>0</v>
      </c>
      <c r="AI679" s="20">
        <f t="shared" si="74"/>
        <v>0</v>
      </c>
    </row>
    <row r="680" spans="2:35" hidden="1" x14ac:dyDescent="0.2">
      <c r="B680" s="20" t="str">
        <f t="array" ref="B680">IF(ISERROR(INDEX('Eingabe Meldungen'!$C$2:$C$492,LARGE(('Eingabe Meldungen'!$A$2:$A$492=$B$654)*(ROW('Eingabe Meldungen'!$A$2:$A$492)-1),COUNTIF('Eingabe Meldungen'!$A$2:$A$492,$B$654)+1-ROW('Eingabe Meldungen'!A26)))),"",INDEX('Eingabe Meldungen'!$C$2:$C$492,LARGE(('Eingabe Meldungen'!$A$2:$A$492=$B$654)*(ROW('Eingabe Meldungen'!$A$2:$A$492)-1),COUNTIF('Eingabe Meldungen'!$A$2:$A$492,$B$654)+1-ROW('Eingabe Meldungen'!A26))))</f>
        <v/>
      </c>
      <c r="C680" t="str">
        <f t="array" ref="C680">IF(ISERROR(INDEX('Eingabe Meldungen'!$D$2:$D$492,LARGE(('Eingabe Meldungen'!$A$2:$A$492=$B$654)*(ROW('Eingabe Meldungen'!$A$2:$A$492)-1),COUNTIF('Eingabe Meldungen'!$A$2:$A$492,$B$654)+1-ROW('Eingabe Meldungen'!A26)))),"",INDEX('Eingabe Meldungen'!$D$2:$D$492,LARGE(('Eingabe Meldungen'!$A$2:$A$492=$B$654)*(ROW('Eingabe Meldungen'!$A$2:$A$492)-1),COUNTIF('Eingabe Meldungen'!$A$2:$A$492,$B$654)+1-ROW('Eingabe Meldungen'!A26))))</f>
        <v/>
      </c>
      <c r="D680" s="11" t="str">
        <f t="array" ref="D680">IF(B680&lt;&gt;"",INDEX('Eingabe Meldungen'!$C$2:$H$492,MATCH(B680&amp;C680,'Eingabe Meldungen'!$C$2:$C$492&amp;'Eingabe Meldungen'!$D$2:$D$492,0),6),"")</f>
        <v/>
      </c>
      <c r="E680" s="66" t="str">
        <f t="array" ref="E680">IF(B680&lt;&gt;"",INDEX('Eingabe Meldungen'!$C$2:$H$492,MATCH(B680&amp;C680,'Eingabe Meldungen'!$C$2:$C$492&amp;'Eingabe Meldungen'!$D$2:$D$492,0),4),"")</f>
        <v/>
      </c>
      <c r="F680" s="32" t="e">
        <f>IF(VLOOKUP(B680,Rennlisten!$B$365:$J$393,10,FALSE)=0,"",VLOOKUP(B680,Rennlisten!$B$365:$J$393,10,FALSE))</f>
        <v>#REF!</v>
      </c>
      <c r="G680" t="e">
        <f t="shared" si="69"/>
        <v>#REF!</v>
      </c>
      <c r="H680" s="21" t="str">
        <f t="array" ref="H680">IF(B680&lt;&gt;"",INDEX('Eingabe Meldungen'!$C$2:$J$492,MATCH(B680&amp;C680,'Eingabe Meldungen'!$C$2:$C$492&amp;'Eingabe Meldungen'!$D$2:$D$492,0),8),"")</f>
        <v/>
      </c>
      <c r="J680" s="20" t="str">
        <f t="shared" si="72"/>
        <v/>
      </c>
      <c r="K680" s="20" t="str">
        <f t="shared" si="72"/>
        <v/>
      </c>
      <c r="L680" s="20" t="e">
        <f>IF(EXACT($H680,#REF!),$I680,"")</f>
        <v>#REF!</v>
      </c>
      <c r="M680" s="20" t="str">
        <f t="shared" si="66"/>
        <v/>
      </c>
      <c r="N680" s="20" t="str">
        <f t="shared" si="73"/>
        <v/>
      </c>
      <c r="O680" s="20" t="str">
        <f t="shared" si="73"/>
        <v/>
      </c>
      <c r="P680" s="20" t="str">
        <f t="shared" si="73"/>
        <v/>
      </c>
      <c r="Q680" s="20" t="str">
        <f t="shared" si="73"/>
        <v/>
      </c>
      <c r="R680" s="20" t="str">
        <f t="shared" si="73"/>
        <v/>
      </c>
      <c r="S680" s="20" t="str">
        <f t="shared" si="73"/>
        <v/>
      </c>
      <c r="T680" s="20" t="str">
        <f t="shared" si="73"/>
        <v/>
      </c>
      <c r="U680" s="20" t="str">
        <f t="shared" si="73"/>
        <v/>
      </c>
      <c r="V680" s="20" t="str">
        <f t="shared" si="73"/>
        <v/>
      </c>
      <c r="W680" s="20">
        <f t="shared" si="73"/>
        <v>0</v>
      </c>
      <c r="X680" s="20">
        <f t="shared" si="74"/>
        <v>0</v>
      </c>
      <c r="Y680" s="20">
        <f t="shared" si="74"/>
        <v>0</v>
      </c>
      <c r="Z680" s="20">
        <f t="shared" si="74"/>
        <v>0</v>
      </c>
      <c r="AA680" s="20">
        <f t="shared" si="74"/>
        <v>0</v>
      </c>
      <c r="AB680" s="20">
        <f t="shared" si="74"/>
        <v>0</v>
      </c>
      <c r="AC680" s="20">
        <f t="shared" si="74"/>
        <v>0</v>
      </c>
      <c r="AD680" s="20">
        <f t="shared" si="74"/>
        <v>0</v>
      </c>
      <c r="AE680" s="20"/>
      <c r="AF680" s="20"/>
      <c r="AG680" s="20">
        <f t="shared" si="74"/>
        <v>0</v>
      </c>
      <c r="AH680" s="20">
        <f t="shared" si="74"/>
        <v>0</v>
      </c>
      <c r="AI680" s="20">
        <f t="shared" si="74"/>
        <v>0</v>
      </c>
    </row>
    <row r="681" spans="2:35" hidden="1" x14ac:dyDescent="0.2">
      <c r="B681" s="20" t="str">
        <f t="array" ref="B681">IF(ISERROR(INDEX('Eingabe Meldungen'!$C$2:$C$492,LARGE(('Eingabe Meldungen'!$A$2:$A$492=$B$654)*(ROW('Eingabe Meldungen'!$A$2:$A$492)-1),COUNTIF('Eingabe Meldungen'!$A$2:$A$492,$B$654)+1-ROW('Eingabe Meldungen'!A27)))),"",INDEX('Eingabe Meldungen'!$C$2:$C$492,LARGE(('Eingabe Meldungen'!$A$2:$A$492=$B$654)*(ROW('Eingabe Meldungen'!$A$2:$A$492)-1),COUNTIF('Eingabe Meldungen'!$A$2:$A$492,$B$654)+1-ROW('Eingabe Meldungen'!A27))))</f>
        <v/>
      </c>
      <c r="C681" t="str">
        <f t="array" ref="C681">IF(ISERROR(INDEX('Eingabe Meldungen'!$D$2:$D$492,LARGE(('Eingabe Meldungen'!$A$2:$A$492=$B$654)*(ROW('Eingabe Meldungen'!$A$2:$A$492)-1),COUNTIF('Eingabe Meldungen'!$A$2:$A$492,$B$654)+1-ROW('Eingabe Meldungen'!A27)))),"",INDEX('Eingabe Meldungen'!$D$2:$D$492,LARGE(('Eingabe Meldungen'!$A$2:$A$492=$B$654)*(ROW('Eingabe Meldungen'!$A$2:$A$492)-1),COUNTIF('Eingabe Meldungen'!$A$2:$A$492,$B$654)+1-ROW('Eingabe Meldungen'!A27))))</f>
        <v/>
      </c>
      <c r="D681" s="11" t="str">
        <f t="array" ref="D681">IF(B681&lt;&gt;"",INDEX('Eingabe Meldungen'!$C$2:$H$492,MATCH(B681&amp;C681,'Eingabe Meldungen'!$C$2:$C$492&amp;'Eingabe Meldungen'!$D$2:$D$492,0),6),"")</f>
        <v/>
      </c>
      <c r="E681" s="66" t="str">
        <f t="array" ref="E681">IF(B681&lt;&gt;"",INDEX('Eingabe Meldungen'!$C$2:$H$492,MATCH(B681&amp;C681,'Eingabe Meldungen'!$C$2:$C$492&amp;'Eingabe Meldungen'!$D$2:$D$492,0),4),"")</f>
        <v/>
      </c>
      <c r="F681" s="32" t="e">
        <f>IF(VLOOKUP(B681,Rennlisten!$B$365:$J$393,10,FALSE)=0,"",VLOOKUP(B681,Rennlisten!$B$365:$J$393,10,FALSE))</f>
        <v>#REF!</v>
      </c>
      <c r="G681" t="e">
        <f t="shared" si="69"/>
        <v>#REF!</v>
      </c>
      <c r="H681" s="21" t="str">
        <f t="array" ref="H681">IF(B681&lt;&gt;"",INDEX('Eingabe Meldungen'!$C$2:$J$492,MATCH(B681&amp;C681,'Eingabe Meldungen'!$C$2:$C$492&amp;'Eingabe Meldungen'!$D$2:$D$492,0),8),"")</f>
        <v/>
      </c>
      <c r="J681" s="20" t="str">
        <f t="shared" si="72"/>
        <v/>
      </c>
      <c r="K681" s="20" t="str">
        <f t="shared" si="72"/>
        <v/>
      </c>
      <c r="L681" s="20" t="e">
        <f>IF(EXACT($H681,#REF!),$I681,"")</f>
        <v>#REF!</v>
      </c>
      <c r="M681" s="20" t="str">
        <f t="shared" si="66"/>
        <v/>
      </c>
      <c r="N681" s="20" t="str">
        <f t="shared" si="73"/>
        <v/>
      </c>
      <c r="O681" s="20" t="str">
        <f t="shared" si="73"/>
        <v/>
      </c>
      <c r="P681" s="20" t="str">
        <f t="shared" si="73"/>
        <v/>
      </c>
      <c r="Q681" s="20" t="str">
        <f t="shared" si="73"/>
        <v/>
      </c>
      <c r="R681" s="20" t="str">
        <f t="shared" si="73"/>
        <v/>
      </c>
      <c r="S681" s="20" t="str">
        <f t="shared" si="73"/>
        <v/>
      </c>
      <c r="T681" s="20" t="str">
        <f t="shared" si="73"/>
        <v/>
      </c>
      <c r="U681" s="20" t="str">
        <f t="shared" si="73"/>
        <v/>
      </c>
      <c r="V681" s="20" t="str">
        <f t="shared" si="73"/>
        <v/>
      </c>
      <c r="W681" s="20">
        <f t="shared" si="73"/>
        <v>0</v>
      </c>
      <c r="X681" s="20">
        <f t="shared" si="74"/>
        <v>0</v>
      </c>
      <c r="Y681" s="20">
        <f t="shared" si="74"/>
        <v>0</v>
      </c>
      <c r="Z681" s="20">
        <f t="shared" si="74"/>
        <v>0</v>
      </c>
      <c r="AA681" s="20">
        <f t="shared" si="74"/>
        <v>0</v>
      </c>
      <c r="AB681" s="20">
        <f t="shared" si="74"/>
        <v>0</v>
      </c>
      <c r="AC681" s="20">
        <f t="shared" si="74"/>
        <v>0</v>
      </c>
      <c r="AD681" s="20">
        <f t="shared" si="74"/>
        <v>0</v>
      </c>
      <c r="AE681" s="20"/>
      <c r="AF681" s="20"/>
      <c r="AG681" s="20">
        <f t="shared" si="74"/>
        <v>0</v>
      </c>
      <c r="AH681" s="20">
        <f t="shared" si="74"/>
        <v>0</v>
      </c>
      <c r="AI681" s="20">
        <f t="shared" si="74"/>
        <v>0</v>
      </c>
    </row>
    <row r="682" spans="2:35" hidden="1" x14ac:dyDescent="0.2">
      <c r="B682" s="20" t="str">
        <f t="array" ref="B682">IF(ISERROR(INDEX('Eingabe Meldungen'!$C$2:$C$492,LARGE(('Eingabe Meldungen'!$A$2:$A$492=$B$654)*(ROW('Eingabe Meldungen'!$A$2:$A$492)-1),COUNTIF('Eingabe Meldungen'!$A$2:$A$492,$B$654)+1-ROW('Eingabe Meldungen'!A28)))),"",INDEX('Eingabe Meldungen'!$C$2:$C$492,LARGE(('Eingabe Meldungen'!$A$2:$A$492=$B$654)*(ROW('Eingabe Meldungen'!$A$2:$A$492)-1),COUNTIF('Eingabe Meldungen'!$A$2:$A$492,$B$654)+1-ROW('Eingabe Meldungen'!A28))))</f>
        <v/>
      </c>
      <c r="C682" t="str">
        <f t="array" ref="C682">IF(ISERROR(INDEX('Eingabe Meldungen'!$D$2:$D$492,LARGE(('Eingabe Meldungen'!$A$2:$A$492=$B$654)*(ROW('Eingabe Meldungen'!$A$2:$A$492)-1),COUNTIF('Eingabe Meldungen'!$A$2:$A$492,$B$654)+1-ROW('Eingabe Meldungen'!A28)))),"",INDEX('Eingabe Meldungen'!$D$2:$D$492,LARGE(('Eingabe Meldungen'!$A$2:$A$492=$B$654)*(ROW('Eingabe Meldungen'!$A$2:$A$492)-1),COUNTIF('Eingabe Meldungen'!$A$2:$A$492,$B$654)+1-ROW('Eingabe Meldungen'!A28))))</f>
        <v/>
      </c>
      <c r="D682" s="11" t="str">
        <f t="array" ref="D682">IF(B682&lt;&gt;"",INDEX('Eingabe Meldungen'!$C$2:$H$492,MATCH(B682&amp;C682,'Eingabe Meldungen'!$C$2:$C$492&amp;'Eingabe Meldungen'!$D$2:$D$492,0),6),"")</f>
        <v/>
      </c>
      <c r="E682" s="66" t="str">
        <f t="array" ref="E682">IF(B682&lt;&gt;"",INDEX('Eingabe Meldungen'!$C$2:$H$492,MATCH(B682&amp;C682,'Eingabe Meldungen'!$C$2:$C$492&amp;'Eingabe Meldungen'!$D$2:$D$492,0),4),"")</f>
        <v/>
      </c>
      <c r="F682" s="32" t="e">
        <f>IF(VLOOKUP(B682,Rennlisten!$B$365:$J$393,10,FALSE)=0,"",VLOOKUP(B682,Rennlisten!$B$365:$J$393,10,FALSE))</f>
        <v>#REF!</v>
      </c>
      <c r="G682" t="e">
        <f t="shared" si="69"/>
        <v>#REF!</v>
      </c>
      <c r="H682" s="21" t="str">
        <f t="array" ref="H682">IF(B682&lt;&gt;"",INDEX('Eingabe Meldungen'!$C$2:$J$492,MATCH(B682&amp;C682,'Eingabe Meldungen'!$C$2:$C$492&amp;'Eingabe Meldungen'!$D$2:$D$492,0),8),"")</f>
        <v/>
      </c>
      <c r="J682" s="20" t="str">
        <f t="shared" si="72"/>
        <v/>
      </c>
      <c r="K682" s="20" t="str">
        <f t="shared" si="72"/>
        <v/>
      </c>
      <c r="L682" s="20" t="e">
        <f>IF(EXACT($H682,#REF!),$I682,"")</f>
        <v>#REF!</v>
      </c>
      <c r="M682" s="20" t="str">
        <f t="shared" si="66"/>
        <v/>
      </c>
      <c r="N682" s="20" t="str">
        <f t="shared" si="73"/>
        <v/>
      </c>
      <c r="O682" s="20" t="str">
        <f t="shared" si="73"/>
        <v/>
      </c>
      <c r="P682" s="20" t="str">
        <f t="shared" si="73"/>
        <v/>
      </c>
      <c r="Q682" s="20" t="str">
        <f t="shared" si="73"/>
        <v/>
      </c>
      <c r="R682" s="20" t="str">
        <f t="shared" si="73"/>
        <v/>
      </c>
      <c r="S682" s="20" t="str">
        <f t="shared" si="73"/>
        <v/>
      </c>
      <c r="T682" s="20" t="str">
        <f t="shared" si="73"/>
        <v/>
      </c>
      <c r="U682" s="20" t="str">
        <f t="shared" si="73"/>
        <v/>
      </c>
      <c r="V682" s="20" t="str">
        <f t="shared" si="73"/>
        <v/>
      </c>
      <c r="W682" s="20">
        <f t="shared" si="73"/>
        <v>0</v>
      </c>
      <c r="X682" s="20">
        <f t="shared" si="74"/>
        <v>0</v>
      </c>
      <c r="Y682" s="20">
        <f t="shared" si="74"/>
        <v>0</v>
      </c>
      <c r="Z682" s="20">
        <f t="shared" si="74"/>
        <v>0</v>
      </c>
      <c r="AA682" s="20">
        <f t="shared" si="74"/>
        <v>0</v>
      </c>
      <c r="AB682" s="20">
        <f t="shared" si="74"/>
        <v>0</v>
      </c>
      <c r="AC682" s="20">
        <f t="shared" si="74"/>
        <v>0</v>
      </c>
      <c r="AD682" s="20">
        <f t="shared" si="74"/>
        <v>0</v>
      </c>
      <c r="AE682" s="20"/>
      <c r="AF682" s="20"/>
      <c r="AG682" s="20">
        <f t="shared" si="74"/>
        <v>0</v>
      </c>
      <c r="AH682" s="20">
        <f t="shared" si="74"/>
        <v>0</v>
      </c>
      <c r="AI682" s="20">
        <f t="shared" si="74"/>
        <v>0</v>
      </c>
    </row>
    <row r="683" spans="2:35" hidden="1" x14ac:dyDescent="0.2">
      <c r="B683" s="20" t="str">
        <f t="array" ref="B683">IF(ISERROR(INDEX('Eingabe Meldungen'!$C$2:$C$492,LARGE(('Eingabe Meldungen'!$A$2:$A$492=$B$654)*(ROW('Eingabe Meldungen'!$A$2:$A$492)-1),COUNTIF('Eingabe Meldungen'!$A$2:$A$492,$B$654)+1-ROW('Eingabe Meldungen'!A29)))),"",INDEX('Eingabe Meldungen'!$C$2:$C$492,LARGE(('Eingabe Meldungen'!$A$2:$A$492=$B$654)*(ROW('Eingabe Meldungen'!$A$2:$A$492)-1),COUNTIF('Eingabe Meldungen'!$A$2:$A$492,$B$654)+1-ROW('Eingabe Meldungen'!A29))))</f>
        <v/>
      </c>
      <c r="C683" t="str">
        <f t="array" ref="C683">IF(ISERROR(INDEX('Eingabe Meldungen'!$D$2:$D$492,LARGE(('Eingabe Meldungen'!$A$2:$A$492=$B$654)*(ROW('Eingabe Meldungen'!$A$2:$A$492)-1),COUNTIF('Eingabe Meldungen'!$A$2:$A$492,$B$654)+1-ROW('Eingabe Meldungen'!A29)))),"",INDEX('Eingabe Meldungen'!$D$2:$D$492,LARGE(('Eingabe Meldungen'!$A$2:$A$492=$B$654)*(ROW('Eingabe Meldungen'!$A$2:$A$492)-1),COUNTIF('Eingabe Meldungen'!$A$2:$A$492,$B$654)+1-ROW('Eingabe Meldungen'!A29))))</f>
        <v/>
      </c>
      <c r="D683" s="11" t="str">
        <f t="array" ref="D683">IF(B683&lt;&gt;"",INDEX('Eingabe Meldungen'!$C$2:$H$492,MATCH(B683&amp;C683,'Eingabe Meldungen'!$C$2:$C$492&amp;'Eingabe Meldungen'!$D$2:$D$492,0),6),"")</f>
        <v/>
      </c>
      <c r="E683" s="66" t="str">
        <f t="array" ref="E683">IF(B683&lt;&gt;"",INDEX('Eingabe Meldungen'!$C$2:$H$492,MATCH(B683&amp;C683,'Eingabe Meldungen'!$C$2:$C$492&amp;'Eingabe Meldungen'!$D$2:$D$492,0),4),"")</f>
        <v/>
      </c>
      <c r="F683" s="32" t="e">
        <f>IF(VLOOKUP(B683,Rennlisten!$B$365:$J$393,10,FALSE)=0,"",VLOOKUP(B683,Rennlisten!$B$365:$J$393,10,FALSE))</f>
        <v>#REF!</v>
      </c>
      <c r="G683" t="e">
        <f t="shared" si="69"/>
        <v>#REF!</v>
      </c>
      <c r="H683" s="21" t="str">
        <f t="array" ref="H683">IF(B683&lt;&gt;"",INDEX('Eingabe Meldungen'!$C$2:$J$492,MATCH(B683&amp;C683,'Eingabe Meldungen'!$C$2:$C$492&amp;'Eingabe Meldungen'!$D$2:$D$492,0),8),"")</f>
        <v/>
      </c>
      <c r="J683" s="20" t="str">
        <f t="shared" si="72"/>
        <v/>
      </c>
      <c r="K683" s="20" t="str">
        <f t="shared" si="72"/>
        <v/>
      </c>
      <c r="L683" s="20" t="e">
        <f>IF(EXACT($H683,#REF!),$I683,"")</f>
        <v>#REF!</v>
      </c>
      <c r="M683" s="20" t="str">
        <f t="shared" si="66"/>
        <v/>
      </c>
      <c r="N683" s="20" t="str">
        <f t="shared" si="73"/>
        <v/>
      </c>
      <c r="O683" s="20" t="str">
        <f t="shared" si="73"/>
        <v/>
      </c>
      <c r="P683" s="20" t="str">
        <f t="shared" si="73"/>
        <v/>
      </c>
      <c r="Q683" s="20" t="str">
        <f t="shared" si="73"/>
        <v/>
      </c>
      <c r="R683" s="20" t="str">
        <f t="shared" si="73"/>
        <v/>
      </c>
      <c r="S683" s="20" t="str">
        <f t="shared" si="73"/>
        <v/>
      </c>
      <c r="T683" s="20" t="str">
        <f t="shared" si="73"/>
        <v/>
      </c>
      <c r="U683" s="20" t="str">
        <f t="shared" si="73"/>
        <v/>
      </c>
      <c r="V683" s="20" t="str">
        <f t="shared" si="73"/>
        <v/>
      </c>
      <c r="W683" s="20">
        <f t="shared" si="73"/>
        <v>0</v>
      </c>
      <c r="X683" s="20">
        <f t="shared" si="74"/>
        <v>0</v>
      </c>
      <c r="Y683" s="20">
        <f t="shared" si="74"/>
        <v>0</v>
      </c>
      <c r="Z683" s="20">
        <f t="shared" si="74"/>
        <v>0</v>
      </c>
      <c r="AA683" s="20">
        <f t="shared" si="74"/>
        <v>0</v>
      </c>
      <c r="AB683" s="20">
        <f t="shared" si="74"/>
        <v>0</v>
      </c>
      <c r="AC683" s="20">
        <f t="shared" si="74"/>
        <v>0</v>
      </c>
      <c r="AD683" s="20">
        <f t="shared" si="74"/>
        <v>0</v>
      </c>
      <c r="AE683" s="20"/>
      <c r="AF683" s="20"/>
      <c r="AG683" s="20">
        <f t="shared" si="74"/>
        <v>0</v>
      </c>
      <c r="AH683" s="20">
        <f t="shared" si="74"/>
        <v>0</v>
      </c>
      <c r="AI683" s="20">
        <f t="shared" si="74"/>
        <v>0</v>
      </c>
    </row>
    <row r="684" spans="2:35" hidden="1" x14ac:dyDescent="0.2">
      <c r="B684" s="20" t="str">
        <f t="array" ref="B684">IF(ISERROR(INDEX('Eingabe Meldungen'!$C$2:$C$492,LARGE(('Eingabe Meldungen'!$A$2:$A$492=$B$654)*(ROW('Eingabe Meldungen'!$A$2:$A$492)-1),COUNTIF('Eingabe Meldungen'!$A$2:$A$492,$B$654)+1-ROW('Eingabe Meldungen'!#REF!)))),"",INDEX('Eingabe Meldungen'!$C$2:$C$492,LARGE(('Eingabe Meldungen'!$A$2:$A$492=$B$654)*(ROW('Eingabe Meldungen'!$A$2:$A$492)-1),COUNTIF('Eingabe Meldungen'!$A$2:$A$492,$B$654)+1-ROW('Eingabe Meldungen'!#REF!))))</f>
        <v/>
      </c>
      <c r="C684" t="str">
        <f t="array" ref="C684">IF(ISERROR(INDEX('Eingabe Meldungen'!$D$2:$D$492,LARGE(('Eingabe Meldungen'!$A$2:$A$492=$B$654)*(ROW('Eingabe Meldungen'!$A$2:$A$492)-1),COUNTIF('Eingabe Meldungen'!$A$2:$A$492,$B$654)+1-ROW('Eingabe Meldungen'!#REF!)))),"",INDEX('Eingabe Meldungen'!$D$2:$D$492,LARGE(('Eingabe Meldungen'!$A$2:$A$492=$B$654)*(ROW('Eingabe Meldungen'!$A$2:$A$492)-1),COUNTIF('Eingabe Meldungen'!$A$2:$A$492,$B$654)+1-ROW('Eingabe Meldungen'!#REF!))))</f>
        <v/>
      </c>
      <c r="D684" s="11" t="str">
        <f t="array" ref="D684">IF(B684&lt;&gt;"",INDEX('Eingabe Meldungen'!$C$2:$H$492,MATCH(B684&amp;C684,'Eingabe Meldungen'!$C$2:$C$492&amp;'Eingabe Meldungen'!$D$2:$D$492,0),6),"")</f>
        <v/>
      </c>
      <c r="E684" s="66" t="str">
        <f t="array" ref="E684">IF(B684&lt;&gt;"",INDEX('Eingabe Meldungen'!$C$2:$H$492,MATCH(B684&amp;C684,'Eingabe Meldungen'!$C$2:$C$492&amp;'Eingabe Meldungen'!$D$2:$D$492,0),4),"")</f>
        <v/>
      </c>
      <c r="F684" s="32" t="e">
        <f>IF(VLOOKUP(B684,Rennlisten!$B$365:$J$393,10,FALSE)=0,"",VLOOKUP(B684,Rennlisten!$B$365:$J$393,10,FALSE))</f>
        <v>#REF!</v>
      </c>
      <c r="G684" t="e">
        <f t="shared" si="69"/>
        <v>#REF!</v>
      </c>
      <c r="H684" s="21" t="str">
        <f t="array" ref="H684">IF(B684&lt;&gt;"",INDEX('Eingabe Meldungen'!$C$2:$J$492,MATCH(B684&amp;C684,'Eingabe Meldungen'!$C$2:$C$492&amp;'Eingabe Meldungen'!$D$2:$D$492,0),8),"")</f>
        <v/>
      </c>
      <c r="J684" s="20" t="str">
        <f t="shared" si="72"/>
        <v/>
      </c>
      <c r="K684" s="20" t="str">
        <f t="shared" si="72"/>
        <v/>
      </c>
      <c r="L684" s="20" t="e">
        <f>IF(EXACT($H684,#REF!),$I684,"")</f>
        <v>#REF!</v>
      </c>
      <c r="M684" s="20" t="str">
        <f t="shared" si="66"/>
        <v/>
      </c>
      <c r="N684" s="20" t="str">
        <f t="shared" ref="N684:W693" si="75">IF(EXACT($H684,N$4),$I684,"")</f>
        <v/>
      </c>
      <c r="O684" s="20" t="str">
        <f t="shared" si="75"/>
        <v/>
      </c>
      <c r="P684" s="20" t="str">
        <f t="shared" si="75"/>
        <v/>
      </c>
      <c r="Q684" s="20" t="str">
        <f t="shared" si="75"/>
        <v/>
      </c>
      <c r="R684" s="20" t="str">
        <f t="shared" si="75"/>
        <v/>
      </c>
      <c r="S684" s="20" t="str">
        <f t="shared" si="75"/>
        <v/>
      </c>
      <c r="T684" s="20" t="str">
        <f t="shared" si="75"/>
        <v/>
      </c>
      <c r="U684" s="20" t="str">
        <f t="shared" si="75"/>
        <v/>
      </c>
      <c r="V684" s="20" t="str">
        <f t="shared" si="75"/>
        <v/>
      </c>
      <c r="W684" s="20">
        <f t="shared" si="75"/>
        <v>0</v>
      </c>
      <c r="X684" s="20">
        <f t="shared" ref="X684:AI693" si="76">IF(EXACT($H684,X$4),$I684,"")</f>
        <v>0</v>
      </c>
      <c r="Y684" s="20">
        <f t="shared" si="76"/>
        <v>0</v>
      </c>
      <c r="Z684" s="20">
        <f t="shared" si="76"/>
        <v>0</v>
      </c>
      <c r="AA684" s="20">
        <f t="shared" si="76"/>
        <v>0</v>
      </c>
      <c r="AB684" s="20">
        <f t="shared" si="76"/>
        <v>0</v>
      </c>
      <c r="AC684" s="20">
        <f t="shared" si="76"/>
        <v>0</v>
      </c>
      <c r="AD684" s="20">
        <f t="shared" si="76"/>
        <v>0</v>
      </c>
      <c r="AE684" s="20"/>
      <c r="AF684" s="20"/>
      <c r="AG684" s="20">
        <f t="shared" si="76"/>
        <v>0</v>
      </c>
      <c r="AH684" s="20">
        <f t="shared" si="76"/>
        <v>0</v>
      </c>
      <c r="AI684" s="20">
        <f t="shared" si="76"/>
        <v>0</v>
      </c>
    </row>
    <row r="685" spans="2:35" hidden="1" x14ac:dyDescent="0.2">
      <c r="B685" s="20" t="str">
        <f t="array" ref="B685">IF(ISERROR(INDEX('Eingabe Meldungen'!$C$2:$C$492,LARGE(('Eingabe Meldungen'!$A$2:$A$492=$B$654)*(ROW('Eingabe Meldungen'!$A$2:$A$492)-1),COUNTIF('Eingabe Meldungen'!$A$2:$A$492,$B$654)+1-ROW('Eingabe Meldungen'!A30)))),"",INDEX('Eingabe Meldungen'!$C$2:$C$492,LARGE(('Eingabe Meldungen'!$A$2:$A$492=$B$654)*(ROW('Eingabe Meldungen'!$A$2:$A$492)-1),COUNTIF('Eingabe Meldungen'!$A$2:$A$492,$B$654)+1-ROW('Eingabe Meldungen'!A30))))</f>
        <v/>
      </c>
      <c r="C685" t="str">
        <f t="array" ref="C685">IF(ISERROR(INDEX('Eingabe Meldungen'!$D$2:$D$492,LARGE(('Eingabe Meldungen'!$A$2:$A$492=$B$654)*(ROW('Eingabe Meldungen'!$A$2:$A$492)-1),COUNTIF('Eingabe Meldungen'!$A$2:$A$492,$B$654)+1-ROW('Eingabe Meldungen'!A30)))),"",INDEX('Eingabe Meldungen'!$D$2:$D$492,LARGE(('Eingabe Meldungen'!$A$2:$A$492=$B$654)*(ROW('Eingabe Meldungen'!$A$2:$A$492)-1),COUNTIF('Eingabe Meldungen'!$A$2:$A$492,$B$654)+1-ROW('Eingabe Meldungen'!A30))))</f>
        <v/>
      </c>
      <c r="D685" s="11" t="str">
        <f t="array" ref="D685">IF(B685&lt;&gt;"",INDEX('Eingabe Meldungen'!$C$2:$H$492,MATCH(B685&amp;C685,'Eingabe Meldungen'!$C$2:$C$492&amp;'Eingabe Meldungen'!$D$2:$D$492,0),6),"")</f>
        <v/>
      </c>
      <c r="E685" s="66" t="str">
        <f t="array" ref="E685">IF(B685&lt;&gt;"",INDEX('Eingabe Meldungen'!$C$2:$H$492,MATCH(B685&amp;C685,'Eingabe Meldungen'!$C$2:$C$492&amp;'Eingabe Meldungen'!$D$2:$D$492,0),4),"")</f>
        <v/>
      </c>
      <c r="F685" s="32" t="e">
        <f>IF(VLOOKUP(B685,Rennlisten!$B$365:$J$393,10,FALSE)=0,"",VLOOKUP(B685,Rennlisten!$B$365:$J$393,10,FALSE))</f>
        <v>#REF!</v>
      </c>
      <c r="G685" t="e">
        <f t="shared" si="69"/>
        <v>#REF!</v>
      </c>
      <c r="H685" s="21" t="str">
        <f t="array" ref="H685">IF(B685&lt;&gt;"",INDEX('Eingabe Meldungen'!$C$2:$J$492,MATCH(B685&amp;C685,'Eingabe Meldungen'!$C$2:$C$492&amp;'Eingabe Meldungen'!$D$2:$D$492,0),8),"")</f>
        <v/>
      </c>
      <c r="J685" s="20" t="str">
        <f t="shared" si="72"/>
        <v/>
      </c>
      <c r="K685" s="20" t="str">
        <f t="shared" si="72"/>
        <v/>
      </c>
      <c r="L685" s="20" t="e">
        <f>IF(EXACT($H685,#REF!),$I685,"")</f>
        <v>#REF!</v>
      </c>
      <c r="M685" s="20" t="str">
        <f t="shared" si="66"/>
        <v/>
      </c>
      <c r="N685" s="20" t="str">
        <f t="shared" si="75"/>
        <v/>
      </c>
      <c r="O685" s="20" t="str">
        <f t="shared" si="75"/>
        <v/>
      </c>
      <c r="P685" s="20" t="str">
        <f t="shared" si="75"/>
        <v/>
      </c>
      <c r="Q685" s="20" t="str">
        <f t="shared" si="75"/>
        <v/>
      </c>
      <c r="R685" s="20" t="str">
        <f t="shared" si="75"/>
        <v/>
      </c>
      <c r="S685" s="20" t="str">
        <f t="shared" si="75"/>
        <v/>
      </c>
      <c r="T685" s="20" t="str">
        <f t="shared" si="75"/>
        <v/>
      </c>
      <c r="U685" s="20" t="str">
        <f t="shared" si="75"/>
        <v/>
      </c>
      <c r="V685" s="20" t="str">
        <f t="shared" si="75"/>
        <v/>
      </c>
      <c r="W685" s="20">
        <f t="shared" si="75"/>
        <v>0</v>
      </c>
      <c r="X685" s="20">
        <f t="shared" si="76"/>
        <v>0</v>
      </c>
      <c r="Y685" s="20">
        <f t="shared" si="76"/>
        <v>0</v>
      </c>
      <c r="Z685" s="20">
        <f t="shared" si="76"/>
        <v>0</v>
      </c>
      <c r="AA685" s="20">
        <f t="shared" si="76"/>
        <v>0</v>
      </c>
      <c r="AB685" s="20">
        <f t="shared" si="76"/>
        <v>0</v>
      </c>
      <c r="AC685" s="20">
        <f t="shared" si="76"/>
        <v>0</v>
      </c>
      <c r="AD685" s="20">
        <f t="shared" si="76"/>
        <v>0</v>
      </c>
      <c r="AE685" s="20"/>
      <c r="AF685" s="20"/>
      <c r="AG685" s="20">
        <f t="shared" si="76"/>
        <v>0</v>
      </c>
      <c r="AH685" s="20">
        <f t="shared" si="76"/>
        <v>0</v>
      </c>
      <c r="AI685" s="20">
        <f t="shared" si="76"/>
        <v>0</v>
      </c>
    </row>
    <row r="686" spans="2:35" hidden="1" x14ac:dyDescent="0.2">
      <c r="B686" s="20" t="str">
        <f t="array" ref="B686">IF(ISERROR(INDEX('Eingabe Meldungen'!$C$2:$C$492,LARGE(('Eingabe Meldungen'!$A$2:$A$492=$B$654)*(ROW('Eingabe Meldungen'!$A$2:$A$492)-1),COUNTIF('Eingabe Meldungen'!$A$2:$A$492,$B$654)+1-ROW('Eingabe Meldungen'!#REF!)))),"",INDEX('Eingabe Meldungen'!$C$2:$C$492,LARGE(('Eingabe Meldungen'!$A$2:$A$492=$B$654)*(ROW('Eingabe Meldungen'!$A$2:$A$492)-1),COUNTIF('Eingabe Meldungen'!$A$2:$A$492,$B$654)+1-ROW('Eingabe Meldungen'!#REF!))))</f>
        <v/>
      </c>
      <c r="C686" t="str">
        <f t="array" ref="C686">IF(ISERROR(INDEX('Eingabe Meldungen'!$D$2:$D$492,LARGE(('Eingabe Meldungen'!$A$2:$A$492=$B$654)*(ROW('Eingabe Meldungen'!$A$2:$A$492)-1),COUNTIF('Eingabe Meldungen'!$A$2:$A$492,$B$654)+1-ROW('Eingabe Meldungen'!#REF!)))),"",INDEX('Eingabe Meldungen'!$D$2:$D$492,LARGE(('Eingabe Meldungen'!$A$2:$A$492=$B$654)*(ROW('Eingabe Meldungen'!$A$2:$A$492)-1),COUNTIF('Eingabe Meldungen'!$A$2:$A$492,$B$654)+1-ROW('Eingabe Meldungen'!#REF!))))</f>
        <v/>
      </c>
      <c r="D686" s="11" t="str">
        <f t="array" ref="D686">IF(B686&lt;&gt;"",INDEX('Eingabe Meldungen'!$C$2:$H$492,MATCH(B686&amp;C686,'Eingabe Meldungen'!$C$2:$C$492&amp;'Eingabe Meldungen'!$D$2:$D$492,0),6),"")</f>
        <v/>
      </c>
      <c r="E686" s="66" t="str">
        <f t="array" ref="E686">IF(B686&lt;&gt;"",INDEX('Eingabe Meldungen'!$C$2:$H$492,MATCH(B686&amp;C686,'Eingabe Meldungen'!$C$2:$C$492&amp;'Eingabe Meldungen'!$D$2:$D$492,0),4),"")</f>
        <v/>
      </c>
      <c r="F686" s="32" t="e">
        <f>IF(VLOOKUP(B686,Rennlisten!$B$365:$J$393,10,FALSE)=0,"",VLOOKUP(B686,Rennlisten!$B$365:$J$393,10,FALSE))</f>
        <v>#REF!</v>
      </c>
      <c r="G686" t="e">
        <f t="shared" si="69"/>
        <v>#REF!</v>
      </c>
      <c r="H686" s="21" t="str">
        <f t="array" ref="H686">IF(B686&lt;&gt;"",INDEX('Eingabe Meldungen'!$C$2:$J$492,MATCH(B686&amp;C686,'Eingabe Meldungen'!$C$2:$C$492&amp;'Eingabe Meldungen'!$D$2:$D$492,0),8),"")</f>
        <v/>
      </c>
      <c r="J686" s="20" t="str">
        <f t="shared" si="72"/>
        <v/>
      </c>
      <c r="K686" s="20" t="str">
        <f t="shared" si="72"/>
        <v/>
      </c>
      <c r="L686" s="20" t="e">
        <f>IF(EXACT($H686,#REF!),$I686,"")</f>
        <v>#REF!</v>
      </c>
      <c r="M686" s="20" t="str">
        <f t="shared" ref="M686:M717" si="77">IF(EXACT($H686,L$4),$I686,"")</f>
        <v/>
      </c>
      <c r="N686" s="20" t="str">
        <f t="shared" si="75"/>
        <v/>
      </c>
      <c r="O686" s="20" t="str">
        <f t="shared" si="75"/>
        <v/>
      </c>
      <c r="P686" s="20" t="str">
        <f t="shared" si="75"/>
        <v/>
      </c>
      <c r="Q686" s="20" t="str">
        <f t="shared" si="75"/>
        <v/>
      </c>
      <c r="R686" s="20" t="str">
        <f t="shared" si="75"/>
        <v/>
      </c>
      <c r="S686" s="20" t="str">
        <f t="shared" si="75"/>
        <v/>
      </c>
      <c r="T686" s="20" t="str">
        <f t="shared" si="75"/>
        <v/>
      </c>
      <c r="U686" s="20" t="str">
        <f t="shared" si="75"/>
        <v/>
      </c>
      <c r="V686" s="20" t="str">
        <f t="shared" si="75"/>
        <v/>
      </c>
      <c r="W686" s="20">
        <f t="shared" si="75"/>
        <v>0</v>
      </c>
      <c r="X686" s="20">
        <f t="shared" si="76"/>
        <v>0</v>
      </c>
      <c r="Y686" s="20">
        <f t="shared" si="76"/>
        <v>0</v>
      </c>
      <c r="Z686" s="20">
        <f t="shared" si="76"/>
        <v>0</v>
      </c>
      <c r="AA686" s="20">
        <f t="shared" si="76"/>
        <v>0</v>
      </c>
      <c r="AB686" s="20">
        <f t="shared" si="76"/>
        <v>0</v>
      </c>
      <c r="AC686" s="20">
        <f t="shared" si="76"/>
        <v>0</v>
      </c>
      <c r="AD686" s="20">
        <f t="shared" si="76"/>
        <v>0</v>
      </c>
      <c r="AE686" s="20"/>
      <c r="AF686" s="20"/>
      <c r="AG686" s="20">
        <f t="shared" si="76"/>
        <v>0</v>
      </c>
      <c r="AH686" s="20">
        <f t="shared" si="76"/>
        <v>0</v>
      </c>
      <c r="AI686" s="20">
        <f t="shared" si="76"/>
        <v>0</v>
      </c>
    </row>
    <row r="687" spans="2:35" hidden="1" x14ac:dyDescent="0.2">
      <c r="B687" s="20" t="str">
        <f t="array" ref="B687">IF(ISERROR(INDEX('Eingabe Meldungen'!$C$2:$C$492,LARGE(('Eingabe Meldungen'!$A$2:$A$492=$B$654)*(ROW('Eingabe Meldungen'!$A$2:$A$492)-1),COUNTIF('Eingabe Meldungen'!$A$2:$A$492,$B$654)+1-ROW('Eingabe Meldungen'!#REF!)))),"",INDEX('Eingabe Meldungen'!$C$2:$C$492,LARGE(('Eingabe Meldungen'!$A$2:$A$492=$B$654)*(ROW('Eingabe Meldungen'!$A$2:$A$492)-1),COUNTIF('Eingabe Meldungen'!$A$2:$A$492,$B$654)+1-ROW('Eingabe Meldungen'!#REF!))))</f>
        <v/>
      </c>
      <c r="C687" t="str">
        <f t="array" ref="C687">IF(ISERROR(INDEX('Eingabe Meldungen'!$D$2:$D$492,LARGE(('Eingabe Meldungen'!$A$2:$A$492=$B$654)*(ROW('Eingabe Meldungen'!$A$2:$A$492)-1),COUNTIF('Eingabe Meldungen'!$A$2:$A$492,$B$654)+1-ROW('Eingabe Meldungen'!#REF!)))),"",INDEX('Eingabe Meldungen'!$D$2:$D$492,LARGE(('Eingabe Meldungen'!$A$2:$A$492=$B$654)*(ROW('Eingabe Meldungen'!$A$2:$A$492)-1),COUNTIF('Eingabe Meldungen'!$A$2:$A$492,$B$654)+1-ROW('Eingabe Meldungen'!#REF!))))</f>
        <v/>
      </c>
      <c r="D687" s="11" t="str">
        <f t="array" ref="D687">IF(B687&lt;&gt;"",INDEX('Eingabe Meldungen'!$C$2:$H$492,MATCH(B687&amp;C687,'Eingabe Meldungen'!$C$2:$C$492&amp;'Eingabe Meldungen'!$D$2:$D$492,0),6),"")</f>
        <v/>
      </c>
      <c r="E687" s="66" t="str">
        <f t="array" ref="E687">IF(B687&lt;&gt;"",INDEX('Eingabe Meldungen'!$C$2:$H$492,MATCH(B687&amp;C687,'Eingabe Meldungen'!$C$2:$C$492&amp;'Eingabe Meldungen'!$D$2:$D$492,0),4),"")</f>
        <v/>
      </c>
      <c r="F687" s="32" t="e">
        <f>IF(VLOOKUP(B687,Rennlisten!$B$365:$J$393,10,FALSE)=0,"",VLOOKUP(B687,Rennlisten!$B$365:$J$393,10,FALSE))</f>
        <v>#REF!</v>
      </c>
      <c r="G687" t="e">
        <f t="shared" si="69"/>
        <v>#REF!</v>
      </c>
      <c r="H687" s="21" t="str">
        <f t="array" ref="H687">IF(B687&lt;&gt;"",INDEX('Eingabe Meldungen'!$C$2:$J$492,MATCH(B687&amp;C687,'Eingabe Meldungen'!$C$2:$C$492&amp;'Eingabe Meldungen'!$D$2:$D$492,0),8),"")</f>
        <v/>
      </c>
      <c r="J687" s="20" t="str">
        <f t="shared" si="72"/>
        <v/>
      </c>
      <c r="K687" s="20" t="str">
        <f t="shared" si="72"/>
        <v/>
      </c>
      <c r="L687" s="20" t="e">
        <f>IF(EXACT($H687,#REF!),$I687,"")</f>
        <v>#REF!</v>
      </c>
      <c r="M687" s="20" t="str">
        <f t="shared" si="77"/>
        <v/>
      </c>
      <c r="N687" s="20" t="str">
        <f t="shared" si="75"/>
        <v/>
      </c>
      <c r="O687" s="20" t="str">
        <f t="shared" si="75"/>
        <v/>
      </c>
      <c r="P687" s="20" t="str">
        <f t="shared" si="75"/>
        <v/>
      </c>
      <c r="Q687" s="20" t="str">
        <f t="shared" si="75"/>
        <v/>
      </c>
      <c r="R687" s="20" t="str">
        <f t="shared" si="75"/>
        <v/>
      </c>
      <c r="S687" s="20" t="str">
        <f t="shared" si="75"/>
        <v/>
      </c>
      <c r="T687" s="20" t="str">
        <f t="shared" si="75"/>
        <v/>
      </c>
      <c r="U687" s="20" t="str">
        <f t="shared" si="75"/>
        <v/>
      </c>
      <c r="V687" s="20" t="str">
        <f t="shared" si="75"/>
        <v/>
      </c>
      <c r="W687" s="20">
        <f t="shared" si="75"/>
        <v>0</v>
      </c>
      <c r="X687" s="20">
        <f t="shared" si="76"/>
        <v>0</v>
      </c>
      <c r="Y687" s="20">
        <f t="shared" si="76"/>
        <v>0</v>
      </c>
      <c r="Z687" s="20">
        <f t="shared" si="76"/>
        <v>0</v>
      </c>
      <c r="AA687" s="20">
        <f t="shared" si="76"/>
        <v>0</v>
      </c>
      <c r="AB687" s="20">
        <f t="shared" si="76"/>
        <v>0</v>
      </c>
      <c r="AC687" s="20">
        <f t="shared" si="76"/>
        <v>0</v>
      </c>
      <c r="AD687" s="20">
        <f t="shared" si="76"/>
        <v>0</v>
      </c>
      <c r="AE687" s="20"/>
      <c r="AF687" s="20"/>
      <c r="AG687" s="20">
        <f t="shared" si="76"/>
        <v>0</v>
      </c>
      <c r="AH687" s="20">
        <f t="shared" si="76"/>
        <v>0</v>
      </c>
      <c r="AI687" s="20">
        <f t="shared" si="76"/>
        <v>0</v>
      </c>
    </row>
    <row r="688" spans="2:35" hidden="1" x14ac:dyDescent="0.2">
      <c r="B688" s="20" t="str">
        <f t="array" ref="B688">IF(ISERROR(INDEX('Eingabe Meldungen'!$C$2:$C$492,LARGE(('Eingabe Meldungen'!$A$2:$A$492=$B$654)*(ROW('Eingabe Meldungen'!$A$2:$A$492)-1),COUNTIF('Eingabe Meldungen'!$A$2:$A$492,$B$654)+1-ROW('Eingabe Meldungen'!#REF!)))),"",INDEX('Eingabe Meldungen'!$C$2:$C$492,LARGE(('Eingabe Meldungen'!$A$2:$A$492=$B$654)*(ROW('Eingabe Meldungen'!$A$2:$A$492)-1),COUNTIF('Eingabe Meldungen'!$A$2:$A$492,$B$654)+1-ROW('Eingabe Meldungen'!#REF!))))</f>
        <v/>
      </c>
      <c r="C688" t="str">
        <f t="array" ref="C688">IF(ISERROR(INDEX('Eingabe Meldungen'!$D$2:$D$492,LARGE(('Eingabe Meldungen'!$A$2:$A$492=$B$654)*(ROW('Eingabe Meldungen'!$A$2:$A$492)-1),COUNTIF('Eingabe Meldungen'!$A$2:$A$492,$B$654)+1-ROW('Eingabe Meldungen'!#REF!)))),"",INDEX('Eingabe Meldungen'!$D$2:$D$492,LARGE(('Eingabe Meldungen'!$A$2:$A$492=$B$654)*(ROW('Eingabe Meldungen'!$A$2:$A$492)-1),COUNTIF('Eingabe Meldungen'!$A$2:$A$492,$B$654)+1-ROW('Eingabe Meldungen'!#REF!))))</f>
        <v/>
      </c>
      <c r="D688" s="11" t="str">
        <f t="array" ref="D688">IF(B688&lt;&gt;"",INDEX('Eingabe Meldungen'!$C$2:$H$492,MATCH(B688&amp;C688,'Eingabe Meldungen'!$C$2:$C$492&amp;'Eingabe Meldungen'!$D$2:$D$492,0),6),"")</f>
        <v/>
      </c>
      <c r="E688" s="66" t="str">
        <f t="array" ref="E688">IF(B688&lt;&gt;"",INDEX('Eingabe Meldungen'!$C$2:$H$492,MATCH(B688&amp;C688,'Eingabe Meldungen'!$C$2:$C$492&amp;'Eingabe Meldungen'!$D$2:$D$492,0),4),"")</f>
        <v/>
      </c>
      <c r="F688" s="32" t="e">
        <f>IF(VLOOKUP(B688,Rennlisten!$B$365:$J$393,10,FALSE)=0,"",VLOOKUP(B688,Rennlisten!$B$365:$J$393,10,FALSE))</f>
        <v>#REF!</v>
      </c>
      <c r="G688" t="e">
        <f t="shared" ref="G688:G719" si="78">RANK(F688,$F$656:$F$719,1)</f>
        <v>#REF!</v>
      </c>
      <c r="H688" s="21" t="str">
        <f t="array" ref="H688">IF(B688&lt;&gt;"",INDEX('Eingabe Meldungen'!$C$2:$J$492,MATCH(B688&amp;C688,'Eingabe Meldungen'!$C$2:$C$492&amp;'Eingabe Meldungen'!$D$2:$D$492,0),8),"")</f>
        <v/>
      </c>
      <c r="J688" s="20" t="str">
        <f t="shared" si="72"/>
        <v/>
      </c>
      <c r="K688" s="20" t="str">
        <f t="shared" si="72"/>
        <v/>
      </c>
      <c r="L688" s="20" t="e">
        <f>IF(EXACT($H688,#REF!),$I688,"")</f>
        <v>#REF!</v>
      </c>
      <c r="M688" s="20" t="str">
        <f t="shared" si="77"/>
        <v/>
      </c>
      <c r="N688" s="20" t="str">
        <f t="shared" si="75"/>
        <v/>
      </c>
      <c r="O688" s="20" t="str">
        <f t="shared" si="75"/>
        <v/>
      </c>
      <c r="P688" s="20" t="str">
        <f t="shared" si="75"/>
        <v/>
      </c>
      <c r="Q688" s="20" t="str">
        <f t="shared" si="75"/>
        <v/>
      </c>
      <c r="R688" s="20" t="str">
        <f t="shared" si="75"/>
        <v/>
      </c>
      <c r="S688" s="20" t="str">
        <f t="shared" si="75"/>
        <v/>
      </c>
      <c r="T688" s="20" t="str">
        <f t="shared" si="75"/>
        <v/>
      </c>
      <c r="U688" s="20" t="str">
        <f t="shared" si="75"/>
        <v/>
      </c>
      <c r="V688" s="20" t="str">
        <f t="shared" si="75"/>
        <v/>
      </c>
      <c r="W688" s="20">
        <f t="shared" si="75"/>
        <v>0</v>
      </c>
      <c r="X688" s="20">
        <f t="shared" si="76"/>
        <v>0</v>
      </c>
      <c r="Y688" s="20">
        <f t="shared" si="76"/>
        <v>0</v>
      </c>
      <c r="Z688" s="20">
        <f t="shared" si="76"/>
        <v>0</v>
      </c>
      <c r="AA688" s="20">
        <f t="shared" si="76"/>
        <v>0</v>
      </c>
      <c r="AB688" s="20">
        <f t="shared" si="76"/>
        <v>0</v>
      </c>
      <c r="AC688" s="20">
        <f t="shared" si="76"/>
        <v>0</v>
      </c>
      <c r="AD688" s="20">
        <f t="shared" si="76"/>
        <v>0</v>
      </c>
      <c r="AE688" s="20"/>
      <c r="AF688" s="20"/>
      <c r="AG688" s="20">
        <f t="shared" si="76"/>
        <v>0</v>
      </c>
      <c r="AH688" s="20">
        <f t="shared" si="76"/>
        <v>0</v>
      </c>
      <c r="AI688" s="20">
        <f t="shared" si="76"/>
        <v>0</v>
      </c>
    </row>
    <row r="689" spans="2:35" hidden="1" x14ac:dyDescent="0.2">
      <c r="B689" s="20" t="str">
        <f t="array" ref="B689">IF(ISERROR(INDEX('Eingabe Meldungen'!$C$2:$C$492,LARGE(('Eingabe Meldungen'!$A$2:$A$492=$B$654)*(ROW('Eingabe Meldungen'!$A$2:$A$492)-1),COUNTIF('Eingabe Meldungen'!$A$2:$A$492,$B$654)+1-ROW('Eingabe Meldungen'!#REF!)))),"",INDEX('Eingabe Meldungen'!$C$2:$C$492,LARGE(('Eingabe Meldungen'!$A$2:$A$492=$B$654)*(ROW('Eingabe Meldungen'!$A$2:$A$492)-1),COUNTIF('Eingabe Meldungen'!$A$2:$A$492,$B$654)+1-ROW('Eingabe Meldungen'!#REF!))))</f>
        <v/>
      </c>
      <c r="C689" t="str">
        <f t="array" ref="C689">IF(ISERROR(INDEX('Eingabe Meldungen'!$D$2:$D$492,LARGE(('Eingabe Meldungen'!$A$2:$A$492=$B$654)*(ROW('Eingabe Meldungen'!$A$2:$A$492)-1),COUNTIF('Eingabe Meldungen'!$A$2:$A$492,$B$654)+1-ROW('Eingabe Meldungen'!#REF!)))),"",INDEX('Eingabe Meldungen'!$D$2:$D$492,LARGE(('Eingabe Meldungen'!$A$2:$A$492=$B$654)*(ROW('Eingabe Meldungen'!$A$2:$A$492)-1),COUNTIF('Eingabe Meldungen'!$A$2:$A$492,$B$654)+1-ROW('Eingabe Meldungen'!#REF!))))</f>
        <v/>
      </c>
      <c r="D689" s="11" t="str">
        <f t="array" ref="D689">IF(B689&lt;&gt;"",INDEX('Eingabe Meldungen'!$C$2:$H$492,MATCH(B689&amp;C689,'Eingabe Meldungen'!$C$2:$C$492&amp;'Eingabe Meldungen'!$D$2:$D$492,0),6),"")</f>
        <v/>
      </c>
      <c r="E689" s="66" t="str">
        <f t="array" ref="E689">IF(B689&lt;&gt;"",INDEX('Eingabe Meldungen'!$C$2:$H$492,MATCH(B689&amp;C689,'Eingabe Meldungen'!$C$2:$C$492&amp;'Eingabe Meldungen'!$D$2:$D$492,0),4),"")</f>
        <v/>
      </c>
      <c r="F689" s="32" t="e">
        <f>IF(VLOOKUP(B689,Rennlisten!$B$365:$J$393,10,FALSE)=0,"",VLOOKUP(B689,Rennlisten!$B$365:$J$393,10,FALSE))</f>
        <v>#REF!</v>
      </c>
      <c r="G689" t="e">
        <f t="shared" si="78"/>
        <v>#REF!</v>
      </c>
      <c r="H689" s="21" t="str">
        <f t="array" ref="H689">IF(B689&lt;&gt;"",INDEX('Eingabe Meldungen'!$C$2:$J$492,MATCH(B689&amp;C689,'Eingabe Meldungen'!$C$2:$C$492&amp;'Eingabe Meldungen'!$D$2:$D$492,0),8),"")</f>
        <v/>
      </c>
      <c r="J689" s="20" t="str">
        <f t="shared" si="72"/>
        <v/>
      </c>
      <c r="K689" s="20" t="str">
        <f t="shared" si="72"/>
        <v/>
      </c>
      <c r="L689" s="20" t="e">
        <f>IF(EXACT($H689,#REF!),$I689,"")</f>
        <v>#REF!</v>
      </c>
      <c r="M689" s="20" t="str">
        <f t="shared" si="77"/>
        <v/>
      </c>
      <c r="N689" s="20" t="str">
        <f t="shared" si="75"/>
        <v/>
      </c>
      <c r="O689" s="20" t="str">
        <f t="shared" si="75"/>
        <v/>
      </c>
      <c r="P689" s="20" t="str">
        <f t="shared" si="75"/>
        <v/>
      </c>
      <c r="Q689" s="20" t="str">
        <f t="shared" si="75"/>
        <v/>
      </c>
      <c r="R689" s="20" t="str">
        <f t="shared" si="75"/>
        <v/>
      </c>
      <c r="S689" s="20" t="str">
        <f t="shared" si="75"/>
        <v/>
      </c>
      <c r="T689" s="20" t="str">
        <f t="shared" si="75"/>
        <v/>
      </c>
      <c r="U689" s="20" t="str">
        <f t="shared" si="75"/>
        <v/>
      </c>
      <c r="V689" s="20" t="str">
        <f t="shared" si="75"/>
        <v/>
      </c>
      <c r="W689" s="20">
        <f t="shared" si="75"/>
        <v>0</v>
      </c>
      <c r="X689" s="20">
        <f t="shared" si="76"/>
        <v>0</v>
      </c>
      <c r="Y689" s="20">
        <f t="shared" si="76"/>
        <v>0</v>
      </c>
      <c r="Z689" s="20">
        <f t="shared" si="76"/>
        <v>0</v>
      </c>
      <c r="AA689" s="20">
        <f t="shared" si="76"/>
        <v>0</v>
      </c>
      <c r="AB689" s="20">
        <f t="shared" si="76"/>
        <v>0</v>
      </c>
      <c r="AC689" s="20">
        <f t="shared" si="76"/>
        <v>0</v>
      </c>
      <c r="AD689" s="20">
        <f t="shared" si="76"/>
        <v>0</v>
      </c>
      <c r="AE689" s="20"/>
      <c r="AF689" s="20"/>
      <c r="AG689" s="20">
        <f t="shared" si="76"/>
        <v>0</v>
      </c>
      <c r="AH689" s="20">
        <f t="shared" si="76"/>
        <v>0</v>
      </c>
      <c r="AI689" s="20">
        <f t="shared" si="76"/>
        <v>0</v>
      </c>
    </row>
    <row r="690" spans="2:35" hidden="1" x14ac:dyDescent="0.2">
      <c r="B690" s="20" t="str">
        <f t="array" ref="B690">IF(ISERROR(INDEX('Eingabe Meldungen'!$C$2:$C$492,LARGE(('Eingabe Meldungen'!$A$2:$A$492=$B$654)*(ROW('Eingabe Meldungen'!$A$2:$A$492)-1),COUNTIF('Eingabe Meldungen'!$A$2:$A$492,$B$654)+1-ROW('Eingabe Meldungen'!A31)))),"",INDEX('Eingabe Meldungen'!$C$2:$C$492,LARGE(('Eingabe Meldungen'!$A$2:$A$492=$B$654)*(ROW('Eingabe Meldungen'!$A$2:$A$492)-1),COUNTIF('Eingabe Meldungen'!$A$2:$A$492,$B$654)+1-ROW('Eingabe Meldungen'!A31))))</f>
        <v/>
      </c>
      <c r="C690" t="str">
        <f t="array" ref="C690">IF(ISERROR(INDEX('Eingabe Meldungen'!$D$2:$D$492,LARGE(('Eingabe Meldungen'!$A$2:$A$492=$B$654)*(ROW('Eingabe Meldungen'!$A$2:$A$492)-1),COUNTIF('Eingabe Meldungen'!$A$2:$A$492,$B$654)+1-ROW('Eingabe Meldungen'!A31)))),"",INDEX('Eingabe Meldungen'!$D$2:$D$492,LARGE(('Eingabe Meldungen'!$A$2:$A$492=$B$654)*(ROW('Eingabe Meldungen'!$A$2:$A$492)-1),COUNTIF('Eingabe Meldungen'!$A$2:$A$492,$B$654)+1-ROW('Eingabe Meldungen'!A31))))</f>
        <v/>
      </c>
      <c r="D690" s="11" t="str">
        <f t="array" ref="D690">IF(B690&lt;&gt;"",INDEX('Eingabe Meldungen'!$C$2:$H$492,MATCH(B690&amp;C690,'Eingabe Meldungen'!$C$2:$C$492&amp;'Eingabe Meldungen'!$D$2:$D$492,0),6),"")</f>
        <v/>
      </c>
      <c r="E690" s="66" t="str">
        <f t="array" ref="E690">IF(B690&lt;&gt;"",INDEX('Eingabe Meldungen'!$C$2:$H$492,MATCH(B690&amp;C690,'Eingabe Meldungen'!$C$2:$C$492&amp;'Eingabe Meldungen'!$D$2:$D$492,0),4),"")</f>
        <v/>
      </c>
      <c r="F690" s="32" t="e">
        <f>IF(VLOOKUP(B690,Rennlisten!$B$365:$J$393,10,FALSE)=0,"",VLOOKUP(B690,Rennlisten!$B$365:$J$393,10,FALSE))</f>
        <v>#REF!</v>
      </c>
      <c r="G690" t="e">
        <f t="shared" si="78"/>
        <v>#REF!</v>
      </c>
      <c r="H690" s="21" t="str">
        <f t="array" ref="H690">IF(B690&lt;&gt;"",INDEX('Eingabe Meldungen'!$C$2:$J$492,MATCH(B690&amp;C690,'Eingabe Meldungen'!$C$2:$C$492&amp;'Eingabe Meldungen'!$D$2:$D$492,0),8),"")</f>
        <v/>
      </c>
      <c r="J690" s="20" t="str">
        <f t="shared" si="72"/>
        <v/>
      </c>
      <c r="K690" s="20" t="str">
        <f t="shared" si="72"/>
        <v/>
      </c>
      <c r="L690" s="20" t="e">
        <f>IF(EXACT($H690,#REF!),$I690,"")</f>
        <v>#REF!</v>
      </c>
      <c r="M690" s="20" t="str">
        <f t="shared" si="77"/>
        <v/>
      </c>
      <c r="N690" s="20" t="str">
        <f t="shared" si="75"/>
        <v/>
      </c>
      <c r="O690" s="20" t="str">
        <f t="shared" si="75"/>
        <v/>
      </c>
      <c r="P690" s="20" t="str">
        <f t="shared" si="75"/>
        <v/>
      </c>
      <c r="Q690" s="20" t="str">
        <f t="shared" si="75"/>
        <v/>
      </c>
      <c r="R690" s="20" t="str">
        <f t="shared" si="75"/>
        <v/>
      </c>
      <c r="S690" s="20" t="str">
        <f t="shared" si="75"/>
        <v/>
      </c>
      <c r="T690" s="20" t="str">
        <f t="shared" si="75"/>
        <v/>
      </c>
      <c r="U690" s="20" t="str">
        <f t="shared" si="75"/>
        <v/>
      </c>
      <c r="V690" s="20" t="str">
        <f t="shared" si="75"/>
        <v/>
      </c>
      <c r="W690" s="20">
        <f t="shared" si="75"/>
        <v>0</v>
      </c>
      <c r="X690" s="20">
        <f t="shared" si="76"/>
        <v>0</v>
      </c>
      <c r="Y690" s="20">
        <f t="shared" si="76"/>
        <v>0</v>
      </c>
      <c r="Z690" s="20">
        <f t="shared" si="76"/>
        <v>0</v>
      </c>
      <c r="AA690" s="20">
        <f t="shared" si="76"/>
        <v>0</v>
      </c>
      <c r="AB690" s="20">
        <f t="shared" si="76"/>
        <v>0</v>
      </c>
      <c r="AC690" s="20">
        <f t="shared" si="76"/>
        <v>0</v>
      </c>
      <c r="AD690" s="20">
        <f t="shared" si="76"/>
        <v>0</v>
      </c>
      <c r="AE690" s="20"/>
      <c r="AF690" s="20"/>
      <c r="AG690" s="20">
        <f t="shared" si="76"/>
        <v>0</v>
      </c>
      <c r="AH690" s="20">
        <f t="shared" si="76"/>
        <v>0</v>
      </c>
      <c r="AI690" s="20">
        <f t="shared" si="76"/>
        <v>0</v>
      </c>
    </row>
    <row r="691" spans="2:35" hidden="1" x14ac:dyDescent="0.2">
      <c r="B691" s="20" t="str">
        <f t="array" ref="B691">IF(ISERROR(INDEX('Eingabe Meldungen'!$C$2:$C$492,LARGE(('Eingabe Meldungen'!$A$2:$A$492=$B$654)*(ROW('Eingabe Meldungen'!$A$2:$A$492)-1),COUNTIF('Eingabe Meldungen'!$A$2:$A$492,$B$654)+1-ROW('Eingabe Meldungen'!A32)))),"",INDEX('Eingabe Meldungen'!$C$2:$C$492,LARGE(('Eingabe Meldungen'!$A$2:$A$492=$B$654)*(ROW('Eingabe Meldungen'!$A$2:$A$492)-1),COUNTIF('Eingabe Meldungen'!$A$2:$A$492,$B$654)+1-ROW('Eingabe Meldungen'!A32))))</f>
        <v/>
      </c>
      <c r="C691" t="str">
        <f t="array" ref="C691">IF(ISERROR(INDEX('Eingabe Meldungen'!$D$2:$D$492,LARGE(('Eingabe Meldungen'!$A$2:$A$492=$B$654)*(ROW('Eingabe Meldungen'!$A$2:$A$492)-1),COUNTIF('Eingabe Meldungen'!$A$2:$A$492,$B$654)+1-ROW('Eingabe Meldungen'!A32)))),"",INDEX('Eingabe Meldungen'!$D$2:$D$492,LARGE(('Eingabe Meldungen'!$A$2:$A$492=$B$654)*(ROW('Eingabe Meldungen'!$A$2:$A$492)-1),COUNTIF('Eingabe Meldungen'!$A$2:$A$492,$B$654)+1-ROW('Eingabe Meldungen'!A32))))</f>
        <v/>
      </c>
      <c r="D691" s="11" t="str">
        <f t="array" ref="D691">IF(B691&lt;&gt;"",INDEX('Eingabe Meldungen'!$C$2:$H$492,MATCH(B691&amp;C691,'Eingabe Meldungen'!$C$2:$C$492&amp;'Eingabe Meldungen'!$D$2:$D$492,0),6),"")</f>
        <v/>
      </c>
      <c r="E691" s="66" t="str">
        <f t="array" ref="E691">IF(B691&lt;&gt;"",INDEX('Eingabe Meldungen'!$C$2:$H$492,MATCH(B691&amp;C691,'Eingabe Meldungen'!$C$2:$C$492&amp;'Eingabe Meldungen'!$D$2:$D$492,0),4),"")</f>
        <v/>
      </c>
      <c r="F691" s="32" t="e">
        <f>IF(VLOOKUP(B691,Rennlisten!$B$365:$J$393,10,FALSE)=0,"",VLOOKUP(B691,Rennlisten!$B$365:$J$393,10,FALSE))</f>
        <v>#REF!</v>
      </c>
      <c r="G691" t="e">
        <f t="shared" si="78"/>
        <v>#REF!</v>
      </c>
      <c r="H691" s="21" t="str">
        <f t="array" ref="H691">IF(B691&lt;&gt;"",INDEX('Eingabe Meldungen'!$C$2:$J$492,MATCH(B691&amp;C691,'Eingabe Meldungen'!$C$2:$C$492&amp;'Eingabe Meldungen'!$D$2:$D$492,0),8),"")</f>
        <v/>
      </c>
      <c r="J691" s="20" t="str">
        <f t="shared" si="72"/>
        <v/>
      </c>
      <c r="K691" s="20" t="str">
        <f t="shared" si="72"/>
        <v/>
      </c>
      <c r="L691" s="20" t="e">
        <f>IF(EXACT($H691,#REF!),$I691,"")</f>
        <v>#REF!</v>
      </c>
      <c r="M691" s="20" t="str">
        <f t="shared" si="77"/>
        <v/>
      </c>
      <c r="N691" s="20" t="str">
        <f t="shared" si="75"/>
        <v/>
      </c>
      <c r="O691" s="20" t="str">
        <f t="shared" si="75"/>
        <v/>
      </c>
      <c r="P691" s="20" t="str">
        <f t="shared" si="75"/>
        <v/>
      </c>
      <c r="Q691" s="20" t="str">
        <f t="shared" si="75"/>
        <v/>
      </c>
      <c r="R691" s="20" t="str">
        <f t="shared" si="75"/>
        <v/>
      </c>
      <c r="S691" s="20" t="str">
        <f t="shared" si="75"/>
        <v/>
      </c>
      <c r="T691" s="20" t="str">
        <f t="shared" si="75"/>
        <v/>
      </c>
      <c r="U691" s="20" t="str">
        <f t="shared" si="75"/>
        <v/>
      </c>
      <c r="V691" s="20" t="str">
        <f t="shared" si="75"/>
        <v/>
      </c>
      <c r="W691" s="20">
        <f t="shared" si="75"/>
        <v>0</v>
      </c>
      <c r="X691" s="20">
        <f t="shared" si="76"/>
        <v>0</v>
      </c>
      <c r="Y691" s="20">
        <f t="shared" si="76"/>
        <v>0</v>
      </c>
      <c r="Z691" s="20">
        <f t="shared" si="76"/>
        <v>0</v>
      </c>
      <c r="AA691" s="20">
        <f t="shared" si="76"/>
        <v>0</v>
      </c>
      <c r="AB691" s="20">
        <f t="shared" si="76"/>
        <v>0</v>
      </c>
      <c r="AC691" s="20">
        <f t="shared" si="76"/>
        <v>0</v>
      </c>
      <c r="AD691" s="20">
        <f t="shared" si="76"/>
        <v>0</v>
      </c>
      <c r="AE691" s="20"/>
      <c r="AF691" s="20"/>
      <c r="AG691" s="20">
        <f t="shared" si="76"/>
        <v>0</v>
      </c>
      <c r="AH691" s="20">
        <f t="shared" si="76"/>
        <v>0</v>
      </c>
      <c r="AI691" s="20">
        <f t="shared" si="76"/>
        <v>0</v>
      </c>
    </row>
    <row r="692" spans="2:35" hidden="1" x14ac:dyDescent="0.2">
      <c r="B692" s="20" t="str">
        <f t="array" ref="B692">IF(ISERROR(INDEX('Eingabe Meldungen'!$C$2:$C$492,LARGE(('Eingabe Meldungen'!$A$2:$A$492=$B$654)*(ROW('Eingabe Meldungen'!$A$2:$A$492)-1),COUNTIF('Eingabe Meldungen'!$A$2:$A$492,$B$654)+1-ROW('Eingabe Meldungen'!#REF!)))),"",INDEX('Eingabe Meldungen'!$C$2:$C$492,LARGE(('Eingabe Meldungen'!$A$2:$A$492=$B$654)*(ROW('Eingabe Meldungen'!$A$2:$A$492)-1),COUNTIF('Eingabe Meldungen'!$A$2:$A$492,$B$654)+1-ROW('Eingabe Meldungen'!#REF!))))</f>
        <v/>
      </c>
      <c r="C692" t="str">
        <f t="array" ref="C692">IF(ISERROR(INDEX('Eingabe Meldungen'!$D$2:$D$492,LARGE(('Eingabe Meldungen'!$A$2:$A$492=$B$654)*(ROW('Eingabe Meldungen'!$A$2:$A$492)-1),COUNTIF('Eingabe Meldungen'!$A$2:$A$492,$B$654)+1-ROW('Eingabe Meldungen'!#REF!)))),"",INDEX('Eingabe Meldungen'!$D$2:$D$492,LARGE(('Eingabe Meldungen'!$A$2:$A$492=$B$654)*(ROW('Eingabe Meldungen'!$A$2:$A$492)-1),COUNTIF('Eingabe Meldungen'!$A$2:$A$492,$B$654)+1-ROW('Eingabe Meldungen'!#REF!))))</f>
        <v/>
      </c>
      <c r="D692" s="11" t="str">
        <f t="array" ref="D692">IF(B692&lt;&gt;"",INDEX('Eingabe Meldungen'!$C$2:$H$492,MATCH(B692&amp;C692,'Eingabe Meldungen'!$C$2:$C$492&amp;'Eingabe Meldungen'!$D$2:$D$492,0),6),"")</f>
        <v/>
      </c>
      <c r="E692" s="66" t="str">
        <f t="array" ref="E692">IF(B692&lt;&gt;"",INDEX('Eingabe Meldungen'!$C$2:$H$492,MATCH(B692&amp;C692,'Eingabe Meldungen'!$C$2:$C$492&amp;'Eingabe Meldungen'!$D$2:$D$492,0),4),"")</f>
        <v/>
      </c>
      <c r="F692" s="32" t="e">
        <f>IF(VLOOKUP(B692,Rennlisten!$B$365:$J$393,10,FALSE)=0,"",VLOOKUP(B692,Rennlisten!$B$365:$J$393,10,FALSE))</f>
        <v>#REF!</v>
      </c>
      <c r="G692" t="e">
        <f t="shared" si="78"/>
        <v>#REF!</v>
      </c>
      <c r="H692" s="21" t="str">
        <f t="array" ref="H692">IF(B692&lt;&gt;"",INDEX('Eingabe Meldungen'!$C$2:$J$492,MATCH(B692&amp;C692,'Eingabe Meldungen'!$C$2:$C$492&amp;'Eingabe Meldungen'!$D$2:$D$492,0),8),"")</f>
        <v/>
      </c>
      <c r="J692" s="20" t="str">
        <f t="shared" si="72"/>
        <v/>
      </c>
      <c r="K692" s="20" t="str">
        <f t="shared" si="72"/>
        <v/>
      </c>
      <c r="L692" s="20" t="e">
        <f>IF(EXACT($H692,#REF!),$I692,"")</f>
        <v>#REF!</v>
      </c>
      <c r="M692" s="20" t="str">
        <f t="shared" si="77"/>
        <v/>
      </c>
      <c r="N692" s="20" t="str">
        <f t="shared" si="75"/>
        <v/>
      </c>
      <c r="O692" s="20" t="str">
        <f t="shared" si="75"/>
        <v/>
      </c>
      <c r="P692" s="20" t="str">
        <f t="shared" si="75"/>
        <v/>
      </c>
      <c r="Q692" s="20" t="str">
        <f t="shared" si="75"/>
        <v/>
      </c>
      <c r="R692" s="20" t="str">
        <f t="shared" si="75"/>
        <v/>
      </c>
      <c r="S692" s="20" t="str">
        <f t="shared" si="75"/>
        <v/>
      </c>
      <c r="T692" s="20" t="str">
        <f t="shared" si="75"/>
        <v/>
      </c>
      <c r="U692" s="20" t="str">
        <f t="shared" si="75"/>
        <v/>
      </c>
      <c r="V692" s="20" t="str">
        <f t="shared" si="75"/>
        <v/>
      </c>
      <c r="W692" s="20">
        <f t="shared" si="75"/>
        <v>0</v>
      </c>
      <c r="X692" s="20">
        <f t="shared" si="76"/>
        <v>0</v>
      </c>
      <c r="Y692" s="20">
        <f t="shared" si="76"/>
        <v>0</v>
      </c>
      <c r="Z692" s="20">
        <f t="shared" si="76"/>
        <v>0</v>
      </c>
      <c r="AA692" s="20">
        <f t="shared" si="76"/>
        <v>0</v>
      </c>
      <c r="AB692" s="20">
        <f t="shared" si="76"/>
        <v>0</v>
      </c>
      <c r="AC692" s="20">
        <f t="shared" si="76"/>
        <v>0</v>
      </c>
      <c r="AD692" s="20">
        <f t="shared" si="76"/>
        <v>0</v>
      </c>
      <c r="AE692" s="20"/>
      <c r="AF692" s="20"/>
      <c r="AG692" s="20">
        <f t="shared" si="76"/>
        <v>0</v>
      </c>
      <c r="AH692" s="20">
        <f t="shared" si="76"/>
        <v>0</v>
      </c>
      <c r="AI692" s="20">
        <f t="shared" si="76"/>
        <v>0</v>
      </c>
    </row>
    <row r="693" spans="2:35" hidden="1" x14ac:dyDescent="0.2">
      <c r="B693" s="20" t="str">
        <f t="array" ref="B693">IF(ISERROR(INDEX('Eingabe Meldungen'!$C$2:$C$492,LARGE(('Eingabe Meldungen'!$A$2:$A$492=$B$654)*(ROW('Eingabe Meldungen'!$A$2:$A$492)-1),COUNTIF('Eingabe Meldungen'!$A$2:$A$492,$B$654)+1-ROW('Eingabe Meldungen'!A33)))),"",INDEX('Eingabe Meldungen'!$C$2:$C$492,LARGE(('Eingabe Meldungen'!$A$2:$A$492=$B$654)*(ROW('Eingabe Meldungen'!$A$2:$A$492)-1),COUNTIF('Eingabe Meldungen'!$A$2:$A$492,$B$654)+1-ROW('Eingabe Meldungen'!A33))))</f>
        <v/>
      </c>
      <c r="C693" t="str">
        <f t="array" ref="C693">IF(ISERROR(INDEX('Eingabe Meldungen'!$D$2:$D$492,LARGE(('Eingabe Meldungen'!$A$2:$A$492=$B$654)*(ROW('Eingabe Meldungen'!$A$2:$A$492)-1),COUNTIF('Eingabe Meldungen'!$A$2:$A$492,$B$654)+1-ROW('Eingabe Meldungen'!A33)))),"",INDEX('Eingabe Meldungen'!$D$2:$D$492,LARGE(('Eingabe Meldungen'!$A$2:$A$492=$B$654)*(ROW('Eingabe Meldungen'!$A$2:$A$492)-1),COUNTIF('Eingabe Meldungen'!$A$2:$A$492,$B$654)+1-ROW('Eingabe Meldungen'!A33))))</f>
        <v/>
      </c>
      <c r="D693" s="11" t="str">
        <f t="array" ref="D693">IF(B693&lt;&gt;"",INDEX('Eingabe Meldungen'!$C$2:$H$492,MATCH(B693&amp;C693,'Eingabe Meldungen'!$C$2:$C$492&amp;'Eingabe Meldungen'!$D$2:$D$492,0),6),"")</f>
        <v/>
      </c>
      <c r="E693" s="66" t="str">
        <f t="array" ref="E693">IF(B693&lt;&gt;"",INDEX('Eingabe Meldungen'!$C$2:$H$492,MATCH(B693&amp;C693,'Eingabe Meldungen'!$C$2:$C$492&amp;'Eingabe Meldungen'!$D$2:$D$492,0),4),"")</f>
        <v/>
      </c>
      <c r="F693" s="32" t="e">
        <f>IF(VLOOKUP(B693,Rennlisten!$B$365:$J$393,10,FALSE)=0,"",VLOOKUP(B693,Rennlisten!$B$365:$J$393,10,FALSE))</f>
        <v>#REF!</v>
      </c>
      <c r="G693" t="e">
        <f t="shared" si="78"/>
        <v>#REF!</v>
      </c>
      <c r="H693" s="21" t="str">
        <f t="array" ref="H693">IF(B693&lt;&gt;"",INDEX('Eingabe Meldungen'!$C$2:$J$492,MATCH(B693&amp;C693,'Eingabe Meldungen'!$C$2:$C$492&amp;'Eingabe Meldungen'!$D$2:$D$492,0),8),"")</f>
        <v/>
      </c>
      <c r="J693" s="20" t="str">
        <f t="shared" si="72"/>
        <v/>
      </c>
      <c r="K693" s="20" t="str">
        <f t="shared" si="72"/>
        <v/>
      </c>
      <c r="L693" s="20" t="e">
        <f>IF(EXACT($H693,#REF!),$I693,"")</f>
        <v>#REF!</v>
      </c>
      <c r="M693" s="20" t="str">
        <f t="shared" si="77"/>
        <v/>
      </c>
      <c r="N693" s="20" t="str">
        <f t="shared" si="75"/>
        <v/>
      </c>
      <c r="O693" s="20" t="str">
        <f t="shared" si="75"/>
        <v/>
      </c>
      <c r="P693" s="20" t="str">
        <f t="shared" si="75"/>
        <v/>
      </c>
      <c r="Q693" s="20" t="str">
        <f t="shared" si="75"/>
        <v/>
      </c>
      <c r="R693" s="20" t="str">
        <f t="shared" si="75"/>
        <v/>
      </c>
      <c r="S693" s="20" t="str">
        <f t="shared" si="75"/>
        <v/>
      </c>
      <c r="T693" s="20" t="str">
        <f t="shared" si="75"/>
        <v/>
      </c>
      <c r="U693" s="20" t="str">
        <f t="shared" si="75"/>
        <v/>
      </c>
      <c r="V693" s="20" t="str">
        <f t="shared" si="75"/>
        <v/>
      </c>
      <c r="W693" s="20">
        <f t="shared" si="75"/>
        <v>0</v>
      </c>
      <c r="X693" s="20">
        <f t="shared" si="76"/>
        <v>0</v>
      </c>
      <c r="Y693" s="20">
        <f t="shared" si="76"/>
        <v>0</v>
      </c>
      <c r="Z693" s="20">
        <f t="shared" si="76"/>
        <v>0</v>
      </c>
      <c r="AA693" s="20">
        <f t="shared" si="76"/>
        <v>0</v>
      </c>
      <c r="AB693" s="20">
        <f t="shared" si="76"/>
        <v>0</v>
      </c>
      <c r="AC693" s="20">
        <f t="shared" si="76"/>
        <v>0</v>
      </c>
      <c r="AD693" s="20">
        <f t="shared" si="76"/>
        <v>0</v>
      </c>
      <c r="AE693" s="20"/>
      <c r="AF693" s="20"/>
      <c r="AG693" s="20">
        <f t="shared" si="76"/>
        <v>0</v>
      </c>
      <c r="AH693" s="20">
        <f t="shared" si="76"/>
        <v>0</v>
      </c>
      <c r="AI693" s="20">
        <f t="shared" si="76"/>
        <v>0</v>
      </c>
    </row>
    <row r="694" spans="2:35" hidden="1" x14ac:dyDescent="0.2">
      <c r="B694" s="20" t="str">
        <f t="array" ref="B694">IF(ISERROR(INDEX('Eingabe Meldungen'!$C$2:$C$492,LARGE(('Eingabe Meldungen'!$A$2:$A$492=$B$654)*(ROW('Eingabe Meldungen'!$A$2:$A$492)-1),COUNTIF('Eingabe Meldungen'!$A$2:$A$492,$B$654)+1-ROW('Eingabe Meldungen'!A34)))),"",INDEX('Eingabe Meldungen'!$C$2:$C$492,LARGE(('Eingabe Meldungen'!$A$2:$A$492=$B$654)*(ROW('Eingabe Meldungen'!$A$2:$A$492)-1),COUNTIF('Eingabe Meldungen'!$A$2:$A$492,$B$654)+1-ROW('Eingabe Meldungen'!A34))))</f>
        <v/>
      </c>
      <c r="C694" t="str">
        <f t="array" ref="C694">IF(ISERROR(INDEX('Eingabe Meldungen'!$D$2:$D$492,LARGE(('Eingabe Meldungen'!$A$2:$A$492=$B$654)*(ROW('Eingabe Meldungen'!$A$2:$A$492)-1),COUNTIF('Eingabe Meldungen'!$A$2:$A$492,$B$654)+1-ROW('Eingabe Meldungen'!A34)))),"",INDEX('Eingabe Meldungen'!$D$2:$D$492,LARGE(('Eingabe Meldungen'!$A$2:$A$492=$B$654)*(ROW('Eingabe Meldungen'!$A$2:$A$492)-1),COUNTIF('Eingabe Meldungen'!$A$2:$A$492,$B$654)+1-ROW('Eingabe Meldungen'!A34))))</f>
        <v/>
      </c>
      <c r="D694" s="11" t="str">
        <f t="array" ref="D694">IF(B694&lt;&gt;"",INDEX('Eingabe Meldungen'!$C$2:$H$492,MATCH(B694&amp;C694,'Eingabe Meldungen'!$C$2:$C$492&amp;'Eingabe Meldungen'!$D$2:$D$492,0),6),"")</f>
        <v/>
      </c>
      <c r="E694" s="66" t="str">
        <f t="array" ref="E694">IF(B694&lt;&gt;"",INDEX('Eingabe Meldungen'!$C$2:$H$492,MATCH(B694&amp;C694,'Eingabe Meldungen'!$C$2:$C$492&amp;'Eingabe Meldungen'!$D$2:$D$492,0),4),"")</f>
        <v/>
      </c>
      <c r="F694" s="32" t="e">
        <f>IF(VLOOKUP(B694,Rennlisten!$B$365:$J$393,10,FALSE)=0,"",VLOOKUP(B694,Rennlisten!$B$365:$J$393,10,FALSE))</f>
        <v>#REF!</v>
      </c>
      <c r="G694" t="e">
        <f t="shared" si="78"/>
        <v>#REF!</v>
      </c>
      <c r="H694" s="21" t="str">
        <f t="array" ref="H694">IF(B694&lt;&gt;"",INDEX('Eingabe Meldungen'!$C$2:$J$492,MATCH(B694&amp;C694,'Eingabe Meldungen'!$C$2:$C$492&amp;'Eingabe Meldungen'!$D$2:$D$492,0),8),"")</f>
        <v/>
      </c>
      <c r="J694" s="20" t="str">
        <f t="shared" ref="J694:K713" si="79">IF(EXACT($H694,J$4),$I694,"")</f>
        <v/>
      </c>
      <c r="K694" s="20" t="str">
        <f t="shared" si="79"/>
        <v/>
      </c>
      <c r="L694" s="20" t="e">
        <f>IF(EXACT($H694,#REF!),$I694,"")</f>
        <v>#REF!</v>
      </c>
      <c r="M694" s="20" t="str">
        <f t="shared" si="77"/>
        <v/>
      </c>
      <c r="N694" s="20" t="str">
        <f t="shared" ref="N694:W703" si="80">IF(EXACT($H694,N$4),$I694,"")</f>
        <v/>
      </c>
      <c r="O694" s="20" t="str">
        <f t="shared" si="80"/>
        <v/>
      </c>
      <c r="P694" s="20" t="str">
        <f t="shared" si="80"/>
        <v/>
      </c>
      <c r="Q694" s="20" t="str">
        <f t="shared" si="80"/>
        <v/>
      </c>
      <c r="R694" s="20" t="str">
        <f t="shared" si="80"/>
        <v/>
      </c>
      <c r="S694" s="20" t="str">
        <f t="shared" si="80"/>
        <v/>
      </c>
      <c r="T694" s="20" t="str">
        <f t="shared" si="80"/>
        <v/>
      </c>
      <c r="U694" s="20" t="str">
        <f t="shared" si="80"/>
        <v/>
      </c>
      <c r="V694" s="20" t="str">
        <f t="shared" si="80"/>
        <v/>
      </c>
      <c r="W694" s="20">
        <f t="shared" si="80"/>
        <v>0</v>
      </c>
      <c r="X694" s="20">
        <f t="shared" ref="X694:AI703" si="81">IF(EXACT($H694,X$4),$I694,"")</f>
        <v>0</v>
      </c>
      <c r="Y694" s="20">
        <f t="shared" si="81"/>
        <v>0</v>
      </c>
      <c r="Z694" s="20">
        <f t="shared" si="81"/>
        <v>0</v>
      </c>
      <c r="AA694" s="20">
        <f t="shared" si="81"/>
        <v>0</v>
      </c>
      <c r="AB694" s="20">
        <f t="shared" si="81"/>
        <v>0</v>
      </c>
      <c r="AC694" s="20">
        <f t="shared" si="81"/>
        <v>0</v>
      </c>
      <c r="AD694" s="20">
        <f t="shared" si="81"/>
        <v>0</v>
      </c>
      <c r="AE694" s="20"/>
      <c r="AF694" s="20"/>
      <c r="AG694" s="20">
        <f t="shared" si="81"/>
        <v>0</v>
      </c>
      <c r="AH694" s="20">
        <f t="shared" si="81"/>
        <v>0</v>
      </c>
      <c r="AI694" s="20">
        <f t="shared" si="81"/>
        <v>0</v>
      </c>
    </row>
    <row r="695" spans="2:35" hidden="1" x14ac:dyDescent="0.2">
      <c r="B695" s="20" t="str">
        <f t="array" ref="B695">IF(ISERROR(INDEX('Eingabe Meldungen'!$C$2:$C$492,LARGE(('Eingabe Meldungen'!$A$2:$A$492=$B$654)*(ROW('Eingabe Meldungen'!$A$2:$A$492)-1),COUNTIF('Eingabe Meldungen'!$A$2:$A$492,$B$654)+1-ROW('Eingabe Meldungen'!A35)))),"",INDEX('Eingabe Meldungen'!$C$2:$C$492,LARGE(('Eingabe Meldungen'!$A$2:$A$492=$B$654)*(ROW('Eingabe Meldungen'!$A$2:$A$492)-1),COUNTIF('Eingabe Meldungen'!$A$2:$A$492,$B$654)+1-ROW('Eingabe Meldungen'!A35))))</f>
        <v/>
      </c>
      <c r="C695" t="str">
        <f t="array" ref="C695">IF(ISERROR(INDEX('Eingabe Meldungen'!$D$2:$D$492,LARGE(('Eingabe Meldungen'!$A$2:$A$492=$B$654)*(ROW('Eingabe Meldungen'!$A$2:$A$492)-1),COUNTIF('Eingabe Meldungen'!$A$2:$A$492,$B$654)+1-ROW('Eingabe Meldungen'!A35)))),"",INDEX('Eingabe Meldungen'!$D$2:$D$492,LARGE(('Eingabe Meldungen'!$A$2:$A$492=$B$654)*(ROW('Eingabe Meldungen'!$A$2:$A$492)-1),COUNTIF('Eingabe Meldungen'!$A$2:$A$492,$B$654)+1-ROW('Eingabe Meldungen'!A35))))</f>
        <v/>
      </c>
      <c r="D695" s="11" t="str">
        <f t="array" ref="D695">IF(B695&lt;&gt;"",INDEX('Eingabe Meldungen'!$C$2:$H$492,MATCH(B695&amp;C695,'Eingabe Meldungen'!$C$2:$C$492&amp;'Eingabe Meldungen'!$D$2:$D$492,0),6),"")</f>
        <v/>
      </c>
      <c r="E695" s="66" t="str">
        <f t="array" ref="E695">IF(B695&lt;&gt;"",INDEX('Eingabe Meldungen'!$C$2:$H$492,MATCH(B695&amp;C695,'Eingabe Meldungen'!$C$2:$C$492&amp;'Eingabe Meldungen'!$D$2:$D$492,0),4),"")</f>
        <v/>
      </c>
      <c r="F695" s="32" t="e">
        <f>IF(VLOOKUP(B695,Rennlisten!$B$365:$J$393,10,FALSE)=0,"",VLOOKUP(B695,Rennlisten!$B$365:$J$393,10,FALSE))</f>
        <v>#REF!</v>
      </c>
      <c r="G695" t="e">
        <f t="shared" si="78"/>
        <v>#REF!</v>
      </c>
      <c r="H695" s="21" t="str">
        <f t="array" ref="H695">IF(B695&lt;&gt;"",INDEX('Eingabe Meldungen'!$C$2:$J$492,MATCH(B695&amp;C695,'Eingabe Meldungen'!$C$2:$C$492&amp;'Eingabe Meldungen'!$D$2:$D$492,0),8),"")</f>
        <v/>
      </c>
      <c r="J695" s="20" t="str">
        <f t="shared" si="79"/>
        <v/>
      </c>
      <c r="K695" s="20" t="str">
        <f t="shared" si="79"/>
        <v/>
      </c>
      <c r="L695" s="20" t="e">
        <f>IF(EXACT($H695,#REF!),$I695,"")</f>
        <v>#REF!</v>
      </c>
      <c r="M695" s="20" t="str">
        <f t="shared" si="77"/>
        <v/>
      </c>
      <c r="N695" s="20" t="str">
        <f t="shared" si="80"/>
        <v/>
      </c>
      <c r="O695" s="20" t="str">
        <f t="shared" si="80"/>
        <v/>
      </c>
      <c r="P695" s="20" t="str">
        <f t="shared" si="80"/>
        <v/>
      </c>
      <c r="Q695" s="20" t="str">
        <f t="shared" si="80"/>
        <v/>
      </c>
      <c r="R695" s="20" t="str">
        <f t="shared" si="80"/>
        <v/>
      </c>
      <c r="S695" s="20" t="str">
        <f t="shared" si="80"/>
        <v/>
      </c>
      <c r="T695" s="20" t="str">
        <f t="shared" si="80"/>
        <v/>
      </c>
      <c r="U695" s="20" t="str">
        <f t="shared" si="80"/>
        <v/>
      </c>
      <c r="V695" s="20" t="str">
        <f t="shared" si="80"/>
        <v/>
      </c>
      <c r="W695" s="20">
        <f t="shared" si="80"/>
        <v>0</v>
      </c>
      <c r="X695" s="20">
        <f t="shared" si="81"/>
        <v>0</v>
      </c>
      <c r="Y695" s="20">
        <f t="shared" si="81"/>
        <v>0</v>
      </c>
      <c r="Z695" s="20">
        <f t="shared" si="81"/>
        <v>0</v>
      </c>
      <c r="AA695" s="20">
        <f t="shared" si="81"/>
        <v>0</v>
      </c>
      <c r="AB695" s="20">
        <f t="shared" si="81"/>
        <v>0</v>
      </c>
      <c r="AC695" s="20">
        <f t="shared" si="81"/>
        <v>0</v>
      </c>
      <c r="AD695" s="20">
        <f t="shared" si="81"/>
        <v>0</v>
      </c>
      <c r="AE695" s="20"/>
      <c r="AF695" s="20"/>
      <c r="AG695" s="20">
        <f t="shared" si="81"/>
        <v>0</v>
      </c>
      <c r="AH695" s="20">
        <f t="shared" si="81"/>
        <v>0</v>
      </c>
      <c r="AI695" s="20">
        <f t="shared" si="81"/>
        <v>0</v>
      </c>
    </row>
    <row r="696" spans="2:35" hidden="1" x14ac:dyDescent="0.2">
      <c r="B696" s="20" t="str">
        <f t="array" ref="B696">IF(ISERROR(INDEX('Eingabe Meldungen'!$C$2:$C$492,LARGE(('Eingabe Meldungen'!$A$2:$A$492=$B$654)*(ROW('Eingabe Meldungen'!$A$2:$A$492)-1),COUNTIF('Eingabe Meldungen'!$A$2:$A$492,$B$654)+1-ROW('Eingabe Meldungen'!A36)))),"",INDEX('Eingabe Meldungen'!$C$2:$C$492,LARGE(('Eingabe Meldungen'!$A$2:$A$492=$B$654)*(ROW('Eingabe Meldungen'!$A$2:$A$492)-1),COUNTIF('Eingabe Meldungen'!$A$2:$A$492,$B$654)+1-ROW('Eingabe Meldungen'!A36))))</f>
        <v/>
      </c>
      <c r="C696" t="str">
        <f t="array" ref="C696">IF(ISERROR(INDEX('Eingabe Meldungen'!$D$2:$D$492,LARGE(('Eingabe Meldungen'!$A$2:$A$492=$B$654)*(ROW('Eingabe Meldungen'!$A$2:$A$492)-1),COUNTIF('Eingabe Meldungen'!$A$2:$A$492,$B$654)+1-ROW('Eingabe Meldungen'!A36)))),"",INDEX('Eingabe Meldungen'!$D$2:$D$492,LARGE(('Eingabe Meldungen'!$A$2:$A$492=$B$654)*(ROW('Eingabe Meldungen'!$A$2:$A$492)-1),COUNTIF('Eingabe Meldungen'!$A$2:$A$492,$B$654)+1-ROW('Eingabe Meldungen'!A36))))</f>
        <v/>
      </c>
      <c r="D696" s="11" t="str">
        <f t="array" ref="D696">IF(B696&lt;&gt;"",INDEX('Eingabe Meldungen'!$C$2:$H$492,MATCH(B696&amp;C696,'Eingabe Meldungen'!$C$2:$C$492&amp;'Eingabe Meldungen'!$D$2:$D$492,0),6),"")</f>
        <v/>
      </c>
      <c r="E696" s="66" t="str">
        <f t="array" ref="E696">IF(B696&lt;&gt;"",INDEX('Eingabe Meldungen'!$C$2:$H$492,MATCH(B696&amp;C696,'Eingabe Meldungen'!$C$2:$C$492&amp;'Eingabe Meldungen'!$D$2:$D$492,0),4),"")</f>
        <v/>
      </c>
      <c r="F696" s="32" t="e">
        <f>IF(VLOOKUP(B696,Rennlisten!$B$365:$J$393,10,FALSE)=0,"",VLOOKUP(B696,Rennlisten!$B$365:$J$393,10,FALSE))</f>
        <v>#REF!</v>
      </c>
      <c r="G696" t="e">
        <f t="shared" si="78"/>
        <v>#REF!</v>
      </c>
      <c r="H696" s="21" t="str">
        <f t="array" ref="H696">IF(B696&lt;&gt;"",INDEX('Eingabe Meldungen'!$C$2:$J$492,MATCH(B696&amp;C696,'Eingabe Meldungen'!$C$2:$C$492&amp;'Eingabe Meldungen'!$D$2:$D$492,0),8),"")</f>
        <v/>
      </c>
      <c r="J696" s="20" t="str">
        <f t="shared" si="79"/>
        <v/>
      </c>
      <c r="K696" s="20" t="str">
        <f t="shared" si="79"/>
        <v/>
      </c>
      <c r="L696" s="20" t="e">
        <f>IF(EXACT($H696,#REF!),$I696,"")</f>
        <v>#REF!</v>
      </c>
      <c r="M696" s="20" t="str">
        <f t="shared" si="77"/>
        <v/>
      </c>
      <c r="N696" s="20" t="str">
        <f t="shared" si="80"/>
        <v/>
      </c>
      <c r="O696" s="20" t="str">
        <f t="shared" si="80"/>
        <v/>
      </c>
      <c r="P696" s="20" t="str">
        <f t="shared" si="80"/>
        <v/>
      </c>
      <c r="Q696" s="20" t="str">
        <f t="shared" si="80"/>
        <v/>
      </c>
      <c r="R696" s="20" t="str">
        <f t="shared" si="80"/>
        <v/>
      </c>
      <c r="S696" s="20" t="str">
        <f t="shared" si="80"/>
        <v/>
      </c>
      <c r="T696" s="20" t="str">
        <f t="shared" si="80"/>
        <v/>
      </c>
      <c r="U696" s="20" t="str">
        <f t="shared" si="80"/>
        <v/>
      </c>
      <c r="V696" s="20" t="str">
        <f t="shared" si="80"/>
        <v/>
      </c>
      <c r="W696" s="20">
        <f t="shared" si="80"/>
        <v>0</v>
      </c>
      <c r="X696" s="20">
        <f t="shared" si="81"/>
        <v>0</v>
      </c>
      <c r="Y696" s="20">
        <f t="shared" si="81"/>
        <v>0</v>
      </c>
      <c r="Z696" s="20">
        <f t="shared" si="81"/>
        <v>0</v>
      </c>
      <c r="AA696" s="20">
        <f t="shared" si="81"/>
        <v>0</v>
      </c>
      <c r="AB696" s="20">
        <f t="shared" si="81"/>
        <v>0</v>
      </c>
      <c r="AC696" s="20">
        <f t="shared" si="81"/>
        <v>0</v>
      </c>
      <c r="AD696" s="20">
        <f t="shared" si="81"/>
        <v>0</v>
      </c>
      <c r="AE696" s="20"/>
      <c r="AF696" s="20"/>
      <c r="AG696" s="20">
        <f t="shared" si="81"/>
        <v>0</v>
      </c>
      <c r="AH696" s="20">
        <f t="shared" si="81"/>
        <v>0</v>
      </c>
      <c r="AI696" s="20">
        <f t="shared" si="81"/>
        <v>0</v>
      </c>
    </row>
    <row r="697" spans="2:35" hidden="1" x14ac:dyDescent="0.2">
      <c r="B697" s="20" t="str">
        <f t="array" ref="B697">IF(ISERROR(INDEX('Eingabe Meldungen'!$C$2:$C$492,LARGE(('Eingabe Meldungen'!$A$2:$A$492=$B$654)*(ROW('Eingabe Meldungen'!$A$2:$A$492)-1),COUNTIF('Eingabe Meldungen'!$A$2:$A$492,$B$654)+1-ROW('Eingabe Meldungen'!A37)))),"",INDEX('Eingabe Meldungen'!$C$2:$C$492,LARGE(('Eingabe Meldungen'!$A$2:$A$492=$B$654)*(ROW('Eingabe Meldungen'!$A$2:$A$492)-1),COUNTIF('Eingabe Meldungen'!$A$2:$A$492,$B$654)+1-ROW('Eingabe Meldungen'!A37))))</f>
        <v/>
      </c>
      <c r="C697" t="str">
        <f t="array" ref="C697">IF(ISERROR(INDEX('Eingabe Meldungen'!$D$2:$D$492,LARGE(('Eingabe Meldungen'!$A$2:$A$492=$B$654)*(ROW('Eingabe Meldungen'!$A$2:$A$492)-1),COUNTIF('Eingabe Meldungen'!$A$2:$A$492,$B$654)+1-ROW('Eingabe Meldungen'!A37)))),"",INDEX('Eingabe Meldungen'!$D$2:$D$492,LARGE(('Eingabe Meldungen'!$A$2:$A$492=$B$654)*(ROW('Eingabe Meldungen'!$A$2:$A$492)-1),COUNTIF('Eingabe Meldungen'!$A$2:$A$492,$B$654)+1-ROW('Eingabe Meldungen'!A37))))</f>
        <v/>
      </c>
      <c r="D697" s="11" t="str">
        <f t="array" ref="D697">IF(B697&lt;&gt;"",INDEX('Eingabe Meldungen'!$C$2:$H$492,MATCH(B697&amp;C697,'Eingabe Meldungen'!$C$2:$C$492&amp;'Eingabe Meldungen'!$D$2:$D$492,0),6),"")</f>
        <v/>
      </c>
      <c r="E697" s="66" t="str">
        <f t="array" ref="E697">IF(B697&lt;&gt;"",INDEX('Eingabe Meldungen'!$C$2:$H$492,MATCH(B697&amp;C697,'Eingabe Meldungen'!$C$2:$C$492&amp;'Eingabe Meldungen'!$D$2:$D$492,0),4),"")</f>
        <v/>
      </c>
      <c r="F697" s="32" t="e">
        <f>IF(VLOOKUP(B697,Rennlisten!$B$365:$J$393,10,FALSE)=0,"",VLOOKUP(B697,Rennlisten!$B$365:$J$393,10,FALSE))</f>
        <v>#REF!</v>
      </c>
      <c r="G697" t="e">
        <f t="shared" si="78"/>
        <v>#REF!</v>
      </c>
      <c r="H697" s="21" t="str">
        <f t="array" ref="H697">IF(B697&lt;&gt;"",INDEX('Eingabe Meldungen'!$C$2:$J$492,MATCH(B697&amp;C697,'Eingabe Meldungen'!$C$2:$C$492&amp;'Eingabe Meldungen'!$D$2:$D$492,0),8),"")</f>
        <v/>
      </c>
      <c r="J697" s="20" t="str">
        <f t="shared" si="79"/>
        <v/>
      </c>
      <c r="K697" s="20" t="str">
        <f t="shared" si="79"/>
        <v/>
      </c>
      <c r="L697" s="20" t="e">
        <f>IF(EXACT($H697,#REF!),$I697,"")</f>
        <v>#REF!</v>
      </c>
      <c r="M697" s="20" t="str">
        <f t="shared" si="77"/>
        <v/>
      </c>
      <c r="N697" s="20" t="str">
        <f t="shared" si="80"/>
        <v/>
      </c>
      <c r="O697" s="20" t="str">
        <f t="shared" si="80"/>
        <v/>
      </c>
      <c r="P697" s="20" t="str">
        <f t="shared" si="80"/>
        <v/>
      </c>
      <c r="Q697" s="20" t="str">
        <f t="shared" si="80"/>
        <v/>
      </c>
      <c r="R697" s="20" t="str">
        <f t="shared" si="80"/>
        <v/>
      </c>
      <c r="S697" s="20" t="str">
        <f t="shared" si="80"/>
        <v/>
      </c>
      <c r="T697" s="20" t="str">
        <f t="shared" si="80"/>
        <v/>
      </c>
      <c r="U697" s="20" t="str">
        <f t="shared" si="80"/>
        <v/>
      </c>
      <c r="V697" s="20" t="str">
        <f t="shared" si="80"/>
        <v/>
      </c>
      <c r="W697" s="20">
        <f t="shared" si="80"/>
        <v>0</v>
      </c>
      <c r="X697" s="20">
        <f t="shared" si="81"/>
        <v>0</v>
      </c>
      <c r="Y697" s="20">
        <f t="shared" si="81"/>
        <v>0</v>
      </c>
      <c r="Z697" s="20">
        <f t="shared" si="81"/>
        <v>0</v>
      </c>
      <c r="AA697" s="20">
        <f t="shared" si="81"/>
        <v>0</v>
      </c>
      <c r="AB697" s="20">
        <f t="shared" si="81"/>
        <v>0</v>
      </c>
      <c r="AC697" s="20">
        <f t="shared" si="81"/>
        <v>0</v>
      </c>
      <c r="AD697" s="20">
        <f t="shared" si="81"/>
        <v>0</v>
      </c>
      <c r="AE697" s="20"/>
      <c r="AF697" s="20"/>
      <c r="AG697" s="20">
        <f t="shared" si="81"/>
        <v>0</v>
      </c>
      <c r="AH697" s="20">
        <f t="shared" si="81"/>
        <v>0</v>
      </c>
      <c r="AI697" s="20">
        <f t="shared" si="81"/>
        <v>0</v>
      </c>
    </row>
    <row r="698" spans="2:35" hidden="1" x14ac:dyDescent="0.2">
      <c r="B698" s="20" t="str">
        <f t="array" ref="B698">IF(ISERROR(INDEX('Eingabe Meldungen'!$C$2:$C$492,LARGE(('Eingabe Meldungen'!$A$2:$A$492=$B$654)*(ROW('Eingabe Meldungen'!$A$2:$A$492)-1),COUNTIF('Eingabe Meldungen'!$A$2:$A$492,$B$654)+1-ROW('Eingabe Meldungen'!A38)))),"",INDEX('Eingabe Meldungen'!$C$2:$C$492,LARGE(('Eingabe Meldungen'!$A$2:$A$492=$B$654)*(ROW('Eingabe Meldungen'!$A$2:$A$492)-1),COUNTIF('Eingabe Meldungen'!$A$2:$A$492,$B$654)+1-ROW('Eingabe Meldungen'!A38))))</f>
        <v/>
      </c>
      <c r="C698" t="str">
        <f t="array" ref="C698">IF(ISERROR(INDEX('Eingabe Meldungen'!$D$2:$D$492,LARGE(('Eingabe Meldungen'!$A$2:$A$492=$B$654)*(ROW('Eingabe Meldungen'!$A$2:$A$492)-1),COUNTIF('Eingabe Meldungen'!$A$2:$A$492,$B$654)+1-ROW('Eingabe Meldungen'!A38)))),"",INDEX('Eingabe Meldungen'!$D$2:$D$492,LARGE(('Eingabe Meldungen'!$A$2:$A$492=$B$654)*(ROW('Eingabe Meldungen'!$A$2:$A$492)-1),COUNTIF('Eingabe Meldungen'!$A$2:$A$492,$B$654)+1-ROW('Eingabe Meldungen'!A38))))</f>
        <v/>
      </c>
      <c r="D698" s="11" t="str">
        <f t="array" ref="D698">IF(B698&lt;&gt;"",INDEX('Eingabe Meldungen'!$C$2:$H$492,MATCH(B698&amp;C698,'Eingabe Meldungen'!$C$2:$C$492&amp;'Eingabe Meldungen'!$D$2:$D$492,0),6),"")</f>
        <v/>
      </c>
      <c r="E698" s="66" t="str">
        <f t="array" ref="E698">IF(B698&lt;&gt;"",INDEX('Eingabe Meldungen'!$C$2:$H$492,MATCH(B698&amp;C698,'Eingabe Meldungen'!$C$2:$C$492&amp;'Eingabe Meldungen'!$D$2:$D$492,0),4),"")</f>
        <v/>
      </c>
      <c r="F698" s="32" t="e">
        <f>IF(VLOOKUP(B698,Rennlisten!$B$365:$J$393,10,FALSE)=0,"",VLOOKUP(B698,Rennlisten!$B$365:$J$393,10,FALSE))</f>
        <v>#REF!</v>
      </c>
      <c r="G698" t="e">
        <f t="shared" si="78"/>
        <v>#REF!</v>
      </c>
      <c r="H698" s="21" t="str">
        <f t="array" ref="H698">IF(B698&lt;&gt;"",INDEX('Eingabe Meldungen'!$C$2:$J$492,MATCH(B698&amp;C698,'Eingabe Meldungen'!$C$2:$C$492&amp;'Eingabe Meldungen'!$D$2:$D$492,0),8),"")</f>
        <v/>
      </c>
      <c r="J698" s="20" t="str">
        <f t="shared" si="79"/>
        <v/>
      </c>
      <c r="K698" s="20" t="str">
        <f t="shared" si="79"/>
        <v/>
      </c>
      <c r="L698" s="20" t="e">
        <f>IF(EXACT($H698,#REF!),$I698,"")</f>
        <v>#REF!</v>
      </c>
      <c r="M698" s="20" t="str">
        <f t="shared" si="77"/>
        <v/>
      </c>
      <c r="N698" s="20" t="str">
        <f t="shared" si="80"/>
        <v/>
      </c>
      <c r="O698" s="20" t="str">
        <f t="shared" si="80"/>
        <v/>
      </c>
      <c r="P698" s="20" t="str">
        <f t="shared" si="80"/>
        <v/>
      </c>
      <c r="Q698" s="20" t="str">
        <f t="shared" si="80"/>
        <v/>
      </c>
      <c r="R698" s="20" t="str">
        <f t="shared" si="80"/>
        <v/>
      </c>
      <c r="S698" s="20" t="str">
        <f t="shared" si="80"/>
        <v/>
      </c>
      <c r="T698" s="20" t="str">
        <f t="shared" si="80"/>
        <v/>
      </c>
      <c r="U698" s="20" t="str">
        <f t="shared" si="80"/>
        <v/>
      </c>
      <c r="V698" s="20" t="str">
        <f t="shared" si="80"/>
        <v/>
      </c>
      <c r="W698" s="20">
        <f t="shared" si="80"/>
        <v>0</v>
      </c>
      <c r="X698" s="20">
        <f t="shared" si="81"/>
        <v>0</v>
      </c>
      <c r="Y698" s="20">
        <f t="shared" si="81"/>
        <v>0</v>
      </c>
      <c r="Z698" s="20">
        <f t="shared" si="81"/>
        <v>0</v>
      </c>
      <c r="AA698" s="20">
        <f t="shared" si="81"/>
        <v>0</v>
      </c>
      <c r="AB698" s="20">
        <f t="shared" si="81"/>
        <v>0</v>
      </c>
      <c r="AC698" s="20">
        <f t="shared" si="81"/>
        <v>0</v>
      </c>
      <c r="AD698" s="20">
        <f t="shared" si="81"/>
        <v>0</v>
      </c>
      <c r="AE698" s="20"/>
      <c r="AF698" s="20"/>
      <c r="AG698" s="20">
        <f t="shared" si="81"/>
        <v>0</v>
      </c>
      <c r="AH698" s="20">
        <f t="shared" si="81"/>
        <v>0</v>
      </c>
      <c r="AI698" s="20">
        <f t="shared" si="81"/>
        <v>0</v>
      </c>
    </row>
    <row r="699" spans="2:35" hidden="1" x14ac:dyDescent="0.2">
      <c r="B699" s="20" t="str">
        <f t="array" ref="B699">IF(ISERROR(INDEX('Eingabe Meldungen'!$C$2:$C$492,LARGE(('Eingabe Meldungen'!$A$2:$A$492=$B$654)*(ROW('Eingabe Meldungen'!$A$2:$A$492)-1),COUNTIF('Eingabe Meldungen'!$A$2:$A$492,$B$654)+1-ROW('Eingabe Meldungen'!A39)))),"",INDEX('Eingabe Meldungen'!$C$2:$C$492,LARGE(('Eingabe Meldungen'!$A$2:$A$492=$B$654)*(ROW('Eingabe Meldungen'!$A$2:$A$492)-1),COUNTIF('Eingabe Meldungen'!$A$2:$A$492,$B$654)+1-ROW('Eingabe Meldungen'!A39))))</f>
        <v/>
      </c>
      <c r="C699" t="str">
        <f t="array" ref="C699">IF(ISERROR(INDEX('Eingabe Meldungen'!$D$2:$D$492,LARGE(('Eingabe Meldungen'!$A$2:$A$492=$B$654)*(ROW('Eingabe Meldungen'!$A$2:$A$492)-1),COUNTIF('Eingabe Meldungen'!$A$2:$A$492,$B$654)+1-ROW('Eingabe Meldungen'!A39)))),"",INDEX('Eingabe Meldungen'!$D$2:$D$492,LARGE(('Eingabe Meldungen'!$A$2:$A$492=$B$654)*(ROW('Eingabe Meldungen'!$A$2:$A$492)-1),COUNTIF('Eingabe Meldungen'!$A$2:$A$492,$B$654)+1-ROW('Eingabe Meldungen'!A39))))</f>
        <v/>
      </c>
      <c r="D699" s="11" t="str">
        <f t="array" ref="D699">IF(B699&lt;&gt;"",INDEX('Eingabe Meldungen'!$C$2:$H$492,MATCH(B699&amp;C699,'Eingabe Meldungen'!$C$2:$C$492&amp;'Eingabe Meldungen'!$D$2:$D$492,0),6),"")</f>
        <v/>
      </c>
      <c r="E699" s="66" t="str">
        <f t="array" ref="E699">IF(B699&lt;&gt;"",INDEX('Eingabe Meldungen'!$C$2:$H$492,MATCH(B699&amp;C699,'Eingabe Meldungen'!$C$2:$C$492&amp;'Eingabe Meldungen'!$D$2:$D$492,0),4),"")</f>
        <v/>
      </c>
      <c r="F699" s="32" t="e">
        <f>IF(VLOOKUP(B699,Rennlisten!$B$365:$J$393,10,FALSE)=0,"",VLOOKUP(B699,Rennlisten!$B$365:$J$393,10,FALSE))</f>
        <v>#REF!</v>
      </c>
      <c r="G699" t="e">
        <f t="shared" si="78"/>
        <v>#REF!</v>
      </c>
      <c r="H699" s="21" t="str">
        <f t="array" ref="H699">IF(B699&lt;&gt;"",INDEX('Eingabe Meldungen'!$C$2:$J$492,MATCH(B699&amp;C699,'Eingabe Meldungen'!$C$2:$C$492&amp;'Eingabe Meldungen'!$D$2:$D$492,0),8),"")</f>
        <v/>
      </c>
      <c r="J699" s="20" t="str">
        <f t="shared" si="79"/>
        <v/>
      </c>
      <c r="K699" s="20" t="str">
        <f t="shared" si="79"/>
        <v/>
      </c>
      <c r="L699" s="20" t="e">
        <f>IF(EXACT($H699,#REF!),$I699,"")</f>
        <v>#REF!</v>
      </c>
      <c r="M699" s="20" t="str">
        <f t="shared" si="77"/>
        <v/>
      </c>
      <c r="N699" s="20" t="str">
        <f t="shared" si="80"/>
        <v/>
      </c>
      <c r="O699" s="20" t="str">
        <f t="shared" si="80"/>
        <v/>
      </c>
      <c r="P699" s="20" t="str">
        <f t="shared" si="80"/>
        <v/>
      </c>
      <c r="Q699" s="20" t="str">
        <f t="shared" si="80"/>
        <v/>
      </c>
      <c r="R699" s="20" t="str">
        <f t="shared" si="80"/>
        <v/>
      </c>
      <c r="S699" s="20" t="str">
        <f t="shared" si="80"/>
        <v/>
      </c>
      <c r="T699" s="20" t="str">
        <f t="shared" si="80"/>
        <v/>
      </c>
      <c r="U699" s="20" t="str">
        <f t="shared" si="80"/>
        <v/>
      </c>
      <c r="V699" s="20" t="str">
        <f t="shared" si="80"/>
        <v/>
      </c>
      <c r="W699" s="20">
        <f t="shared" si="80"/>
        <v>0</v>
      </c>
      <c r="X699" s="20">
        <f t="shared" si="81"/>
        <v>0</v>
      </c>
      <c r="Y699" s="20">
        <f t="shared" si="81"/>
        <v>0</v>
      </c>
      <c r="Z699" s="20">
        <f t="shared" si="81"/>
        <v>0</v>
      </c>
      <c r="AA699" s="20">
        <f t="shared" si="81"/>
        <v>0</v>
      </c>
      <c r="AB699" s="20">
        <f t="shared" si="81"/>
        <v>0</v>
      </c>
      <c r="AC699" s="20">
        <f t="shared" si="81"/>
        <v>0</v>
      </c>
      <c r="AD699" s="20">
        <f t="shared" si="81"/>
        <v>0</v>
      </c>
      <c r="AE699" s="20"/>
      <c r="AF699" s="20"/>
      <c r="AG699" s="20">
        <f t="shared" si="81"/>
        <v>0</v>
      </c>
      <c r="AH699" s="20">
        <f t="shared" si="81"/>
        <v>0</v>
      </c>
      <c r="AI699" s="20">
        <f t="shared" si="81"/>
        <v>0</v>
      </c>
    </row>
    <row r="700" spans="2:35" hidden="1" x14ac:dyDescent="0.2">
      <c r="B700" s="20" t="str">
        <f t="array" ref="B700">IF(ISERROR(INDEX('Eingabe Meldungen'!$C$2:$C$492,LARGE(('Eingabe Meldungen'!$A$2:$A$492=$B$654)*(ROW('Eingabe Meldungen'!$A$2:$A$492)-1),COUNTIF('Eingabe Meldungen'!$A$2:$A$492,$B$654)+1-ROW('Eingabe Meldungen'!A40)))),"",INDEX('Eingabe Meldungen'!$C$2:$C$492,LARGE(('Eingabe Meldungen'!$A$2:$A$492=$B$654)*(ROW('Eingabe Meldungen'!$A$2:$A$492)-1),COUNTIF('Eingabe Meldungen'!$A$2:$A$492,$B$654)+1-ROW('Eingabe Meldungen'!A40))))</f>
        <v/>
      </c>
      <c r="C700" t="str">
        <f t="array" ref="C700">IF(ISERROR(INDEX('Eingabe Meldungen'!$D$2:$D$492,LARGE(('Eingabe Meldungen'!$A$2:$A$492=$B$654)*(ROW('Eingabe Meldungen'!$A$2:$A$492)-1),COUNTIF('Eingabe Meldungen'!$A$2:$A$492,$B$654)+1-ROW('Eingabe Meldungen'!A40)))),"",INDEX('Eingabe Meldungen'!$D$2:$D$492,LARGE(('Eingabe Meldungen'!$A$2:$A$492=$B$654)*(ROW('Eingabe Meldungen'!$A$2:$A$492)-1),COUNTIF('Eingabe Meldungen'!$A$2:$A$492,$B$654)+1-ROW('Eingabe Meldungen'!A40))))</f>
        <v/>
      </c>
      <c r="D700" s="11" t="str">
        <f t="array" ref="D700">IF(B700&lt;&gt;"",INDEX('Eingabe Meldungen'!$C$2:$H$492,MATCH(B700&amp;C700,'Eingabe Meldungen'!$C$2:$C$492&amp;'Eingabe Meldungen'!$D$2:$D$492,0),6),"")</f>
        <v/>
      </c>
      <c r="E700" s="66" t="str">
        <f t="array" ref="E700">IF(B700&lt;&gt;"",INDEX('Eingabe Meldungen'!$C$2:$H$492,MATCH(B700&amp;C700,'Eingabe Meldungen'!$C$2:$C$492&amp;'Eingabe Meldungen'!$D$2:$D$492,0),4),"")</f>
        <v/>
      </c>
      <c r="F700" s="32" t="e">
        <f>IF(VLOOKUP(B700,Rennlisten!$B$365:$J$393,10,FALSE)=0,"",VLOOKUP(B700,Rennlisten!$B$365:$J$393,10,FALSE))</f>
        <v>#REF!</v>
      </c>
      <c r="G700" t="e">
        <f t="shared" si="78"/>
        <v>#REF!</v>
      </c>
      <c r="H700" s="21" t="str">
        <f t="array" ref="H700">IF(B700&lt;&gt;"",INDEX('Eingabe Meldungen'!$C$2:$J$492,MATCH(B700&amp;C700,'Eingabe Meldungen'!$C$2:$C$492&amp;'Eingabe Meldungen'!$D$2:$D$492,0),8),"")</f>
        <v/>
      </c>
      <c r="J700" s="20" t="str">
        <f t="shared" si="79"/>
        <v/>
      </c>
      <c r="K700" s="20" t="str">
        <f t="shared" si="79"/>
        <v/>
      </c>
      <c r="L700" s="20" t="e">
        <f>IF(EXACT($H700,#REF!),$I700,"")</f>
        <v>#REF!</v>
      </c>
      <c r="M700" s="20" t="str">
        <f t="shared" si="77"/>
        <v/>
      </c>
      <c r="N700" s="20" t="str">
        <f t="shared" si="80"/>
        <v/>
      </c>
      <c r="O700" s="20" t="str">
        <f t="shared" si="80"/>
        <v/>
      </c>
      <c r="P700" s="20" t="str">
        <f t="shared" si="80"/>
        <v/>
      </c>
      <c r="Q700" s="20" t="str">
        <f t="shared" si="80"/>
        <v/>
      </c>
      <c r="R700" s="20" t="str">
        <f t="shared" si="80"/>
        <v/>
      </c>
      <c r="S700" s="20" t="str">
        <f t="shared" si="80"/>
        <v/>
      </c>
      <c r="T700" s="20" t="str">
        <f t="shared" si="80"/>
        <v/>
      </c>
      <c r="U700" s="20" t="str">
        <f t="shared" si="80"/>
        <v/>
      </c>
      <c r="V700" s="20" t="str">
        <f t="shared" si="80"/>
        <v/>
      </c>
      <c r="W700" s="20">
        <f t="shared" si="80"/>
        <v>0</v>
      </c>
      <c r="X700" s="20">
        <f t="shared" si="81"/>
        <v>0</v>
      </c>
      <c r="Y700" s="20">
        <f t="shared" si="81"/>
        <v>0</v>
      </c>
      <c r="Z700" s="20">
        <f t="shared" si="81"/>
        <v>0</v>
      </c>
      <c r="AA700" s="20">
        <f t="shared" si="81"/>
        <v>0</v>
      </c>
      <c r="AB700" s="20">
        <f t="shared" si="81"/>
        <v>0</v>
      </c>
      <c r="AC700" s="20">
        <f t="shared" si="81"/>
        <v>0</v>
      </c>
      <c r="AD700" s="20">
        <f t="shared" si="81"/>
        <v>0</v>
      </c>
      <c r="AE700" s="20"/>
      <c r="AF700" s="20"/>
      <c r="AG700" s="20">
        <f t="shared" si="81"/>
        <v>0</v>
      </c>
      <c r="AH700" s="20">
        <f t="shared" si="81"/>
        <v>0</v>
      </c>
      <c r="AI700" s="20">
        <f t="shared" si="81"/>
        <v>0</v>
      </c>
    </row>
    <row r="701" spans="2:35" hidden="1" x14ac:dyDescent="0.2">
      <c r="B701" s="20" t="str">
        <f t="array" ref="B701">IF(ISERROR(INDEX('Eingabe Meldungen'!$C$2:$C$492,LARGE(('Eingabe Meldungen'!$A$2:$A$492=$B$654)*(ROW('Eingabe Meldungen'!$A$2:$A$492)-1),COUNTIF('Eingabe Meldungen'!$A$2:$A$492,$B$654)+1-ROW('Eingabe Meldungen'!A41)))),"",INDEX('Eingabe Meldungen'!$C$2:$C$492,LARGE(('Eingabe Meldungen'!$A$2:$A$492=$B$654)*(ROW('Eingabe Meldungen'!$A$2:$A$492)-1),COUNTIF('Eingabe Meldungen'!$A$2:$A$492,$B$654)+1-ROW('Eingabe Meldungen'!A41))))</f>
        <v/>
      </c>
      <c r="C701" t="str">
        <f t="array" ref="C701">IF(ISERROR(INDEX('Eingabe Meldungen'!$D$2:$D$492,LARGE(('Eingabe Meldungen'!$A$2:$A$492=$B$654)*(ROW('Eingabe Meldungen'!$A$2:$A$492)-1),COUNTIF('Eingabe Meldungen'!$A$2:$A$492,$B$654)+1-ROW('Eingabe Meldungen'!A41)))),"",INDEX('Eingabe Meldungen'!$D$2:$D$492,LARGE(('Eingabe Meldungen'!$A$2:$A$492=$B$654)*(ROW('Eingabe Meldungen'!$A$2:$A$492)-1),COUNTIF('Eingabe Meldungen'!$A$2:$A$492,$B$654)+1-ROW('Eingabe Meldungen'!A41))))</f>
        <v/>
      </c>
      <c r="D701" s="11" t="str">
        <f t="array" ref="D701">IF(B701&lt;&gt;"",INDEX('Eingabe Meldungen'!$C$2:$H$492,MATCH(B701&amp;C701,'Eingabe Meldungen'!$C$2:$C$492&amp;'Eingabe Meldungen'!$D$2:$D$492,0),6),"")</f>
        <v/>
      </c>
      <c r="E701" s="66" t="str">
        <f t="array" ref="E701">IF(B701&lt;&gt;"",INDEX('Eingabe Meldungen'!$C$2:$H$492,MATCH(B701&amp;C701,'Eingabe Meldungen'!$C$2:$C$492&amp;'Eingabe Meldungen'!$D$2:$D$492,0),4),"")</f>
        <v/>
      </c>
      <c r="F701" s="32" t="e">
        <f>IF(VLOOKUP(B701,Rennlisten!$B$365:$J$393,10,FALSE)=0,"",VLOOKUP(B701,Rennlisten!$B$365:$J$393,10,FALSE))</f>
        <v>#REF!</v>
      </c>
      <c r="G701" t="e">
        <f t="shared" si="78"/>
        <v>#REF!</v>
      </c>
      <c r="H701" s="21" t="str">
        <f t="array" ref="H701">IF(B701&lt;&gt;"",INDEX('Eingabe Meldungen'!$C$2:$J$492,MATCH(B701&amp;C701,'Eingabe Meldungen'!$C$2:$C$492&amp;'Eingabe Meldungen'!$D$2:$D$492,0),8),"")</f>
        <v/>
      </c>
      <c r="J701" s="20" t="str">
        <f t="shared" si="79"/>
        <v/>
      </c>
      <c r="K701" s="20" t="str">
        <f t="shared" si="79"/>
        <v/>
      </c>
      <c r="L701" s="20" t="e">
        <f>IF(EXACT($H701,#REF!),$I701,"")</f>
        <v>#REF!</v>
      </c>
      <c r="M701" s="20" t="str">
        <f t="shared" si="77"/>
        <v/>
      </c>
      <c r="N701" s="20" t="str">
        <f t="shared" si="80"/>
        <v/>
      </c>
      <c r="O701" s="20" t="str">
        <f t="shared" si="80"/>
        <v/>
      </c>
      <c r="P701" s="20" t="str">
        <f t="shared" si="80"/>
        <v/>
      </c>
      <c r="Q701" s="20" t="str">
        <f t="shared" si="80"/>
        <v/>
      </c>
      <c r="R701" s="20" t="str">
        <f t="shared" si="80"/>
        <v/>
      </c>
      <c r="S701" s="20" t="str">
        <f t="shared" si="80"/>
        <v/>
      </c>
      <c r="T701" s="20" t="str">
        <f t="shared" si="80"/>
        <v/>
      </c>
      <c r="U701" s="20" t="str">
        <f t="shared" si="80"/>
        <v/>
      </c>
      <c r="V701" s="20" t="str">
        <f t="shared" si="80"/>
        <v/>
      </c>
      <c r="W701" s="20">
        <f t="shared" si="80"/>
        <v>0</v>
      </c>
      <c r="X701" s="20">
        <f t="shared" si="81"/>
        <v>0</v>
      </c>
      <c r="Y701" s="20">
        <f t="shared" si="81"/>
        <v>0</v>
      </c>
      <c r="Z701" s="20">
        <f t="shared" si="81"/>
        <v>0</v>
      </c>
      <c r="AA701" s="20">
        <f t="shared" si="81"/>
        <v>0</v>
      </c>
      <c r="AB701" s="20">
        <f t="shared" si="81"/>
        <v>0</v>
      </c>
      <c r="AC701" s="20">
        <f t="shared" si="81"/>
        <v>0</v>
      </c>
      <c r="AD701" s="20">
        <f t="shared" si="81"/>
        <v>0</v>
      </c>
      <c r="AE701" s="20"/>
      <c r="AF701" s="20"/>
      <c r="AG701" s="20">
        <f t="shared" si="81"/>
        <v>0</v>
      </c>
      <c r="AH701" s="20">
        <f t="shared" si="81"/>
        <v>0</v>
      </c>
      <c r="AI701" s="20">
        <f t="shared" si="81"/>
        <v>0</v>
      </c>
    </row>
    <row r="702" spans="2:35" hidden="1" x14ac:dyDescent="0.2">
      <c r="B702" s="20" t="str">
        <f t="array" ref="B702">IF(ISERROR(INDEX('Eingabe Meldungen'!$C$2:$C$492,LARGE(('Eingabe Meldungen'!$A$2:$A$492=$B$654)*(ROW('Eingabe Meldungen'!$A$2:$A$492)-1),COUNTIF('Eingabe Meldungen'!$A$2:$A$492,$B$654)+1-ROW('Eingabe Meldungen'!A42)))),"",INDEX('Eingabe Meldungen'!$C$2:$C$492,LARGE(('Eingabe Meldungen'!$A$2:$A$492=$B$654)*(ROW('Eingabe Meldungen'!$A$2:$A$492)-1),COUNTIF('Eingabe Meldungen'!$A$2:$A$492,$B$654)+1-ROW('Eingabe Meldungen'!A42))))</f>
        <v/>
      </c>
      <c r="C702" t="str">
        <f t="array" ref="C702">IF(ISERROR(INDEX('Eingabe Meldungen'!$D$2:$D$492,LARGE(('Eingabe Meldungen'!$A$2:$A$492=$B$654)*(ROW('Eingabe Meldungen'!$A$2:$A$492)-1),COUNTIF('Eingabe Meldungen'!$A$2:$A$492,$B$654)+1-ROW('Eingabe Meldungen'!A42)))),"",INDEX('Eingabe Meldungen'!$D$2:$D$492,LARGE(('Eingabe Meldungen'!$A$2:$A$492=$B$654)*(ROW('Eingabe Meldungen'!$A$2:$A$492)-1),COUNTIF('Eingabe Meldungen'!$A$2:$A$492,$B$654)+1-ROW('Eingabe Meldungen'!A42))))</f>
        <v/>
      </c>
      <c r="D702" s="11" t="str">
        <f t="array" ref="D702">IF(B702&lt;&gt;"",INDEX('Eingabe Meldungen'!$C$2:$H$492,MATCH(B702&amp;C702,'Eingabe Meldungen'!$C$2:$C$492&amp;'Eingabe Meldungen'!$D$2:$D$492,0),6),"")</f>
        <v/>
      </c>
      <c r="E702" s="66" t="str">
        <f t="array" ref="E702">IF(B702&lt;&gt;"",INDEX('Eingabe Meldungen'!$C$2:$H$492,MATCH(B702&amp;C702,'Eingabe Meldungen'!$C$2:$C$492&amp;'Eingabe Meldungen'!$D$2:$D$492,0),4),"")</f>
        <v/>
      </c>
      <c r="F702" s="32" t="e">
        <f>IF(VLOOKUP(B702,Rennlisten!$B$365:$J$393,10,FALSE)=0,"",VLOOKUP(B702,Rennlisten!$B$365:$J$393,10,FALSE))</f>
        <v>#REF!</v>
      </c>
      <c r="G702" t="e">
        <f t="shared" si="78"/>
        <v>#REF!</v>
      </c>
      <c r="H702" s="21" t="str">
        <f t="array" ref="H702">IF(B702&lt;&gt;"",INDEX('Eingabe Meldungen'!$C$2:$J$492,MATCH(B702&amp;C702,'Eingabe Meldungen'!$C$2:$C$492&amp;'Eingabe Meldungen'!$D$2:$D$492,0),8),"")</f>
        <v/>
      </c>
      <c r="J702" s="20" t="str">
        <f t="shared" si="79"/>
        <v/>
      </c>
      <c r="K702" s="20" t="str">
        <f t="shared" si="79"/>
        <v/>
      </c>
      <c r="L702" s="20" t="e">
        <f>IF(EXACT($H702,#REF!),$I702,"")</f>
        <v>#REF!</v>
      </c>
      <c r="M702" s="20" t="str">
        <f t="shared" si="77"/>
        <v/>
      </c>
      <c r="N702" s="20" t="str">
        <f t="shared" si="80"/>
        <v/>
      </c>
      <c r="O702" s="20" t="str">
        <f t="shared" si="80"/>
        <v/>
      </c>
      <c r="P702" s="20" t="str">
        <f t="shared" si="80"/>
        <v/>
      </c>
      <c r="Q702" s="20" t="str">
        <f t="shared" si="80"/>
        <v/>
      </c>
      <c r="R702" s="20" t="str">
        <f t="shared" si="80"/>
        <v/>
      </c>
      <c r="S702" s="20" t="str">
        <f t="shared" si="80"/>
        <v/>
      </c>
      <c r="T702" s="20" t="str">
        <f t="shared" si="80"/>
        <v/>
      </c>
      <c r="U702" s="20" t="str">
        <f t="shared" si="80"/>
        <v/>
      </c>
      <c r="V702" s="20" t="str">
        <f t="shared" si="80"/>
        <v/>
      </c>
      <c r="W702" s="20">
        <f t="shared" si="80"/>
        <v>0</v>
      </c>
      <c r="X702" s="20">
        <f t="shared" si="81"/>
        <v>0</v>
      </c>
      <c r="Y702" s="20">
        <f t="shared" si="81"/>
        <v>0</v>
      </c>
      <c r="Z702" s="20">
        <f t="shared" si="81"/>
        <v>0</v>
      </c>
      <c r="AA702" s="20">
        <f t="shared" si="81"/>
        <v>0</v>
      </c>
      <c r="AB702" s="20">
        <f t="shared" si="81"/>
        <v>0</v>
      </c>
      <c r="AC702" s="20">
        <f t="shared" si="81"/>
        <v>0</v>
      </c>
      <c r="AD702" s="20">
        <f t="shared" si="81"/>
        <v>0</v>
      </c>
      <c r="AE702" s="20"/>
      <c r="AF702" s="20"/>
      <c r="AG702" s="20">
        <f t="shared" si="81"/>
        <v>0</v>
      </c>
      <c r="AH702" s="20">
        <f t="shared" si="81"/>
        <v>0</v>
      </c>
      <c r="AI702" s="20">
        <f t="shared" si="81"/>
        <v>0</v>
      </c>
    </row>
    <row r="703" spans="2:35" hidden="1" x14ac:dyDescent="0.2">
      <c r="B703" s="20" t="str">
        <f t="array" ref="B703">IF(ISERROR(INDEX('Eingabe Meldungen'!$C$2:$C$492,LARGE(('Eingabe Meldungen'!$A$2:$A$492=$B$654)*(ROW('Eingabe Meldungen'!$A$2:$A$492)-1),COUNTIF('Eingabe Meldungen'!$A$2:$A$492,$B$654)+1-ROW('Eingabe Meldungen'!A43)))),"",INDEX('Eingabe Meldungen'!$C$2:$C$492,LARGE(('Eingabe Meldungen'!$A$2:$A$492=$B$654)*(ROW('Eingabe Meldungen'!$A$2:$A$492)-1),COUNTIF('Eingabe Meldungen'!$A$2:$A$492,$B$654)+1-ROW('Eingabe Meldungen'!A43))))</f>
        <v/>
      </c>
      <c r="C703" t="str">
        <f t="array" ref="C703">IF(ISERROR(INDEX('Eingabe Meldungen'!$D$2:$D$492,LARGE(('Eingabe Meldungen'!$A$2:$A$492=$B$654)*(ROW('Eingabe Meldungen'!$A$2:$A$492)-1),COUNTIF('Eingabe Meldungen'!$A$2:$A$492,$B$654)+1-ROW('Eingabe Meldungen'!A43)))),"",INDEX('Eingabe Meldungen'!$D$2:$D$492,LARGE(('Eingabe Meldungen'!$A$2:$A$492=$B$654)*(ROW('Eingabe Meldungen'!$A$2:$A$492)-1),COUNTIF('Eingabe Meldungen'!$A$2:$A$492,$B$654)+1-ROW('Eingabe Meldungen'!A43))))</f>
        <v/>
      </c>
      <c r="D703" s="11" t="str">
        <f t="array" ref="D703">IF(B703&lt;&gt;"",INDEX('Eingabe Meldungen'!$C$2:$H$492,MATCH(B703&amp;C703,'Eingabe Meldungen'!$C$2:$C$492&amp;'Eingabe Meldungen'!$D$2:$D$492,0),6),"")</f>
        <v/>
      </c>
      <c r="E703" s="66" t="str">
        <f t="array" ref="E703">IF(B703&lt;&gt;"",INDEX('Eingabe Meldungen'!$C$2:$H$492,MATCH(B703&amp;C703,'Eingabe Meldungen'!$C$2:$C$492&amp;'Eingabe Meldungen'!$D$2:$D$492,0),4),"")</f>
        <v/>
      </c>
      <c r="F703" s="32" t="e">
        <f>IF(VLOOKUP(B703,Rennlisten!$B$365:$J$393,10,FALSE)=0,"",VLOOKUP(B703,Rennlisten!$B$365:$J$393,10,FALSE))</f>
        <v>#REF!</v>
      </c>
      <c r="G703" t="e">
        <f t="shared" si="78"/>
        <v>#REF!</v>
      </c>
      <c r="H703" s="21" t="str">
        <f t="array" ref="H703">IF(B703&lt;&gt;"",INDEX('Eingabe Meldungen'!$C$2:$J$492,MATCH(B703&amp;C703,'Eingabe Meldungen'!$C$2:$C$492&amp;'Eingabe Meldungen'!$D$2:$D$492,0),8),"")</f>
        <v/>
      </c>
      <c r="J703" s="20" t="str">
        <f t="shared" si="79"/>
        <v/>
      </c>
      <c r="K703" s="20" t="str">
        <f t="shared" si="79"/>
        <v/>
      </c>
      <c r="L703" s="20" t="e">
        <f>IF(EXACT($H703,#REF!),$I703,"")</f>
        <v>#REF!</v>
      </c>
      <c r="M703" s="20" t="str">
        <f t="shared" si="77"/>
        <v/>
      </c>
      <c r="N703" s="20" t="str">
        <f t="shared" si="80"/>
        <v/>
      </c>
      <c r="O703" s="20" t="str">
        <f t="shared" si="80"/>
        <v/>
      </c>
      <c r="P703" s="20" t="str">
        <f t="shared" si="80"/>
        <v/>
      </c>
      <c r="Q703" s="20" t="str">
        <f t="shared" si="80"/>
        <v/>
      </c>
      <c r="R703" s="20" t="str">
        <f t="shared" si="80"/>
        <v/>
      </c>
      <c r="S703" s="20" t="str">
        <f t="shared" si="80"/>
        <v/>
      </c>
      <c r="T703" s="20" t="str">
        <f t="shared" si="80"/>
        <v/>
      </c>
      <c r="U703" s="20" t="str">
        <f t="shared" si="80"/>
        <v/>
      </c>
      <c r="V703" s="20" t="str">
        <f t="shared" si="80"/>
        <v/>
      </c>
      <c r="W703" s="20">
        <f t="shared" si="80"/>
        <v>0</v>
      </c>
      <c r="X703" s="20">
        <f t="shared" si="81"/>
        <v>0</v>
      </c>
      <c r="Y703" s="20">
        <f t="shared" si="81"/>
        <v>0</v>
      </c>
      <c r="Z703" s="20">
        <f t="shared" si="81"/>
        <v>0</v>
      </c>
      <c r="AA703" s="20">
        <f t="shared" si="81"/>
        <v>0</v>
      </c>
      <c r="AB703" s="20">
        <f t="shared" si="81"/>
        <v>0</v>
      </c>
      <c r="AC703" s="20">
        <f t="shared" si="81"/>
        <v>0</v>
      </c>
      <c r="AD703" s="20">
        <f t="shared" si="81"/>
        <v>0</v>
      </c>
      <c r="AE703" s="20"/>
      <c r="AF703" s="20"/>
      <c r="AG703" s="20">
        <f t="shared" si="81"/>
        <v>0</v>
      </c>
      <c r="AH703" s="20">
        <f t="shared" si="81"/>
        <v>0</v>
      </c>
      <c r="AI703" s="20">
        <f t="shared" si="81"/>
        <v>0</v>
      </c>
    </row>
    <row r="704" spans="2:35" hidden="1" x14ac:dyDescent="0.2">
      <c r="B704" s="20" t="str">
        <f t="array" ref="B704">IF(ISERROR(INDEX('Eingabe Meldungen'!$C$2:$C$492,LARGE(('Eingabe Meldungen'!$A$2:$A$492=$B$654)*(ROW('Eingabe Meldungen'!$A$2:$A$492)-1),COUNTIF('Eingabe Meldungen'!$A$2:$A$492,$B$654)+1-ROW('Eingabe Meldungen'!A44)))),"",INDEX('Eingabe Meldungen'!$C$2:$C$492,LARGE(('Eingabe Meldungen'!$A$2:$A$492=$B$654)*(ROW('Eingabe Meldungen'!$A$2:$A$492)-1),COUNTIF('Eingabe Meldungen'!$A$2:$A$492,$B$654)+1-ROW('Eingabe Meldungen'!A44))))</f>
        <v/>
      </c>
      <c r="C704" t="str">
        <f t="array" ref="C704">IF(ISERROR(INDEX('Eingabe Meldungen'!$D$2:$D$492,LARGE(('Eingabe Meldungen'!$A$2:$A$492=$B$654)*(ROW('Eingabe Meldungen'!$A$2:$A$492)-1),COUNTIF('Eingabe Meldungen'!$A$2:$A$492,$B$654)+1-ROW('Eingabe Meldungen'!A44)))),"",INDEX('Eingabe Meldungen'!$D$2:$D$492,LARGE(('Eingabe Meldungen'!$A$2:$A$492=$B$654)*(ROW('Eingabe Meldungen'!$A$2:$A$492)-1),COUNTIF('Eingabe Meldungen'!$A$2:$A$492,$B$654)+1-ROW('Eingabe Meldungen'!A44))))</f>
        <v/>
      </c>
      <c r="D704" s="11" t="str">
        <f t="array" ref="D704">IF(B704&lt;&gt;"",INDEX('Eingabe Meldungen'!$C$2:$H$492,MATCH(B704&amp;C704,'Eingabe Meldungen'!$C$2:$C$492&amp;'Eingabe Meldungen'!$D$2:$D$492,0),6),"")</f>
        <v/>
      </c>
      <c r="E704" s="66" t="str">
        <f t="array" ref="E704">IF(B704&lt;&gt;"",INDEX('Eingabe Meldungen'!$C$2:$H$492,MATCH(B704&amp;C704,'Eingabe Meldungen'!$C$2:$C$492&amp;'Eingabe Meldungen'!$D$2:$D$492,0),4),"")</f>
        <v/>
      </c>
      <c r="F704" s="32" t="e">
        <f>IF(VLOOKUP(B704,Rennlisten!$B$365:$J$393,10,FALSE)=0,"",VLOOKUP(B704,Rennlisten!$B$365:$J$393,10,FALSE))</f>
        <v>#REF!</v>
      </c>
      <c r="G704" t="e">
        <f t="shared" si="78"/>
        <v>#REF!</v>
      </c>
      <c r="H704" s="21" t="str">
        <f t="array" ref="H704">IF(B704&lt;&gt;"",INDEX('Eingabe Meldungen'!$C$2:$J$492,MATCH(B704&amp;C704,'Eingabe Meldungen'!$C$2:$C$492&amp;'Eingabe Meldungen'!$D$2:$D$492,0),8),"")</f>
        <v/>
      </c>
      <c r="J704" s="20" t="str">
        <f t="shared" si="79"/>
        <v/>
      </c>
      <c r="K704" s="20" t="str">
        <f t="shared" si="79"/>
        <v/>
      </c>
      <c r="L704" s="20" t="e">
        <f>IF(EXACT($H704,#REF!),$I704,"")</f>
        <v>#REF!</v>
      </c>
      <c r="M704" s="20" t="str">
        <f t="shared" si="77"/>
        <v/>
      </c>
      <c r="N704" s="20" t="str">
        <f t="shared" ref="N704:W713" si="82">IF(EXACT($H704,N$4),$I704,"")</f>
        <v/>
      </c>
      <c r="O704" s="20" t="str">
        <f t="shared" si="82"/>
        <v/>
      </c>
      <c r="P704" s="20" t="str">
        <f t="shared" si="82"/>
        <v/>
      </c>
      <c r="Q704" s="20" t="str">
        <f t="shared" si="82"/>
        <v/>
      </c>
      <c r="R704" s="20" t="str">
        <f t="shared" si="82"/>
        <v/>
      </c>
      <c r="S704" s="20" t="str">
        <f t="shared" si="82"/>
        <v/>
      </c>
      <c r="T704" s="20" t="str">
        <f t="shared" si="82"/>
        <v/>
      </c>
      <c r="U704" s="20" t="str">
        <f t="shared" si="82"/>
        <v/>
      </c>
      <c r="V704" s="20" t="str">
        <f t="shared" si="82"/>
        <v/>
      </c>
      <c r="W704" s="20">
        <f t="shared" si="82"/>
        <v>0</v>
      </c>
      <c r="X704" s="20">
        <f t="shared" ref="X704:AI713" si="83">IF(EXACT($H704,X$4),$I704,"")</f>
        <v>0</v>
      </c>
      <c r="Y704" s="20">
        <f t="shared" si="83"/>
        <v>0</v>
      </c>
      <c r="Z704" s="20">
        <f t="shared" si="83"/>
        <v>0</v>
      </c>
      <c r="AA704" s="20">
        <f t="shared" si="83"/>
        <v>0</v>
      </c>
      <c r="AB704" s="20">
        <f t="shared" si="83"/>
        <v>0</v>
      </c>
      <c r="AC704" s="20">
        <f t="shared" si="83"/>
        <v>0</v>
      </c>
      <c r="AD704" s="20">
        <f t="shared" si="83"/>
        <v>0</v>
      </c>
      <c r="AE704" s="20"/>
      <c r="AF704" s="20"/>
      <c r="AG704" s="20">
        <f t="shared" si="83"/>
        <v>0</v>
      </c>
      <c r="AH704" s="20">
        <f t="shared" si="83"/>
        <v>0</v>
      </c>
      <c r="AI704" s="20">
        <f t="shared" si="83"/>
        <v>0</v>
      </c>
    </row>
    <row r="705" spans="2:35" hidden="1" x14ac:dyDescent="0.2">
      <c r="B705" s="20" t="str">
        <f t="array" ref="B705">IF(ISERROR(INDEX('Eingabe Meldungen'!$C$2:$C$492,LARGE(('Eingabe Meldungen'!$A$2:$A$492=$B$654)*(ROW('Eingabe Meldungen'!$A$2:$A$492)-1),COUNTIF('Eingabe Meldungen'!$A$2:$A$492,$B$654)+1-ROW('Eingabe Meldungen'!A190)))),"",INDEX('Eingabe Meldungen'!$C$2:$C$492,LARGE(('Eingabe Meldungen'!$A$2:$A$492=$B$654)*(ROW('Eingabe Meldungen'!$A$2:$A$492)-1),COUNTIF('Eingabe Meldungen'!$A$2:$A$492,$B$654)+1-ROW('Eingabe Meldungen'!A190))))</f>
        <v/>
      </c>
      <c r="C705" t="str">
        <f t="array" ref="C705">IF(ISERROR(INDEX('Eingabe Meldungen'!$D$2:$D$492,LARGE(('Eingabe Meldungen'!$A$2:$A$492=$B$654)*(ROW('Eingabe Meldungen'!$A$2:$A$492)-1),COUNTIF('Eingabe Meldungen'!$A$2:$A$492,$B$654)+1-ROW('Eingabe Meldungen'!A190)))),"",INDEX('Eingabe Meldungen'!$D$2:$D$492,LARGE(('Eingabe Meldungen'!$A$2:$A$492=$B$654)*(ROW('Eingabe Meldungen'!$A$2:$A$492)-1),COUNTIF('Eingabe Meldungen'!$A$2:$A$492,$B$654)+1-ROW('Eingabe Meldungen'!A190))))</f>
        <v/>
      </c>
      <c r="D705" s="11" t="str">
        <f t="array" ref="D705">IF(B705&lt;&gt;"",INDEX('Eingabe Meldungen'!$C$2:$H$492,MATCH(B705&amp;C705,'Eingabe Meldungen'!$C$2:$C$492&amp;'Eingabe Meldungen'!$D$2:$D$492,0),6),"")</f>
        <v/>
      </c>
      <c r="E705" s="66" t="str">
        <f t="array" ref="E705">IF(B705&lt;&gt;"",INDEX('Eingabe Meldungen'!$C$2:$H$492,MATCH(B705&amp;C705,'Eingabe Meldungen'!$C$2:$C$492&amp;'Eingabe Meldungen'!$D$2:$D$492,0),4),"")</f>
        <v/>
      </c>
      <c r="F705" s="32" t="e">
        <f>IF(VLOOKUP(B705,Rennlisten!$B$365:$J$393,10,FALSE)=0,"",VLOOKUP(B705,Rennlisten!$B$365:$J$393,10,FALSE))</f>
        <v>#REF!</v>
      </c>
      <c r="G705" t="e">
        <f t="shared" si="78"/>
        <v>#REF!</v>
      </c>
      <c r="H705" s="21" t="str">
        <f t="array" ref="H705">IF(B705&lt;&gt;"",INDEX('Eingabe Meldungen'!$C$2:$J$492,MATCH(B705&amp;C705,'Eingabe Meldungen'!$C$2:$C$492&amp;'Eingabe Meldungen'!$D$2:$D$492,0),8),"")</f>
        <v/>
      </c>
      <c r="J705" s="20" t="str">
        <f t="shared" si="79"/>
        <v/>
      </c>
      <c r="K705" s="20" t="str">
        <f t="shared" si="79"/>
        <v/>
      </c>
      <c r="L705" s="20" t="e">
        <f>IF(EXACT($H705,#REF!),$I705,"")</f>
        <v>#REF!</v>
      </c>
      <c r="M705" s="20" t="str">
        <f t="shared" si="77"/>
        <v/>
      </c>
      <c r="N705" s="20" t="str">
        <f t="shared" si="82"/>
        <v/>
      </c>
      <c r="O705" s="20" t="str">
        <f t="shared" si="82"/>
        <v/>
      </c>
      <c r="P705" s="20" t="str">
        <f t="shared" si="82"/>
        <v/>
      </c>
      <c r="Q705" s="20" t="str">
        <f t="shared" si="82"/>
        <v/>
      </c>
      <c r="R705" s="20" t="str">
        <f t="shared" si="82"/>
        <v/>
      </c>
      <c r="S705" s="20" t="str">
        <f t="shared" si="82"/>
        <v/>
      </c>
      <c r="T705" s="20" t="str">
        <f t="shared" si="82"/>
        <v/>
      </c>
      <c r="U705" s="20" t="str">
        <f t="shared" si="82"/>
        <v/>
      </c>
      <c r="V705" s="20" t="str">
        <f t="shared" si="82"/>
        <v/>
      </c>
      <c r="W705" s="20">
        <f t="shared" si="82"/>
        <v>0</v>
      </c>
      <c r="X705" s="20">
        <f t="shared" si="83"/>
        <v>0</v>
      </c>
      <c r="Y705" s="20">
        <f t="shared" si="83"/>
        <v>0</v>
      </c>
      <c r="Z705" s="20">
        <f t="shared" si="83"/>
        <v>0</v>
      </c>
      <c r="AA705" s="20">
        <f t="shared" si="83"/>
        <v>0</v>
      </c>
      <c r="AB705" s="20">
        <f t="shared" si="83"/>
        <v>0</v>
      </c>
      <c r="AC705" s="20">
        <f t="shared" si="83"/>
        <v>0</v>
      </c>
      <c r="AD705" s="20">
        <f t="shared" si="83"/>
        <v>0</v>
      </c>
      <c r="AE705" s="20"/>
      <c r="AF705" s="20"/>
      <c r="AG705" s="20">
        <f t="shared" si="83"/>
        <v>0</v>
      </c>
      <c r="AH705" s="20">
        <f t="shared" si="83"/>
        <v>0</v>
      </c>
      <c r="AI705" s="20">
        <f t="shared" si="83"/>
        <v>0</v>
      </c>
    </row>
    <row r="706" spans="2:35" hidden="1" x14ac:dyDescent="0.2">
      <c r="B706" s="20" t="str">
        <f t="array" ref="B706">IF(ISERROR(INDEX('Eingabe Meldungen'!$C$2:$C$492,LARGE(('Eingabe Meldungen'!$A$2:$A$492=$B$654)*(ROW('Eingabe Meldungen'!$A$2:$A$492)-1),COUNTIF('Eingabe Meldungen'!$A$2:$A$492,$B$654)+1-ROW('Eingabe Meldungen'!A46)))),"",INDEX('Eingabe Meldungen'!$C$2:$C$492,LARGE(('Eingabe Meldungen'!$A$2:$A$492=$B$654)*(ROW('Eingabe Meldungen'!$A$2:$A$492)-1),COUNTIF('Eingabe Meldungen'!$A$2:$A$492,$B$654)+1-ROW('Eingabe Meldungen'!A46))))</f>
        <v/>
      </c>
      <c r="C706" t="str">
        <f t="array" ref="C706">IF(ISERROR(INDEX('Eingabe Meldungen'!$D$2:$D$492,LARGE(('Eingabe Meldungen'!$A$2:$A$492=$B$654)*(ROW('Eingabe Meldungen'!$A$2:$A$492)-1),COUNTIF('Eingabe Meldungen'!$A$2:$A$492,$B$654)+1-ROW('Eingabe Meldungen'!A46)))),"",INDEX('Eingabe Meldungen'!$D$2:$D$492,LARGE(('Eingabe Meldungen'!$A$2:$A$492=$B$654)*(ROW('Eingabe Meldungen'!$A$2:$A$492)-1),COUNTIF('Eingabe Meldungen'!$A$2:$A$492,$B$654)+1-ROW('Eingabe Meldungen'!A46))))</f>
        <v/>
      </c>
      <c r="D706" s="11" t="str">
        <f t="array" ref="D706">IF(B706&lt;&gt;"",INDEX('Eingabe Meldungen'!$C$2:$H$492,MATCH(B706&amp;C706,'Eingabe Meldungen'!$C$2:$C$492&amp;'Eingabe Meldungen'!$D$2:$D$492,0),6),"")</f>
        <v/>
      </c>
      <c r="E706" s="66" t="str">
        <f t="array" ref="E706">IF(B706&lt;&gt;"",INDEX('Eingabe Meldungen'!$C$2:$H$492,MATCH(B706&amp;C706,'Eingabe Meldungen'!$C$2:$C$492&amp;'Eingabe Meldungen'!$D$2:$D$492,0),4),"")</f>
        <v/>
      </c>
      <c r="F706" s="32" t="e">
        <f>IF(VLOOKUP(B706,Rennlisten!$B$365:$J$393,10,FALSE)=0,"",VLOOKUP(B706,Rennlisten!$B$365:$J$393,10,FALSE))</f>
        <v>#REF!</v>
      </c>
      <c r="G706" t="e">
        <f t="shared" si="78"/>
        <v>#REF!</v>
      </c>
      <c r="H706" s="21" t="str">
        <f t="array" ref="H706">IF(B706&lt;&gt;"",INDEX('Eingabe Meldungen'!$C$2:$J$492,MATCH(B706&amp;C706,'Eingabe Meldungen'!$C$2:$C$492&amp;'Eingabe Meldungen'!$D$2:$D$492,0),8),"")</f>
        <v/>
      </c>
      <c r="J706" s="20" t="str">
        <f t="shared" si="79"/>
        <v/>
      </c>
      <c r="K706" s="20" t="str">
        <f t="shared" si="79"/>
        <v/>
      </c>
      <c r="L706" s="20" t="e">
        <f>IF(EXACT($H706,#REF!),$I706,"")</f>
        <v>#REF!</v>
      </c>
      <c r="M706" s="20" t="str">
        <f t="shared" si="77"/>
        <v/>
      </c>
      <c r="N706" s="20" t="str">
        <f t="shared" si="82"/>
        <v/>
      </c>
      <c r="O706" s="20" t="str">
        <f t="shared" si="82"/>
        <v/>
      </c>
      <c r="P706" s="20" t="str">
        <f t="shared" si="82"/>
        <v/>
      </c>
      <c r="Q706" s="20" t="str">
        <f t="shared" si="82"/>
        <v/>
      </c>
      <c r="R706" s="20" t="str">
        <f t="shared" si="82"/>
        <v/>
      </c>
      <c r="S706" s="20" t="str">
        <f t="shared" si="82"/>
        <v/>
      </c>
      <c r="T706" s="20" t="str">
        <f t="shared" si="82"/>
        <v/>
      </c>
      <c r="U706" s="20" t="str">
        <f t="shared" si="82"/>
        <v/>
      </c>
      <c r="V706" s="20" t="str">
        <f t="shared" si="82"/>
        <v/>
      </c>
      <c r="W706" s="20">
        <f t="shared" si="82"/>
        <v>0</v>
      </c>
      <c r="X706" s="20">
        <f t="shared" si="83"/>
        <v>0</v>
      </c>
      <c r="Y706" s="20">
        <f t="shared" si="83"/>
        <v>0</v>
      </c>
      <c r="Z706" s="20">
        <f t="shared" si="83"/>
        <v>0</v>
      </c>
      <c r="AA706" s="20">
        <f t="shared" si="83"/>
        <v>0</v>
      </c>
      <c r="AB706" s="20">
        <f t="shared" si="83"/>
        <v>0</v>
      </c>
      <c r="AC706" s="20">
        <f t="shared" si="83"/>
        <v>0</v>
      </c>
      <c r="AD706" s="20">
        <f t="shared" si="83"/>
        <v>0</v>
      </c>
      <c r="AE706" s="20"/>
      <c r="AF706" s="20"/>
      <c r="AG706" s="20">
        <f t="shared" si="83"/>
        <v>0</v>
      </c>
      <c r="AH706" s="20">
        <f t="shared" si="83"/>
        <v>0</v>
      </c>
      <c r="AI706" s="20">
        <f t="shared" si="83"/>
        <v>0</v>
      </c>
    </row>
    <row r="707" spans="2:35" hidden="1" x14ac:dyDescent="0.2">
      <c r="B707" s="20" t="str">
        <f t="array" ref="B707">IF(ISERROR(INDEX('Eingabe Meldungen'!$C$2:$C$492,LARGE(('Eingabe Meldungen'!$A$2:$A$492=$B$654)*(ROW('Eingabe Meldungen'!$A$2:$A$492)-1),COUNTIF('Eingabe Meldungen'!$A$2:$A$492,$B$654)+1-ROW('Eingabe Meldungen'!A47)))),"",INDEX('Eingabe Meldungen'!$C$2:$C$492,LARGE(('Eingabe Meldungen'!$A$2:$A$492=$B$654)*(ROW('Eingabe Meldungen'!$A$2:$A$492)-1),COUNTIF('Eingabe Meldungen'!$A$2:$A$492,$B$654)+1-ROW('Eingabe Meldungen'!A47))))</f>
        <v/>
      </c>
      <c r="C707" t="str">
        <f t="array" ref="C707">IF(ISERROR(INDEX('Eingabe Meldungen'!$D$2:$D$492,LARGE(('Eingabe Meldungen'!$A$2:$A$492=$B$654)*(ROW('Eingabe Meldungen'!$A$2:$A$492)-1),COUNTIF('Eingabe Meldungen'!$A$2:$A$492,$B$654)+1-ROW('Eingabe Meldungen'!A47)))),"",INDEX('Eingabe Meldungen'!$D$2:$D$492,LARGE(('Eingabe Meldungen'!$A$2:$A$492=$B$654)*(ROW('Eingabe Meldungen'!$A$2:$A$492)-1),COUNTIF('Eingabe Meldungen'!$A$2:$A$492,$B$654)+1-ROW('Eingabe Meldungen'!A47))))</f>
        <v/>
      </c>
      <c r="D707" s="11" t="str">
        <f t="array" ref="D707">IF(B707&lt;&gt;"",INDEX('Eingabe Meldungen'!$C$2:$H$492,MATCH(B707&amp;C707,'Eingabe Meldungen'!$C$2:$C$492&amp;'Eingabe Meldungen'!$D$2:$D$492,0),6),"")</f>
        <v/>
      </c>
      <c r="E707" s="66" t="str">
        <f t="array" ref="E707">IF(B707&lt;&gt;"",INDEX('Eingabe Meldungen'!$C$2:$H$492,MATCH(B707&amp;C707,'Eingabe Meldungen'!$C$2:$C$492&amp;'Eingabe Meldungen'!$D$2:$D$492,0),4),"")</f>
        <v/>
      </c>
      <c r="F707" s="32" t="e">
        <f>IF(VLOOKUP(B707,Rennlisten!$B$365:$J$393,10,FALSE)=0,"",VLOOKUP(B707,Rennlisten!$B$365:$J$393,10,FALSE))</f>
        <v>#REF!</v>
      </c>
      <c r="G707" t="e">
        <f t="shared" si="78"/>
        <v>#REF!</v>
      </c>
      <c r="H707" s="21" t="str">
        <f t="array" ref="H707">IF(B707&lt;&gt;"",INDEX('Eingabe Meldungen'!$C$2:$J$492,MATCH(B707&amp;C707,'Eingabe Meldungen'!$C$2:$C$492&amp;'Eingabe Meldungen'!$D$2:$D$492,0),8),"")</f>
        <v/>
      </c>
      <c r="J707" s="20" t="str">
        <f t="shared" si="79"/>
        <v/>
      </c>
      <c r="K707" s="20" t="str">
        <f t="shared" si="79"/>
        <v/>
      </c>
      <c r="L707" s="20" t="e">
        <f>IF(EXACT($H707,#REF!),$I707,"")</f>
        <v>#REF!</v>
      </c>
      <c r="M707" s="20" t="str">
        <f t="shared" si="77"/>
        <v/>
      </c>
      <c r="N707" s="20" t="str">
        <f t="shared" si="82"/>
        <v/>
      </c>
      <c r="O707" s="20" t="str">
        <f t="shared" si="82"/>
        <v/>
      </c>
      <c r="P707" s="20" t="str">
        <f t="shared" si="82"/>
        <v/>
      </c>
      <c r="Q707" s="20" t="str">
        <f t="shared" si="82"/>
        <v/>
      </c>
      <c r="R707" s="20" t="str">
        <f t="shared" si="82"/>
        <v/>
      </c>
      <c r="S707" s="20" t="str">
        <f t="shared" si="82"/>
        <v/>
      </c>
      <c r="T707" s="20" t="str">
        <f t="shared" si="82"/>
        <v/>
      </c>
      <c r="U707" s="20" t="str">
        <f t="shared" si="82"/>
        <v/>
      </c>
      <c r="V707" s="20" t="str">
        <f t="shared" si="82"/>
        <v/>
      </c>
      <c r="W707" s="20">
        <f t="shared" si="82"/>
        <v>0</v>
      </c>
      <c r="X707" s="20">
        <f t="shared" si="83"/>
        <v>0</v>
      </c>
      <c r="Y707" s="20">
        <f t="shared" si="83"/>
        <v>0</v>
      </c>
      <c r="Z707" s="20">
        <f t="shared" si="83"/>
        <v>0</v>
      </c>
      <c r="AA707" s="20">
        <f t="shared" si="83"/>
        <v>0</v>
      </c>
      <c r="AB707" s="20">
        <f t="shared" si="83"/>
        <v>0</v>
      </c>
      <c r="AC707" s="20">
        <f t="shared" si="83"/>
        <v>0</v>
      </c>
      <c r="AD707" s="20">
        <f t="shared" si="83"/>
        <v>0</v>
      </c>
      <c r="AE707" s="20"/>
      <c r="AF707" s="20"/>
      <c r="AG707" s="20">
        <f t="shared" si="83"/>
        <v>0</v>
      </c>
      <c r="AH707" s="20">
        <f t="shared" si="83"/>
        <v>0</v>
      </c>
      <c r="AI707" s="20">
        <f t="shared" si="83"/>
        <v>0</v>
      </c>
    </row>
    <row r="708" spans="2:35" hidden="1" x14ac:dyDescent="0.2">
      <c r="B708" s="20" t="str">
        <f t="array" ref="B708">IF(ISERROR(INDEX('Eingabe Meldungen'!$C$2:$C$492,LARGE(('Eingabe Meldungen'!$A$2:$A$492=$B$654)*(ROW('Eingabe Meldungen'!$A$2:$A$492)-1),COUNTIF('Eingabe Meldungen'!$A$2:$A$492,$B$654)+1-ROW('Eingabe Meldungen'!A48)))),"",INDEX('Eingabe Meldungen'!$C$2:$C$492,LARGE(('Eingabe Meldungen'!$A$2:$A$492=$B$654)*(ROW('Eingabe Meldungen'!$A$2:$A$492)-1),COUNTIF('Eingabe Meldungen'!$A$2:$A$492,$B$654)+1-ROW('Eingabe Meldungen'!A48))))</f>
        <v/>
      </c>
      <c r="C708" t="str">
        <f t="array" ref="C708">IF(ISERROR(INDEX('Eingabe Meldungen'!$D$2:$D$492,LARGE(('Eingabe Meldungen'!$A$2:$A$492=$B$654)*(ROW('Eingabe Meldungen'!$A$2:$A$492)-1),COUNTIF('Eingabe Meldungen'!$A$2:$A$492,$B$654)+1-ROW('Eingabe Meldungen'!A48)))),"",INDEX('Eingabe Meldungen'!$D$2:$D$492,LARGE(('Eingabe Meldungen'!$A$2:$A$492=$B$654)*(ROW('Eingabe Meldungen'!$A$2:$A$492)-1),COUNTIF('Eingabe Meldungen'!$A$2:$A$492,$B$654)+1-ROW('Eingabe Meldungen'!A48))))</f>
        <v/>
      </c>
      <c r="D708" s="11" t="str">
        <f t="array" ref="D708">IF(B708&lt;&gt;"",INDEX('Eingabe Meldungen'!$C$2:$H$492,MATCH(B708&amp;C708,'Eingabe Meldungen'!$C$2:$C$492&amp;'Eingabe Meldungen'!$D$2:$D$492,0),6),"")</f>
        <v/>
      </c>
      <c r="E708" s="66" t="str">
        <f t="array" ref="E708">IF(B708&lt;&gt;"",INDEX('Eingabe Meldungen'!$C$2:$H$492,MATCH(B708&amp;C708,'Eingabe Meldungen'!$C$2:$C$492&amp;'Eingabe Meldungen'!$D$2:$D$492,0),4),"")</f>
        <v/>
      </c>
      <c r="F708" s="32" t="e">
        <f>IF(VLOOKUP(B708,Rennlisten!$B$365:$J$393,10,FALSE)=0,"",VLOOKUP(B708,Rennlisten!$B$365:$J$393,10,FALSE))</f>
        <v>#REF!</v>
      </c>
      <c r="G708" t="e">
        <f t="shared" si="78"/>
        <v>#REF!</v>
      </c>
      <c r="H708" s="21" t="str">
        <f t="array" ref="H708">IF(B708&lt;&gt;"",INDEX('Eingabe Meldungen'!$C$2:$J$492,MATCH(B708&amp;C708,'Eingabe Meldungen'!$C$2:$C$492&amp;'Eingabe Meldungen'!$D$2:$D$492,0),8),"")</f>
        <v/>
      </c>
      <c r="I708" s="29"/>
      <c r="J708" s="20" t="str">
        <f t="shared" si="79"/>
        <v/>
      </c>
      <c r="K708" s="20" t="str">
        <f t="shared" si="79"/>
        <v/>
      </c>
      <c r="L708" s="20" t="e">
        <f>IF(EXACT($H708,#REF!),$I708,"")</f>
        <v>#REF!</v>
      </c>
      <c r="M708" s="20" t="str">
        <f t="shared" si="77"/>
        <v/>
      </c>
      <c r="N708" s="20" t="str">
        <f t="shared" si="82"/>
        <v/>
      </c>
      <c r="O708" s="20" t="str">
        <f t="shared" si="82"/>
        <v/>
      </c>
      <c r="P708" s="20" t="str">
        <f t="shared" si="82"/>
        <v/>
      </c>
      <c r="Q708" s="20" t="str">
        <f t="shared" si="82"/>
        <v/>
      </c>
      <c r="R708" s="20" t="str">
        <f t="shared" si="82"/>
        <v/>
      </c>
      <c r="S708" s="20" t="str">
        <f t="shared" si="82"/>
        <v/>
      </c>
      <c r="T708" s="20" t="str">
        <f t="shared" si="82"/>
        <v/>
      </c>
      <c r="U708" s="20" t="str">
        <f t="shared" si="82"/>
        <v/>
      </c>
      <c r="V708" s="20" t="str">
        <f t="shared" si="82"/>
        <v/>
      </c>
      <c r="W708" s="20">
        <f t="shared" si="82"/>
        <v>0</v>
      </c>
      <c r="X708" s="20">
        <f t="shared" si="83"/>
        <v>0</v>
      </c>
      <c r="Y708" s="20">
        <f t="shared" si="83"/>
        <v>0</v>
      </c>
      <c r="Z708" s="20">
        <f t="shared" si="83"/>
        <v>0</v>
      </c>
      <c r="AA708" s="20">
        <f t="shared" si="83"/>
        <v>0</v>
      </c>
      <c r="AB708" s="20">
        <f t="shared" si="83"/>
        <v>0</v>
      </c>
      <c r="AC708" s="20">
        <f t="shared" si="83"/>
        <v>0</v>
      </c>
      <c r="AD708" s="20">
        <f t="shared" si="83"/>
        <v>0</v>
      </c>
      <c r="AE708" s="20"/>
      <c r="AF708" s="20"/>
      <c r="AG708" s="20">
        <f t="shared" si="83"/>
        <v>0</v>
      </c>
      <c r="AH708" s="20">
        <f t="shared" si="83"/>
        <v>0</v>
      </c>
      <c r="AI708" s="20">
        <f t="shared" si="83"/>
        <v>0</v>
      </c>
    </row>
    <row r="709" spans="2:35" hidden="1" x14ac:dyDescent="0.2">
      <c r="B709" s="20" t="str">
        <f t="array" ref="B709">IF(ISERROR(INDEX('Eingabe Meldungen'!$C$2:$C$492,LARGE(('Eingabe Meldungen'!$A$2:$A$492=$B$654)*(ROW('Eingabe Meldungen'!$A$2:$A$492)-1),COUNTIF('Eingabe Meldungen'!$A$2:$A$492,$B$654)+1-ROW('Eingabe Meldungen'!A49)))),"",INDEX('Eingabe Meldungen'!$C$2:$C$492,LARGE(('Eingabe Meldungen'!$A$2:$A$492=$B$654)*(ROW('Eingabe Meldungen'!$A$2:$A$492)-1),COUNTIF('Eingabe Meldungen'!$A$2:$A$492,$B$654)+1-ROW('Eingabe Meldungen'!A49))))</f>
        <v/>
      </c>
      <c r="C709" t="str">
        <f t="array" ref="C709">IF(ISERROR(INDEX('Eingabe Meldungen'!$D$2:$D$492,LARGE(('Eingabe Meldungen'!$A$2:$A$492=$B$654)*(ROW('Eingabe Meldungen'!$A$2:$A$492)-1),COUNTIF('Eingabe Meldungen'!$A$2:$A$492,$B$654)+1-ROW('Eingabe Meldungen'!A49)))),"",INDEX('Eingabe Meldungen'!$D$2:$D$492,LARGE(('Eingabe Meldungen'!$A$2:$A$492=$B$654)*(ROW('Eingabe Meldungen'!$A$2:$A$492)-1),COUNTIF('Eingabe Meldungen'!$A$2:$A$492,$B$654)+1-ROW('Eingabe Meldungen'!A49))))</f>
        <v/>
      </c>
      <c r="D709" s="11" t="str">
        <f t="array" ref="D709">IF(B709&lt;&gt;"",INDEX('Eingabe Meldungen'!$C$2:$H$492,MATCH(B709&amp;C709,'Eingabe Meldungen'!$C$2:$C$492&amp;'Eingabe Meldungen'!$D$2:$D$492,0),6),"")</f>
        <v/>
      </c>
      <c r="E709" s="66" t="str">
        <f t="array" ref="E709">IF(B709&lt;&gt;"",INDEX('Eingabe Meldungen'!$C$2:$H$492,MATCH(B709&amp;C709,'Eingabe Meldungen'!$C$2:$C$492&amp;'Eingabe Meldungen'!$D$2:$D$492,0),4),"")</f>
        <v/>
      </c>
      <c r="F709" s="32" t="e">
        <f>IF(VLOOKUP(B709,Rennlisten!$B$365:$J$393,10,FALSE)=0,"",VLOOKUP(B709,Rennlisten!$B$365:$J$393,10,FALSE))</f>
        <v>#REF!</v>
      </c>
      <c r="G709" t="e">
        <f t="shared" si="78"/>
        <v>#REF!</v>
      </c>
      <c r="H709" s="21" t="str">
        <f t="array" ref="H709">IF(B709&lt;&gt;"",INDEX('Eingabe Meldungen'!$C$2:$J$492,MATCH(B709&amp;C709,'Eingabe Meldungen'!$C$2:$C$492&amp;'Eingabe Meldungen'!$D$2:$D$492,0),8),"")</f>
        <v/>
      </c>
      <c r="J709" s="20" t="str">
        <f t="shared" si="79"/>
        <v/>
      </c>
      <c r="K709" s="20" t="str">
        <f t="shared" si="79"/>
        <v/>
      </c>
      <c r="L709" s="20" t="e">
        <f>IF(EXACT($H709,#REF!),$I709,"")</f>
        <v>#REF!</v>
      </c>
      <c r="M709" s="20" t="str">
        <f t="shared" si="77"/>
        <v/>
      </c>
      <c r="N709" s="20" t="str">
        <f t="shared" si="82"/>
        <v/>
      </c>
      <c r="O709" s="20" t="str">
        <f t="shared" si="82"/>
        <v/>
      </c>
      <c r="P709" s="20" t="str">
        <f t="shared" si="82"/>
        <v/>
      </c>
      <c r="Q709" s="20" t="str">
        <f t="shared" si="82"/>
        <v/>
      </c>
      <c r="R709" s="20" t="str">
        <f t="shared" si="82"/>
        <v/>
      </c>
      <c r="S709" s="20" t="str">
        <f t="shared" si="82"/>
        <v/>
      </c>
      <c r="T709" s="20" t="str">
        <f t="shared" si="82"/>
        <v/>
      </c>
      <c r="U709" s="20" t="str">
        <f t="shared" si="82"/>
        <v/>
      </c>
      <c r="V709" s="20" t="str">
        <f t="shared" si="82"/>
        <v/>
      </c>
      <c r="W709" s="20">
        <f t="shared" si="82"/>
        <v>0</v>
      </c>
      <c r="X709" s="20">
        <f t="shared" si="83"/>
        <v>0</v>
      </c>
      <c r="Y709" s="20">
        <f t="shared" si="83"/>
        <v>0</v>
      </c>
      <c r="Z709" s="20">
        <f t="shared" si="83"/>
        <v>0</v>
      </c>
      <c r="AA709" s="20">
        <f t="shared" si="83"/>
        <v>0</v>
      </c>
      <c r="AB709" s="20">
        <f t="shared" si="83"/>
        <v>0</v>
      </c>
      <c r="AC709" s="20">
        <f t="shared" si="83"/>
        <v>0</v>
      </c>
      <c r="AD709" s="20">
        <f t="shared" si="83"/>
        <v>0</v>
      </c>
      <c r="AE709" s="20"/>
      <c r="AF709" s="20"/>
      <c r="AG709" s="20">
        <f t="shared" si="83"/>
        <v>0</v>
      </c>
      <c r="AH709" s="20">
        <f t="shared" si="83"/>
        <v>0</v>
      </c>
      <c r="AI709" s="20">
        <f t="shared" si="83"/>
        <v>0</v>
      </c>
    </row>
    <row r="710" spans="2:35" hidden="1" x14ac:dyDescent="0.2">
      <c r="B710" s="20" t="str">
        <f t="array" ref="B710">IF(ISERROR(INDEX('Eingabe Meldungen'!$C$2:$C$492,LARGE(('Eingabe Meldungen'!$A$2:$A$492=$B$654)*(ROW('Eingabe Meldungen'!$A$2:$A$492)-1),COUNTIF('Eingabe Meldungen'!$A$2:$A$492,$B$654)+1-ROW('Eingabe Meldungen'!A50)))),"",INDEX('Eingabe Meldungen'!$C$2:$C$492,LARGE(('Eingabe Meldungen'!$A$2:$A$492=$B$654)*(ROW('Eingabe Meldungen'!$A$2:$A$492)-1),COUNTIF('Eingabe Meldungen'!$A$2:$A$492,$B$654)+1-ROW('Eingabe Meldungen'!A50))))</f>
        <v/>
      </c>
      <c r="C710" t="str">
        <f t="array" ref="C710">IF(ISERROR(INDEX('Eingabe Meldungen'!$D$2:$D$492,LARGE(('Eingabe Meldungen'!$A$2:$A$492=$B$654)*(ROW('Eingabe Meldungen'!$A$2:$A$492)-1),COUNTIF('Eingabe Meldungen'!$A$2:$A$492,$B$654)+1-ROW('Eingabe Meldungen'!A50)))),"",INDEX('Eingabe Meldungen'!$D$2:$D$492,LARGE(('Eingabe Meldungen'!$A$2:$A$492=$B$654)*(ROW('Eingabe Meldungen'!$A$2:$A$492)-1),COUNTIF('Eingabe Meldungen'!$A$2:$A$492,$B$654)+1-ROW('Eingabe Meldungen'!A50))))</f>
        <v/>
      </c>
      <c r="D710" s="11" t="str">
        <f t="array" ref="D710">IF(B710&lt;&gt;"",INDEX('Eingabe Meldungen'!$C$2:$H$492,MATCH(B710&amp;C710,'Eingabe Meldungen'!$C$2:$C$492&amp;'Eingabe Meldungen'!$D$2:$D$492,0),6),"")</f>
        <v/>
      </c>
      <c r="E710" s="66" t="str">
        <f t="array" ref="E710">IF(B710&lt;&gt;"",INDEX('Eingabe Meldungen'!$C$2:$H$492,MATCH(B710&amp;C710,'Eingabe Meldungen'!$C$2:$C$492&amp;'Eingabe Meldungen'!$D$2:$D$492,0),4),"")</f>
        <v/>
      </c>
      <c r="F710" s="32" t="e">
        <f>IF(VLOOKUP(B710,Rennlisten!$B$365:$J$393,10,FALSE)=0,"",VLOOKUP(B710,Rennlisten!$B$365:$J$393,10,FALSE))</f>
        <v>#REF!</v>
      </c>
      <c r="G710" t="e">
        <f t="shared" si="78"/>
        <v>#REF!</v>
      </c>
      <c r="H710" s="21" t="str">
        <f t="array" ref="H710">IF(B710&lt;&gt;"",INDEX('Eingabe Meldungen'!$C$2:$J$492,MATCH(B710&amp;C710,'Eingabe Meldungen'!$C$2:$C$492&amp;'Eingabe Meldungen'!$D$2:$D$492,0),8),"")</f>
        <v/>
      </c>
      <c r="J710" s="20" t="str">
        <f t="shared" si="79"/>
        <v/>
      </c>
      <c r="K710" s="20" t="str">
        <f t="shared" si="79"/>
        <v/>
      </c>
      <c r="L710" s="20" t="e">
        <f>IF(EXACT($H710,#REF!),$I710,"")</f>
        <v>#REF!</v>
      </c>
      <c r="M710" s="20" t="str">
        <f t="shared" si="77"/>
        <v/>
      </c>
      <c r="N710" s="20" t="str">
        <f t="shared" si="82"/>
        <v/>
      </c>
      <c r="O710" s="20" t="str">
        <f t="shared" si="82"/>
        <v/>
      </c>
      <c r="P710" s="20" t="str">
        <f t="shared" si="82"/>
        <v/>
      </c>
      <c r="Q710" s="20" t="str">
        <f t="shared" si="82"/>
        <v/>
      </c>
      <c r="R710" s="20" t="str">
        <f t="shared" si="82"/>
        <v/>
      </c>
      <c r="S710" s="20" t="str">
        <f t="shared" si="82"/>
        <v/>
      </c>
      <c r="T710" s="20" t="str">
        <f t="shared" si="82"/>
        <v/>
      </c>
      <c r="U710" s="20" t="str">
        <f t="shared" si="82"/>
        <v/>
      </c>
      <c r="V710" s="20" t="str">
        <f t="shared" si="82"/>
        <v/>
      </c>
      <c r="W710" s="20">
        <f t="shared" si="82"/>
        <v>0</v>
      </c>
      <c r="X710" s="20">
        <f t="shared" si="83"/>
        <v>0</v>
      </c>
      <c r="Y710" s="20">
        <f t="shared" si="83"/>
        <v>0</v>
      </c>
      <c r="Z710" s="20">
        <f t="shared" si="83"/>
        <v>0</v>
      </c>
      <c r="AA710" s="20">
        <f t="shared" si="83"/>
        <v>0</v>
      </c>
      <c r="AB710" s="20">
        <f t="shared" si="83"/>
        <v>0</v>
      </c>
      <c r="AC710" s="20">
        <f t="shared" si="83"/>
        <v>0</v>
      </c>
      <c r="AD710" s="20">
        <f t="shared" si="83"/>
        <v>0</v>
      </c>
      <c r="AE710" s="20"/>
      <c r="AF710" s="20"/>
      <c r="AG710" s="20">
        <f t="shared" si="83"/>
        <v>0</v>
      </c>
      <c r="AH710" s="20">
        <f t="shared" si="83"/>
        <v>0</v>
      </c>
      <c r="AI710" s="20">
        <f t="shared" si="83"/>
        <v>0</v>
      </c>
    </row>
    <row r="711" spans="2:35" hidden="1" x14ac:dyDescent="0.2">
      <c r="B711" s="20" t="str">
        <f t="array" ref="B711">IF(ISERROR(INDEX('Eingabe Meldungen'!$C$2:$C$492,LARGE(('Eingabe Meldungen'!$A$2:$A$492=$B$654)*(ROW('Eingabe Meldungen'!$A$2:$A$492)-1),COUNTIF('Eingabe Meldungen'!$A$2:$A$492,$B$654)+1-ROW('Eingabe Meldungen'!A51)))),"",INDEX('Eingabe Meldungen'!$C$2:$C$492,LARGE(('Eingabe Meldungen'!$A$2:$A$492=$B$654)*(ROW('Eingabe Meldungen'!$A$2:$A$492)-1),COUNTIF('Eingabe Meldungen'!$A$2:$A$492,$B$654)+1-ROW('Eingabe Meldungen'!A51))))</f>
        <v/>
      </c>
      <c r="C711" t="str">
        <f t="array" ref="C711">IF(ISERROR(INDEX('Eingabe Meldungen'!$D$2:$D$492,LARGE(('Eingabe Meldungen'!$A$2:$A$492=$B$654)*(ROW('Eingabe Meldungen'!$A$2:$A$492)-1),COUNTIF('Eingabe Meldungen'!$A$2:$A$492,$B$654)+1-ROW('Eingabe Meldungen'!A51)))),"",INDEX('Eingabe Meldungen'!$D$2:$D$492,LARGE(('Eingabe Meldungen'!$A$2:$A$492=$B$654)*(ROW('Eingabe Meldungen'!$A$2:$A$492)-1),COUNTIF('Eingabe Meldungen'!$A$2:$A$492,$B$654)+1-ROW('Eingabe Meldungen'!A51))))</f>
        <v/>
      </c>
      <c r="D711" s="11" t="str">
        <f t="array" ref="D711">IF(B711&lt;&gt;"",INDEX('Eingabe Meldungen'!$C$2:$H$492,MATCH(B711&amp;C711,'Eingabe Meldungen'!$C$2:$C$492&amp;'Eingabe Meldungen'!$D$2:$D$492,0),6),"")</f>
        <v/>
      </c>
      <c r="E711" s="66" t="str">
        <f t="array" ref="E711">IF(B711&lt;&gt;"",INDEX('Eingabe Meldungen'!$C$2:$H$492,MATCH(B711&amp;C711,'Eingabe Meldungen'!$C$2:$C$492&amp;'Eingabe Meldungen'!$D$2:$D$492,0),4),"")</f>
        <v/>
      </c>
      <c r="F711" s="32" t="e">
        <f>IF(VLOOKUP(B711,Rennlisten!$B$365:$J$393,10,FALSE)=0,"",VLOOKUP(B711,Rennlisten!$B$365:$J$393,10,FALSE))</f>
        <v>#REF!</v>
      </c>
      <c r="G711" t="e">
        <f t="shared" si="78"/>
        <v>#REF!</v>
      </c>
      <c r="H711" s="21" t="str">
        <f t="array" ref="H711">IF(B711&lt;&gt;"",INDEX('Eingabe Meldungen'!$C$2:$J$492,MATCH(B711&amp;C711,'Eingabe Meldungen'!$C$2:$C$492&amp;'Eingabe Meldungen'!$D$2:$D$492,0),8),"")</f>
        <v/>
      </c>
      <c r="J711" s="20" t="str">
        <f t="shared" si="79"/>
        <v/>
      </c>
      <c r="K711" s="20" t="str">
        <f t="shared" si="79"/>
        <v/>
      </c>
      <c r="L711" s="20" t="e">
        <f>IF(EXACT($H711,#REF!),$I711,"")</f>
        <v>#REF!</v>
      </c>
      <c r="M711" s="20" t="str">
        <f t="shared" si="77"/>
        <v/>
      </c>
      <c r="N711" s="20" t="str">
        <f t="shared" si="82"/>
        <v/>
      </c>
      <c r="O711" s="20" t="str">
        <f t="shared" si="82"/>
        <v/>
      </c>
      <c r="P711" s="20" t="str">
        <f t="shared" si="82"/>
        <v/>
      </c>
      <c r="Q711" s="20" t="str">
        <f t="shared" si="82"/>
        <v/>
      </c>
      <c r="R711" s="20" t="str">
        <f t="shared" si="82"/>
        <v/>
      </c>
      <c r="S711" s="20" t="str">
        <f t="shared" si="82"/>
        <v/>
      </c>
      <c r="T711" s="20" t="str">
        <f t="shared" si="82"/>
        <v/>
      </c>
      <c r="U711" s="20" t="str">
        <f t="shared" si="82"/>
        <v/>
      </c>
      <c r="V711" s="20" t="str">
        <f t="shared" si="82"/>
        <v/>
      </c>
      <c r="W711" s="20">
        <f t="shared" si="82"/>
        <v>0</v>
      </c>
      <c r="X711" s="20">
        <f t="shared" si="83"/>
        <v>0</v>
      </c>
      <c r="Y711" s="20">
        <f t="shared" si="83"/>
        <v>0</v>
      </c>
      <c r="Z711" s="20">
        <f t="shared" si="83"/>
        <v>0</v>
      </c>
      <c r="AA711" s="20">
        <f t="shared" si="83"/>
        <v>0</v>
      </c>
      <c r="AB711" s="20">
        <f t="shared" si="83"/>
        <v>0</v>
      </c>
      <c r="AC711" s="20">
        <f t="shared" si="83"/>
        <v>0</v>
      </c>
      <c r="AD711" s="20">
        <f t="shared" si="83"/>
        <v>0</v>
      </c>
      <c r="AE711" s="20"/>
      <c r="AF711" s="20"/>
      <c r="AG711" s="20">
        <f t="shared" si="83"/>
        <v>0</v>
      </c>
      <c r="AH711" s="20">
        <f t="shared" si="83"/>
        <v>0</v>
      </c>
      <c r="AI711" s="20">
        <f t="shared" si="83"/>
        <v>0</v>
      </c>
    </row>
    <row r="712" spans="2:35" hidden="1" x14ac:dyDescent="0.2">
      <c r="B712" s="20" t="str">
        <f t="array" ref="B712">IF(ISERROR(INDEX('Eingabe Meldungen'!$C$2:$C$492,LARGE(('Eingabe Meldungen'!$A$2:$A$492=$B$654)*(ROW('Eingabe Meldungen'!$A$2:$A$492)-1),COUNTIF('Eingabe Meldungen'!$A$2:$A$492,$B$654)+1-ROW('Eingabe Meldungen'!A52)))),"",INDEX('Eingabe Meldungen'!$C$2:$C$492,LARGE(('Eingabe Meldungen'!$A$2:$A$492=$B$654)*(ROW('Eingabe Meldungen'!$A$2:$A$492)-1),COUNTIF('Eingabe Meldungen'!$A$2:$A$492,$B$654)+1-ROW('Eingabe Meldungen'!A52))))</f>
        <v/>
      </c>
      <c r="C712" t="str">
        <f t="array" ref="C712">IF(ISERROR(INDEX('Eingabe Meldungen'!$D$2:$D$492,LARGE(('Eingabe Meldungen'!$A$2:$A$492=$B$654)*(ROW('Eingabe Meldungen'!$A$2:$A$492)-1),COUNTIF('Eingabe Meldungen'!$A$2:$A$492,$B$654)+1-ROW('Eingabe Meldungen'!A52)))),"",INDEX('Eingabe Meldungen'!$D$2:$D$492,LARGE(('Eingabe Meldungen'!$A$2:$A$492=$B$654)*(ROW('Eingabe Meldungen'!$A$2:$A$492)-1),COUNTIF('Eingabe Meldungen'!$A$2:$A$492,$B$654)+1-ROW('Eingabe Meldungen'!A52))))</f>
        <v/>
      </c>
      <c r="D712" s="11" t="str">
        <f t="array" ref="D712">IF(B712&lt;&gt;"",INDEX('Eingabe Meldungen'!$C$2:$H$492,MATCH(B712&amp;C712,'Eingabe Meldungen'!$C$2:$C$492&amp;'Eingabe Meldungen'!$D$2:$D$492,0),6),"")</f>
        <v/>
      </c>
      <c r="E712" s="66" t="str">
        <f t="array" ref="E712">IF(B712&lt;&gt;"",INDEX('Eingabe Meldungen'!$C$2:$H$492,MATCH(B712&amp;C712,'Eingabe Meldungen'!$C$2:$C$492&amp;'Eingabe Meldungen'!$D$2:$D$492,0),4),"")</f>
        <v/>
      </c>
      <c r="F712" s="32" t="e">
        <f>IF(VLOOKUP(B712,Rennlisten!$B$365:$J$393,10,FALSE)=0,"",VLOOKUP(B712,Rennlisten!$B$365:$J$393,10,FALSE))</f>
        <v>#REF!</v>
      </c>
      <c r="G712" t="e">
        <f t="shared" si="78"/>
        <v>#REF!</v>
      </c>
      <c r="H712" s="21" t="str">
        <f t="array" ref="H712">IF(B712&lt;&gt;"",INDEX('Eingabe Meldungen'!$C$2:$J$492,MATCH(B712&amp;C712,'Eingabe Meldungen'!$C$2:$C$492&amp;'Eingabe Meldungen'!$D$2:$D$492,0),8),"")</f>
        <v/>
      </c>
      <c r="J712" s="20" t="str">
        <f t="shared" si="79"/>
        <v/>
      </c>
      <c r="K712" s="20" t="str">
        <f t="shared" si="79"/>
        <v/>
      </c>
      <c r="L712" s="20" t="e">
        <f>IF(EXACT($H712,#REF!),$I712,"")</f>
        <v>#REF!</v>
      </c>
      <c r="M712" s="20" t="str">
        <f t="shared" si="77"/>
        <v/>
      </c>
      <c r="N712" s="20" t="str">
        <f t="shared" si="82"/>
        <v/>
      </c>
      <c r="O712" s="20" t="str">
        <f t="shared" si="82"/>
        <v/>
      </c>
      <c r="P712" s="20" t="str">
        <f t="shared" si="82"/>
        <v/>
      </c>
      <c r="Q712" s="20" t="str">
        <f t="shared" si="82"/>
        <v/>
      </c>
      <c r="R712" s="20" t="str">
        <f t="shared" si="82"/>
        <v/>
      </c>
      <c r="S712" s="20" t="str">
        <f t="shared" si="82"/>
        <v/>
      </c>
      <c r="T712" s="20" t="str">
        <f t="shared" si="82"/>
        <v/>
      </c>
      <c r="U712" s="20" t="str">
        <f t="shared" si="82"/>
        <v/>
      </c>
      <c r="V712" s="20" t="str">
        <f t="shared" si="82"/>
        <v/>
      </c>
      <c r="W712" s="20">
        <f t="shared" si="82"/>
        <v>0</v>
      </c>
      <c r="X712" s="20">
        <f t="shared" si="83"/>
        <v>0</v>
      </c>
      <c r="Y712" s="20">
        <f t="shared" si="83"/>
        <v>0</v>
      </c>
      <c r="Z712" s="20">
        <f t="shared" si="83"/>
        <v>0</v>
      </c>
      <c r="AA712" s="20">
        <f t="shared" si="83"/>
        <v>0</v>
      </c>
      <c r="AB712" s="20">
        <f t="shared" si="83"/>
        <v>0</v>
      </c>
      <c r="AC712" s="20">
        <f t="shared" si="83"/>
        <v>0</v>
      </c>
      <c r="AD712" s="20">
        <f t="shared" si="83"/>
        <v>0</v>
      </c>
      <c r="AE712" s="20"/>
      <c r="AF712" s="20"/>
      <c r="AG712" s="20">
        <f t="shared" si="83"/>
        <v>0</v>
      </c>
      <c r="AH712" s="20">
        <f t="shared" si="83"/>
        <v>0</v>
      </c>
      <c r="AI712" s="20">
        <f t="shared" si="83"/>
        <v>0</v>
      </c>
    </row>
    <row r="713" spans="2:35" hidden="1" x14ac:dyDescent="0.2">
      <c r="B713" s="20" t="str">
        <f t="array" ref="B713">IF(ISERROR(INDEX('Eingabe Meldungen'!$C$2:$C$492,LARGE(('Eingabe Meldungen'!$A$2:$A$492=$B$654)*(ROW('Eingabe Meldungen'!$A$2:$A$492)-1),COUNTIF('Eingabe Meldungen'!$A$2:$A$492,$B$654)+1-ROW('Eingabe Meldungen'!A196)))),"",INDEX('Eingabe Meldungen'!$C$2:$C$492,LARGE(('Eingabe Meldungen'!$A$2:$A$492=$B$654)*(ROW('Eingabe Meldungen'!$A$2:$A$492)-1),COUNTIF('Eingabe Meldungen'!$A$2:$A$492,$B$654)+1-ROW('Eingabe Meldungen'!A196))))</f>
        <v/>
      </c>
      <c r="C713" t="str">
        <f t="array" ref="C713">IF(ISERROR(INDEX('Eingabe Meldungen'!$D$2:$D$492,LARGE(('Eingabe Meldungen'!$A$2:$A$492=$B$654)*(ROW('Eingabe Meldungen'!$A$2:$A$492)-1),COUNTIF('Eingabe Meldungen'!$A$2:$A$492,$B$654)+1-ROW('Eingabe Meldungen'!A196)))),"",INDEX('Eingabe Meldungen'!$D$2:$D$492,LARGE(('Eingabe Meldungen'!$A$2:$A$492=$B$654)*(ROW('Eingabe Meldungen'!$A$2:$A$492)-1),COUNTIF('Eingabe Meldungen'!$A$2:$A$492,$B$654)+1-ROW('Eingabe Meldungen'!A196))))</f>
        <v/>
      </c>
      <c r="D713" s="11" t="str">
        <f t="array" ref="D713">IF(B713&lt;&gt;"",INDEX('Eingabe Meldungen'!$C$2:$H$492,MATCH(B713&amp;C713,'Eingabe Meldungen'!$C$2:$C$492&amp;'Eingabe Meldungen'!$D$2:$D$492,0),6),"")</f>
        <v/>
      </c>
      <c r="E713" s="66" t="str">
        <f t="array" ref="E713">IF(B713&lt;&gt;"",INDEX('Eingabe Meldungen'!$C$2:$H$492,MATCH(B713&amp;C713,'Eingabe Meldungen'!$C$2:$C$492&amp;'Eingabe Meldungen'!$D$2:$D$492,0),4),"")</f>
        <v/>
      </c>
      <c r="F713" s="32" t="e">
        <f>IF(VLOOKUP(B713,Rennlisten!$B$365:$J$393,10,FALSE)=0,"",VLOOKUP(B713,Rennlisten!$B$365:$J$393,10,FALSE))</f>
        <v>#REF!</v>
      </c>
      <c r="G713" t="e">
        <f t="shared" si="78"/>
        <v>#REF!</v>
      </c>
      <c r="H713" s="21" t="str">
        <f t="array" ref="H713">IF(B713&lt;&gt;"",INDEX('Eingabe Meldungen'!$C$2:$J$492,MATCH(B713&amp;C713,'Eingabe Meldungen'!$C$2:$C$492&amp;'Eingabe Meldungen'!$D$2:$D$492,0),8),"")</f>
        <v/>
      </c>
      <c r="J713" s="20" t="str">
        <f t="shared" si="79"/>
        <v/>
      </c>
      <c r="K713" s="20" t="str">
        <f t="shared" si="79"/>
        <v/>
      </c>
      <c r="L713" s="20" t="e">
        <f>IF(EXACT($H713,#REF!),$I713,"")</f>
        <v>#REF!</v>
      </c>
      <c r="M713" s="20" t="str">
        <f t="shared" si="77"/>
        <v/>
      </c>
      <c r="N713" s="20" t="str">
        <f t="shared" si="82"/>
        <v/>
      </c>
      <c r="O713" s="20" t="str">
        <f t="shared" si="82"/>
        <v/>
      </c>
      <c r="P713" s="20" t="str">
        <f t="shared" si="82"/>
        <v/>
      </c>
      <c r="Q713" s="20" t="str">
        <f t="shared" si="82"/>
        <v/>
      </c>
      <c r="R713" s="20" t="str">
        <f t="shared" si="82"/>
        <v/>
      </c>
      <c r="S713" s="20" t="str">
        <f t="shared" si="82"/>
        <v/>
      </c>
      <c r="T713" s="20" t="str">
        <f t="shared" si="82"/>
        <v/>
      </c>
      <c r="U713" s="20" t="str">
        <f t="shared" si="82"/>
        <v/>
      </c>
      <c r="V713" s="20" t="str">
        <f t="shared" si="82"/>
        <v/>
      </c>
      <c r="W713" s="20">
        <f t="shared" si="82"/>
        <v>0</v>
      </c>
      <c r="X713" s="20">
        <f t="shared" si="83"/>
        <v>0</v>
      </c>
      <c r="Y713" s="20">
        <f t="shared" si="83"/>
        <v>0</v>
      </c>
      <c r="Z713" s="20">
        <f t="shared" si="83"/>
        <v>0</v>
      </c>
      <c r="AA713" s="20">
        <f t="shared" si="83"/>
        <v>0</v>
      </c>
      <c r="AB713" s="20">
        <f t="shared" si="83"/>
        <v>0</v>
      </c>
      <c r="AC713" s="20">
        <f t="shared" si="83"/>
        <v>0</v>
      </c>
      <c r="AD713" s="20">
        <f t="shared" si="83"/>
        <v>0</v>
      </c>
      <c r="AE713" s="20"/>
      <c r="AF713" s="20"/>
      <c r="AG713" s="20">
        <f t="shared" si="83"/>
        <v>0</v>
      </c>
      <c r="AH713" s="20">
        <f t="shared" si="83"/>
        <v>0</v>
      </c>
      <c r="AI713" s="20">
        <f t="shared" si="83"/>
        <v>0</v>
      </c>
    </row>
    <row r="714" spans="2:35" hidden="1" x14ac:dyDescent="0.2">
      <c r="B714" s="20" t="str">
        <f t="array" ref="B714">IF(ISERROR(INDEX('Eingabe Meldungen'!$C$2:$C$492,LARGE(('Eingabe Meldungen'!$A$2:$A$492=$B$654)*(ROW('Eingabe Meldungen'!$A$2:$A$492)-1),COUNTIF('Eingabe Meldungen'!$A$2:$A$492,$B$654)+1-ROW('Eingabe Meldungen'!A54)))),"",INDEX('Eingabe Meldungen'!$C$2:$C$492,LARGE(('Eingabe Meldungen'!$A$2:$A$492=$B$654)*(ROW('Eingabe Meldungen'!$A$2:$A$492)-1),COUNTIF('Eingabe Meldungen'!$A$2:$A$492,$B$654)+1-ROW('Eingabe Meldungen'!A54))))</f>
        <v/>
      </c>
      <c r="C714" t="str">
        <f t="array" ref="C714">IF(ISERROR(INDEX('Eingabe Meldungen'!$D$2:$D$492,LARGE(('Eingabe Meldungen'!$A$2:$A$492=$B$654)*(ROW('Eingabe Meldungen'!$A$2:$A$492)-1),COUNTIF('Eingabe Meldungen'!$A$2:$A$492,$B$654)+1-ROW('Eingabe Meldungen'!A54)))),"",INDEX('Eingabe Meldungen'!$D$2:$D$492,LARGE(('Eingabe Meldungen'!$A$2:$A$492=$B$654)*(ROW('Eingabe Meldungen'!$A$2:$A$492)-1),COUNTIF('Eingabe Meldungen'!$A$2:$A$492,$B$654)+1-ROW('Eingabe Meldungen'!A54))))</f>
        <v/>
      </c>
      <c r="D714" s="11" t="str">
        <f t="array" ref="D714">IF(B714&lt;&gt;"",INDEX('Eingabe Meldungen'!$C$2:$H$492,MATCH(B714&amp;C714,'Eingabe Meldungen'!$C$2:$C$492&amp;'Eingabe Meldungen'!$D$2:$D$492,0),6),"")</f>
        <v/>
      </c>
      <c r="E714" s="66" t="str">
        <f t="array" ref="E714">IF(B714&lt;&gt;"",INDEX('Eingabe Meldungen'!$C$2:$H$492,MATCH(B714&amp;C714,'Eingabe Meldungen'!$C$2:$C$492&amp;'Eingabe Meldungen'!$D$2:$D$492,0),4),"")</f>
        <v/>
      </c>
      <c r="F714" s="32" t="e">
        <f>IF(VLOOKUP(B714,Rennlisten!$B$365:$J$393,10,FALSE)=0,"",VLOOKUP(B714,Rennlisten!$B$365:$J$393,10,FALSE))</f>
        <v>#REF!</v>
      </c>
      <c r="G714" t="e">
        <f t="shared" si="78"/>
        <v>#REF!</v>
      </c>
      <c r="H714" s="21" t="str">
        <f t="array" ref="H714">IF(B714&lt;&gt;"",INDEX('Eingabe Meldungen'!$C$2:$J$492,MATCH(B714&amp;C714,'Eingabe Meldungen'!$C$2:$C$492&amp;'Eingabe Meldungen'!$D$2:$D$492,0),8),"")</f>
        <v/>
      </c>
      <c r="J714" s="20" t="str">
        <f t="shared" ref="J714:K719" si="84">IF(EXACT($H714,J$4),$I714,"")</f>
        <v/>
      </c>
      <c r="K714" s="20" t="str">
        <f t="shared" si="84"/>
        <v/>
      </c>
      <c r="L714" s="20" t="e">
        <f>IF(EXACT($H714,#REF!),$I714,"")</f>
        <v>#REF!</v>
      </c>
      <c r="M714" s="20" t="str">
        <f t="shared" si="77"/>
        <v/>
      </c>
      <c r="N714" s="20" t="str">
        <f t="shared" ref="N714:W719" si="85">IF(EXACT($H714,N$4),$I714,"")</f>
        <v/>
      </c>
      <c r="O714" s="20" t="str">
        <f t="shared" si="85"/>
        <v/>
      </c>
      <c r="P714" s="20" t="str">
        <f t="shared" si="85"/>
        <v/>
      </c>
      <c r="Q714" s="20" t="str">
        <f t="shared" si="85"/>
        <v/>
      </c>
      <c r="R714" s="20" t="str">
        <f t="shared" si="85"/>
        <v/>
      </c>
      <c r="S714" s="20" t="str">
        <f t="shared" si="85"/>
        <v/>
      </c>
      <c r="T714" s="20" t="str">
        <f t="shared" si="85"/>
        <v/>
      </c>
      <c r="U714" s="20" t="str">
        <f t="shared" si="85"/>
        <v/>
      </c>
      <c r="V714" s="20" t="str">
        <f t="shared" si="85"/>
        <v/>
      </c>
      <c r="W714" s="20">
        <f t="shared" si="85"/>
        <v>0</v>
      </c>
      <c r="X714" s="20">
        <f t="shared" ref="X714:AI719" si="86">IF(EXACT($H714,X$4),$I714,"")</f>
        <v>0</v>
      </c>
      <c r="Y714" s="20">
        <f t="shared" si="86"/>
        <v>0</v>
      </c>
      <c r="Z714" s="20">
        <f t="shared" si="86"/>
        <v>0</v>
      </c>
      <c r="AA714" s="20">
        <f t="shared" si="86"/>
        <v>0</v>
      </c>
      <c r="AB714" s="20">
        <f t="shared" si="86"/>
        <v>0</v>
      </c>
      <c r="AC714" s="20">
        <f t="shared" si="86"/>
        <v>0</v>
      </c>
      <c r="AD714" s="20">
        <f t="shared" si="86"/>
        <v>0</v>
      </c>
      <c r="AE714" s="20"/>
      <c r="AF714" s="20"/>
      <c r="AG714" s="20">
        <f t="shared" si="86"/>
        <v>0</v>
      </c>
      <c r="AH714" s="20">
        <f t="shared" si="86"/>
        <v>0</v>
      </c>
      <c r="AI714" s="20">
        <f t="shared" si="86"/>
        <v>0</v>
      </c>
    </row>
    <row r="715" spans="2:35" hidden="1" x14ac:dyDescent="0.2">
      <c r="B715" s="20" t="str">
        <f t="array" ref="B715">IF(ISERROR(INDEX('Eingabe Meldungen'!$C$2:$C$492,LARGE(('Eingabe Meldungen'!$A$2:$A$492=$B$654)*(ROW('Eingabe Meldungen'!$A$2:$A$492)-1),COUNTIF('Eingabe Meldungen'!$A$2:$A$492,$B$654)+1-ROW('Eingabe Meldungen'!A55)))),"",INDEX('Eingabe Meldungen'!$C$2:$C$492,LARGE(('Eingabe Meldungen'!$A$2:$A$492=$B$654)*(ROW('Eingabe Meldungen'!$A$2:$A$492)-1),COUNTIF('Eingabe Meldungen'!$A$2:$A$492,$B$654)+1-ROW('Eingabe Meldungen'!A55))))</f>
        <v/>
      </c>
      <c r="C715" t="str">
        <f t="array" ref="C715">IF(ISERROR(INDEX('Eingabe Meldungen'!$D$2:$D$492,LARGE(('Eingabe Meldungen'!$A$2:$A$492=$B$654)*(ROW('Eingabe Meldungen'!$A$2:$A$492)-1),COUNTIF('Eingabe Meldungen'!$A$2:$A$492,$B$654)+1-ROW('Eingabe Meldungen'!A55)))),"",INDEX('Eingabe Meldungen'!$D$2:$D$492,LARGE(('Eingabe Meldungen'!$A$2:$A$492=$B$654)*(ROW('Eingabe Meldungen'!$A$2:$A$492)-1),COUNTIF('Eingabe Meldungen'!$A$2:$A$492,$B$654)+1-ROW('Eingabe Meldungen'!A55))))</f>
        <v/>
      </c>
      <c r="D715" s="11" t="str">
        <f t="array" ref="D715">IF(B715&lt;&gt;"",INDEX('Eingabe Meldungen'!$C$2:$H$492,MATCH(B715&amp;C715,'Eingabe Meldungen'!$C$2:$C$492&amp;'Eingabe Meldungen'!$D$2:$D$492,0),6),"")</f>
        <v/>
      </c>
      <c r="E715" s="66" t="str">
        <f t="array" ref="E715">IF(B715&lt;&gt;"",INDEX('Eingabe Meldungen'!$C$2:$H$492,MATCH(B715&amp;C715,'Eingabe Meldungen'!$C$2:$C$492&amp;'Eingabe Meldungen'!$D$2:$D$492,0),4),"")</f>
        <v/>
      </c>
      <c r="F715" s="32" t="e">
        <f>IF(VLOOKUP(B715,Rennlisten!$B$365:$J$393,10,FALSE)=0,"",VLOOKUP(B715,Rennlisten!$B$365:$J$393,10,FALSE))</f>
        <v>#REF!</v>
      </c>
      <c r="G715" t="e">
        <f t="shared" si="78"/>
        <v>#REF!</v>
      </c>
      <c r="H715" s="21" t="str">
        <f t="array" ref="H715">IF(B715&lt;&gt;"",INDEX('Eingabe Meldungen'!$C$2:$J$492,MATCH(B715&amp;C715,'Eingabe Meldungen'!$C$2:$C$492&amp;'Eingabe Meldungen'!$D$2:$D$492,0),8),"")</f>
        <v/>
      </c>
      <c r="J715" s="20" t="str">
        <f t="shared" si="84"/>
        <v/>
      </c>
      <c r="K715" s="20" t="str">
        <f t="shared" si="84"/>
        <v/>
      </c>
      <c r="L715" s="20" t="e">
        <f>IF(EXACT($H715,#REF!),$I715,"")</f>
        <v>#REF!</v>
      </c>
      <c r="M715" s="20" t="str">
        <f t="shared" si="77"/>
        <v/>
      </c>
      <c r="N715" s="20" t="str">
        <f t="shared" si="85"/>
        <v/>
      </c>
      <c r="O715" s="20" t="str">
        <f t="shared" si="85"/>
        <v/>
      </c>
      <c r="P715" s="20" t="str">
        <f t="shared" si="85"/>
        <v/>
      </c>
      <c r="Q715" s="20" t="str">
        <f t="shared" si="85"/>
        <v/>
      </c>
      <c r="R715" s="20" t="str">
        <f t="shared" si="85"/>
        <v/>
      </c>
      <c r="S715" s="20" t="str">
        <f t="shared" si="85"/>
        <v/>
      </c>
      <c r="T715" s="20" t="str">
        <f t="shared" si="85"/>
        <v/>
      </c>
      <c r="U715" s="20" t="str">
        <f t="shared" si="85"/>
        <v/>
      </c>
      <c r="V715" s="20" t="str">
        <f t="shared" si="85"/>
        <v/>
      </c>
      <c r="W715" s="20">
        <f t="shared" si="85"/>
        <v>0</v>
      </c>
      <c r="X715" s="20">
        <f t="shared" si="86"/>
        <v>0</v>
      </c>
      <c r="Y715" s="20">
        <f t="shared" si="86"/>
        <v>0</v>
      </c>
      <c r="Z715" s="20">
        <f t="shared" si="86"/>
        <v>0</v>
      </c>
      <c r="AA715" s="20">
        <f t="shared" si="86"/>
        <v>0</v>
      </c>
      <c r="AB715" s="20">
        <f t="shared" si="86"/>
        <v>0</v>
      </c>
      <c r="AC715" s="20">
        <f t="shared" si="86"/>
        <v>0</v>
      </c>
      <c r="AD715" s="20">
        <f t="shared" si="86"/>
        <v>0</v>
      </c>
      <c r="AE715" s="20"/>
      <c r="AF715" s="20"/>
      <c r="AG715" s="20">
        <f t="shared" si="86"/>
        <v>0</v>
      </c>
      <c r="AH715" s="20">
        <f t="shared" si="86"/>
        <v>0</v>
      </c>
      <c r="AI715" s="20">
        <f t="shared" si="86"/>
        <v>0</v>
      </c>
    </row>
    <row r="716" spans="2:35" hidden="1" x14ac:dyDescent="0.2">
      <c r="B716" s="20" t="str">
        <f t="array" ref="B716">IF(ISERROR(INDEX('Eingabe Meldungen'!$C$2:$C$492,LARGE(('Eingabe Meldungen'!$A$2:$A$492=$B$654)*(ROW('Eingabe Meldungen'!$A$2:$A$492)-1),COUNTIF('Eingabe Meldungen'!$A$2:$A$492,$B$654)+1-ROW('Eingabe Meldungen'!A56)))),"",INDEX('Eingabe Meldungen'!$C$2:$C$492,LARGE(('Eingabe Meldungen'!$A$2:$A$492=$B$654)*(ROW('Eingabe Meldungen'!$A$2:$A$492)-1),COUNTIF('Eingabe Meldungen'!$A$2:$A$492,$B$654)+1-ROW('Eingabe Meldungen'!A56))))</f>
        <v/>
      </c>
      <c r="C716" t="str">
        <f t="array" ref="C716">IF(ISERROR(INDEX('Eingabe Meldungen'!$D$2:$D$492,LARGE(('Eingabe Meldungen'!$A$2:$A$492=$B$654)*(ROW('Eingabe Meldungen'!$A$2:$A$492)-1),COUNTIF('Eingabe Meldungen'!$A$2:$A$492,$B$654)+1-ROW('Eingabe Meldungen'!A56)))),"",INDEX('Eingabe Meldungen'!$D$2:$D$492,LARGE(('Eingabe Meldungen'!$A$2:$A$492=$B$654)*(ROW('Eingabe Meldungen'!$A$2:$A$492)-1),COUNTIF('Eingabe Meldungen'!$A$2:$A$492,$B$654)+1-ROW('Eingabe Meldungen'!A56))))</f>
        <v/>
      </c>
      <c r="D716" s="11" t="str">
        <f t="array" ref="D716">IF(B716&lt;&gt;"",INDEX('Eingabe Meldungen'!$C$2:$H$492,MATCH(B716&amp;C716,'Eingabe Meldungen'!$C$2:$C$492&amp;'Eingabe Meldungen'!$D$2:$D$492,0),6),"")</f>
        <v/>
      </c>
      <c r="E716" s="66" t="str">
        <f t="array" ref="E716">IF(B716&lt;&gt;"",INDEX('Eingabe Meldungen'!$C$2:$H$492,MATCH(B716&amp;C716,'Eingabe Meldungen'!$C$2:$C$492&amp;'Eingabe Meldungen'!$D$2:$D$492,0),4),"")</f>
        <v/>
      </c>
      <c r="F716" s="32" t="e">
        <f>IF(VLOOKUP(B716,Rennlisten!$B$365:$J$393,10,FALSE)=0,"",VLOOKUP(B716,Rennlisten!$B$365:$J$393,10,FALSE))</f>
        <v>#REF!</v>
      </c>
      <c r="G716" t="e">
        <f t="shared" si="78"/>
        <v>#REF!</v>
      </c>
      <c r="H716" s="21" t="str">
        <f t="array" ref="H716">IF(B716&lt;&gt;"",INDEX('Eingabe Meldungen'!$C$2:$J$492,MATCH(B716&amp;C716,'Eingabe Meldungen'!$C$2:$C$492&amp;'Eingabe Meldungen'!$D$2:$D$492,0),8),"")</f>
        <v/>
      </c>
      <c r="J716" s="20" t="str">
        <f t="shared" si="84"/>
        <v/>
      </c>
      <c r="K716" s="20" t="str">
        <f t="shared" si="84"/>
        <v/>
      </c>
      <c r="L716" s="20" t="e">
        <f>IF(EXACT($H716,#REF!),$I716,"")</f>
        <v>#REF!</v>
      </c>
      <c r="M716" s="20" t="str">
        <f t="shared" si="77"/>
        <v/>
      </c>
      <c r="N716" s="20" t="str">
        <f t="shared" si="85"/>
        <v/>
      </c>
      <c r="O716" s="20" t="str">
        <f t="shared" si="85"/>
        <v/>
      </c>
      <c r="P716" s="20" t="str">
        <f t="shared" si="85"/>
        <v/>
      </c>
      <c r="Q716" s="20" t="str">
        <f t="shared" si="85"/>
        <v/>
      </c>
      <c r="R716" s="20" t="str">
        <f t="shared" si="85"/>
        <v/>
      </c>
      <c r="S716" s="20" t="str">
        <f t="shared" si="85"/>
        <v/>
      </c>
      <c r="T716" s="20" t="str">
        <f t="shared" si="85"/>
        <v/>
      </c>
      <c r="U716" s="20" t="str">
        <f t="shared" si="85"/>
        <v/>
      </c>
      <c r="V716" s="20" t="str">
        <f t="shared" si="85"/>
        <v/>
      </c>
      <c r="W716" s="20">
        <f t="shared" si="85"/>
        <v>0</v>
      </c>
      <c r="X716" s="20">
        <f t="shared" si="86"/>
        <v>0</v>
      </c>
      <c r="Y716" s="20">
        <f t="shared" si="86"/>
        <v>0</v>
      </c>
      <c r="Z716" s="20">
        <f t="shared" si="86"/>
        <v>0</v>
      </c>
      <c r="AA716" s="20">
        <f t="shared" si="86"/>
        <v>0</v>
      </c>
      <c r="AB716" s="20">
        <f t="shared" si="86"/>
        <v>0</v>
      </c>
      <c r="AC716" s="20">
        <f t="shared" si="86"/>
        <v>0</v>
      </c>
      <c r="AD716" s="20">
        <f t="shared" si="86"/>
        <v>0</v>
      </c>
      <c r="AE716" s="20"/>
      <c r="AF716" s="20"/>
      <c r="AG716" s="20">
        <f t="shared" si="86"/>
        <v>0</v>
      </c>
      <c r="AH716" s="20">
        <f t="shared" si="86"/>
        <v>0</v>
      </c>
      <c r="AI716" s="20">
        <f t="shared" si="86"/>
        <v>0</v>
      </c>
    </row>
    <row r="717" spans="2:35" hidden="1" x14ac:dyDescent="0.2">
      <c r="B717" s="20" t="str">
        <f t="array" ref="B717">IF(ISERROR(INDEX('Eingabe Meldungen'!$C$2:$C$492,LARGE(('Eingabe Meldungen'!$A$2:$A$492=$B$654)*(ROW('Eingabe Meldungen'!$A$2:$A$492)-1),COUNTIF('Eingabe Meldungen'!$A$2:$A$492,$B$654)+1-ROW('Eingabe Meldungen'!A57)))),"",INDEX('Eingabe Meldungen'!$C$2:$C$492,LARGE(('Eingabe Meldungen'!$A$2:$A$492=$B$654)*(ROW('Eingabe Meldungen'!$A$2:$A$492)-1),COUNTIF('Eingabe Meldungen'!$A$2:$A$492,$B$654)+1-ROW('Eingabe Meldungen'!A57))))</f>
        <v/>
      </c>
      <c r="C717" t="str">
        <f t="array" ref="C717">IF(ISERROR(INDEX('Eingabe Meldungen'!$D$2:$D$492,LARGE(('Eingabe Meldungen'!$A$2:$A$492=$B$654)*(ROW('Eingabe Meldungen'!$A$2:$A$492)-1),COUNTIF('Eingabe Meldungen'!$A$2:$A$492,$B$654)+1-ROW('Eingabe Meldungen'!A57)))),"",INDEX('Eingabe Meldungen'!$D$2:$D$492,LARGE(('Eingabe Meldungen'!$A$2:$A$492=$B$654)*(ROW('Eingabe Meldungen'!$A$2:$A$492)-1),COUNTIF('Eingabe Meldungen'!$A$2:$A$492,$B$654)+1-ROW('Eingabe Meldungen'!A57))))</f>
        <v/>
      </c>
      <c r="D717" s="11" t="str">
        <f t="array" ref="D717">IF(B717&lt;&gt;"",INDEX('Eingabe Meldungen'!$C$2:$H$492,MATCH(B717&amp;C717,'Eingabe Meldungen'!$C$2:$C$492&amp;'Eingabe Meldungen'!$D$2:$D$492,0),6),"")</f>
        <v/>
      </c>
      <c r="E717" s="66" t="str">
        <f t="array" ref="E717">IF(B717&lt;&gt;"",INDEX('Eingabe Meldungen'!$C$2:$H$492,MATCH(B717&amp;C717,'Eingabe Meldungen'!$C$2:$C$492&amp;'Eingabe Meldungen'!$D$2:$D$492,0),4),"")</f>
        <v/>
      </c>
      <c r="F717" s="32" t="e">
        <f>IF(VLOOKUP(B717,Rennlisten!$B$365:$J$393,10,FALSE)=0,"",VLOOKUP(B717,Rennlisten!$B$365:$J$393,10,FALSE))</f>
        <v>#REF!</v>
      </c>
      <c r="G717" t="e">
        <f t="shared" si="78"/>
        <v>#REF!</v>
      </c>
      <c r="H717" s="21" t="str">
        <f t="array" ref="H717">IF(B717&lt;&gt;"",INDEX('Eingabe Meldungen'!$C$2:$J$492,MATCH(B717&amp;C717,'Eingabe Meldungen'!$C$2:$C$492&amp;'Eingabe Meldungen'!$D$2:$D$492,0),8),"")</f>
        <v/>
      </c>
      <c r="J717" s="20" t="str">
        <f t="shared" si="84"/>
        <v/>
      </c>
      <c r="K717" s="20" t="str">
        <f t="shared" si="84"/>
        <v/>
      </c>
      <c r="L717" s="20" t="e">
        <f>IF(EXACT($H717,#REF!),$I717,"")</f>
        <v>#REF!</v>
      </c>
      <c r="M717" s="20" t="str">
        <f t="shared" si="77"/>
        <v/>
      </c>
      <c r="N717" s="20" t="str">
        <f t="shared" si="85"/>
        <v/>
      </c>
      <c r="O717" s="20" t="str">
        <f t="shared" si="85"/>
        <v/>
      </c>
      <c r="P717" s="20" t="str">
        <f t="shared" si="85"/>
        <v/>
      </c>
      <c r="Q717" s="20" t="str">
        <f t="shared" si="85"/>
        <v/>
      </c>
      <c r="R717" s="20" t="str">
        <f t="shared" si="85"/>
        <v/>
      </c>
      <c r="S717" s="20" t="str">
        <f t="shared" si="85"/>
        <v/>
      </c>
      <c r="T717" s="20" t="str">
        <f t="shared" si="85"/>
        <v/>
      </c>
      <c r="U717" s="20" t="str">
        <f t="shared" si="85"/>
        <v/>
      </c>
      <c r="V717" s="20" t="str">
        <f t="shared" si="85"/>
        <v/>
      </c>
      <c r="W717" s="20">
        <f t="shared" si="85"/>
        <v>0</v>
      </c>
      <c r="X717" s="20">
        <f t="shared" si="86"/>
        <v>0</v>
      </c>
      <c r="Y717" s="20">
        <f t="shared" si="86"/>
        <v>0</v>
      </c>
      <c r="Z717" s="20">
        <f t="shared" si="86"/>
        <v>0</v>
      </c>
      <c r="AA717" s="20">
        <f t="shared" si="86"/>
        <v>0</v>
      </c>
      <c r="AB717" s="20">
        <f t="shared" si="86"/>
        <v>0</v>
      </c>
      <c r="AC717" s="20">
        <f t="shared" si="86"/>
        <v>0</v>
      </c>
      <c r="AD717" s="20">
        <f t="shared" si="86"/>
        <v>0</v>
      </c>
      <c r="AE717" s="20"/>
      <c r="AF717" s="20"/>
      <c r="AG717" s="20">
        <f t="shared" si="86"/>
        <v>0</v>
      </c>
      <c r="AH717" s="20">
        <f t="shared" si="86"/>
        <v>0</v>
      </c>
      <c r="AI717" s="20">
        <f t="shared" si="86"/>
        <v>0</v>
      </c>
    </row>
    <row r="718" spans="2:35" hidden="1" x14ac:dyDescent="0.2">
      <c r="B718" s="20" t="str">
        <f t="array" ref="B718">IF(ISERROR(INDEX('Eingabe Meldungen'!$C$2:$C$492,LARGE(('Eingabe Meldungen'!$A$2:$A$492=$B$654)*(ROW('Eingabe Meldungen'!$A$2:$A$492)-1),COUNTIF('Eingabe Meldungen'!$A$2:$A$492,$B$654)+1-ROW('Eingabe Meldungen'!A58)))),"",INDEX('Eingabe Meldungen'!$C$2:$C$492,LARGE(('Eingabe Meldungen'!$A$2:$A$492=$B$654)*(ROW('Eingabe Meldungen'!$A$2:$A$492)-1),COUNTIF('Eingabe Meldungen'!$A$2:$A$492,$B$654)+1-ROW('Eingabe Meldungen'!A58))))</f>
        <v/>
      </c>
      <c r="C718" t="str">
        <f t="array" ref="C718">IF(ISERROR(INDEX('Eingabe Meldungen'!$D$2:$D$492,LARGE(('Eingabe Meldungen'!$A$2:$A$492=$B$654)*(ROW('Eingabe Meldungen'!$A$2:$A$492)-1),COUNTIF('Eingabe Meldungen'!$A$2:$A$492,$B$654)+1-ROW('Eingabe Meldungen'!A58)))),"",INDEX('Eingabe Meldungen'!$D$2:$D$492,LARGE(('Eingabe Meldungen'!$A$2:$A$492=$B$654)*(ROW('Eingabe Meldungen'!$A$2:$A$492)-1),COUNTIF('Eingabe Meldungen'!$A$2:$A$492,$B$654)+1-ROW('Eingabe Meldungen'!A58))))</f>
        <v/>
      </c>
      <c r="D718" s="11" t="str">
        <f t="array" ref="D718">IF(B718&lt;&gt;"",INDEX('Eingabe Meldungen'!$C$2:$H$492,MATCH(B718&amp;C718,'Eingabe Meldungen'!$C$2:$C$492&amp;'Eingabe Meldungen'!$D$2:$D$492,0),6),"")</f>
        <v/>
      </c>
      <c r="E718" s="66" t="str">
        <f t="array" ref="E718">IF(B718&lt;&gt;"",INDEX('Eingabe Meldungen'!$C$2:$H$492,MATCH(B718&amp;C718,'Eingabe Meldungen'!$C$2:$C$492&amp;'Eingabe Meldungen'!$D$2:$D$492,0),4),"")</f>
        <v/>
      </c>
      <c r="F718" s="32" t="e">
        <f>IF(VLOOKUP(B718,Rennlisten!$B$365:$J$393,10,FALSE)=0,"",VLOOKUP(B718,Rennlisten!$B$365:$J$393,10,FALSE))</f>
        <v>#REF!</v>
      </c>
      <c r="G718" t="e">
        <f t="shared" si="78"/>
        <v>#REF!</v>
      </c>
      <c r="H718" s="21" t="str">
        <f t="array" ref="H718">IF(B718&lt;&gt;"",INDEX('Eingabe Meldungen'!$C$2:$J$492,MATCH(B718&amp;C718,'Eingabe Meldungen'!$C$2:$C$492&amp;'Eingabe Meldungen'!$D$2:$D$492,0),8),"")</f>
        <v/>
      </c>
      <c r="J718" s="20" t="str">
        <f t="shared" si="84"/>
        <v/>
      </c>
      <c r="K718" s="20" t="str">
        <f t="shared" si="84"/>
        <v/>
      </c>
      <c r="L718" s="20" t="e">
        <f>IF(EXACT($H718,#REF!),$I718,"")</f>
        <v>#REF!</v>
      </c>
      <c r="M718" s="20" t="str">
        <f t="shared" ref="M718:M719" si="87">IF(EXACT($H718,L$4),$I718,"")</f>
        <v/>
      </c>
      <c r="N718" s="20" t="str">
        <f t="shared" si="85"/>
        <v/>
      </c>
      <c r="O718" s="20" t="str">
        <f t="shared" si="85"/>
        <v/>
      </c>
      <c r="P718" s="20" t="str">
        <f t="shared" si="85"/>
        <v/>
      </c>
      <c r="Q718" s="20" t="str">
        <f t="shared" si="85"/>
        <v/>
      </c>
      <c r="R718" s="20" t="str">
        <f t="shared" si="85"/>
        <v/>
      </c>
      <c r="S718" s="20" t="str">
        <f t="shared" si="85"/>
        <v/>
      </c>
      <c r="T718" s="20" t="str">
        <f t="shared" si="85"/>
        <v/>
      </c>
      <c r="U718" s="20" t="str">
        <f t="shared" si="85"/>
        <v/>
      </c>
      <c r="V718" s="20" t="str">
        <f t="shared" si="85"/>
        <v/>
      </c>
      <c r="W718" s="20">
        <f t="shared" si="85"/>
        <v>0</v>
      </c>
      <c r="X718" s="20">
        <f t="shared" si="86"/>
        <v>0</v>
      </c>
      <c r="Y718" s="20">
        <f t="shared" si="86"/>
        <v>0</v>
      </c>
      <c r="Z718" s="20">
        <f t="shared" si="86"/>
        <v>0</v>
      </c>
      <c r="AA718" s="20">
        <f t="shared" si="86"/>
        <v>0</v>
      </c>
      <c r="AB718" s="20">
        <f t="shared" si="86"/>
        <v>0</v>
      </c>
      <c r="AC718" s="20">
        <f t="shared" si="86"/>
        <v>0</v>
      </c>
      <c r="AD718" s="20">
        <f t="shared" si="86"/>
        <v>0</v>
      </c>
      <c r="AE718" s="20"/>
      <c r="AF718" s="20"/>
      <c r="AG718" s="20">
        <f t="shared" si="86"/>
        <v>0</v>
      </c>
      <c r="AH718" s="20">
        <f t="shared" si="86"/>
        <v>0</v>
      </c>
      <c r="AI718" s="20">
        <f t="shared" si="86"/>
        <v>0</v>
      </c>
    </row>
    <row r="719" spans="2:35" ht="13.2" hidden="1" thickBot="1" x14ac:dyDescent="0.25">
      <c r="B719" s="22" t="str">
        <f t="array" ref="B719">IF(ISERROR(INDEX('Eingabe Meldungen'!$C$2:$C$492,LARGE(('Eingabe Meldungen'!$A$2:$A$492=$B$654)*(ROW('Eingabe Meldungen'!$A$2:$A$492)-1),COUNTIF('Eingabe Meldungen'!$A$2:$A$492,$B$654)+1-ROW('Eingabe Meldungen'!A59)))),"",INDEX('Eingabe Meldungen'!$C$2:$C$492,LARGE(('Eingabe Meldungen'!$A$2:$A$492=$B$654)*(ROW('Eingabe Meldungen'!$A$2:$A$492)-1),COUNTIF('Eingabe Meldungen'!$A$2:$A$492,$B$654)+1-ROW('Eingabe Meldungen'!A59))))</f>
        <v/>
      </c>
      <c r="C719" s="14" t="str">
        <f t="array" ref="C719">IF(ISERROR(INDEX('Eingabe Meldungen'!$D$2:$D$492,LARGE(('Eingabe Meldungen'!$A$2:$A$492=$B$654)*(ROW('Eingabe Meldungen'!$A$2:$A$492)-1),COUNTIF('Eingabe Meldungen'!$A$2:$A$492,$B$654)+1-ROW('Eingabe Meldungen'!A59)))),"",INDEX('Eingabe Meldungen'!$D$2:$D$492,LARGE(('Eingabe Meldungen'!$A$2:$A$492=$B$654)*(ROW('Eingabe Meldungen'!$A$2:$A$492)-1),COUNTIF('Eingabe Meldungen'!$A$2:$A$492,$B$654)+1-ROW('Eingabe Meldungen'!A59))))</f>
        <v/>
      </c>
      <c r="D719" s="12" t="str">
        <f t="array" ref="D719">IF(B719&lt;&gt;"",INDEX('Eingabe Meldungen'!$C$2:$H$492,MATCH(B719&amp;C719,'Eingabe Meldungen'!$C$2:$C$492&amp;'Eingabe Meldungen'!$D$2:$D$492,0),6),"")</f>
        <v/>
      </c>
      <c r="E719" s="99" t="str">
        <f t="array" ref="E719">IF(B719&lt;&gt;"",INDEX('Eingabe Meldungen'!$C$2:$H$492,MATCH(B719&amp;C719,'Eingabe Meldungen'!$C$2:$C$492&amp;'Eingabe Meldungen'!$D$2:$D$492,0),4),"")</f>
        <v/>
      </c>
      <c r="F719" s="33" t="e">
        <f>IF(VLOOKUP(B719,Rennlisten!$B$365:$J$393,10,FALSE)=0,"",VLOOKUP(B719,Rennlisten!$B$365:$J$393,10,FALSE))</f>
        <v>#REF!</v>
      </c>
      <c r="G719" s="14" t="e">
        <f t="shared" si="78"/>
        <v>#REF!</v>
      </c>
      <c r="H719" s="23" t="str">
        <f t="array" ref="H719">IF(B719&lt;&gt;"",INDEX('Eingabe Meldungen'!$C$2:$J$492,MATCH(B719&amp;C719,'Eingabe Meldungen'!$C$2:$C$492&amp;'Eingabe Meldungen'!$D$2:$D$492,0),8),"")</f>
        <v/>
      </c>
      <c r="J719" s="20" t="str">
        <f t="shared" si="84"/>
        <v/>
      </c>
      <c r="K719" s="20" t="str">
        <f t="shared" si="84"/>
        <v/>
      </c>
      <c r="L719" s="20" t="e">
        <f>IF(EXACT($H719,#REF!),$I719,"")</f>
        <v>#REF!</v>
      </c>
      <c r="M719" s="20" t="str">
        <f t="shared" si="87"/>
        <v/>
      </c>
      <c r="N719" s="20" t="str">
        <f t="shared" si="85"/>
        <v/>
      </c>
      <c r="O719" s="20" t="str">
        <f t="shared" si="85"/>
        <v/>
      </c>
      <c r="P719" s="20" t="str">
        <f t="shared" si="85"/>
        <v/>
      </c>
      <c r="Q719" s="20" t="str">
        <f t="shared" si="85"/>
        <v/>
      </c>
      <c r="R719" s="20" t="str">
        <f t="shared" si="85"/>
        <v/>
      </c>
      <c r="S719" s="20" t="str">
        <f t="shared" si="85"/>
        <v/>
      </c>
      <c r="T719" s="20" t="str">
        <f t="shared" si="85"/>
        <v/>
      </c>
      <c r="U719" s="20" t="str">
        <f t="shared" si="85"/>
        <v/>
      </c>
      <c r="V719" s="20" t="str">
        <f t="shared" si="85"/>
        <v/>
      </c>
      <c r="W719" s="20">
        <f t="shared" si="85"/>
        <v>0</v>
      </c>
      <c r="X719" s="20">
        <f t="shared" si="86"/>
        <v>0</v>
      </c>
      <c r="Y719" s="20">
        <f t="shared" si="86"/>
        <v>0</v>
      </c>
      <c r="Z719" s="20">
        <f t="shared" si="86"/>
        <v>0</v>
      </c>
      <c r="AA719" s="20">
        <f t="shared" si="86"/>
        <v>0</v>
      </c>
      <c r="AB719" s="20">
        <f t="shared" si="86"/>
        <v>0</v>
      </c>
      <c r="AC719" s="20">
        <f t="shared" si="86"/>
        <v>0</v>
      </c>
      <c r="AD719" s="20">
        <f t="shared" si="86"/>
        <v>0</v>
      </c>
      <c r="AE719" s="20"/>
      <c r="AF719" s="20"/>
      <c r="AG719" s="20">
        <f t="shared" si="86"/>
        <v>0</v>
      </c>
      <c r="AH719" s="20">
        <f t="shared" si="86"/>
        <v>0</v>
      </c>
      <c r="AI719" s="20">
        <f t="shared" si="86"/>
        <v>0</v>
      </c>
    </row>
    <row r="720" spans="2:35" x14ac:dyDescent="0.2">
      <c r="J720"/>
    </row>
    <row r="721" spans="10:10" x14ac:dyDescent="0.2">
      <c r="J721"/>
    </row>
    <row r="722" spans="10:10" x14ac:dyDescent="0.2">
      <c r="J722"/>
    </row>
    <row r="723" spans="10:10" x14ac:dyDescent="0.2">
      <c r="J723"/>
    </row>
    <row r="724" spans="10:10" x14ac:dyDescent="0.2">
      <c r="J724"/>
    </row>
    <row r="725" spans="10:10" x14ac:dyDescent="0.2">
      <c r="J725"/>
    </row>
    <row r="726" spans="10:10" x14ac:dyDescent="0.2">
      <c r="J726"/>
    </row>
    <row r="727" spans="10:10" x14ac:dyDescent="0.2">
      <c r="J727"/>
    </row>
    <row r="728" spans="10:10" x14ac:dyDescent="0.2">
      <c r="J728"/>
    </row>
    <row r="729" spans="10:10" x14ac:dyDescent="0.2">
      <c r="J729"/>
    </row>
    <row r="730" spans="10:10" x14ac:dyDescent="0.2">
      <c r="J730"/>
    </row>
    <row r="731" spans="10:10" x14ac:dyDescent="0.2">
      <c r="J731"/>
    </row>
    <row r="732" spans="10:10" x14ac:dyDescent="0.2">
      <c r="J732"/>
    </row>
    <row r="733" spans="10:10" x14ac:dyDescent="0.2">
      <c r="J733"/>
    </row>
    <row r="734" spans="10:10" x14ac:dyDescent="0.2">
      <c r="J734"/>
    </row>
    <row r="735" spans="10:10" x14ac:dyDescent="0.2">
      <c r="J735"/>
    </row>
    <row r="736" spans="10:10" x14ac:dyDescent="0.2">
      <c r="J736"/>
    </row>
    <row r="737" spans="10:10" x14ac:dyDescent="0.2">
      <c r="J737"/>
    </row>
    <row r="738" spans="10:10" x14ac:dyDescent="0.2">
      <c r="J738"/>
    </row>
    <row r="739" spans="10:10" x14ac:dyDescent="0.2">
      <c r="J739"/>
    </row>
    <row r="740" spans="10:10" x14ac:dyDescent="0.2">
      <c r="J740"/>
    </row>
    <row r="741" spans="10:10" x14ac:dyDescent="0.2">
      <c r="J741"/>
    </row>
    <row r="742" spans="10:10" x14ac:dyDescent="0.2">
      <c r="J742"/>
    </row>
    <row r="743" spans="10:10" x14ac:dyDescent="0.2">
      <c r="J743"/>
    </row>
    <row r="744" spans="10:10" x14ac:dyDescent="0.2">
      <c r="J744"/>
    </row>
    <row r="745" spans="10:10" x14ac:dyDescent="0.2">
      <c r="J745"/>
    </row>
    <row r="746" spans="10:10" x14ac:dyDescent="0.2">
      <c r="J746"/>
    </row>
    <row r="747" spans="10:10" x14ac:dyDescent="0.2">
      <c r="J747"/>
    </row>
    <row r="748" spans="10:10" x14ac:dyDescent="0.2">
      <c r="J748"/>
    </row>
    <row r="749" spans="10:10" x14ac:dyDescent="0.2">
      <c r="J749"/>
    </row>
    <row r="750" spans="10:10" x14ac:dyDescent="0.2">
      <c r="J750"/>
    </row>
    <row r="751" spans="10:10" x14ac:dyDescent="0.2">
      <c r="J751"/>
    </row>
    <row r="752" spans="10:10" x14ac:dyDescent="0.2">
      <c r="J752"/>
    </row>
    <row r="753" spans="10:10" x14ac:dyDescent="0.2">
      <c r="J753"/>
    </row>
    <row r="754" spans="10:10" x14ac:dyDescent="0.2">
      <c r="J754"/>
    </row>
    <row r="755" spans="10:10" x14ac:dyDescent="0.2">
      <c r="J755"/>
    </row>
    <row r="756" spans="10:10" x14ac:dyDescent="0.2">
      <c r="J756"/>
    </row>
    <row r="757" spans="10:10" x14ac:dyDescent="0.2">
      <c r="J757"/>
    </row>
    <row r="758" spans="10:10" x14ac:dyDescent="0.2">
      <c r="J758"/>
    </row>
    <row r="759" spans="10:10" x14ac:dyDescent="0.2">
      <c r="J759"/>
    </row>
    <row r="760" spans="10:10" x14ac:dyDescent="0.2">
      <c r="J760"/>
    </row>
    <row r="761" spans="10:10" x14ac:dyDescent="0.2">
      <c r="J761"/>
    </row>
    <row r="762" spans="10:10" x14ac:dyDescent="0.2">
      <c r="J762"/>
    </row>
    <row r="763" spans="10:10" x14ac:dyDescent="0.2">
      <c r="J763"/>
    </row>
    <row r="764" spans="10:10" x14ac:dyDescent="0.2">
      <c r="J764"/>
    </row>
    <row r="765" spans="10:10" x14ac:dyDescent="0.2">
      <c r="J765"/>
    </row>
    <row r="766" spans="10:10" x14ac:dyDescent="0.2">
      <c r="J766"/>
    </row>
    <row r="767" spans="10:10" x14ac:dyDescent="0.2">
      <c r="J767"/>
    </row>
    <row r="768" spans="10:10" x14ac:dyDescent="0.2">
      <c r="J768"/>
    </row>
    <row r="769" spans="10:10" x14ac:dyDescent="0.2">
      <c r="J769"/>
    </row>
    <row r="770" spans="10:10" x14ac:dyDescent="0.2">
      <c r="J770"/>
    </row>
    <row r="771" spans="10:10" x14ac:dyDescent="0.2">
      <c r="J771"/>
    </row>
    <row r="772" spans="10:10" x14ac:dyDescent="0.2">
      <c r="J772"/>
    </row>
    <row r="773" spans="10:10" x14ac:dyDescent="0.2">
      <c r="J773"/>
    </row>
    <row r="774" spans="10:10" x14ac:dyDescent="0.2">
      <c r="J774"/>
    </row>
    <row r="775" spans="10:10" x14ac:dyDescent="0.2">
      <c r="J775"/>
    </row>
    <row r="776" spans="10:10" x14ac:dyDescent="0.2">
      <c r="J776"/>
    </row>
    <row r="777" spans="10:10" x14ac:dyDescent="0.2">
      <c r="J777"/>
    </row>
    <row r="778" spans="10:10" x14ac:dyDescent="0.2">
      <c r="J778"/>
    </row>
    <row r="779" spans="10:10" x14ac:dyDescent="0.2">
      <c r="J779"/>
    </row>
    <row r="780" spans="10:10" x14ac:dyDescent="0.2">
      <c r="J780"/>
    </row>
    <row r="781" spans="10:10" x14ac:dyDescent="0.2">
      <c r="J781"/>
    </row>
    <row r="782" spans="10:10" x14ac:dyDescent="0.2">
      <c r="J782"/>
    </row>
    <row r="783" spans="10:10" x14ac:dyDescent="0.2">
      <c r="J783"/>
    </row>
    <row r="784" spans="10:10" x14ac:dyDescent="0.2">
      <c r="J784"/>
    </row>
    <row r="785" spans="10:10" x14ac:dyDescent="0.2">
      <c r="J785"/>
    </row>
    <row r="786" spans="10:10" x14ac:dyDescent="0.2">
      <c r="J786"/>
    </row>
    <row r="787" spans="10:10" x14ac:dyDescent="0.2">
      <c r="J787"/>
    </row>
    <row r="788" spans="10:10" x14ac:dyDescent="0.2">
      <c r="J788"/>
    </row>
    <row r="789" spans="10:10" x14ac:dyDescent="0.2">
      <c r="J789"/>
    </row>
    <row r="790" spans="10:10" x14ac:dyDescent="0.2">
      <c r="J790"/>
    </row>
    <row r="791" spans="10:10" x14ac:dyDescent="0.2">
      <c r="J791"/>
    </row>
    <row r="792" spans="10:10" x14ac:dyDescent="0.2">
      <c r="J792"/>
    </row>
    <row r="793" spans="10:10" x14ac:dyDescent="0.2">
      <c r="J793"/>
    </row>
    <row r="794" spans="10:10" x14ac:dyDescent="0.2">
      <c r="J794"/>
    </row>
    <row r="795" spans="10:10" x14ac:dyDescent="0.2">
      <c r="J795"/>
    </row>
    <row r="796" spans="10:10" x14ac:dyDescent="0.2">
      <c r="J796"/>
    </row>
    <row r="797" spans="10:10" x14ac:dyDescent="0.2">
      <c r="J797"/>
    </row>
    <row r="798" spans="10:10" x14ac:dyDescent="0.2">
      <c r="J798"/>
    </row>
    <row r="799" spans="10:10" x14ac:dyDescent="0.2">
      <c r="J799"/>
    </row>
    <row r="800" spans="10:10" x14ac:dyDescent="0.2">
      <c r="J800"/>
    </row>
    <row r="801" spans="10:10" x14ac:dyDescent="0.2">
      <c r="J801"/>
    </row>
    <row r="802" spans="10:10" x14ac:dyDescent="0.2">
      <c r="J802"/>
    </row>
    <row r="803" spans="10:10" x14ac:dyDescent="0.2">
      <c r="J803"/>
    </row>
    <row r="804" spans="10:10" x14ac:dyDescent="0.2">
      <c r="J804"/>
    </row>
    <row r="805" spans="10:10" x14ac:dyDescent="0.2">
      <c r="J805"/>
    </row>
    <row r="806" spans="10:10" x14ac:dyDescent="0.2">
      <c r="J806"/>
    </row>
    <row r="807" spans="10:10" x14ac:dyDescent="0.2">
      <c r="J807"/>
    </row>
    <row r="808" spans="10:10" x14ac:dyDescent="0.2">
      <c r="J808"/>
    </row>
    <row r="809" spans="10:10" x14ac:dyDescent="0.2">
      <c r="J809"/>
    </row>
    <row r="810" spans="10:10" x14ac:dyDescent="0.2">
      <c r="J810"/>
    </row>
    <row r="811" spans="10:10" x14ac:dyDescent="0.2">
      <c r="J811"/>
    </row>
    <row r="812" spans="10:10" x14ac:dyDescent="0.2">
      <c r="J812"/>
    </row>
    <row r="813" spans="10:10" x14ac:dyDescent="0.2">
      <c r="J813"/>
    </row>
    <row r="814" spans="10:10" x14ac:dyDescent="0.2">
      <c r="J814"/>
    </row>
    <row r="815" spans="10:10" x14ac:dyDescent="0.2">
      <c r="J815"/>
    </row>
    <row r="816" spans="10:10" x14ac:dyDescent="0.2">
      <c r="J816"/>
    </row>
    <row r="817" spans="10:10" x14ac:dyDescent="0.2">
      <c r="J817"/>
    </row>
    <row r="818" spans="10:10" x14ac:dyDescent="0.2">
      <c r="J818"/>
    </row>
    <row r="819" spans="10:10" x14ac:dyDescent="0.2">
      <c r="J819"/>
    </row>
    <row r="820" spans="10:10" x14ac:dyDescent="0.2">
      <c r="J820"/>
    </row>
    <row r="821" spans="10:10" x14ac:dyDescent="0.2">
      <c r="J821"/>
    </row>
    <row r="822" spans="10:10" x14ac:dyDescent="0.2">
      <c r="J822"/>
    </row>
    <row r="823" spans="10:10" x14ac:dyDescent="0.2">
      <c r="J823"/>
    </row>
    <row r="824" spans="10:10" x14ac:dyDescent="0.2">
      <c r="J824"/>
    </row>
    <row r="825" spans="10:10" x14ac:dyDescent="0.2">
      <c r="J825"/>
    </row>
    <row r="826" spans="10:10" x14ac:dyDescent="0.2">
      <c r="J826"/>
    </row>
    <row r="827" spans="10:10" x14ac:dyDescent="0.2">
      <c r="J827"/>
    </row>
    <row r="828" spans="10:10" x14ac:dyDescent="0.2">
      <c r="J828"/>
    </row>
    <row r="829" spans="10:10" x14ac:dyDescent="0.2">
      <c r="J829"/>
    </row>
    <row r="830" spans="10:10" x14ac:dyDescent="0.2">
      <c r="J830"/>
    </row>
    <row r="831" spans="10:10" x14ac:dyDescent="0.2">
      <c r="J831"/>
    </row>
    <row r="832" spans="10:10" x14ac:dyDescent="0.2">
      <c r="J832"/>
    </row>
    <row r="833" spans="10:10" x14ac:dyDescent="0.2">
      <c r="J833"/>
    </row>
    <row r="834" spans="10:10" x14ac:dyDescent="0.2">
      <c r="J834"/>
    </row>
    <row r="835" spans="10:10" x14ac:dyDescent="0.2">
      <c r="J835"/>
    </row>
    <row r="836" spans="10:10" x14ac:dyDescent="0.2">
      <c r="J836"/>
    </row>
    <row r="837" spans="10:10" x14ac:dyDescent="0.2">
      <c r="J837"/>
    </row>
    <row r="838" spans="10:10" x14ac:dyDescent="0.2">
      <c r="J838"/>
    </row>
    <row r="839" spans="10:10" x14ac:dyDescent="0.2">
      <c r="J839"/>
    </row>
    <row r="840" spans="10:10" x14ac:dyDescent="0.2">
      <c r="J840"/>
    </row>
    <row r="841" spans="10:10" x14ac:dyDescent="0.2">
      <c r="J841"/>
    </row>
    <row r="842" spans="10:10" x14ac:dyDescent="0.2">
      <c r="J842"/>
    </row>
    <row r="843" spans="10:10" x14ac:dyDescent="0.2">
      <c r="J843"/>
    </row>
    <row r="844" spans="10:10" x14ac:dyDescent="0.2">
      <c r="J844"/>
    </row>
    <row r="845" spans="10:10" x14ac:dyDescent="0.2">
      <c r="J845"/>
    </row>
    <row r="846" spans="10:10" x14ac:dyDescent="0.2">
      <c r="J846"/>
    </row>
    <row r="847" spans="10:10" x14ac:dyDescent="0.2">
      <c r="J847"/>
    </row>
    <row r="848" spans="10:10" x14ac:dyDescent="0.2">
      <c r="J848"/>
    </row>
    <row r="849" spans="10:10" x14ac:dyDescent="0.2">
      <c r="J849"/>
    </row>
    <row r="850" spans="10:10" x14ac:dyDescent="0.2">
      <c r="J850"/>
    </row>
    <row r="851" spans="10:10" x14ac:dyDescent="0.2">
      <c r="J851"/>
    </row>
    <row r="852" spans="10:10" x14ac:dyDescent="0.2">
      <c r="J852"/>
    </row>
    <row r="853" spans="10:10" x14ac:dyDescent="0.2">
      <c r="J853"/>
    </row>
    <row r="854" spans="10:10" x14ac:dyDescent="0.2">
      <c r="J854"/>
    </row>
    <row r="855" spans="10:10" x14ac:dyDescent="0.2">
      <c r="J855"/>
    </row>
    <row r="856" spans="10:10" x14ac:dyDescent="0.2">
      <c r="J856"/>
    </row>
    <row r="857" spans="10:10" x14ac:dyDescent="0.2">
      <c r="J857"/>
    </row>
    <row r="858" spans="10:10" x14ac:dyDescent="0.2">
      <c r="J858"/>
    </row>
    <row r="859" spans="10:10" x14ac:dyDescent="0.2">
      <c r="J859"/>
    </row>
    <row r="860" spans="10:10" x14ac:dyDescent="0.2">
      <c r="J860"/>
    </row>
    <row r="861" spans="10:10" x14ac:dyDescent="0.2">
      <c r="J861"/>
    </row>
    <row r="862" spans="10:10" x14ac:dyDescent="0.2">
      <c r="J862"/>
    </row>
    <row r="863" spans="10:10" x14ac:dyDescent="0.2">
      <c r="J863"/>
    </row>
    <row r="864" spans="10:10" x14ac:dyDescent="0.2">
      <c r="J864"/>
    </row>
    <row r="865" spans="10:10" x14ac:dyDescent="0.2">
      <c r="J865"/>
    </row>
    <row r="866" spans="10:10" x14ac:dyDescent="0.2">
      <c r="J866"/>
    </row>
    <row r="867" spans="10:10" x14ac:dyDescent="0.2">
      <c r="J867"/>
    </row>
    <row r="868" spans="10:10" x14ac:dyDescent="0.2">
      <c r="J868"/>
    </row>
    <row r="869" spans="10:10" x14ac:dyDescent="0.2">
      <c r="J869"/>
    </row>
    <row r="870" spans="10:10" x14ac:dyDescent="0.2">
      <c r="J870"/>
    </row>
    <row r="871" spans="10:10" x14ac:dyDescent="0.2">
      <c r="J871"/>
    </row>
    <row r="872" spans="10:10" x14ac:dyDescent="0.2">
      <c r="J872"/>
    </row>
    <row r="873" spans="10:10" x14ac:dyDescent="0.2">
      <c r="J873"/>
    </row>
    <row r="874" spans="10:10" x14ac:dyDescent="0.2">
      <c r="J874"/>
    </row>
    <row r="875" spans="10:10" x14ac:dyDescent="0.2">
      <c r="J875"/>
    </row>
    <row r="876" spans="10:10" x14ac:dyDescent="0.2">
      <c r="J876"/>
    </row>
    <row r="877" spans="10:10" x14ac:dyDescent="0.2">
      <c r="J877"/>
    </row>
    <row r="878" spans="10:10" x14ac:dyDescent="0.2">
      <c r="J878"/>
    </row>
    <row r="879" spans="10:10" x14ac:dyDescent="0.2">
      <c r="J879"/>
    </row>
    <row r="880" spans="10:10" x14ac:dyDescent="0.2">
      <c r="J880"/>
    </row>
    <row r="881" spans="10:10" x14ac:dyDescent="0.2">
      <c r="J881"/>
    </row>
    <row r="882" spans="10:10" x14ac:dyDescent="0.2">
      <c r="J882"/>
    </row>
    <row r="883" spans="10:10" x14ac:dyDescent="0.2">
      <c r="J883"/>
    </row>
    <row r="884" spans="10:10" x14ac:dyDescent="0.2">
      <c r="J884"/>
    </row>
    <row r="885" spans="10:10" x14ac:dyDescent="0.2">
      <c r="J885"/>
    </row>
    <row r="886" spans="10:10" x14ac:dyDescent="0.2">
      <c r="J886"/>
    </row>
    <row r="887" spans="10:10" x14ac:dyDescent="0.2">
      <c r="J887"/>
    </row>
    <row r="888" spans="10:10" x14ac:dyDescent="0.2">
      <c r="J888"/>
    </row>
    <row r="889" spans="10:10" x14ac:dyDescent="0.2">
      <c r="J889"/>
    </row>
    <row r="890" spans="10:10" x14ac:dyDescent="0.2">
      <c r="J890"/>
    </row>
    <row r="891" spans="10:10" x14ac:dyDescent="0.2">
      <c r="J891"/>
    </row>
    <row r="892" spans="10:10" x14ac:dyDescent="0.2">
      <c r="J892"/>
    </row>
    <row r="893" spans="10:10" x14ac:dyDescent="0.2">
      <c r="J893"/>
    </row>
    <row r="894" spans="10:10" x14ac:dyDescent="0.2">
      <c r="J894"/>
    </row>
    <row r="895" spans="10:10" x14ac:dyDescent="0.2">
      <c r="J895"/>
    </row>
    <row r="896" spans="10:10" x14ac:dyDescent="0.2">
      <c r="J896"/>
    </row>
    <row r="897" spans="10:10" x14ac:dyDescent="0.2">
      <c r="J897"/>
    </row>
    <row r="898" spans="10:10" x14ac:dyDescent="0.2">
      <c r="J898"/>
    </row>
    <row r="899" spans="10:10" x14ac:dyDescent="0.2">
      <c r="J899"/>
    </row>
    <row r="900" spans="10:10" x14ac:dyDescent="0.2">
      <c r="J900"/>
    </row>
    <row r="901" spans="10:10" x14ac:dyDescent="0.2">
      <c r="J901"/>
    </row>
    <row r="902" spans="10:10" x14ac:dyDescent="0.2">
      <c r="J902"/>
    </row>
    <row r="903" spans="10:10" x14ac:dyDescent="0.2">
      <c r="J903"/>
    </row>
    <row r="904" spans="10:10" x14ac:dyDescent="0.2">
      <c r="J904"/>
    </row>
    <row r="905" spans="10:10" x14ac:dyDescent="0.2">
      <c r="J905"/>
    </row>
    <row r="906" spans="10:10" x14ac:dyDescent="0.2">
      <c r="J906"/>
    </row>
    <row r="907" spans="10:10" x14ac:dyDescent="0.2">
      <c r="J907"/>
    </row>
    <row r="908" spans="10:10" x14ac:dyDescent="0.2">
      <c r="J908"/>
    </row>
    <row r="909" spans="10:10" x14ac:dyDescent="0.2">
      <c r="J909"/>
    </row>
    <row r="910" spans="10:10" x14ac:dyDescent="0.2">
      <c r="J910"/>
    </row>
    <row r="911" spans="10:10" x14ac:dyDescent="0.2">
      <c r="J911"/>
    </row>
    <row r="912" spans="10:10" x14ac:dyDescent="0.2">
      <c r="J912"/>
    </row>
    <row r="913" spans="10:10" x14ac:dyDescent="0.2">
      <c r="J913"/>
    </row>
    <row r="914" spans="10:10" x14ac:dyDescent="0.2">
      <c r="J914"/>
    </row>
    <row r="915" spans="10:10" x14ac:dyDescent="0.2">
      <c r="J915"/>
    </row>
    <row r="916" spans="10:10" x14ac:dyDescent="0.2">
      <c r="J916"/>
    </row>
    <row r="917" spans="10:10" x14ac:dyDescent="0.2">
      <c r="J917"/>
    </row>
    <row r="918" spans="10:10" x14ac:dyDescent="0.2">
      <c r="J918"/>
    </row>
    <row r="919" spans="10:10" x14ac:dyDescent="0.2">
      <c r="J919"/>
    </row>
    <row r="920" spans="10:10" x14ac:dyDescent="0.2">
      <c r="J920"/>
    </row>
    <row r="921" spans="10:10" x14ac:dyDescent="0.2">
      <c r="J921"/>
    </row>
    <row r="922" spans="10:10" x14ac:dyDescent="0.2">
      <c r="J922"/>
    </row>
    <row r="923" spans="10:10" x14ac:dyDescent="0.2">
      <c r="J923"/>
    </row>
    <row r="924" spans="10:10" x14ac:dyDescent="0.2">
      <c r="J924"/>
    </row>
    <row r="925" spans="10:10" x14ac:dyDescent="0.2">
      <c r="J925"/>
    </row>
    <row r="926" spans="10:10" x14ac:dyDescent="0.2">
      <c r="J926"/>
    </row>
    <row r="927" spans="10:10" x14ac:dyDescent="0.2">
      <c r="J927"/>
    </row>
    <row r="928" spans="10:10" x14ac:dyDescent="0.2">
      <c r="J928"/>
    </row>
    <row r="929" spans="10:10" x14ac:dyDescent="0.2">
      <c r="J929"/>
    </row>
    <row r="930" spans="10:10" x14ac:dyDescent="0.2">
      <c r="J930"/>
    </row>
    <row r="931" spans="10:10" x14ac:dyDescent="0.2">
      <c r="J931"/>
    </row>
    <row r="932" spans="10:10" x14ac:dyDescent="0.2">
      <c r="J932"/>
    </row>
    <row r="933" spans="10:10" x14ac:dyDescent="0.2">
      <c r="J933"/>
    </row>
    <row r="934" spans="10:10" x14ac:dyDescent="0.2">
      <c r="J934"/>
    </row>
    <row r="935" spans="10:10" x14ac:dyDescent="0.2">
      <c r="J935"/>
    </row>
    <row r="936" spans="10:10" x14ac:dyDescent="0.2">
      <c r="J936"/>
    </row>
    <row r="937" spans="10:10" x14ac:dyDescent="0.2">
      <c r="J937"/>
    </row>
    <row r="938" spans="10:10" x14ac:dyDescent="0.2">
      <c r="J938"/>
    </row>
    <row r="939" spans="10:10" x14ac:dyDescent="0.2">
      <c r="J939"/>
    </row>
    <row r="940" spans="10:10" x14ac:dyDescent="0.2">
      <c r="J940"/>
    </row>
    <row r="941" spans="10:10" x14ac:dyDescent="0.2">
      <c r="J941"/>
    </row>
    <row r="942" spans="10:10" x14ac:dyDescent="0.2">
      <c r="J942"/>
    </row>
    <row r="943" spans="10:10" x14ac:dyDescent="0.2">
      <c r="J943"/>
    </row>
    <row r="944" spans="10:10" x14ac:dyDescent="0.2">
      <c r="J944"/>
    </row>
    <row r="945" spans="10:10" x14ac:dyDescent="0.2">
      <c r="J945"/>
    </row>
    <row r="946" spans="10:10" x14ac:dyDescent="0.2">
      <c r="J946"/>
    </row>
    <row r="947" spans="10:10" x14ac:dyDescent="0.2">
      <c r="J947"/>
    </row>
    <row r="948" spans="10:10" x14ac:dyDescent="0.2">
      <c r="J948"/>
    </row>
    <row r="949" spans="10:10" x14ac:dyDescent="0.2">
      <c r="J949"/>
    </row>
    <row r="950" spans="10:10" x14ac:dyDescent="0.2">
      <c r="J950"/>
    </row>
    <row r="951" spans="10:10" x14ac:dyDescent="0.2">
      <c r="J951"/>
    </row>
    <row r="952" spans="10:10" x14ac:dyDescent="0.2">
      <c r="J952"/>
    </row>
    <row r="953" spans="10:10" x14ac:dyDescent="0.2">
      <c r="J953"/>
    </row>
    <row r="954" spans="10:10" x14ac:dyDescent="0.2">
      <c r="J954"/>
    </row>
    <row r="955" spans="10:10" x14ac:dyDescent="0.2">
      <c r="J955"/>
    </row>
    <row r="956" spans="10:10" x14ac:dyDescent="0.2">
      <c r="J956"/>
    </row>
    <row r="957" spans="10:10" x14ac:dyDescent="0.2">
      <c r="J957"/>
    </row>
    <row r="958" spans="10:10" x14ac:dyDescent="0.2">
      <c r="J958"/>
    </row>
    <row r="959" spans="10:10" x14ac:dyDescent="0.2">
      <c r="J959"/>
    </row>
    <row r="960" spans="10:10" x14ac:dyDescent="0.2">
      <c r="J960"/>
    </row>
    <row r="961" spans="10:10" x14ac:dyDescent="0.2">
      <c r="J961"/>
    </row>
    <row r="962" spans="10:10" x14ac:dyDescent="0.2">
      <c r="J962"/>
    </row>
    <row r="963" spans="10:10" x14ac:dyDescent="0.2">
      <c r="J963"/>
    </row>
    <row r="964" spans="10:10" x14ac:dyDescent="0.2">
      <c r="J964"/>
    </row>
    <row r="965" spans="10:10" x14ac:dyDescent="0.2">
      <c r="J965"/>
    </row>
    <row r="966" spans="10:10" x14ac:dyDescent="0.2">
      <c r="J966"/>
    </row>
    <row r="967" spans="10:10" x14ac:dyDescent="0.2">
      <c r="J967"/>
    </row>
    <row r="968" spans="10:10" x14ac:dyDescent="0.2">
      <c r="J968"/>
    </row>
    <row r="969" spans="10:10" x14ac:dyDescent="0.2">
      <c r="J969"/>
    </row>
    <row r="970" spans="10:10" x14ac:dyDescent="0.2">
      <c r="J970"/>
    </row>
    <row r="971" spans="10:10" x14ac:dyDescent="0.2">
      <c r="J971"/>
    </row>
    <row r="972" spans="10:10" x14ac:dyDescent="0.2">
      <c r="J972"/>
    </row>
    <row r="973" spans="10:10" x14ac:dyDescent="0.2">
      <c r="J973"/>
    </row>
    <row r="974" spans="10:10" x14ac:dyDescent="0.2">
      <c r="J974"/>
    </row>
    <row r="975" spans="10:10" x14ac:dyDescent="0.2">
      <c r="J975"/>
    </row>
    <row r="976" spans="10:10" x14ac:dyDescent="0.2">
      <c r="J976"/>
    </row>
    <row r="977" spans="10:10" x14ac:dyDescent="0.2">
      <c r="J977"/>
    </row>
    <row r="978" spans="10:10" x14ac:dyDescent="0.2">
      <c r="J978"/>
    </row>
    <row r="979" spans="10:10" x14ac:dyDescent="0.2">
      <c r="J979"/>
    </row>
    <row r="980" spans="10:10" x14ac:dyDescent="0.2">
      <c r="J980"/>
    </row>
    <row r="981" spans="10:10" x14ac:dyDescent="0.2">
      <c r="J981"/>
    </row>
    <row r="982" spans="10:10" x14ac:dyDescent="0.2">
      <c r="J982"/>
    </row>
    <row r="983" spans="10:10" x14ac:dyDescent="0.2">
      <c r="J983"/>
    </row>
    <row r="984" spans="10:10" x14ac:dyDescent="0.2">
      <c r="J984"/>
    </row>
    <row r="985" spans="10:10" x14ac:dyDescent="0.2">
      <c r="J985"/>
    </row>
    <row r="986" spans="10:10" x14ac:dyDescent="0.2">
      <c r="J986"/>
    </row>
    <row r="987" spans="10:10" x14ac:dyDescent="0.2">
      <c r="J987"/>
    </row>
    <row r="988" spans="10:10" x14ac:dyDescent="0.2">
      <c r="J988"/>
    </row>
    <row r="989" spans="10:10" x14ac:dyDescent="0.2">
      <c r="J989"/>
    </row>
    <row r="990" spans="10:10" x14ac:dyDescent="0.2">
      <c r="J990"/>
    </row>
    <row r="991" spans="10:10" x14ac:dyDescent="0.2">
      <c r="J991"/>
    </row>
    <row r="992" spans="10:10" x14ac:dyDescent="0.2">
      <c r="J992"/>
    </row>
    <row r="993" spans="10:10" x14ac:dyDescent="0.2">
      <c r="J993"/>
    </row>
    <row r="994" spans="10:10" x14ac:dyDescent="0.2">
      <c r="J994"/>
    </row>
    <row r="995" spans="10:10" x14ac:dyDescent="0.2">
      <c r="J995"/>
    </row>
    <row r="996" spans="10:10" x14ac:dyDescent="0.2">
      <c r="J996"/>
    </row>
    <row r="997" spans="10:10" x14ac:dyDescent="0.2">
      <c r="J997"/>
    </row>
    <row r="998" spans="10:10" x14ac:dyDescent="0.2">
      <c r="J998"/>
    </row>
    <row r="999" spans="10:10" x14ac:dyDescent="0.2">
      <c r="J999"/>
    </row>
    <row r="1000" spans="10:10" x14ac:dyDescent="0.2">
      <c r="J1000"/>
    </row>
    <row r="1001" spans="10:10" x14ac:dyDescent="0.2">
      <c r="J1001"/>
    </row>
    <row r="1002" spans="10:10" x14ac:dyDescent="0.2">
      <c r="J1002"/>
    </row>
    <row r="1003" spans="10:10" x14ac:dyDescent="0.2">
      <c r="J1003"/>
    </row>
    <row r="1004" spans="10:10" x14ac:dyDescent="0.2">
      <c r="J1004"/>
    </row>
    <row r="1005" spans="10:10" x14ac:dyDescent="0.2">
      <c r="J1005"/>
    </row>
    <row r="1006" spans="10:10" x14ac:dyDescent="0.2">
      <c r="J1006"/>
    </row>
    <row r="1007" spans="10:10" x14ac:dyDescent="0.2">
      <c r="J1007"/>
    </row>
    <row r="1008" spans="10:10" x14ac:dyDescent="0.2">
      <c r="J1008"/>
    </row>
    <row r="1009" spans="10:10" x14ac:dyDescent="0.2">
      <c r="J1009"/>
    </row>
    <row r="1010" spans="10:10" x14ac:dyDescent="0.2">
      <c r="J1010"/>
    </row>
    <row r="1011" spans="10:10" x14ac:dyDescent="0.2">
      <c r="J1011"/>
    </row>
    <row r="1012" spans="10:10" x14ac:dyDescent="0.2">
      <c r="J1012"/>
    </row>
    <row r="1013" spans="10:10" x14ac:dyDescent="0.2">
      <c r="J1013"/>
    </row>
    <row r="1014" spans="10:10" x14ac:dyDescent="0.2">
      <c r="J1014"/>
    </row>
    <row r="1015" spans="10:10" x14ac:dyDescent="0.2">
      <c r="J1015"/>
    </row>
    <row r="1016" spans="10:10" x14ac:dyDescent="0.2">
      <c r="J1016"/>
    </row>
    <row r="1017" spans="10:10" x14ac:dyDescent="0.2">
      <c r="J1017"/>
    </row>
    <row r="1018" spans="10:10" x14ac:dyDescent="0.2">
      <c r="J1018"/>
    </row>
    <row r="1019" spans="10:10" x14ac:dyDescent="0.2">
      <c r="J1019"/>
    </row>
    <row r="1020" spans="10:10" x14ac:dyDescent="0.2">
      <c r="J1020"/>
    </row>
    <row r="1021" spans="10:10" x14ac:dyDescent="0.2">
      <c r="J1021"/>
    </row>
    <row r="1022" spans="10:10" x14ac:dyDescent="0.2">
      <c r="J1022"/>
    </row>
    <row r="1023" spans="10:10" x14ac:dyDescent="0.2">
      <c r="J1023"/>
    </row>
    <row r="1024" spans="10:10" x14ac:dyDescent="0.2">
      <c r="J1024"/>
    </row>
    <row r="1025" spans="10:10" x14ac:dyDescent="0.2">
      <c r="J1025"/>
    </row>
    <row r="1026" spans="10:10" x14ac:dyDescent="0.2">
      <c r="J1026"/>
    </row>
    <row r="1027" spans="10:10" x14ac:dyDescent="0.2">
      <c r="J1027"/>
    </row>
    <row r="1028" spans="10:10" x14ac:dyDescent="0.2">
      <c r="J1028"/>
    </row>
    <row r="1029" spans="10:10" x14ac:dyDescent="0.2">
      <c r="J1029"/>
    </row>
    <row r="1030" spans="10:10" x14ac:dyDescent="0.2">
      <c r="J1030"/>
    </row>
    <row r="1031" spans="10:10" x14ac:dyDescent="0.2">
      <c r="J1031"/>
    </row>
    <row r="1032" spans="10:10" x14ac:dyDescent="0.2">
      <c r="J1032"/>
    </row>
    <row r="1033" spans="10:10" x14ac:dyDescent="0.2">
      <c r="J1033"/>
    </row>
    <row r="1034" spans="10:10" x14ac:dyDescent="0.2">
      <c r="J1034"/>
    </row>
    <row r="1035" spans="10:10" x14ac:dyDescent="0.2">
      <c r="J1035"/>
    </row>
    <row r="1036" spans="10:10" x14ac:dyDescent="0.2">
      <c r="J1036"/>
    </row>
    <row r="1037" spans="10:10" x14ac:dyDescent="0.2">
      <c r="J1037"/>
    </row>
    <row r="1038" spans="10:10" x14ac:dyDescent="0.2">
      <c r="J1038"/>
    </row>
    <row r="1039" spans="10:10" x14ac:dyDescent="0.2">
      <c r="J1039"/>
    </row>
    <row r="1040" spans="10:10" x14ac:dyDescent="0.2">
      <c r="J1040"/>
    </row>
    <row r="1041" spans="10:10" x14ac:dyDescent="0.2">
      <c r="J1041"/>
    </row>
    <row r="1042" spans="10:10" x14ac:dyDescent="0.2">
      <c r="J1042"/>
    </row>
    <row r="1043" spans="10:10" x14ac:dyDescent="0.2">
      <c r="J1043"/>
    </row>
    <row r="1044" spans="10:10" x14ac:dyDescent="0.2">
      <c r="J1044"/>
    </row>
    <row r="1045" spans="10:10" x14ac:dyDescent="0.2">
      <c r="J1045"/>
    </row>
    <row r="1046" spans="10:10" x14ac:dyDescent="0.2">
      <c r="J1046"/>
    </row>
    <row r="1047" spans="10:10" x14ac:dyDescent="0.2">
      <c r="J1047"/>
    </row>
    <row r="1048" spans="10:10" x14ac:dyDescent="0.2">
      <c r="J1048"/>
    </row>
    <row r="1049" spans="10:10" x14ac:dyDescent="0.2">
      <c r="J1049"/>
    </row>
    <row r="1050" spans="10:10" x14ac:dyDescent="0.2">
      <c r="J1050"/>
    </row>
    <row r="1051" spans="10:10" x14ac:dyDescent="0.2">
      <c r="J1051"/>
    </row>
    <row r="1052" spans="10:10" x14ac:dyDescent="0.2">
      <c r="J1052"/>
    </row>
    <row r="1053" spans="10:10" x14ac:dyDescent="0.2">
      <c r="J1053"/>
    </row>
    <row r="1054" spans="10:10" x14ac:dyDescent="0.2">
      <c r="J1054"/>
    </row>
    <row r="1055" spans="10:10" x14ac:dyDescent="0.2">
      <c r="J1055"/>
    </row>
    <row r="1056" spans="10:10" x14ac:dyDescent="0.2">
      <c r="J1056"/>
    </row>
    <row r="1057" spans="10:10" x14ac:dyDescent="0.2">
      <c r="J1057"/>
    </row>
    <row r="1058" spans="10:10" x14ac:dyDescent="0.2">
      <c r="J1058"/>
    </row>
    <row r="1059" spans="10:10" x14ac:dyDescent="0.2">
      <c r="J1059"/>
    </row>
    <row r="1060" spans="10:10" x14ac:dyDescent="0.2">
      <c r="J1060"/>
    </row>
    <row r="1061" spans="10:10" x14ac:dyDescent="0.2">
      <c r="J1061"/>
    </row>
    <row r="1062" spans="10:10" x14ac:dyDescent="0.2">
      <c r="J1062"/>
    </row>
    <row r="1063" spans="10:10" x14ac:dyDescent="0.2">
      <c r="J1063"/>
    </row>
    <row r="1064" spans="10:10" x14ac:dyDescent="0.2">
      <c r="J1064"/>
    </row>
    <row r="1065" spans="10:10" x14ac:dyDescent="0.2">
      <c r="J1065"/>
    </row>
    <row r="1066" spans="10:10" x14ac:dyDescent="0.2">
      <c r="J1066"/>
    </row>
    <row r="1067" spans="10:10" x14ac:dyDescent="0.2">
      <c r="J1067"/>
    </row>
    <row r="1068" spans="10:10" x14ac:dyDescent="0.2">
      <c r="J1068"/>
    </row>
    <row r="1069" spans="10:10" x14ac:dyDescent="0.2">
      <c r="J1069"/>
    </row>
    <row r="1070" spans="10:10" x14ac:dyDescent="0.2">
      <c r="J1070"/>
    </row>
    <row r="1071" spans="10:10" x14ac:dyDescent="0.2">
      <c r="J1071"/>
    </row>
    <row r="1072" spans="10:10" x14ac:dyDescent="0.2">
      <c r="J1072"/>
    </row>
    <row r="1073" spans="10:10" x14ac:dyDescent="0.2">
      <c r="J1073"/>
    </row>
    <row r="1074" spans="10:10" x14ac:dyDescent="0.2">
      <c r="J1074"/>
    </row>
    <row r="1075" spans="10:10" x14ac:dyDescent="0.2">
      <c r="J1075"/>
    </row>
    <row r="1076" spans="10:10" x14ac:dyDescent="0.2">
      <c r="J1076"/>
    </row>
    <row r="1077" spans="10:10" x14ac:dyDescent="0.2">
      <c r="J1077"/>
    </row>
    <row r="1078" spans="10:10" x14ac:dyDescent="0.2">
      <c r="J1078"/>
    </row>
    <row r="1079" spans="10:10" x14ac:dyDescent="0.2">
      <c r="J1079"/>
    </row>
    <row r="1080" spans="10:10" x14ac:dyDescent="0.2">
      <c r="J1080"/>
    </row>
    <row r="1081" spans="10:10" x14ac:dyDescent="0.2">
      <c r="J1081"/>
    </row>
    <row r="1082" spans="10:10" x14ac:dyDescent="0.2">
      <c r="J1082"/>
    </row>
    <row r="1083" spans="10:10" x14ac:dyDescent="0.2">
      <c r="J1083"/>
    </row>
    <row r="1084" spans="10:10" x14ac:dyDescent="0.2">
      <c r="J1084"/>
    </row>
    <row r="1085" spans="10:10" x14ac:dyDescent="0.2">
      <c r="J1085"/>
    </row>
    <row r="1086" spans="10:10" x14ac:dyDescent="0.2">
      <c r="J1086"/>
    </row>
    <row r="1087" spans="10:10" x14ac:dyDescent="0.2">
      <c r="J1087"/>
    </row>
    <row r="1088" spans="10:10" x14ac:dyDescent="0.2">
      <c r="J1088"/>
    </row>
    <row r="1089" spans="10:10" x14ac:dyDescent="0.2">
      <c r="J1089"/>
    </row>
    <row r="1090" spans="10:10" x14ac:dyDescent="0.2">
      <c r="J1090"/>
    </row>
    <row r="1091" spans="10:10" x14ac:dyDescent="0.2">
      <c r="J1091"/>
    </row>
    <row r="1092" spans="10:10" x14ac:dyDescent="0.2">
      <c r="J1092"/>
    </row>
    <row r="1093" spans="10:10" x14ac:dyDescent="0.2">
      <c r="J1093"/>
    </row>
    <row r="1094" spans="10:10" x14ac:dyDescent="0.2">
      <c r="J1094"/>
    </row>
    <row r="1095" spans="10:10" x14ac:dyDescent="0.2">
      <c r="J1095"/>
    </row>
    <row r="1096" spans="10:10" x14ac:dyDescent="0.2">
      <c r="J1096"/>
    </row>
    <row r="1097" spans="10:10" x14ac:dyDescent="0.2">
      <c r="J1097"/>
    </row>
    <row r="1098" spans="10:10" x14ac:dyDescent="0.2">
      <c r="J1098"/>
    </row>
    <row r="1099" spans="10:10" x14ac:dyDescent="0.2">
      <c r="J1099"/>
    </row>
    <row r="1100" spans="10:10" x14ac:dyDescent="0.2">
      <c r="J1100"/>
    </row>
    <row r="1101" spans="10:10" x14ac:dyDescent="0.2">
      <c r="J1101"/>
    </row>
    <row r="1102" spans="10:10" x14ac:dyDescent="0.2">
      <c r="J1102"/>
    </row>
    <row r="1103" spans="10:10" x14ac:dyDescent="0.2">
      <c r="J1103"/>
    </row>
    <row r="1104" spans="10:10" x14ac:dyDescent="0.2">
      <c r="J1104"/>
    </row>
    <row r="1105" spans="10:10" x14ac:dyDescent="0.2">
      <c r="J1105"/>
    </row>
    <row r="1106" spans="10:10" x14ac:dyDescent="0.2">
      <c r="J1106"/>
    </row>
    <row r="1107" spans="10:10" x14ac:dyDescent="0.2">
      <c r="J1107"/>
    </row>
    <row r="1108" spans="10:10" x14ac:dyDescent="0.2">
      <c r="J1108"/>
    </row>
    <row r="1109" spans="10:10" x14ac:dyDescent="0.2">
      <c r="J1109"/>
    </row>
    <row r="1110" spans="10:10" x14ac:dyDescent="0.2">
      <c r="J1110"/>
    </row>
    <row r="1111" spans="10:10" x14ac:dyDescent="0.2">
      <c r="J1111"/>
    </row>
    <row r="1112" spans="10:10" x14ac:dyDescent="0.2">
      <c r="J1112"/>
    </row>
    <row r="1113" spans="10:10" x14ac:dyDescent="0.2">
      <c r="J1113"/>
    </row>
    <row r="1114" spans="10:10" x14ac:dyDescent="0.2">
      <c r="J1114"/>
    </row>
    <row r="1115" spans="10:10" x14ac:dyDescent="0.2">
      <c r="J1115"/>
    </row>
    <row r="1116" spans="10:10" x14ac:dyDescent="0.2">
      <c r="J1116"/>
    </row>
    <row r="1117" spans="10:10" x14ac:dyDescent="0.2">
      <c r="J1117"/>
    </row>
    <row r="1118" spans="10:10" x14ac:dyDescent="0.2">
      <c r="J1118"/>
    </row>
    <row r="1119" spans="10:10" x14ac:dyDescent="0.2">
      <c r="J1119"/>
    </row>
    <row r="1120" spans="10:10" x14ac:dyDescent="0.2">
      <c r="J1120"/>
    </row>
    <row r="1121" spans="10:10" x14ac:dyDescent="0.2">
      <c r="J1121"/>
    </row>
    <row r="1122" spans="10:10" x14ac:dyDescent="0.2">
      <c r="J1122"/>
    </row>
    <row r="1123" spans="10:10" x14ac:dyDescent="0.2">
      <c r="J1123"/>
    </row>
    <row r="1124" spans="10:10" x14ac:dyDescent="0.2">
      <c r="J1124"/>
    </row>
    <row r="1125" spans="10:10" x14ac:dyDescent="0.2">
      <c r="J1125"/>
    </row>
    <row r="1126" spans="10:10" x14ac:dyDescent="0.2">
      <c r="J1126"/>
    </row>
    <row r="1127" spans="10:10" x14ac:dyDescent="0.2">
      <c r="J1127"/>
    </row>
    <row r="1128" spans="10:10" x14ac:dyDescent="0.2">
      <c r="J1128"/>
    </row>
    <row r="1129" spans="10:10" x14ac:dyDescent="0.2">
      <c r="J1129"/>
    </row>
    <row r="1130" spans="10:10" x14ac:dyDescent="0.2">
      <c r="J1130"/>
    </row>
    <row r="1131" spans="10:10" x14ac:dyDescent="0.2">
      <c r="J1131"/>
    </row>
    <row r="1132" spans="10:10" x14ac:dyDescent="0.2">
      <c r="J1132"/>
    </row>
    <row r="1133" spans="10:10" x14ac:dyDescent="0.2">
      <c r="J1133"/>
    </row>
    <row r="1134" spans="10:10" x14ac:dyDescent="0.2">
      <c r="J1134"/>
    </row>
    <row r="1135" spans="10:10" x14ac:dyDescent="0.2">
      <c r="J1135"/>
    </row>
    <row r="1136" spans="10:10" x14ac:dyDescent="0.2">
      <c r="J1136"/>
    </row>
    <row r="1137" spans="10:10" x14ac:dyDescent="0.2">
      <c r="J1137"/>
    </row>
    <row r="1138" spans="10:10" x14ac:dyDescent="0.2">
      <c r="J1138"/>
    </row>
    <row r="1139" spans="10:10" x14ac:dyDescent="0.2">
      <c r="J1139"/>
    </row>
    <row r="1140" spans="10:10" x14ac:dyDescent="0.2">
      <c r="J1140"/>
    </row>
    <row r="1141" spans="10:10" x14ac:dyDescent="0.2">
      <c r="J1141"/>
    </row>
    <row r="1142" spans="10:10" x14ac:dyDescent="0.2">
      <c r="J1142"/>
    </row>
    <row r="1143" spans="10:10" x14ac:dyDescent="0.2">
      <c r="J1143"/>
    </row>
    <row r="1144" spans="10:10" x14ac:dyDescent="0.2">
      <c r="J1144"/>
    </row>
    <row r="1145" spans="10:10" x14ac:dyDescent="0.2">
      <c r="J1145"/>
    </row>
    <row r="1146" spans="10:10" x14ac:dyDescent="0.2">
      <c r="J1146"/>
    </row>
    <row r="1147" spans="10:10" x14ac:dyDescent="0.2">
      <c r="J1147"/>
    </row>
    <row r="1148" spans="10:10" x14ac:dyDescent="0.2">
      <c r="J1148"/>
    </row>
    <row r="1149" spans="10:10" x14ac:dyDescent="0.2">
      <c r="J1149"/>
    </row>
    <row r="1150" spans="10:10" x14ac:dyDescent="0.2">
      <c r="J1150"/>
    </row>
    <row r="1151" spans="10:10" x14ac:dyDescent="0.2">
      <c r="J1151"/>
    </row>
    <row r="1152" spans="10:10" x14ac:dyDescent="0.2">
      <c r="J1152"/>
    </row>
    <row r="1153" spans="10:10" x14ac:dyDescent="0.2">
      <c r="J1153"/>
    </row>
    <row r="1154" spans="10:10" x14ac:dyDescent="0.2">
      <c r="J1154"/>
    </row>
    <row r="1155" spans="10:10" x14ac:dyDescent="0.2">
      <c r="J1155"/>
    </row>
    <row r="1156" spans="10:10" x14ac:dyDescent="0.2">
      <c r="J1156"/>
    </row>
    <row r="1157" spans="10:10" x14ac:dyDescent="0.2">
      <c r="J1157"/>
    </row>
    <row r="1158" spans="10:10" x14ac:dyDescent="0.2">
      <c r="J1158"/>
    </row>
    <row r="1159" spans="10:10" x14ac:dyDescent="0.2">
      <c r="J1159"/>
    </row>
    <row r="1160" spans="10:10" x14ac:dyDescent="0.2">
      <c r="J1160"/>
    </row>
    <row r="1161" spans="10:10" x14ac:dyDescent="0.2">
      <c r="J1161"/>
    </row>
    <row r="1162" spans="10:10" x14ac:dyDescent="0.2">
      <c r="J1162"/>
    </row>
    <row r="1163" spans="10:10" x14ac:dyDescent="0.2">
      <c r="J1163"/>
    </row>
    <row r="1164" spans="10:10" x14ac:dyDescent="0.2">
      <c r="J1164"/>
    </row>
    <row r="1165" spans="10:10" x14ac:dyDescent="0.2">
      <c r="J1165"/>
    </row>
    <row r="1166" spans="10:10" x14ac:dyDescent="0.2">
      <c r="J1166"/>
    </row>
    <row r="1167" spans="10:10" x14ac:dyDescent="0.2">
      <c r="J1167"/>
    </row>
    <row r="1168" spans="10:10" x14ac:dyDescent="0.2">
      <c r="J1168"/>
    </row>
    <row r="1169" spans="10:10" x14ac:dyDescent="0.2">
      <c r="J1169"/>
    </row>
    <row r="1170" spans="10:10" x14ac:dyDescent="0.2">
      <c r="J1170"/>
    </row>
    <row r="1171" spans="10:10" x14ac:dyDescent="0.2">
      <c r="J1171"/>
    </row>
    <row r="1172" spans="10:10" x14ac:dyDescent="0.2">
      <c r="J1172"/>
    </row>
    <row r="1173" spans="10:10" x14ac:dyDescent="0.2">
      <c r="J1173"/>
    </row>
    <row r="1174" spans="10:10" x14ac:dyDescent="0.2">
      <c r="J1174"/>
    </row>
    <row r="1175" spans="10:10" x14ac:dyDescent="0.2">
      <c r="J1175"/>
    </row>
    <row r="1176" spans="10:10" x14ac:dyDescent="0.2">
      <c r="J1176"/>
    </row>
    <row r="1177" spans="10:10" x14ac:dyDescent="0.2">
      <c r="J1177"/>
    </row>
    <row r="1178" spans="10:10" x14ac:dyDescent="0.2">
      <c r="J1178"/>
    </row>
    <row r="1179" spans="10:10" x14ac:dyDescent="0.2">
      <c r="J1179"/>
    </row>
    <row r="1180" spans="10:10" x14ac:dyDescent="0.2">
      <c r="J1180"/>
    </row>
    <row r="1181" spans="10:10" x14ac:dyDescent="0.2">
      <c r="J1181"/>
    </row>
    <row r="1182" spans="10:10" x14ac:dyDescent="0.2">
      <c r="J1182"/>
    </row>
    <row r="1183" spans="10:10" x14ac:dyDescent="0.2">
      <c r="J1183"/>
    </row>
    <row r="1184" spans="10:10" x14ac:dyDescent="0.2">
      <c r="J1184"/>
    </row>
    <row r="1185" spans="10:10" x14ac:dyDescent="0.2">
      <c r="J1185"/>
    </row>
    <row r="1186" spans="10:10" x14ac:dyDescent="0.2">
      <c r="J1186"/>
    </row>
    <row r="1187" spans="10:10" x14ac:dyDescent="0.2">
      <c r="J1187"/>
    </row>
    <row r="1188" spans="10:10" x14ac:dyDescent="0.2">
      <c r="J1188"/>
    </row>
    <row r="1189" spans="10:10" x14ac:dyDescent="0.2">
      <c r="J1189"/>
    </row>
    <row r="1190" spans="10:10" x14ac:dyDescent="0.2">
      <c r="J1190"/>
    </row>
    <row r="1191" spans="10:10" x14ac:dyDescent="0.2">
      <c r="J1191"/>
    </row>
    <row r="1192" spans="10:10" x14ac:dyDescent="0.2">
      <c r="J1192"/>
    </row>
    <row r="1193" spans="10:10" x14ac:dyDescent="0.2">
      <c r="J1193"/>
    </row>
    <row r="1194" spans="10:10" x14ac:dyDescent="0.2">
      <c r="J1194"/>
    </row>
    <row r="1195" spans="10:10" x14ac:dyDescent="0.2">
      <c r="J1195"/>
    </row>
    <row r="1196" spans="10:10" x14ac:dyDescent="0.2">
      <c r="J1196"/>
    </row>
    <row r="1197" spans="10:10" x14ac:dyDescent="0.2">
      <c r="J1197"/>
    </row>
    <row r="1198" spans="10:10" x14ac:dyDescent="0.2">
      <c r="J1198"/>
    </row>
    <row r="1199" spans="10:10" x14ac:dyDescent="0.2">
      <c r="J1199"/>
    </row>
    <row r="1200" spans="10:10" x14ac:dyDescent="0.2">
      <c r="J1200"/>
    </row>
    <row r="1201" spans="10:10" x14ac:dyDescent="0.2">
      <c r="J1201"/>
    </row>
    <row r="1202" spans="10:10" x14ac:dyDescent="0.2">
      <c r="J1202"/>
    </row>
    <row r="1203" spans="10:10" x14ac:dyDescent="0.2">
      <c r="J1203"/>
    </row>
    <row r="1204" spans="10:10" x14ac:dyDescent="0.2">
      <c r="J1204"/>
    </row>
    <row r="1205" spans="10:10" x14ac:dyDescent="0.2">
      <c r="J1205"/>
    </row>
    <row r="1206" spans="10:10" x14ac:dyDescent="0.2">
      <c r="J1206"/>
    </row>
    <row r="1207" spans="10:10" x14ac:dyDescent="0.2">
      <c r="J1207"/>
    </row>
    <row r="1208" spans="10:10" x14ac:dyDescent="0.2">
      <c r="J1208"/>
    </row>
    <row r="1209" spans="10:10" x14ac:dyDescent="0.2">
      <c r="J1209"/>
    </row>
    <row r="1210" spans="10:10" x14ac:dyDescent="0.2">
      <c r="J1210"/>
    </row>
    <row r="1211" spans="10:10" x14ac:dyDescent="0.2">
      <c r="J1211"/>
    </row>
    <row r="1212" spans="10:10" x14ac:dyDescent="0.2">
      <c r="J1212"/>
    </row>
    <row r="1213" spans="10:10" x14ac:dyDescent="0.2">
      <c r="J1213"/>
    </row>
    <row r="1214" spans="10:10" x14ac:dyDescent="0.2">
      <c r="J1214"/>
    </row>
    <row r="1215" spans="10:10" x14ac:dyDescent="0.2">
      <c r="J1215"/>
    </row>
    <row r="1216" spans="10:10" x14ac:dyDescent="0.2">
      <c r="J1216"/>
    </row>
    <row r="1217" spans="10:10" x14ac:dyDescent="0.2">
      <c r="J1217"/>
    </row>
    <row r="1218" spans="10:10" x14ac:dyDescent="0.2">
      <c r="J1218"/>
    </row>
    <row r="1219" spans="10:10" x14ac:dyDescent="0.2">
      <c r="J1219"/>
    </row>
    <row r="1220" spans="10:10" x14ac:dyDescent="0.2">
      <c r="J1220"/>
    </row>
    <row r="1221" spans="10:10" x14ac:dyDescent="0.2">
      <c r="J1221"/>
    </row>
    <row r="1222" spans="10:10" x14ac:dyDescent="0.2">
      <c r="J1222"/>
    </row>
    <row r="1223" spans="10:10" x14ac:dyDescent="0.2">
      <c r="J1223"/>
    </row>
    <row r="1224" spans="10:10" x14ac:dyDescent="0.2">
      <c r="J1224"/>
    </row>
    <row r="1225" spans="10:10" x14ac:dyDescent="0.2">
      <c r="J1225"/>
    </row>
    <row r="1226" spans="10:10" x14ac:dyDescent="0.2">
      <c r="J1226"/>
    </row>
    <row r="1227" spans="10:10" x14ac:dyDescent="0.2">
      <c r="J1227"/>
    </row>
    <row r="1228" spans="10:10" x14ac:dyDescent="0.2">
      <c r="J1228"/>
    </row>
    <row r="1229" spans="10:10" x14ac:dyDescent="0.2">
      <c r="J1229"/>
    </row>
    <row r="1230" spans="10:10" x14ac:dyDescent="0.2">
      <c r="J1230"/>
    </row>
    <row r="1231" spans="10:10" x14ac:dyDescent="0.2">
      <c r="J1231"/>
    </row>
    <row r="1232" spans="10:10" x14ac:dyDescent="0.2">
      <c r="J1232"/>
    </row>
    <row r="1233" spans="10:10" x14ac:dyDescent="0.2">
      <c r="J1233"/>
    </row>
    <row r="1234" spans="10:10" x14ac:dyDescent="0.2">
      <c r="J1234"/>
    </row>
    <row r="1235" spans="10:10" x14ac:dyDescent="0.2">
      <c r="J1235"/>
    </row>
    <row r="1236" spans="10:10" x14ac:dyDescent="0.2">
      <c r="J1236"/>
    </row>
    <row r="1237" spans="10:10" x14ac:dyDescent="0.2">
      <c r="J1237"/>
    </row>
    <row r="1238" spans="10:10" x14ac:dyDescent="0.2">
      <c r="J1238"/>
    </row>
    <row r="1239" spans="10:10" x14ac:dyDescent="0.2">
      <c r="J1239"/>
    </row>
    <row r="1240" spans="10:10" x14ac:dyDescent="0.2">
      <c r="J1240"/>
    </row>
    <row r="1241" spans="10:10" x14ac:dyDescent="0.2">
      <c r="J1241"/>
    </row>
    <row r="1242" spans="10:10" x14ac:dyDescent="0.2">
      <c r="J1242"/>
    </row>
    <row r="1243" spans="10:10" x14ac:dyDescent="0.2">
      <c r="J1243"/>
    </row>
    <row r="1244" spans="10:10" x14ac:dyDescent="0.2">
      <c r="J1244"/>
    </row>
    <row r="1245" spans="10:10" x14ac:dyDescent="0.2">
      <c r="J1245"/>
    </row>
    <row r="1246" spans="10:10" x14ac:dyDescent="0.2">
      <c r="J1246"/>
    </row>
    <row r="1247" spans="10:10" x14ac:dyDescent="0.2">
      <c r="J1247"/>
    </row>
    <row r="1248" spans="10:10" x14ac:dyDescent="0.2">
      <c r="J1248"/>
    </row>
    <row r="1249" spans="10:10" x14ac:dyDescent="0.2">
      <c r="J1249"/>
    </row>
    <row r="1250" spans="10:10" x14ac:dyDescent="0.2">
      <c r="J1250"/>
    </row>
    <row r="1251" spans="10:10" x14ac:dyDescent="0.2">
      <c r="J1251"/>
    </row>
    <row r="1252" spans="10:10" x14ac:dyDescent="0.2">
      <c r="J1252"/>
    </row>
    <row r="1253" spans="10:10" x14ac:dyDescent="0.2">
      <c r="J1253"/>
    </row>
    <row r="1254" spans="10:10" x14ac:dyDescent="0.2">
      <c r="J1254"/>
    </row>
    <row r="1255" spans="10:10" x14ac:dyDescent="0.2">
      <c r="J1255"/>
    </row>
    <row r="1256" spans="10:10" x14ac:dyDescent="0.2">
      <c r="J1256"/>
    </row>
    <row r="1257" spans="10:10" x14ac:dyDescent="0.2">
      <c r="J1257"/>
    </row>
    <row r="1258" spans="10:10" x14ac:dyDescent="0.2">
      <c r="J1258"/>
    </row>
    <row r="1259" spans="10:10" x14ac:dyDescent="0.2">
      <c r="J1259"/>
    </row>
    <row r="1260" spans="10:10" x14ac:dyDescent="0.2">
      <c r="J1260"/>
    </row>
    <row r="1261" spans="10:10" x14ac:dyDescent="0.2">
      <c r="J1261"/>
    </row>
    <row r="1262" spans="10:10" x14ac:dyDescent="0.2">
      <c r="J1262"/>
    </row>
    <row r="1263" spans="10:10" x14ac:dyDescent="0.2">
      <c r="J1263"/>
    </row>
    <row r="1264" spans="10:10" x14ac:dyDescent="0.2">
      <c r="J1264"/>
    </row>
    <row r="1265" spans="10:10" x14ac:dyDescent="0.2">
      <c r="J1265"/>
    </row>
    <row r="1266" spans="10:10" x14ac:dyDescent="0.2">
      <c r="J1266"/>
    </row>
    <row r="1267" spans="10:10" x14ac:dyDescent="0.2">
      <c r="J1267"/>
    </row>
    <row r="1268" spans="10:10" x14ac:dyDescent="0.2">
      <c r="J1268"/>
    </row>
    <row r="1269" spans="10:10" x14ac:dyDescent="0.2">
      <c r="J1269"/>
    </row>
    <row r="1270" spans="10:10" x14ac:dyDescent="0.2">
      <c r="J1270"/>
    </row>
    <row r="1271" spans="10:10" x14ac:dyDescent="0.2">
      <c r="J1271"/>
    </row>
    <row r="1272" spans="10:10" x14ac:dyDescent="0.2">
      <c r="J1272"/>
    </row>
    <row r="1273" spans="10:10" x14ac:dyDescent="0.2">
      <c r="J1273"/>
    </row>
    <row r="1274" spans="10:10" x14ac:dyDescent="0.2">
      <c r="J1274"/>
    </row>
    <row r="1275" spans="10:10" x14ac:dyDescent="0.2">
      <c r="J1275"/>
    </row>
    <row r="1276" spans="10:10" x14ac:dyDescent="0.2">
      <c r="J1276"/>
    </row>
    <row r="1277" spans="10:10" x14ac:dyDescent="0.2">
      <c r="J1277"/>
    </row>
    <row r="1278" spans="10:10" x14ac:dyDescent="0.2">
      <c r="J1278"/>
    </row>
    <row r="1279" spans="10:10" x14ac:dyDescent="0.2">
      <c r="J1279"/>
    </row>
    <row r="1280" spans="10:10" x14ac:dyDescent="0.2">
      <c r="J1280"/>
    </row>
    <row r="1281" spans="10:10" x14ac:dyDescent="0.2">
      <c r="J1281"/>
    </row>
    <row r="1282" spans="10:10" x14ac:dyDescent="0.2">
      <c r="J1282"/>
    </row>
    <row r="1283" spans="10:10" x14ac:dyDescent="0.2">
      <c r="J1283"/>
    </row>
    <row r="1284" spans="10:10" x14ac:dyDescent="0.2">
      <c r="J1284"/>
    </row>
    <row r="1285" spans="10:10" x14ac:dyDescent="0.2">
      <c r="J1285"/>
    </row>
    <row r="1286" spans="10:10" x14ac:dyDescent="0.2">
      <c r="J1286"/>
    </row>
    <row r="1287" spans="10:10" x14ac:dyDescent="0.2">
      <c r="J1287"/>
    </row>
    <row r="1288" spans="10:10" x14ac:dyDescent="0.2">
      <c r="J1288"/>
    </row>
    <row r="1289" spans="10:10" x14ac:dyDescent="0.2">
      <c r="J1289"/>
    </row>
    <row r="1290" spans="10:10" x14ac:dyDescent="0.2">
      <c r="J1290"/>
    </row>
    <row r="1291" spans="10:10" x14ac:dyDescent="0.2">
      <c r="J1291"/>
    </row>
    <row r="1292" spans="10:10" x14ac:dyDescent="0.2">
      <c r="J1292"/>
    </row>
    <row r="1293" spans="10:10" x14ac:dyDescent="0.2">
      <c r="J1293"/>
    </row>
    <row r="1294" spans="10:10" x14ac:dyDescent="0.2">
      <c r="J1294"/>
    </row>
    <row r="1295" spans="10:10" x14ac:dyDescent="0.2">
      <c r="J1295"/>
    </row>
    <row r="1296" spans="10:10" x14ac:dyDescent="0.2">
      <c r="J1296"/>
    </row>
    <row r="1297" spans="10:10" x14ac:dyDescent="0.2">
      <c r="J1297"/>
    </row>
    <row r="1298" spans="10:10" x14ac:dyDescent="0.2">
      <c r="J1298"/>
    </row>
    <row r="1299" spans="10:10" x14ac:dyDescent="0.2">
      <c r="J1299"/>
    </row>
    <row r="1300" spans="10:10" x14ac:dyDescent="0.2">
      <c r="J1300"/>
    </row>
    <row r="1301" spans="10:10" x14ac:dyDescent="0.2">
      <c r="J1301"/>
    </row>
    <row r="1302" spans="10:10" x14ac:dyDescent="0.2">
      <c r="J1302"/>
    </row>
    <row r="1303" spans="10:10" x14ac:dyDescent="0.2">
      <c r="J1303"/>
    </row>
    <row r="1304" spans="10:10" x14ac:dyDescent="0.2">
      <c r="J1304"/>
    </row>
    <row r="1305" spans="10:10" x14ac:dyDescent="0.2">
      <c r="J1305"/>
    </row>
    <row r="1306" spans="10:10" x14ac:dyDescent="0.2">
      <c r="J1306"/>
    </row>
    <row r="1307" spans="10:10" x14ac:dyDescent="0.2">
      <c r="J1307"/>
    </row>
    <row r="1308" spans="10:10" x14ac:dyDescent="0.2">
      <c r="J1308"/>
    </row>
    <row r="1309" spans="10:10" x14ac:dyDescent="0.2">
      <c r="J1309"/>
    </row>
    <row r="1310" spans="10:10" x14ac:dyDescent="0.2">
      <c r="J1310"/>
    </row>
    <row r="1311" spans="10:10" x14ac:dyDescent="0.2">
      <c r="J1311"/>
    </row>
    <row r="1312" spans="10:10" x14ac:dyDescent="0.2">
      <c r="J1312"/>
    </row>
    <row r="1313" spans="10:10" x14ac:dyDescent="0.2">
      <c r="J1313"/>
    </row>
    <row r="1314" spans="10:10" x14ac:dyDescent="0.2">
      <c r="J1314"/>
    </row>
    <row r="1315" spans="10:10" x14ac:dyDescent="0.2">
      <c r="J1315"/>
    </row>
    <row r="1316" spans="10:10" x14ac:dyDescent="0.2">
      <c r="J1316"/>
    </row>
    <row r="1317" spans="10:10" x14ac:dyDescent="0.2">
      <c r="J1317"/>
    </row>
    <row r="1318" spans="10:10" x14ac:dyDescent="0.2">
      <c r="J1318"/>
    </row>
    <row r="1319" spans="10:10" x14ac:dyDescent="0.2">
      <c r="J1319"/>
    </row>
    <row r="1320" spans="10:10" x14ac:dyDescent="0.2">
      <c r="J1320"/>
    </row>
    <row r="1321" spans="10:10" x14ac:dyDescent="0.2">
      <c r="J1321"/>
    </row>
    <row r="1322" spans="10:10" x14ac:dyDescent="0.2">
      <c r="J1322"/>
    </row>
    <row r="1323" spans="10:10" x14ac:dyDescent="0.2">
      <c r="J1323"/>
    </row>
    <row r="1324" spans="10:10" x14ac:dyDescent="0.2">
      <c r="J1324"/>
    </row>
    <row r="1325" spans="10:10" x14ac:dyDescent="0.2">
      <c r="J1325"/>
    </row>
    <row r="1326" spans="10:10" x14ac:dyDescent="0.2">
      <c r="J1326"/>
    </row>
    <row r="1327" spans="10:10" x14ac:dyDescent="0.2">
      <c r="J1327"/>
    </row>
    <row r="1328" spans="10:10" x14ac:dyDescent="0.2">
      <c r="J1328"/>
    </row>
    <row r="1329" spans="10:10" x14ac:dyDescent="0.2">
      <c r="J1329"/>
    </row>
    <row r="1330" spans="10:10" x14ac:dyDescent="0.2">
      <c r="J1330"/>
    </row>
    <row r="1331" spans="10:10" x14ac:dyDescent="0.2">
      <c r="J1331"/>
    </row>
    <row r="1332" spans="10:10" x14ac:dyDescent="0.2">
      <c r="J1332"/>
    </row>
    <row r="1333" spans="10:10" x14ac:dyDescent="0.2">
      <c r="J1333"/>
    </row>
    <row r="1334" spans="10:10" x14ac:dyDescent="0.2">
      <c r="J1334"/>
    </row>
    <row r="1335" spans="10:10" x14ac:dyDescent="0.2">
      <c r="J1335"/>
    </row>
    <row r="1336" spans="10:10" x14ac:dyDescent="0.2">
      <c r="J1336"/>
    </row>
    <row r="1337" spans="10:10" x14ac:dyDescent="0.2">
      <c r="J1337"/>
    </row>
    <row r="1338" spans="10:10" x14ac:dyDescent="0.2">
      <c r="J1338"/>
    </row>
    <row r="1339" spans="10:10" x14ac:dyDescent="0.2">
      <c r="J1339"/>
    </row>
    <row r="1340" spans="10:10" x14ac:dyDescent="0.2">
      <c r="J1340"/>
    </row>
    <row r="1341" spans="10:10" x14ac:dyDescent="0.2">
      <c r="J1341"/>
    </row>
    <row r="1342" spans="10:10" x14ac:dyDescent="0.2">
      <c r="J1342"/>
    </row>
    <row r="1343" spans="10:10" x14ac:dyDescent="0.2">
      <c r="J1343"/>
    </row>
    <row r="1344" spans="10:10" x14ac:dyDescent="0.2">
      <c r="J1344"/>
    </row>
    <row r="1345" spans="10:10" x14ac:dyDescent="0.2">
      <c r="J1345"/>
    </row>
    <row r="1346" spans="10:10" x14ac:dyDescent="0.2">
      <c r="J1346"/>
    </row>
    <row r="1347" spans="10:10" x14ac:dyDescent="0.2">
      <c r="J1347"/>
    </row>
    <row r="1348" spans="10:10" x14ac:dyDescent="0.2">
      <c r="J1348"/>
    </row>
    <row r="1349" spans="10:10" x14ac:dyDescent="0.2">
      <c r="J1349"/>
    </row>
    <row r="1350" spans="10:10" x14ac:dyDescent="0.2">
      <c r="J1350"/>
    </row>
    <row r="1351" spans="10:10" x14ac:dyDescent="0.2">
      <c r="J1351"/>
    </row>
    <row r="1352" spans="10:10" x14ac:dyDescent="0.2">
      <c r="J1352"/>
    </row>
    <row r="1353" spans="10:10" x14ac:dyDescent="0.2">
      <c r="J1353"/>
    </row>
    <row r="1354" spans="10:10" x14ac:dyDescent="0.2">
      <c r="J1354"/>
    </row>
    <row r="1355" spans="10:10" x14ac:dyDescent="0.2">
      <c r="J1355"/>
    </row>
    <row r="1356" spans="10:10" x14ac:dyDescent="0.2">
      <c r="J1356"/>
    </row>
    <row r="1357" spans="10:10" x14ac:dyDescent="0.2">
      <c r="J1357"/>
    </row>
    <row r="1358" spans="10:10" x14ac:dyDescent="0.2">
      <c r="J1358"/>
    </row>
    <row r="1359" spans="10:10" x14ac:dyDescent="0.2">
      <c r="J1359"/>
    </row>
    <row r="1360" spans="10:10" x14ac:dyDescent="0.2">
      <c r="J1360"/>
    </row>
    <row r="1361" spans="10:10" x14ac:dyDescent="0.2">
      <c r="J1361"/>
    </row>
    <row r="1362" spans="10:10" x14ac:dyDescent="0.2">
      <c r="J1362"/>
    </row>
    <row r="1363" spans="10:10" x14ac:dyDescent="0.2">
      <c r="J1363"/>
    </row>
    <row r="1364" spans="10:10" x14ac:dyDescent="0.2">
      <c r="J1364"/>
    </row>
    <row r="1365" spans="10:10" x14ac:dyDescent="0.2">
      <c r="J1365"/>
    </row>
    <row r="1366" spans="10:10" x14ac:dyDescent="0.2">
      <c r="J1366"/>
    </row>
    <row r="1367" spans="10:10" x14ac:dyDescent="0.2">
      <c r="J1367"/>
    </row>
    <row r="1368" spans="10:10" x14ac:dyDescent="0.2">
      <c r="J1368"/>
    </row>
    <row r="1369" spans="10:10" x14ac:dyDescent="0.2">
      <c r="J1369"/>
    </row>
    <row r="1370" spans="10:10" x14ac:dyDescent="0.2">
      <c r="J1370"/>
    </row>
    <row r="1371" spans="10:10" x14ac:dyDescent="0.2">
      <c r="J1371"/>
    </row>
    <row r="1372" spans="10:10" x14ac:dyDescent="0.2">
      <c r="J1372"/>
    </row>
    <row r="1373" spans="10:10" x14ac:dyDescent="0.2">
      <c r="J1373"/>
    </row>
    <row r="1374" spans="10:10" x14ac:dyDescent="0.2">
      <c r="J1374"/>
    </row>
    <row r="1375" spans="10:10" x14ac:dyDescent="0.2">
      <c r="J1375"/>
    </row>
    <row r="1376" spans="10:10" x14ac:dyDescent="0.2">
      <c r="J1376"/>
    </row>
    <row r="1377" spans="10:10" x14ac:dyDescent="0.2">
      <c r="J1377"/>
    </row>
    <row r="1378" spans="10:10" x14ac:dyDescent="0.2">
      <c r="J1378"/>
    </row>
    <row r="1379" spans="10:10" x14ac:dyDescent="0.2">
      <c r="J1379"/>
    </row>
    <row r="1380" spans="10:10" x14ac:dyDescent="0.2">
      <c r="J1380"/>
    </row>
    <row r="1381" spans="10:10" x14ac:dyDescent="0.2">
      <c r="J1381"/>
    </row>
    <row r="1382" spans="10:10" x14ac:dyDescent="0.2">
      <c r="J1382"/>
    </row>
    <row r="1383" spans="10:10" x14ac:dyDescent="0.2">
      <c r="J1383"/>
    </row>
    <row r="1384" spans="10:10" x14ac:dyDescent="0.2">
      <c r="J1384"/>
    </row>
    <row r="1385" spans="10:10" x14ac:dyDescent="0.2">
      <c r="J1385"/>
    </row>
    <row r="1386" spans="10:10" x14ac:dyDescent="0.2">
      <c r="J1386"/>
    </row>
    <row r="1387" spans="10:10" x14ac:dyDescent="0.2">
      <c r="J1387"/>
    </row>
    <row r="1388" spans="10:10" x14ac:dyDescent="0.2">
      <c r="J1388"/>
    </row>
    <row r="1389" spans="10:10" x14ac:dyDescent="0.2">
      <c r="J1389"/>
    </row>
    <row r="1390" spans="10:10" x14ac:dyDescent="0.2">
      <c r="J1390"/>
    </row>
    <row r="1391" spans="10:10" x14ac:dyDescent="0.2">
      <c r="J1391"/>
    </row>
    <row r="1392" spans="10:10" x14ac:dyDescent="0.2">
      <c r="J1392"/>
    </row>
    <row r="1393" spans="10:10" x14ac:dyDescent="0.2">
      <c r="J1393"/>
    </row>
    <row r="1394" spans="10:10" x14ac:dyDescent="0.2">
      <c r="J1394"/>
    </row>
    <row r="1395" spans="10:10" x14ac:dyDescent="0.2">
      <c r="J1395"/>
    </row>
    <row r="1396" spans="10:10" x14ac:dyDescent="0.2">
      <c r="J1396"/>
    </row>
    <row r="1397" spans="10:10" x14ac:dyDescent="0.2">
      <c r="J1397"/>
    </row>
    <row r="1398" spans="10:10" x14ac:dyDescent="0.2">
      <c r="J1398"/>
    </row>
    <row r="1399" spans="10:10" x14ac:dyDescent="0.2">
      <c r="J1399"/>
    </row>
    <row r="1400" spans="10:10" x14ac:dyDescent="0.2">
      <c r="J1400"/>
    </row>
    <row r="1401" spans="10:10" x14ac:dyDescent="0.2">
      <c r="J1401"/>
    </row>
    <row r="1402" spans="10:10" x14ac:dyDescent="0.2">
      <c r="J1402"/>
    </row>
    <row r="1403" spans="10:10" x14ac:dyDescent="0.2">
      <c r="J1403"/>
    </row>
    <row r="1404" spans="10:10" x14ac:dyDescent="0.2">
      <c r="J1404"/>
    </row>
    <row r="1405" spans="10:10" x14ac:dyDescent="0.2">
      <c r="J1405"/>
    </row>
    <row r="1406" spans="10:10" x14ac:dyDescent="0.2">
      <c r="J1406"/>
    </row>
    <row r="1407" spans="10:10" x14ac:dyDescent="0.2">
      <c r="J1407"/>
    </row>
    <row r="1408" spans="10:10" x14ac:dyDescent="0.2">
      <c r="J1408"/>
    </row>
    <row r="1409" spans="10:10" x14ac:dyDescent="0.2">
      <c r="J1409"/>
    </row>
    <row r="1410" spans="10:10" x14ac:dyDescent="0.2">
      <c r="J1410"/>
    </row>
    <row r="1411" spans="10:10" x14ac:dyDescent="0.2">
      <c r="J1411"/>
    </row>
    <row r="1412" spans="10:10" x14ac:dyDescent="0.2">
      <c r="J1412"/>
    </row>
    <row r="1413" spans="10:10" x14ac:dyDescent="0.2">
      <c r="J1413"/>
    </row>
    <row r="1414" spans="10:10" x14ac:dyDescent="0.2">
      <c r="J1414"/>
    </row>
    <row r="1415" spans="10:10" x14ac:dyDescent="0.2">
      <c r="J1415"/>
    </row>
    <row r="1416" spans="10:10" x14ac:dyDescent="0.2">
      <c r="J1416"/>
    </row>
    <row r="1417" spans="10:10" x14ac:dyDescent="0.2">
      <c r="J1417"/>
    </row>
    <row r="1418" spans="10:10" x14ac:dyDescent="0.2">
      <c r="J1418"/>
    </row>
    <row r="1419" spans="10:10" x14ac:dyDescent="0.2">
      <c r="J1419"/>
    </row>
    <row r="1420" spans="10:10" x14ac:dyDescent="0.2">
      <c r="J1420"/>
    </row>
    <row r="1421" spans="10:10" x14ac:dyDescent="0.2">
      <c r="J1421"/>
    </row>
    <row r="1422" spans="10:10" x14ac:dyDescent="0.2">
      <c r="J1422"/>
    </row>
    <row r="1423" spans="10:10" x14ac:dyDescent="0.2">
      <c r="J1423"/>
    </row>
    <row r="1424" spans="10:10" x14ac:dyDescent="0.2">
      <c r="J1424"/>
    </row>
    <row r="1425" spans="10:10" x14ac:dyDescent="0.2">
      <c r="J1425"/>
    </row>
    <row r="1426" spans="10:10" x14ac:dyDescent="0.2">
      <c r="J1426"/>
    </row>
    <row r="1427" spans="10:10" x14ac:dyDescent="0.2">
      <c r="J1427"/>
    </row>
    <row r="1428" spans="10:10" x14ac:dyDescent="0.2">
      <c r="J1428"/>
    </row>
    <row r="1429" spans="10:10" x14ac:dyDescent="0.2">
      <c r="J1429"/>
    </row>
    <row r="1430" spans="10:10" x14ac:dyDescent="0.2">
      <c r="J1430"/>
    </row>
    <row r="1431" spans="10:10" x14ac:dyDescent="0.2">
      <c r="J1431"/>
    </row>
    <row r="1432" spans="10:10" x14ac:dyDescent="0.2">
      <c r="J1432"/>
    </row>
    <row r="1433" spans="10:10" x14ac:dyDescent="0.2">
      <c r="J1433"/>
    </row>
    <row r="1434" spans="10:10" x14ac:dyDescent="0.2">
      <c r="J1434"/>
    </row>
    <row r="1435" spans="10:10" x14ac:dyDescent="0.2">
      <c r="J1435"/>
    </row>
    <row r="1436" spans="10:10" x14ac:dyDescent="0.2">
      <c r="J1436"/>
    </row>
    <row r="1437" spans="10:10" x14ac:dyDescent="0.2">
      <c r="J1437"/>
    </row>
    <row r="1438" spans="10:10" x14ac:dyDescent="0.2">
      <c r="J1438"/>
    </row>
    <row r="1439" spans="10:10" x14ac:dyDescent="0.2">
      <c r="J1439"/>
    </row>
    <row r="1440" spans="10:10" x14ac:dyDescent="0.2">
      <c r="J1440"/>
    </row>
    <row r="1441" spans="10:10" x14ac:dyDescent="0.2">
      <c r="J1441"/>
    </row>
    <row r="1442" spans="10:10" x14ac:dyDescent="0.2">
      <c r="J1442"/>
    </row>
    <row r="1443" spans="10:10" x14ac:dyDescent="0.2">
      <c r="J1443"/>
    </row>
    <row r="1444" spans="10:10" x14ac:dyDescent="0.2">
      <c r="J1444"/>
    </row>
    <row r="1445" spans="10:10" x14ac:dyDescent="0.2">
      <c r="J1445"/>
    </row>
    <row r="1446" spans="10:10" x14ac:dyDescent="0.2">
      <c r="J1446"/>
    </row>
    <row r="1447" spans="10:10" x14ac:dyDescent="0.2">
      <c r="J1447"/>
    </row>
    <row r="1448" spans="10:10" x14ac:dyDescent="0.2">
      <c r="J1448"/>
    </row>
    <row r="1449" spans="10:10" x14ac:dyDescent="0.2">
      <c r="J1449"/>
    </row>
    <row r="1450" spans="10:10" x14ac:dyDescent="0.2">
      <c r="J1450"/>
    </row>
    <row r="1451" spans="10:10" x14ac:dyDescent="0.2">
      <c r="J1451"/>
    </row>
    <row r="1452" spans="10:10" x14ac:dyDescent="0.2">
      <c r="J1452"/>
    </row>
    <row r="1453" spans="10:10" x14ac:dyDescent="0.2">
      <c r="J1453"/>
    </row>
    <row r="1454" spans="10:10" x14ac:dyDescent="0.2">
      <c r="J1454"/>
    </row>
    <row r="1455" spans="10:10" x14ac:dyDescent="0.2">
      <c r="J1455"/>
    </row>
    <row r="1456" spans="10:10" x14ac:dyDescent="0.2">
      <c r="J1456"/>
    </row>
    <row r="1457" spans="10:10" x14ac:dyDescent="0.2">
      <c r="J1457"/>
    </row>
    <row r="1458" spans="10:10" x14ac:dyDescent="0.2">
      <c r="J1458"/>
    </row>
    <row r="1459" spans="10:10" x14ac:dyDescent="0.2">
      <c r="J1459"/>
    </row>
    <row r="1460" spans="10:10" x14ac:dyDescent="0.2">
      <c r="J1460"/>
    </row>
    <row r="1461" spans="10:10" x14ac:dyDescent="0.2">
      <c r="J1461"/>
    </row>
    <row r="1462" spans="10:10" x14ac:dyDescent="0.2">
      <c r="J1462"/>
    </row>
    <row r="1463" spans="10:10" x14ac:dyDescent="0.2">
      <c r="J1463"/>
    </row>
    <row r="1464" spans="10:10" x14ac:dyDescent="0.2">
      <c r="J1464"/>
    </row>
    <row r="1465" spans="10:10" x14ac:dyDescent="0.2">
      <c r="J1465"/>
    </row>
    <row r="1466" spans="10:10" x14ac:dyDescent="0.2">
      <c r="J1466"/>
    </row>
    <row r="1467" spans="10:10" x14ac:dyDescent="0.2">
      <c r="J1467"/>
    </row>
    <row r="1468" spans="10:10" x14ac:dyDescent="0.2">
      <c r="J1468"/>
    </row>
    <row r="1469" spans="10:10" x14ac:dyDescent="0.2">
      <c r="J1469"/>
    </row>
    <row r="1470" spans="10:10" x14ac:dyDescent="0.2">
      <c r="J1470"/>
    </row>
    <row r="1471" spans="10:10" x14ac:dyDescent="0.2">
      <c r="J1471"/>
    </row>
    <row r="1472" spans="10:10" x14ac:dyDescent="0.2">
      <c r="J1472"/>
    </row>
    <row r="1473" spans="10:10" x14ac:dyDescent="0.2">
      <c r="J1473"/>
    </row>
    <row r="1474" spans="10:10" x14ac:dyDescent="0.2">
      <c r="J1474"/>
    </row>
    <row r="1475" spans="10:10" x14ac:dyDescent="0.2">
      <c r="J1475"/>
    </row>
    <row r="1476" spans="10:10" x14ac:dyDescent="0.2">
      <c r="J1476"/>
    </row>
    <row r="1477" spans="10:10" x14ac:dyDescent="0.2">
      <c r="J1477"/>
    </row>
    <row r="1478" spans="10:10" x14ac:dyDescent="0.2">
      <c r="J1478"/>
    </row>
    <row r="1479" spans="10:10" x14ac:dyDescent="0.2">
      <c r="J1479"/>
    </row>
    <row r="1480" spans="10:10" x14ac:dyDescent="0.2">
      <c r="J1480"/>
    </row>
    <row r="1481" spans="10:10" x14ac:dyDescent="0.2">
      <c r="J1481"/>
    </row>
    <row r="1482" spans="10:10" x14ac:dyDescent="0.2">
      <c r="J1482"/>
    </row>
    <row r="1483" spans="10:10" x14ac:dyDescent="0.2">
      <c r="J1483"/>
    </row>
    <row r="1484" spans="10:10" x14ac:dyDescent="0.2">
      <c r="J1484"/>
    </row>
    <row r="1485" spans="10:10" x14ac:dyDescent="0.2">
      <c r="J1485"/>
    </row>
    <row r="1486" spans="10:10" x14ac:dyDescent="0.2">
      <c r="J1486"/>
    </row>
    <row r="1487" spans="10:10" x14ac:dyDescent="0.2">
      <c r="J1487"/>
    </row>
    <row r="1488" spans="10:10" x14ac:dyDescent="0.2">
      <c r="J1488"/>
    </row>
    <row r="1489" spans="10:10" x14ac:dyDescent="0.2">
      <c r="J1489"/>
    </row>
    <row r="1490" spans="10:10" x14ac:dyDescent="0.2">
      <c r="J1490"/>
    </row>
    <row r="1491" spans="10:10" x14ac:dyDescent="0.2">
      <c r="J1491"/>
    </row>
    <row r="1492" spans="10:10" x14ac:dyDescent="0.2">
      <c r="J1492"/>
    </row>
    <row r="1493" spans="10:10" x14ac:dyDescent="0.2">
      <c r="J1493"/>
    </row>
    <row r="1494" spans="10:10" x14ac:dyDescent="0.2">
      <c r="J1494"/>
    </row>
    <row r="1495" spans="10:10" x14ac:dyDescent="0.2">
      <c r="J1495"/>
    </row>
    <row r="1496" spans="10:10" x14ac:dyDescent="0.2">
      <c r="J1496"/>
    </row>
    <row r="1497" spans="10:10" x14ac:dyDescent="0.2">
      <c r="J1497"/>
    </row>
    <row r="1498" spans="10:10" x14ac:dyDescent="0.2">
      <c r="J1498"/>
    </row>
    <row r="1499" spans="10:10" x14ac:dyDescent="0.2">
      <c r="J1499"/>
    </row>
    <row r="1500" spans="10:10" x14ac:dyDescent="0.2">
      <c r="J1500"/>
    </row>
    <row r="1501" spans="10:10" x14ac:dyDescent="0.2">
      <c r="J1501"/>
    </row>
    <row r="1502" spans="10:10" x14ac:dyDescent="0.2">
      <c r="J1502"/>
    </row>
    <row r="1503" spans="10:10" x14ac:dyDescent="0.2">
      <c r="J1503"/>
    </row>
    <row r="1504" spans="10:10" x14ac:dyDescent="0.2">
      <c r="J1504"/>
    </row>
    <row r="1505" spans="10:10" x14ac:dyDescent="0.2">
      <c r="J1505"/>
    </row>
    <row r="1506" spans="10:10" x14ac:dyDescent="0.2">
      <c r="J1506"/>
    </row>
    <row r="1507" spans="10:10" x14ac:dyDescent="0.2">
      <c r="J1507"/>
    </row>
    <row r="1508" spans="10:10" x14ac:dyDescent="0.2">
      <c r="J1508"/>
    </row>
    <row r="1509" spans="10:10" x14ac:dyDescent="0.2">
      <c r="J1509"/>
    </row>
    <row r="1510" spans="10:10" x14ac:dyDescent="0.2">
      <c r="J1510"/>
    </row>
    <row r="1511" spans="10:10" x14ac:dyDescent="0.2">
      <c r="J1511"/>
    </row>
    <row r="1512" spans="10:10" x14ac:dyDescent="0.2">
      <c r="J1512"/>
    </row>
    <row r="1513" spans="10:10" x14ac:dyDescent="0.2">
      <c r="J1513"/>
    </row>
    <row r="1514" spans="10:10" x14ac:dyDescent="0.2">
      <c r="J1514"/>
    </row>
    <row r="1515" spans="10:10" x14ac:dyDescent="0.2">
      <c r="J1515"/>
    </row>
    <row r="1516" spans="10:10" x14ac:dyDescent="0.2">
      <c r="J1516"/>
    </row>
    <row r="1517" spans="10:10" x14ac:dyDescent="0.2">
      <c r="J1517"/>
    </row>
    <row r="1518" spans="10:10" x14ac:dyDescent="0.2">
      <c r="J1518"/>
    </row>
    <row r="1519" spans="10:10" x14ac:dyDescent="0.2">
      <c r="J1519"/>
    </row>
    <row r="1520" spans="10:10" x14ac:dyDescent="0.2">
      <c r="J1520"/>
    </row>
    <row r="1521" spans="10:10" x14ac:dyDescent="0.2">
      <c r="J1521"/>
    </row>
    <row r="1522" spans="10:10" x14ac:dyDescent="0.2">
      <c r="J1522"/>
    </row>
    <row r="1523" spans="10:10" x14ac:dyDescent="0.2">
      <c r="J1523"/>
    </row>
    <row r="1524" spans="10:10" x14ac:dyDescent="0.2">
      <c r="J1524"/>
    </row>
    <row r="1525" spans="10:10" x14ac:dyDescent="0.2">
      <c r="J1525"/>
    </row>
    <row r="1526" spans="10:10" x14ac:dyDescent="0.2">
      <c r="J1526"/>
    </row>
    <row r="1527" spans="10:10" x14ac:dyDescent="0.2">
      <c r="J1527"/>
    </row>
    <row r="1528" spans="10:10" x14ac:dyDescent="0.2">
      <c r="J1528"/>
    </row>
    <row r="1529" spans="10:10" x14ac:dyDescent="0.2">
      <c r="J1529"/>
    </row>
    <row r="1530" spans="10:10" x14ac:dyDescent="0.2">
      <c r="J1530"/>
    </row>
    <row r="1531" spans="10:10" x14ac:dyDescent="0.2">
      <c r="J1531"/>
    </row>
    <row r="1532" spans="10:10" x14ac:dyDescent="0.2">
      <c r="J1532"/>
    </row>
    <row r="1533" spans="10:10" x14ac:dyDescent="0.2">
      <c r="J1533"/>
    </row>
    <row r="1534" spans="10:10" x14ac:dyDescent="0.2">
      <c r="J1534"/>
    </row>
    <row r="1535" spans="10:10" x14ac:dyDescent="0.2">
      <c r="J1535"/>
    </row>
    <row r="1536" spans="10:10" x14ac:dyDescent="0.2">
      <c r="J1536"/>
    </row>
    <row r="1537" spans="10:10" x14ac:dyDescent="0.2">
      <c r="J1537"/>
    </row>
    <row r="1538" spans="10:10" x14ac:dyDescent="0.2">
      <c r="J1538"/>
    </row>
    <row r="1539" spans="10:10" x14ac:dyDescent="0.2">
      <c r="J1539"/>
    </row>
    <row r="1540" spans="10:10" x14ac:dyDescent="0.2">
      <c r="J1540"/>
    </row>
    <row r="1541" spans="10:10" x14ac:dyDescent="0.2">
      <c r="J1541"/>
    </row>
    <row r="1542" spans="10:10" x14ac:dyDescent="0.2">
      <c r="J1542"/>
    </row>
    <row r="1543" spans="10:10" x14ac:dyDescent="0.2">
      <c r="J1543"/>
    </row>
    <row r="1544" spans="10:10" x14ac:dyDescent="0.2">
      <c r="J1544"/>
    </row>
    <row r="1545" spans="10:10" x14ac:dyDescent="0.2">
      <c r="J1545"/>
    </row>
    <row r="1546" spans="10:10" x14ac:dyDescent="0.2">
      <c r="J1546"/>
    </row>
    <row r="1547" spans="10:10" x14ac:dyDescent="0.2">
      <c r="J1547"/>
    </row>
    <row r="1548" spans="10:10" x14ac:dyDescent="0.2">
      <c r="J1548"/>
    </row>
    <row r="1549" spans="10:10" x14ac:dyDescent="0.2">
      <c r="J1549"/>
    </row>
    <row r="1550" spans="10:10" x14ac:dyDescent="0.2">
      <c r="J1550"/>
    </row>
    <row r="1551" spans="10:10" x14ac:dyDescent="0.2">
      <c r="J1551"/>
    </row>
    <row r="1552" spans="10:10" x14ac:dyDescent="0.2">
      <c r="J1552"/>
    </row>
    <row r="1553" spans="10:10" x14ac:dyDescent="0.2">
      <c r="J1553"/>
    </row>
    <row r="1554" spans="10:10" x14ac:dyDescent="0.2">
      <c r="J1554"/>
    </row>
    <row r="1555" spans="10:10" x14ac:dyDescent="0.2">
      <c r="J1555"/>
    </row>
    <row r="1556" spans="10:10" x14ac:dyDescent="0.2">
      <c r="J1556"/>
    </row>
    <row r="1557" spans="10:10" x14ac:dyDescent="0.2">
      <c r="J1557"/>
    </row>
    <row r="1558" spans="10:10" x14ac:dyDescent="0.2">
      <c r="J1558"/>
    </row>
    <row r="1559" spans="10:10" x14ac:dyDescent="0.2">
      <c r="J1559"/>
    </row>
    <row r="1560" spans="10:10" x14ac:dyDescent="0.2">
      <c r="J1560"/>
    </row>
    <row r="1561" spans="10:10" x14ac:dyDescent="0.2">
      <c r="J1561"/>
    </row>
    <row r="1562" spans="10:10" x14ac:dyDescent="0.2">
      <c r="J1562"/>
    </row>
    <row r="1563" spans="10:10" x14ac:dyDescent="0.2">
      <c r="J1563"/>
    </row>
    <row r="1564" spans="10:10" x14ac:dyDescent="0.2">
      <c r="J1564"/>
    </row>
    <row r="1565" spans="10:10" x14ac:dyDescent="0.2">
      <c r="J1565"/>
    </row>
    <row r="1566" spans="10:10" x14ac:dyDescent="0.2">
      <c r="J1566"/>
    </row>
    <row r="1567" spans="10:10" x14ac:dyDescent="0.2">
      <c r="J1567"/>
    </row>
    <row r="1568" spans="10:10" x14ac:dyDescent="0.2">
      <c r="J1568"/>
    </row>
    <row r="1569" spans="10:10" x14ac:dyDescent="0.2">
      <c r="J1569"/>
    </row>
    <row r="1570" spans="10:10" x14ac:dyDescent="0.2">
      <c r="J1570"/>
    </row>
    <row r="1571" spans="10:10" x14ac:dyDescent="0.2">
      <c r="J1571"/>
    </row>
    <row r="1572" spans="10:10" x14ac:dyDescent="0.2">
      <c r="J1572"/>
    </row>
    <row r="1573" spans="10:10" x14ac:dyDescent="0.2">
      <c r="J1573"/>
    </row>
    <row r="1574" spans="10:10" x14ac:dyDescent="0.2">
      <c r="J1574"/>
    </row>
    <row r="1575" spans="10:10" x14ac:dyDescent="0.2">
      <c r="J1575"/>
    </row>
    <row r="1576" spans="10:10" x14ac:dyDescent="0.2">
      <c r="J1576"/>
    </row>
    <row r="1577" spans="10:10" x14ac:dyDescent="0.2">
      <c r="J1577"/>
    </row>
    <row r="1578" spans="10:10" x14ac:dyDescent="0.2">
      <c r="J1578"/>
    </row>
    <row r="1579" spans="10:10" x14ac:dyDescent="0.2">
      <c r="J1579"/>
    </row>
    <row r="1580" spans="10:10" x14ac:dyDescent="0.2">
      <c r="J1580"/>
    </row>
    <row r="1581" spans="10:10" x14ac:dyDescent="0.2">
      <c r="J1581"/>
    </row>
    <row r="1582" spans="10:10" x14ac:dyDescent="0.2">
      <c r="J1582"/>
    </row>
    <row r="1583" spans="10:10" x14ac:dyDescent="0.2">
      <c r="J1583"/>
    </row>
    <row r="1584" spans="10:10" x14ac:dyDescent="0.2">
      <c r="J1584"/>
    </row>
    <row r="1585" spans="10:10" x14ac:dyDescent="0.2">
      <c r="J1585"/>
    </row>
    <row r="1586" spans="10:10" x14ac:dyDescent="0.2">
      <c r="J1586"/>
    </row>
    <row r="1587" spans="10:10" x14ac:dyDescent="0.2">
      <c r="J1587"/>
    </row>
    <row r="1588" spans="10:10" x14ac:dyDescent="0.2">
      <c r="J1588"/>
    </row>
    <row r="1589" spans="10:10" x14ac:dyDescent="0.2">
      <c r="J1589"/>
    </row>
    <row r="1590" spans="10:10" x14ac:dyDescent="0.2">
      <c r="J1590"/>
    </row>
    <row r="1591" spans="10:10" x14ac:dyDescent="0.2">
      <c r="J1591"/>
    </row>
    <row r="1592" spans="10:10" x14ac:dyDescent="0.2">
      <c r="J1592"/>
    </row>
    <row r="1593" spans="10:10" x14ac:dyDescent="0.2">
      <c r="J1593"/>
    </row>
    <row r="1594" spans="10:10" x14ac:dyDescent="0.2">
      <c r="J1594"/>
    </row>
    <row r="1595" spans="10:10" x14ac:dyDescent="0.2">
      <c r="J1595"/>
    </row>
    <row r="1596" spans="10:10" x14ac:dyDescent="0.2">
      <c r="J1596"/>
    </row>
    <row r="1597" spans="10:10" x14ac:dyDescent="0.2">
      <c r="J1597"/>
    </row>
    <row r="1598" spans="10:10" x14ac:dyDescent="0.2">
      <c r="J1598"/>
    </row>
    <row r="1599" spans="10:10" x14ac:dyDescent="0.2">
      <c r="J1599"/>
    </row>
    <row r="1600" spans="10:10" x14ac:dyDescent="0.2">
      <c r="J1600"/>
    </row>
    <row r="1601" spans="10:10" x14ac:dyDescent="0.2">
      <c r="J1601"/>
    </row>
    <row r="1602" spans="10:10" x14ac:dyDescent="0.2">
      <c r="J1602"/>
    </row>
    <row r="1603" spans="10:10" x14ac:dyDescent="0.2">
      <c r="J1603"/>
    </row>
    <row r="1604" spans="10:10" x14ac:dyDescent="0.2">
      <c r="J1604"/>
    </row>
    <row r="1605" spans="10:10" x14ac:dyDescent="0.2">
      <c r="J1605"/>
    </row>
    <row r="1606" spans="10:10" x14ac:dyDescent="0.2">
      <c r="J1606"/>
    </row>
    <row r="1607" spans="10:10" x14ac:dyDescent="0.2">
      <c r="J1607"/>
    </row>
    <row r="1608" spans="10:10" x14ac:dyDescent="0.2">
      <c r="J1608"/>
    </row>
    <row r="1609" spans="10:10" x14ac:dyDescent="0.2">
      <c r="J1609"/>
    </row>
    <row r="1610" spans="10:10" x14ac:dyDescent="0.2">
      <c r="J1610"/>
    </row>
    <row r="1611" spans="10:10" x14ac:dyDescent="0.2">
      <c r="J1611"/>
    </row>
    <row r="1612" spans="10:10" x14ac:dyDescent="0.2">
      <c r="J1612"/>
    </row>
    <row r="1613" spans="10:10" x14ac:dyDescent="0.2">
      <c r="J1613"/>
    </row>
    <row r="1614" spans="10:10" x14ac:dyDescent="0.2">
      <c r="J1614"/>
    </row>
    <row r="1615" spans="10:10" x14ac:dyDescent="0.2">
      <c r="J1615"/>
    </row>
    <row r="1616" spans="10:10" x14ac:dyDescent="0.2">
      <c r="J1616"/>
    </row>
    <row r="1617" spans="10:10" x14ac:dyDescent="0.2">
      <c r="J1617"/>
    </row>
    <row r="1618" spans="10:10" x14ac:dyDescent="0.2">
      <c r="J1618"/>
    </row>
    <row r="1619" spans="10:10" x14ac:dyDescent="0.2">
      <c r="J1619"/>
    </row>
    <row r="1620" spans="10:10" x14ac:dyDescent="0.2">
      <c r="J1620"/>
    </row>
    <row r="1621" spans="10:10" x14ac:dyDescent="0.2">
      <c r="J1621"/>
    </row>
    <row r="1622" spans="10:10" x14ac:dyDescent="0.2">
      <c r="J1622"/>
    </row>
    <row r="1623" spans="10:10" x14ac:dyDescent="0.2">
      <c r="J1623"/>
    </row>
    <row r="1624" spans="10:10" x14ac:dyDescent="0.2">
      <c r="J1624"/>
    </row>
    <row r="1625" spans="10:10" x14ac:dyDescent="0.2">
      <c r="J1625"/>
    </row>
    <row r="1626" spans="10:10" x14ac:dyDescent="0.2">
      <c r="J1626"/>
    </row>
    <row r="1627" spans="10:10" x14ac:dyDescent="0.2">
      <c r="J1627"/>
    </row>
    <row r="1628" spans="10:10" x14ac:dyDescent="0.2">
      <c r="J1628"/>
    </row>
    <row r="1629" spans="10:10" x14ac:dyDescent="0.2">
      <c r="J1629"/>
    </row>
    <row r="1630" spans="10:10" x14ac:dyDescent="0.2">
      <c r="J1630"/>
    </row>
    <row r="1631" spans="10:10" x14ac:dyDescent="0.2">
      <c r="J1631"/>
    </row>
    <row r="1632" spans="10:10" x14ac:dyDescent="0.2">
      <c r="J1632"/>
    </row>
    <row r="1633" spans="10:10" x14ac:dyDescent="0.2">
      <c r="J1633"/>
    </row>
    <row r="1634" spans="10:10" x14ac:dyDescent="0.2">
      <c r="J1634"/>
    </row>
    <row r="1635" spans="10:10" x14ac:dyDescent="0.2">
      <c r="J1635"/>
    </row>
    <row r="1636" spans="10:10" x14ac:dyDescent="0.2">
      <c r="J1636"/>
    </row>
    <row r="1637" spans="10:10" x14ac:dyDescent="0.2">
      <c r="J1637"/>
    </row>
    <row r="1638" spans="10:10" x14ac:dyDescent="0.2">
      <c r="J1638"/>
    </row>
    <row r="1639" spans="10:10" x14ac:dyDescent="0.2">
      <c r="J1639"/>
    </row>
    <row r="1640" spans="10:10" x14ac:dyDescent="0.2">
      <c r="J1640"/>
    </row>
    <row r="1641" spans="10:10" x14ac:dyDescent="0.2">
      <c r="J1641"/>
    </row>
    <row r="1642" spans="10:10" x14ac:dyDescent="0.2">
      <c r="J1642"/>
    </row>
    <row r="1643" spans="10:10" x14ac:dyDescent="0.2">
      <c r="J1643"/>
    </row>
    <row r="1644" spans="10:10" x14ac:dyDescent="0.2">
      <c r="J1644"/>
    </row>
    <row r="1645" spans="10:10" x14ac:dyDescent="0.2">
      <c r="J1645"/>
    </row>
    <row r="1646" spans="10:10" x14ac:dyDescent="0.2">
      <c r="J1646"/>
    </row>
    <row r="1647" spans="10:10" x14ac:dyDescent="0.2">
      <c r="J1647"/>
    </row>
    <row r="1648" spans="10:10" x14ac:dyDescent="0.2">
      <c r="J1648"/>
    </row>
    <row r="1649" spans="10:10" x14ac:dyDescent="0.2">
      <c r="J1649"/>
    </row>
    <row r="1650" spans="10:10" x14ac:dyDescent="0.2">
      <c r="J1650"/>
    </row>
    <row r="1651" spans="10:10" x14ac:dyDescent="0.2">
      <c r="J1651"/>
    </row>
    <row r="1652" spans="10:10" x14ac:dyDescent="0.2">
      <c r="J1652"/>
    </row>
    <row r="1653" spans="10:10" x14ac:dyDescent="0.2">
      <c r="J1653"/>
    </row>
    <row r="1654" spans="10:10" x14ac:dyDescent="0.2">
      <c r="J1654"/>
    </row>
    <row r="1655" spans="10:10" x14ac:dyDescent="0.2">
      <c r="J1655"/>
    </row>
    <row r="1656" spans="10:10" x14ac:dyDescent="0.2">
      <c r="J1656"/>
    </row>
    <row r="1657" spans="10:10" x14ac:dyDescent="0.2">
      <c r="J1657"/>
    </row>
    <row r="1658" spans="10:10" x14ac:dyDescent="0.2">
      <c r="J1658"/>
    </row>
    <row r="1659" spans="10:10" x14ac:dyDescent="0.2">
      <c r="J1659"/>
    </row>
    <row r="1660" spans="10:10" x14ac:dyDescent="0.2">
      <c r="J1660"/>
    </row>
    <row r="1661" spans="10:10" x14ac:dyDescent="0.2">
      <c r="J1661"/>
    </row>
    <row r="1662" spans="10:10" x14ac:dyDescent="0.2">
      <c r="J1662"/>
    </row>
    <row r="1663" spans="10:10" x14ac:dyDescent="0.2">
      <c r="J1663"/>
    </row>
    <row r="1664" spans="10:10" x14ac:dyDescent="0.2">
      <c r="J1664"/>
    </row>
    <row r="1665" spans="10:10" x14ac:dyDescent="0.2">
      <c r="J1665"/>
    </row>
    <row r="1666" spans="10:10" x14ac:dyDescent="0.2">
      <c r="J1666"/>
    </row>
    <row r="1667" spans="10:10" x14ac:dyDescent="0.2">
      <c r="J1667"/>
    </row>
    <row r="1668" spans="10:10" x14ac:dyDescent="0.2">
      <c r="J1668"/>
    </row>
    <row r="1669" spans="10:10" x14ac:dyDescent="0.2">
      <c r="J1669"/>
    </row>
    <row r="1670" spans="10:10" x14ac:dyDescent="0.2">
      <c r="J1670"/>
    </row>
    <row r="1671" spans="10:10" x14ac:dyDescent="0.2">
      <c r="J1671"/>
    </row>
    <row r="1672" spans="10:10" x14ac:dyDescent="0.2">
      <c r="J1672"/>
    </row>
    <row r="1673" spans="10:10" x14ac:dyDescent="0.2">
      <c r="J1673"/>
    </row>
    <row r="1674" spans="10:10" x14ac:dyDescent="0.2">
      <c r="J1674"/>
    </row>
    <row r="1675" spans="10:10" x14ac:dyDescent="0.2">
      <c r="J1675"/>
    </row>
    <row r="1676" spans="10:10" x14ac:dyDescent="0.2">
      <c r="J1676"/>
    </row>
    <row r="1677" spans="10:10" x14ac:dyDescent="0.2">
      <c r="J1677"/>
    </row>
    <row r="1678" spans="10:10" x14ac:dyDescent="0.2">
      <c r="J1678"/>
    </row>
    <row r="1679" spans="10:10" x14ac:dyDescent="0.2">
      <c r="J1679"/>
    </row>
    <row r="1680" spans="10:10" x14ac:dyDescent="0.2">
      <c r="J1680"/>
    </row>
    <row r="1681" spans="10:10" x14ac:dyDescent="0.2">
      <c r="J1681"/>
    </row>
    <row r="1682" spans="10:10" x14ac:dyDescent="0.2">
      <c r="J1682"/>
    </row>
    <row r="1683" spans="10:10" x14ac:dyDescent="0.2">
      <c r="J1683"/>
    </row>
    <row r="1684" spans="10:10" x14ac:dyDescent="0.2">
      <c r="J1684"/>
    </row>
    <row r="1685" spans="10:10" x14ac:dyDescent="0.2">
      <c r="J1685"/>
    </row>
    <row r="1686" spans="10:10" x14ac:dyDescent="0.2">
      <c r="J1686"/>
    </row>
    <row r="1687" spans="10:10" x14ac:dyDescent="0.2">
      <c r="J1687"/>
    </row>
    <row r="1688" spans="10:10" x14ac:dyDescent="0.2">
      <c r="J1688"/>
    </row>
    <row r="1689" spans="10:10" x14ac:dyDescent="0.2">
      <c r="J1689"/>
    </row>
    <row r="1690" spans="10:10" x14ac:dyDescent="0.2">
      <c r="J1690"/>
    </row>
    <row r="1691" spans="10:10" x14ac:dyDescent="0.2">
      <c r="J1691"/>
    </row>
    <row r="1692" spans="10:10" x14ac:dyDescent="0.2">
      <c r="J1692"/>
    </row>
    <row r="1693" spans="10:10" x14ac:dyDescent="0.2">
      <c r="J1693"/>
    </row>
    <row r="1694" spans="10:10" x14ac:dyDescent="0.2">
      <c r="J1694"/>
    </row>
    <row r="1695" spans="10:10" x14ac:dyDescent="0.2">
      <c r="J1695"/>
    </row>
    <row r="1696" spans="10:10" x14ac:dyDescent="0.2">
      <c r="J1696"/>
    </row>
    <row r="1697" spans="10:10" x14ac:dyDescent="0.2">
      <c r="J1697"/>
    </row>
    <row r="1698" spans="10:10" x14ac:dyDescent="0.2">
      <c r="J1698"/>
    </row>
    <row r="1699" spans="10:10" x14ac:dyDescent="0.2">
      <c r="J1699"/>
    </row>
    <row r="1700" spans="10:10" x14ac:dyDescent="0.2">
      <c r="J1700"/>
    </row>
    <row r="1701" spans="10:10" x14ac:dyDescent="0.2">
      <c r="J1701"/>
    </row>
    <row r="1702" spans="10:10" x14ac:dyDescent="0.2">
      <c r="J1702"/>
    </row>
    <row r="1703" spans="10:10" x14ac:dyDescent="0.2">
      <c r="J1703"/>
    </row>
    <row r="1704" spans="10:10" x14ac:dyDescent="0.2">
      <c r="J1704"/>
    </row>
    <row r="1705" spans="10:10" x14ac:dyDescent="0.2">
      <c r="J1705"/>
    </row>
    <row r="1706" spans="10:10" x14ac:dyDescent="0.2">
      <c r="J1706"/>
    </row>
    <row r="1707" spans="10:10" x14ac:dyDescent="0.2">
      <c r="J1707"/>
    </row>
    <row r="1708" spans="10:10" x14ac:dyDescent="0.2">
      <c r="J1708"/>
    </row>
    <row r="1709" spans="10:10" x14ac:dyDescent="0.2">
      <c r="J1709"/>
    </row>
    <row r="1710" spans="10:10" x14ac:dyDescent="0.2">
      <c r="J1710"/>
    </row>
    <row r="1711" spans="10:10" x14ac:dyDescent="0.2">
      <c r="J1711"/>
    </row>
    <row r="1712" spans="10:10" x14ac:dyDescent="0.2">
      <c r="J1712"/>
    </row>
    <row r="1713" spans="10:10" x14ac:dyDescent="0.2">
      <c r="J1713"/>
    </row>
    <row r="1714" spans="10:10" x14ac:dyDescent="0.2">
      <c r="J1714"/>
    </row>
    <row r="1715" spans="10:10" x14ac:dyDescent="0.2">
      <c r="J1715"/>
    </row>
    <row r="1716" spans="10:10" x14ac:dyDescent="0.2">
      <c r="J1716"/>
    </row>
    <row r="1717" spans="10:10" x14ac:dyDescent="0.2">
      <c r="J1717"/>
    </row>
    <row r="1718" spans="10:10" x14ac:dyDescent="0.2">
      <c r="J1718"/>
    </row>
    <row r="1719" spans="10:10" x14ac:dyDescent="0.2">
      <c r="J1719"/>
    </row>
    <row r="1720" spans="10:10" x14ac:dyDescent="0.2">
      <c r="J1720"/>
    </row>
    <row r="1721" spans="10:10" x14ac:dyDescent="0.2">
      <c r="J1721"/>
    </row>
    <row r="1722" spans="10:10" x14ac:dyDescent="0.2">
      <c r="J1722"/>
    </row>
    <row r="1723" spans="10:10" x14ac:dyDescent="0.2">
      <c r="J1723"/>
    </row>
    <row r="1724" spans="10:10" x14ac:dyDescent="0.2">
      <c r="J1724"/>
    </row>
    <row r="1725" spans="10:10" x14ac:dyDescent="0.2">
      <c r="J1725"/>
    </row>
    <row r="1726" spans="10:10" x14ac:dyDescent="0.2">
      <c r="J1726"/>
    </row>
    <row r="1727" spans="10:10" x14ac:dyDescent="0.2">
      <c r="J1727"/>
    </row>
    <row r="1728" spans="10:10" x14ac:dyDescent="0.2">
      <c r="J1728"/>
    </row>
    <row r="1729" spans="10:10" x14ac:dyDescent="0.2">
      <c r="J1729"/>
    </row>
    <row r="1730" spans="10:10" x14ac:dyDescent="0.2">
      <c r="J1730"/>
    </row>
    <row r="1731" spans="10:10" x14ac:dyDescent="0.2">
      <c r="J1731"/>
    </row>
    <row r="1732" spans="10:10" x14ac:dyDescent="0.2">
      <c r="J1732"/>
    </row>
    <row r="1733" spans="10:10" x14ac:dyDescent="0.2">
      <c r="J1733"/>
    </row>
    <row r="1734" spans="10:10" x14ac:dyDescent="0.2">
      <c r="J1734"/>
    </row>
    <row r="1735" spans="10:10" x14ac:dyDescent="0.2">
      <c r="J1735"/>
    </row>
    <row r="1736" spans="10:10" x14ac:dyDescent="0.2">
      <c r="J1736"/>
    </row>
    <row r="1737" spans="10:10" x14ac:dyDescent="0.2">
      <c r="J1737"/>
    </row>
    <row r="1738" spans="10:10" x14ac:dyDescent="0.2">
      <c r="J1738"/>
    </row>
    <row r="1739" spans="10:10" x14ac:dyDescent="0.2">
      <c r="J1739"/>
    </row>
    <row r="1740" spans="10:10" x14ac:dyDescent="0.2">
      <c r="J1740"/>
    </row>
    <row r="1741" spans="10:10" x14ac:dyDescent="0.2">
      <c r="J1741"/>
    </row>
    <row r="1742" spans="10:10" x14ac:dyDescent="0.2">
      <c r="J1742"/>
    </row>
    <row r="1743" spans="10:10" x14ac:dyDescent="0.2">
      <c r="J1743"/>
    </row>
    <row r="1744" spans="10:10" x14ac:dyDescent="0.2">
      <c r="J1744"/>
    </row>
    <row r="1745" spans="10:10" x14ac:dyDescent="0.2">
      <c r="J1745"/>
    </row>
    <row r="1746" spans="10:10" x14ac:dyDescent="0.2">
      <c r="J1746"/>
    </row>
    <row r="1747" spans="10:10" x14ac:dyDescent="0.2">
      <c r="J1747"/>
    </row>
    <row r="1748" spans="10:10" x14ac:dyDescent="0.2">
      <c r="J1748"/>
    </row>
    <row r="1749" spans="10:10" x14ac:dyDescent="0.2">
      <c r="J1749"/>
    </row>
    <row r="1750" spans="10:10" x14ac:dyDescent="0.2">
      <c r="J1750"/>
    </row>
    <row r="1751" spans="10:10" x14ac:dyDescent="0.2">
      <c r="J1751"/>
    </row>
    <row r="1752" spans="10:10" x14ac:dyDescent="0.2">
      <c r="J1752"/>
    </row>
    <row r="1753" spans="10:10" x14ac:dyDescent="0.2">
      <c r="J1753"/>
    </row>
    <row r="1754" spans="10:10" x14ac:dyDescent="0.2">
      <c r="J1754"/>
    </row>
    <row r="1755" spans="10:10" x14ac:dyDescent="0.2">
      <c r="J1755"/>
    </row>
    <row r="1756" spans="10:10" x14ac:dyDescent="0.2">
      <c r="J1756"/>
    </row>
    <row r="1757" spans="10:10" x14ac:dyDescent="0.2">
      <c r="J1757"/>
    </row>
    <row r="1758" spans="10:10" x14ac:dyDescent="0.2">
      <c r="J1758"/>
    </row>
    <row r="1759" spans="10:10" x14ac:dyDescent="0.2">
      <c r="J1759"/>
    </row>
    <row r="1760" spans="10:10" x14ac:dyDescent="0.2">
      <c r="J1760"/>
    </row>
    <row r="1761" spans="10:10" x14ac:dyDescent="0.2">
      <c r="J1761"/>
    </row>
    <row r="1762" spans="10:10" x14ac:dyDescent="0.2">
      <c r="J1762"/>
    </row>
    <row r="1763" spans="10:10" x14ac:dyDescent="0.2">
      <c r="J1763"/>
    </row>
    <row r="1764" spans="10:10" x14ac:dyDescent="0.2">
      <c r="J1764"/>
    </row>
    <row r="1765" spans="10:10" x14ac:dyDescent="0.2">
      <c r="J1765"/>
    </row>
    <row r="1766" spans="10:10" x14ac:dyDescent="0.2">
      <c r="J1766"/>
    </row>
    <row r="1767" spans="10:10" x14ac:dyDescent="0.2">
      <c r="J1767"/>
    </row>
    <row r="1768" spans="10:10" x14ac:dyDescent="0.2">
      <c r="J1768"/>
    </row>
    <row r="1769" spans="10:10" x14ac:dyDescent="0.2">
      <c r="J1769"/>
    </row>
    <row r="1770" spans="10:10" x14ac:dyDescent="0.2">
      <c r="J1770"/>
    </row>
    <row r="1771" spans="10:10" x14ac:dyDescent="0.2">
      <c r="J1771"/>
    </row>
    <row r="1772" spans="10:10" x14ac:dyDescent="0.2">
      <c r="J1772"/>
    </row>
    <row r="1773" spans="10:10" x14ac:dyDescent="0.2">
      <c r="J1773"/>
    </row>
    <row r="1774" spans="10:10" x14ac:dyDescent="0.2">
      <c r="J1774"/>
    </row>
    <row r="1775" spans="10:10" x14ac:dyDescent="0.2">
      <c r="J1775"/>
    </row>
    <row r="1776" spans="10:10" x14ac:dyDescent="0.2">
      <c r="J1776"/>
    </row>
    <row r="1777" spans="10:10" x14ac:dyDescent="0.2">
      <c r="J1777"/>
    </row>
    <row r="1778" spans="10:10" x14ac:dyDescent="0.2">
      <c r="J1778"/>
    </row>
    <row r="1779" spans="10:10" x14ac:dyDescent="0.2">
      <c r="J1779"/>
    </row>
    <row r="1780" spans="10:10" x14ac:dyDescent="0.2">
      <c r="J1780"/>
    </row>
    <row r="1781" spans="10:10" x14ac:dyDescent="0.2">
      <c r="J1781"/>
    </row>
    <row r="1782" spans="10:10" x14ac:dyDescent="0.2">
      <c r="J1782"/>
    </row>
    <row r="1783" spans="10:10" x14ac:dyDescent="0.2">
      <c r="J1783"/>
    </row>
    <row r="1784" spans="10:10" x14ac:dyDescent="0.2">
      <c r="J1784"/>
    </row>
    <row r="1785" spans="10:10" x14ac:dyDescent="0.2">
      <c r="J1785"/>
    </row>
    <row r="1786" spans="10:10" x14ac:dyDescent="0.2">
      <c r="J1786"/>
    </row>
    <row r="1787" spans="10:10" x14ac:dyDescent="0.2">
      <c r="J1787"/>
    </row>
    <row r="1788" spans="10:10" x14ac:dyDescent="0.2">
      <c r="J1788"/>
    </row>
    <row r="1789" spans="10:10" x14ac:dyDescent="0.2">
      <c r="J1789"/>
    </row>
    <row r="1790" spans="10:10" x14ac:dyDescent="0.2">
      <c r="J1790"/>
    </row>
    <row r="1791" spans="10:10" x14ac:dyDescent="0.2">
      <c r="J1791"/>
    </row>
    <row r="1792" spans="10:10" x14ac:dyDescent="0.2">
      <c r="J1792"/>
    </row>
    <row r="1793" spans="10:10" x14ac:dyDescent="0.2">
      <c r="J1793"/>
    </row>
    <row r="1794" spans="10:10" x14ac:dyDescent="0.2">
      <c r="J1794"/>
    </row>
    <row r="1795" spans="10:10" x14ac:dyDescent="0.2">
      <c r="J1795"/>
    </row>
    <row r="1796" spans="10:10" x14ac:dyDescent="0.2">
      <c r="J1796"/>
    </row>
    <row r="1797" spans="10:10" x14ac:dyDescent="0.2">
      <c r="J1797"/>
    </row>
    <row r="1798" spans="10:10" x14ac:dyDescent="0.2">
      <c r="J1798"/>
    </row>
    <row r="1799" spans="10:10" x14ac:dyDescent="0.2">
      <c r="J1799"/>
    </row>
    <row r="1800" spans="10:10" x14ac:dyDescent="0.2">
      <c r="J1800"/>
    </row>
    <row r="1801" spans="10:10" x14ac:dyDescent="0.2">
      <c r="J1801"/>
    </row>
    <row r="1802" spans="10:10" x14ac:dyDescent="0.2">
      <c r="J1802"/>
    </row>
    <row r="1803" spans="10:10" x14ac:dyDescent="0.2">
      <c r="J1803"/>
    </row>
    <row r="1804" spans="10:10" x14ac:dyDescent="0.2">
      <c r="J1804"/>
    </row>
    <row r="1805" spans="10:10" x14ac:dyDescent="0.2">
      <c r="J1805"/>
    </row>
    <row r="1806" spans="10:10" x14ac:dyDescent="0.2">
      <c r="J1806"/>
    </row>
    <row r="1807" spans="10:10" x14ac:dyDescent="0.2">
      <c r="J1807"/>
    </row>
    <row r="1808" spans="10:10" x14ac:dyDescent="0.2">
      <c r="J1808"/>
    </row>
    <row r="1809" spans="10:10" x14ac:dyDescent="0.2">
      <c r="J1809"/>
    </row>
    <row r="1810" spans="10:10" x14ac:dyDescent="0.2">
      <c r="J1810"/>
    </row>
    <row r="1811" spans="10:10" x14ac:dyDescent="0.2">
      <c r="J1811"/>
    </row>
    <row r="1812" spans="10:10" x14ac:dyDescent="0.2">
      <c r="J1812"/>
    </row>
    <row r="1813" spans="10:10" x14ac:dyDescent="0.2">
      <c r="J1813"/>
    </row>
    <row r="1814" spans="10:10" x14ac:dyDescent="0.2">
      <c r="J1814"/>
    </row>
    <row r="1815" spans="10:10" x14ac:dyDescent="0.2">
      <c r="J1815"/>
    </row>
    <row r="1816" spans="10:10" x14ac:dyDescent="0.2">
      <c r="J1816"/>
    </row>
    <row r="1817" spans="10:10" x14ac:dyDescent="0.2">
      <c r="J1817"/>
    </row>
    <row r="1818" spans="10:10" x14ac:dyDescent="0.2">
      <c r="J1818"/>
    </row>
    <row r="1819" spans="10:10" x14ac:dyDescent="0.2">
      <c r="J1819"/>
    </row>
    <row r="1820" spans="10:10" x14ac:dyDescent="0.2">
      <c r="J1820"/>
    </row>
    <row r="1821" spans="10:10" x14ac:dyDescent="0.2">
      <c r="J1821"/>
    </row>
    <row r="1822" spans="10:10" x14ac:dyDescent="0.2">
      <c r="J1822"/>
    </row>
    <row r="1823" spans="10:10" x14ac:dyDescent="0.2">
      <c r="J1823"/>
    </row>
    <row r="1824" spans="10:10" x14ac:dyDescent="0.2">
      <c r="J1824"/>
    </row>
    <row r="1825" spans="10:10" x14ac:dyDescent="0.2">
      <c r="J1825"/>
    </row>
    <row r="1826" spans="10:10" x14ac:dyDescent="0.2">
      <c r="J1826"/>
    </row>
    <row r="1827" spans="10:10" x14ac:dyDescent="0.2">
      <c r="J1827"/>
    </row>
    <row r="1828" spans="10:10" x14ac:dyDescent="0.2">
      <c r="J1828"/>
    </row>
    <row r="1829" spans="10:10" x14ac:dyDescent="0.2">
      <c r="J1829"/>
    </row>
    <row r="1830" spans="10:10" x14ac:dyDescent="0.2">
      <c r="J1830"/>
    </row>
    <row r="1831" spans="10:10" x14ac:dyDescent="0.2">
      <c r="J1831"/>
    </row>
    <row r="1832" spans="10:10" x14ac:dyDescent="0.2">
      <c r="J1832"/>
    </row>
    <row r="1833" spans="10:10" x14ac:dyDescent="0.2">
      <c r="J1833"/>
    </row>
    <row r="1834" spans="10:10" x14ac:dyDescent="0.2">
      <c r="J1834"/>
    </row>
    <row r="1835" spans="10:10" x14ac:dyDescent="0.2">
      <c r="J1835"/>
    </row>
    <row r="1836" spans="10:10" x14ac:dyDescent="0.2">
      <c r="J1836"/>
    </row>
    <row r="1837" spans="10:10" x14ac:dyDescent="0.2">
      <c r="J1837"/>
    </row>
    <row r="1838" spans="10:10" x14ac:dyDescent="0.2">
      <c r="J1838"/>
    </row>
    <row r="1839" spans="10:10" x14ac:dyDescent="0.2">
      <c r="J1839"/>
    </row>
    <row r="1840" spans="10:10" x14ac:dyDescent="0.2">
      <c r="J1840"/>
    </row>
    <row r="1841" spans="10:10" x14ac:dyDescent="0.2">
      <c r="J1841"/>
    </row>
    <row r="1842" spans="10:10" x14ac:dyDescent="0.2">
      <c r="J1842"/>
    </row>
    <row r="1843" spans="10:10" x14ac:dyDescent="0.2">
      <c r="J1843"/>
    </row>
    <row r="1844" spans="10:10" x14ac:dyDescent="0.2">
      <c r="J1844"/>
    </row>
    <row r="1845" spans="10:10" x14ac:dyDescent="0.2">
      <c r="J1845"/>
    </row>
    <row r="1846" spans="10:10" x14ac:dyDescent="0.2">
      <c r="J1846"/>
    </row>
    <row r="1847" spans="10:10" x14ac:dyDescent="0.2">
      <c r="J1847"/>
    </row>
    <row r="1848" spans="10:10" x14ac:dyDescent="0.2">
      <c r="J1848"/>
    </row>
    <row r="1849" spans="10:10" x14ac:dyDescent="0.2">
      <c r="J1849"/>
    </row>
    <row r="1850" spans="10:10" x14ac:dyDescent="0.2">
      <c r="J1850"/>
    </row>
    <row r="1851" spans="10:10" x14ac:dyDescent="0.2">
      <c r="J1851"/>
    </row>
    <row r="1852" spans="10:10" x14ac:dyDescent="0.2">
      <c r="J1852"/>
    </row>
    <row r="1853" spans="10:10" x14ac:dyDescent="0.2">
      <c r="J1853"/>
    </row>
    <row r="1854" spans="10:10" x14ac:dyDescent="0.2">
      <c r="J1854"/>
    </row>
    <row r="1855" spans="10:10" x14ac:dyDescent="0.2">
      <c r="J1855"/>
    </row>
    <row r="1856" spans="10:10" x14ac:dyDescent="0.2">
      <c r="J1856"/>
    </row>
    <row r="1857" spans="10:10" x14ac:dyDescent="0.2">
      <c r="J1857"/>
    </row>
    <row r="1858" spans="10:10" x14ac:dyDescent="0.2">
      <c r="J1858"/>
    </row>
    <row r="1859" spans="10:10" x14ac:dyDescent="0.2">
      <c r="J1859"/>
    </row>
    <row r="1860" spans="10:10" x14ac:dyDescent="0.2">
      <c r="J1860"/>
    </row>
    <row r="1861" spans="10:10" x14ac:dyDescent="0.2">
      <c r="J1861"/>
    </row>
    <row r="1862" spans="10:10" x14ac:dyDescent="0.2">
      <c r="J1862"/>
    </row>
    <row r="1863" spans="10:10" x14ac:dyDescent="0.2">
      <c r="J1863"/>
    </row>
    <row r="1864" spans="10:10" x14ac:dyDescent="0.2">
      <c r="J1864"/>
    </row>
    <row r="1865" spans="10:10" x14ac:dyDescent="0.2">
      <c r="J1865"/>
    </row>
    <row r="1866" spans="10:10" x14ac:dyDescent="0.2">
      <c r="J1866"/>
    </row>
    <row r="1867" spans="10:10" x14ac:dyDescent="0.2">
      <c r="J1867"/>
    </row>
    <row r="1868" spans="10:10" x14ac:dyDescent="0.2">
      <c r="J1868"/>
    </row>
    <row r="1869" spans="10:10" x14ac:dyDescent="0.2">
      <c r="J1869"/>
    </row>
    <row r="1870" spans="10:10" x14ac:dyDescent="0.2">
      <c r="J1870"/>
    </row>
    <row r="1871" spans="10:10" x14ac:dyDescent="0.2">
      <c r="J1871"/>
    </row>
    <row r="1872" spans="10:10" x14ac:dyDescent="0.2">
      <c r="J1872"/>
    </row>
    <row r="1873" spans="10:10" x14ac:dyDescent="0.2">
      <c r="J1873"/>
    </row>
    <row r="1874" spans="10:10" x14ac:dyDescent="0.2">
      <c r="J1874"/>
    </row>
    <row r="1875" spans="10:10" x14ac:dyDescent="0.2">
      <c r="J1875"/>
    </row>
    <row r="1876" spans="10:10" x14ac:dyDescent="0.2">
      <c r="J1876"/>
    </row>
    <row r="1877" spans="10:10" x14ac:dyDescent="0.2">
      <c r="J1877"/>
    </row>
    <row r="1878" spans="10:10" x14ac:dyDescent="0.2">
      <c r="J1878"/>
    </row>
    <row r="1879" spans="10:10" x14ac:dyDescent="0.2">
      <c r="J1879"/>
    </row>
    <row r="1880" spans="10:10" x14ac:dyDescent="0.2">
      <c r="J1880"/>
    </row>
    <row r="1881" spans="10:10" x14ac:dyDescent="0.2">
      <c r="J1881"/>
    </row>
    <row r="1882" spans="10:10" x14ac:dyDescent="0.2">
      <c r="J1882"/>
    </row>
    <row r="1883" spans="10:10" x14ac:dyDescent="0.2">
      <c r="J1883"/>
    </row>
    <row r="1884" spans="10:10" x14ac:dyDescent="0.2">
      <c r="J1884"/>
    </row>
    <row r="1885" spans="10:10" x14ac:dyDescent="0.2">
      <c r="J1885"/>
    </row>
    <row r="1886" spans="10:10" x14ac:dyDescent="0.2">
      <c r="J1886"/>
    </row>
    <row r="1887" spans="10:10" x14ac:dyDescent="0.2">
      <c r="J1887"/>
    </row>
    <row r="1888" spans="10:10" x14ac:dyDescent="0.2">
      <c r="J1888"/>
    </row>
    <row r="1889" spans="10:10" x14ac:dyDescent="0.2">
      <c r="J1889"/>
    </row>
    <row r="1890" spans="10:10" x14ac:dyDescent="0.2">
      <c r="J1890"/>
    </row>
    <row r="1891" spans="10:10" x14ac:dyDescent="0.2">
      <c r="J1891"/>
    </row>
    <row r="1892" spans="10:10" x14ac:dyDescent="0.2">
      <c r="J1892"/>
    </row>
    <row r="1893" spans="10:10" x14ac:dyDescent="0.2">
      <c r="J1893"/>
    </row>
    <row r="1894" spans="10:10" x14ac:dyDescent="0.2">
      <c r="J1894"/>
    </row>
    <row r="1895" spans="10:10" x14ac:dyDescent="0.2">
      <c r="J1895"/>
    </row>
    <row r="1896" spans="10:10" x14ac:dyDescent="0.2">
      <c r="J1896"/>
    </row>
    <row r="1897" spans="10:10" x14ac:dyDescent="0.2">
      <c r="J1897"/>
    </row>
    <row r="1898" spans="10:10" x14ac:dyDescent="0.2">
      <c r="J1898"/>
    </row>
    <row r="1899" spans="10:10" x14ac:dyDescent="0.2">
      <c r="J1899"/>
    </row>
    <row r="1900" spans="10:10" x14ac:dyDescent="0.2">
      <c r="J1900"/>
    </row>
    <row r="1901" spans="10:10" x14ac:dyDescent="0.2">
      <c r="J1901"/>
    </row>
    <row r="1902" spans="10:10" x14ac:dyDescent="0.2">
      <c r="J1902"/>
    </row>
    <row r="1903" spans="10:10" x14ac:dyDescent="0.2">
      <c r="J1903"/>
    </row>
    <row r="1904" spans="10:10" x14ac:dyDescent="0.2">
      <c r="J1904"/>
    </row>
    <row r="1905" spans="10:10" x14ac:dyDescent="0.2">
      <c r="J1905"/>
    </row>
    <row r="1906" spans="10:10" x14ac:dyDescent="0.2">
      <c r="J1906"/>
    </row>
    <row r="1907" spans="10:10" x14ac:dyDescent="0.2">
      <c r="J1907"/>
    </row>
    <row r="1908" spans="10:10" x14ac:dyDescent="0.2">
      <c r="J1908"/>
    </row>
    <row r="1909" spans="10:10" x14ac:dyDescent="0.2">
      <c r="J1909"/>
    </row>
    <row r="1910" spans="10:10" x14ac:dyDescent="0.2">
      <c r="J1910"/>
    </row>
    <row r="1911" spans="10:10" x14ac:dyDescent="0.2">
      <c r="J1911"/>
    </row>
    <row r="1912" spans="10:10" x14ac:dyDescent="0.2">
      <c r="J1912"/>
    </row>
    <row r="1913" spans="10:10" x14ac:dyDescent="0.2">
      <c r="J1913"/>
    </row>
    <row r="1914" spans="10:10" x14ac:dyDescent="0.2">
      <c r="J1914"/>
    </row>
    <row r="1915" spans="10:10" x14ac:dyDescent="0.2">
      <c r="J1915"/>
    </row>
    <row r="1916" spans="10:10" x14ac:dyDescent="0.2">
      <c r="J1916"/>
    </row>
    <row r="1917" spans="10:10" x14ac:dyDescent="0.2">
      <c r="J1917"/>
    </row>
    <row r="1918" spans="10:10" x14ac:dyDescent="0.2">
      <c r="J1918"/>
    </row>
    <row r="1919" spans="10:10" x14ac:dyDescent="0.2">
      <c r="J1919"/>
    </row>
    <row r="1920" spans="10:10" x14ac:dyDescent="0.2">
      <c r="J1920"/>
    </row>
    <row r="1921" spans="10:10" x14ac:dyDescent="0.2">
      <c r="J1921"/>
    </row>
    <row r="1922" spans="10:10" x14ac:dyDescent="0.2">
      <c r="J1922"/>
    </row>
    <row r="1923" spans="10:10" x14ac:dyDescent="0.2">
      <c r="J1923"/>
    </row>
    <row r="1924" spans="10:10" x14ac:dyDescent="0.2">
      <c r="J1924"/>
    </row>
    <row r="1925" spans="10:10" x14ac:dyDescent="0.2">
      <c r="J1925"/>
    </row>
    <row r="1926" spans="10:10" x14ac:dyDescent="0.2">
      <c r="J1926"/>
    </row>
    <row r="1927" spans="10:10" x14ac:dyDescent="0.2">
      <c r="J1927"/>
    </row>
    <row r="1928" spans="10:10" x14ac:dyDescent="0.2">
      <c r="J1928"/>
    </row>
    <row r="1929" spans="10:10" x14ac:dyDescent="0.2">
      <c r="J1929"/>
    </row>
    <row r="1930" spans="10:10" x14ac:dyDescent="0.2">
      <c r="J1930"/>
    </row>
    <row r="1931" spans="10:10" x14ac:dyDescent="0.2">
      <c r="J1931"/>
    </row>
    <row r="1932" spans="10:10" x14ac:dyDescent="0.2">
      <c r="J1932"/>
    </row>
    <row r="1933" spans="10:10" x14ac:dyDescent="0.2">
      <c r="J1933"/>
    </row>
    <row r="1934" spans="10:10" x14ac:dyDescent="0.2">
      <c r="J1934"/>
    </row>
    <row r="1935" spans="10:10" x14ac:dyDescent="0.2">
      <c r="J1935"/>
    </row>
    <row r="1936" spans="10:10" x14ac:dyDescent="0.2">
      <c r="J1936"/>
    </row>
    <row r="1937" spans="10:10" x14ac:dyDescent="0.2">
      <c r="J1937"/>
    </row>
    <row r="1938" spans="10:10" x14ac:dyDescent="0.2">
      <c r="J1938"/>
    </row>
    <row r="1939" spans="10:10" x14ac:dyDescent="0.2">
      <c r="J1939"/>
    </row>
    <row r="1940" spans="10:10" x14ac:dyDescent="0.2">
      <c r="J1940"/>
    </row>
    <row r="1941" spans="10:10" x14ac:dyDescent="0.2">
      <c r="J1941"/>
    </row>
    <row r="1942" spans="10:10" x14ac:dyDescent="0.2">
      <c r="J1942"/>
    </row>
    <row r="1943" spans="10:10" x14ac:dyDescent="0.2">
      <c r="J1943"/>
    </row>
    <row r="1944" spans="10:10" x14ac:dyDescent="0.2">
      <c r="J1944"/>
    </row>
    <row r="1945" spans="10:10" x14ac:dyDescent="0.2">
      <c r="J1945"/>
    </row>
    <row r="1946" spans="10:10" x14ac:dyDescent="0.2">
      <c r="J1946"/>
    </row>
    <row r="1947" spans="10:10" x14ac:dyDescent="0.2">
      <c r="J1947"/>
    </row>
    <row r="1948" spans="10:10" x14ac:dyDescent="0.2">
      <c r="J1948"/>
    </row>
    <row r="1949" spans="10:10" x14ac:dyDescent="0.2">
      <c r="J1949"/>
    </row>
    <row r="1950" spans="10:10" x14ac:dyDescent="0.2">
      <c r="J1950"/>
    </row>
    <row r="1951" spans="10:10" x14ac:dyDescent="0.2">
      <c r="J1951"/>
    </row>
    <row r="1952" spans="10:10" x14ac:dyDescent="0.2">
      <c r="J1952"/>
    </row>
    <row r="1953" spans="10:10" x14ac:dyDescent="0.2">
      <c r="J1953"/>
    </row>
    <row r="1954" spans="10:10" x14ac:dyDescent="0.2">
      <c r="J1954"/>
    </row>
    <row r="1955" spans="10:10" x14ac:dyDescent="0.2">
      <c r="J1955"/>
    </row>
    <row r="1956" spans="10:10" x14ac:dyDescent="0.2">
      <c r="J1956"/>
    </row>
    <row r="1957" spans="10:10" x14ac:dyDescent="0.2">
      <c r="J1957"/>
    </row>
    <row r="1958" spans="10:10" x14ac:dyDescent="0.2">
      <c r="J1958"/>
    </row>
    <row r="1959" spans="10:10" x14ac:dyDescent="0.2">
      <c r="J1959"/>
    </row>
    <row r="1960" spans="10:10" x14ac:dyDescent="0.2">
      <c r="J1960"/>
    </row>
    <row r="1961" spans="10:10" x14ac:dyDescent="0.2">
      <c r="J1961"/>
    </row>
    <row r="1962" spans="10:10" x14ac:dyDescent="0.2">
      <c r="J1962"/>
    </row>
    <row r="1963" spans="10:10" x14ac:dyDescent="0.2">
      <c r="J1963"/>
    </row>
    <row r="1964" spans="10:10" x14ac:dyDescent="0.2">
      <c r="J1964"/>
    </row>
    <row r="1965" spans="10:10" x14ac:dyDescent="0.2">
      <c r="J1965"/>
    </row>
    <row r="1966" spans="10:10" x14ac:dyDescent="0.2">
      <c r="J1966"/>
    </row>
    <row r="1967" spans="10:10" x14ac:dyDescent="0.2">
      <c r="J1967"/>
    </row>
    <row r="1968" spans="10:10" x14ac:dyDescent="0.2">
      <c r="J1968"/>
    </row>
    <row r="1969" spans="10:10" x14ac:dyDescent="0.2">
      <c r="J1969"/>
    </row>
    <row r="1970" spans="10:10" x14ac:dyDescent="0.2">
      <c r="J1970"/>
    </row>
    <row r="1971" spans="10:10" x14ac:dyDescent="0.2">
      <c r="J1971"/>
    </row>
    <row r="1972" spans="10:10" x14ac:dyDescent="0.2">
      <c r="J1972"/>
    </row>
    <row r="1973" spans="10:10" x14ac:dyDescent="0.2">
      <c r="J1973"/>
    </row>
    <row r="1974" spans="10:10" x14ac:dyDescent="0.2">
      <c r="J1974"/>
    </row>
    <row r="1975" spans="10:10" x14ac:dyDescent="0.2">
      <c r="J1975"/>
    </row>
    <row r="1976" spans="10:10" x14ac:dyDescent="0.2">
      <c r="J1976"/>
    </row>
    <row r="1977" spans="10:10" x14ac:dyDescent="0.2">
      <c r="J1977"/>
    </row>
    <row r="1978" spans="10:10" x14ac:dyDescent="0.2">
      <c r="J1978"/>
    </row>
    <row r="1979" spans="10:10" x14ac:dyDescent="0.2">
      <c r="J1979"/>
    </row>
    <row r="1980" spans="10:10" x14ac:dyDescent="0.2">
      <c r="J1980"/>
    </row>
    <row r="1981" spans="10:10" x14ac:dyDescent="0.2">
      <c r="J1981"/>
    </row>
    <row r="1982" spans="10:10" x14ac:dyDescent="0.2">
      <c r="J1982"/>
    </row>
    <row r="1983" spans="10:10" x14ac:dyDescent="0.2">
      <c r="J1983"/>
    </row>
    <row r="1984" spans="10:10" x14ac:dyDescent="0.2">
      <c r="J1984"/>
    </row>
    <row r="1985" spans="10:10" x14ac:dyDescent="0.2">
      <c r="J1985"/>
    </row>
    <row r="1986" spans="10:10" x14ac:dyDescent="0.2">
      <c r="J1986"/>
    </row>
    <row r="1987" spans="10:10" x14ac:dyDescent="0.2">
      <c r="J1987"/>
    </row>
    <row r="1988" spans="10:10" x14ac:dyDescent="0.2">
      <c r="J1988"/>
    </row>
    <row r="1989" spans="10:10" x14ac:dyDescent="0.2">
      <c r="J1989"/>
    </row>
    <row r="1990" spans="10:10" x14ac:dyDescent="0.2">
      <c r="J1990"/>
    </row>
    <row r="1991" spans="10:10" x14ac:dyDescent="0.2">
      <c r="J1991"/>
    </row>
    <row r="1992" spans="10:10" x14ac:dyDescent="0.2">
      <c r="J1992"/>
    </row>
    <row r="1993" spans="10:10" x14ac:dyDescent="0.2">
      <c r="J1993"/>
    </row>
    <row r="1994" spans="10:10" x14ac:dyDescent="0.2">
      <c r="J1994"/>
    </row>
    <row r="1995" spans="10:10" x14ac:dyDescent="0.2">
      <c r="J1995"/>
    </row>
    <row r="1996" spans="10:10" x14ac:dyDescent="0.2">
      <c r="J1996"/>
    </row>
    <row r="1997" spans="10:10" x14ac:dyDescent="0.2">
      <c r="J1997"/>
    </row>
    <row r="1998" spans="10:10" x14ac:dyDescent="0.2">
      <c r="J1998"/>
    </row>
    <row r="1999" spans="10:10" x14ac:dyDescent="0.2">
      <c r="J1999"/>
    </row>
    <row r="2000" spans="10:10" x14ac:dyDescent="0.2">
      <c r="J2000"/>
    </row>
    <row r="2001" spans="10:10" x14ac:dyDescent="0.2">
      <c r="J2001"/>
    </row>
    <row r="2002" spans="10:10" x14ac:dyDescent="0.2">
      <c r="J2002"/>
    </row>
    <row r="2003" spans="10:10" x14ac:dyDescent="0.2">
      <c r="J2003"/>
    </row>
    <row r="2004" spans="10:10" x14ac:dyDescent="0.2">
      <c r="J2004"/>
    </row>
    <row r="2005" spans="10:10" x14ac:dyDescent="0.2">
      <c r="J2005"/>
    </row>
    <row r="2006" spans="10:10" x14ac:dyDescent="0.2">
      <c r="J2006"/>
    </row>
    <row r="2007" spans="10:10" x14ac:dyDescent="0.2">
      <c r="J2007"/>
    </row>
    <row r="2008" spans="10:10" x14ac:dyDescent="0.2">
      <c r="J2008"/>
    </row>
    <row r="2009" spans="10:10" x14ac:dyDescent="0.2">
      <c r="J2009"/>
    </row>
    <row r="2010" spans="10:10" x14ac:dyDescent="0.2">
      <c r="J2010"/>
    </row>
    <row r="2011" spans="10:10" x14ac:dyDescent="0.2">
      <c r="J2011"/>
    </row>
    <row r="2012" spans="10:10" x14ac:dyDescent="0.2">
      <c r="J2012"/>
    </row>
    <row r="2013" spans="10:10" x14ac:dyDescent="0.2">
      <c r="J2013"/>
    </row>
    <row r="2014" spans="10:10" x14ac:dyDescent="0.2">
      <c r="J2014"/>
    </row>
    <row r="2015" spans="10:10" x14ac:dyDescent="0.2">
      <c r="J2015"/>
    </row>
    <row r="2016" spans="10:10" x14ac:dyDescent="0.2">
      <c r="J2016"/>
    </row>
    <row r="2017" spans="10:10" x14ac:dyDescent="0.2">
      <c r="J2017"/>
    </row>
    <row r="2018" spans="10:10" x14ac:dyDescent="0.2">
      <c r="J2018"/>
    </row>
    <row r="2019" spans="10:10" x14ac:dyDescent="0.2">
      <c r="J2019"/>
    </row>
    <row r="2020" spans="10:10" x14ac:dyDescent="0.2">
      <c r="J2020"/>
    </row>
    <row r="2021" spans="10:10" x14ac:dyDescent="0.2">
      <c r="J2021"/>
    </row>
    <row r="2022" spans="10:10" x14ac:dyDescent="0.2">
      <c r="J2022"/>
    </row>
    <row r="2023" spans="10:10" x14ac:dyDescent="0.2">
      <c r="J2023"/>
    </row>
    <row r="2024" spans="10:10" x14ac:dyDescent="0.2">
      <c r="J2024"/>
    </row>
    <row r="2025" spans="10:10" x14ac:dyDescent="0.2">
      <c r="J2025"/>
    </row>
    <row r="2026" spans="10:10" x14ac:dyDescent="0.2">
      <c r="J2026"/>
    </row>
    <row r="2027" spans="10:10" x14ac:dyDescent="0.2">
      <c r="J2027"/>
    </row>
    <row r="2028" spans="10:10" x14ac:dyDescent="0.2">
      <c r="J2028"/>
    </row>
    <row r="2029" spans="10:10" x14ac:dyDescent="0.2">
      <c r="J2029"/>
    </row>
    <row r="2030" spans="10:10" x14ac:dyDescent="0.2">
      <c r="J2030"/>
    </row>
    <row r="2031" spans="10:10" x14ac:dyDescent="0.2">
      <c r="J2031"/>
    </row>
    <row r="2032" spans="10:10" x14ac:dyDescent="0.2">
      <c r="J2032"/>
    </row>
    <row r="2033" spans="10:10" x14ac:dyDescent="0.2">
      <c r="J2033"/>
    </row>
    <row r="2034" spans="10:10" x14ac:dyDescent="0.2">
      <c r="J2034"/>
    </row>
    <row r="2035" spans="10:10" x14ac:dyDescent="0.2">
      <c r="J2035"/>
    </row>
    <row r="2036" spans="10:10" x14ac:dyDescent="0.2">
      <c r="J2036"/>
    </row>
    <row r="2037" spans="10:10" x14ac:dyDescent="0.2">
      <c r="J2037"/>
    </row>
    <row r="2038" spans="10:10" x14ac:dyDescent="0.2">
      <c r="J2038"/>
    </row>
    <row r="2039" spans="10:10" x14ac:dyDescent="0.2">
      <c r="J2039"/>
    </row>
    <row r="2040" spans="10:10" x14ac:dyDescent="0.2">
      <c r="J2040"/>
    </row>
    <row r="2041" spans="10:10" x14ac:dyDescent="0.2">
      <c r="J2041"/>
    </row>
    <row r="2042" spans="10:10" x14ac:dyDescent="0.2">
      <c r="J2042"/>
    </row>
    <row r="2043" spans="10:10" x14ac:dyDescent="0.2">
      <c r="J2043"/>
    </row>
    <row r="2044" spans="10:10" x14ac:dyDescent="0.2">
      <c r="J2044"/>
    </row>
    <row r="2045" spans="10:10" x14ac:dyDescent="0.2">
      <c r="J2045"/>
    </row>
    <row r="2046" spans="10:10" x14ac:dyDescent="0.2">
      <c r="J2046"/>
    </row>
    <row r="2047" spans="10:10" x14ac:dyDescent="0.2">
      <c r="J2047"/>
    </row>
    <row r="2048" spans="10:10" x14ac:dyDescent="0.2">
      <c r="J2048"/>
    </row>
    <row r="2049" spans="10:10" x14ac:dyDescent="0.2">
      <c r="J2049"/>
    </row>
    <row r="2050" spans="10:10" x14ac:dyDescent="0.2">
      <c r="J2050"/>
    </row>
    <row r="2051" spans="10:10" x14ac:dyDescent="0.2">
      <c r="J2051"/>
    </row>
    <row r="2052" spans="10:10" x14ac:dyDescent="0.2">
      <c r="J2052"/>
    </row>
    <row r="2053" spans="10:10" x14ac:dyDescent="0.2">
      <c r="J2053"/>
    </row>
    <row r="2054" spans="10:10" x14ac:dyDescent="0.2">
      <c r="J2054"/>
    </row>
    <row r="2055" spans="10:10" x14ac:dyDescent="0.2">
      <c r="J2055"/>
    </row>
    <row r="2056" spans="10:10" x14ac:dyDescent="0.2">
      <c r="J2056"/>
    </row>
    <row r="2057" spans="10:10" x14ac:dyDescent="0.2">
      <c r="J2057"/>
    </row>
    <row r="2058" spans="10:10" x14ac:dyDescent="0.2">
      <c r="J2058"/>
    </row>
    <row r="2059" spans="10:10" x14ac:dyDescent="0.2">
      <c r="J2059"/>
    </row>
    <row r="2060" spans="10:10" x14ac:dyDescent="0.2">
      <c r="J2060"/>
    </row>
    <row r="2061" spans="10:10" x14ac:dyDescent="0.2">
      <c r="J2061"/>
    </row>
    <row r="2062" spans="10:10" x14ac:dyDescent="0.2">
      <c r="J2062"/>
    </row>
    <row r="2063" spans="10:10" x14ac:dyDescent="0.2">
      <c r="J2063"/>
    </row>
    <row r="2064" spans="10:10" x14ac:dyDescent="0.2">
      <c r="J2064"/>
    </row>
    <row r="2065" spans="10:10" x14ac:dyDescent="0.2">
      <c r="J2065"/>
    </row>
    <row r="2066" spans="10:10" x14ac:dyDescent="0.2">
      <c r="J2066"/>
    </row>
    <row r="2067" spans="10:10" x14ac:dyDescent="0.2">
      <c r="J2067"/>
    </row>
    <row r="2068" spans="10:10" x14ac:dyDescent="0.2">
      <c r="J2068"/>
    </row>
    <row r="2069" spans="10:10" x14ac:dyDescent="0.2">
      <c r="J2069"/>
    </row>
    <row r="2070" spans="10:10" x14ac:dyDescent="0.2">
      <c r="J2070"/>
    </row>
    <row r="2071" spans="10:10" x14ac:dyDescent="0.2">
      <c r="J2071"/>
    </row>
    <row r="2072" spans="10:10" x14ac:dyDescent="0.2">
      <c r="J2072"/>
    </row>
    <row r="2073" spans="10:10" x14ac:dyDescent="0.2">
      <c r="J2073"/>
    </row>
    <row r="2074" spans="10:10" x14ac:dyDescent="0.2">
      <c r="J2074"/>
    </row>
    <row r="2075" spans="10:10" x14ac:dyDescent="0.2">
      <c r="J2075"/>
    </row>
    <row r="2076" spans="10:10" x14ac:dyDescent="0.2">
      <c r="J2076"/>
    </row>
    <row r="2077" spans="10:10" x14ac:dyDescent="0.2">
      <c r="J2077"/>
    </row>
    <row r="2078" spans="10:10" x14ac:dyDescent="0.2">
      <c r="J2078"/>
    </row>
    <row r="2079" spans="10:10" x14ac:dyDescent="0.2">
      <c r="J2079"/>
    </row>
    <row r="2080" spans="10:10" x14ac:dyDescent="0.2">
      <c r="J2080"/>
    </row>
    <row r="2081" spans="10:10" x14ac:dyDescent="0.2">
      <c r="J2081"/>
    </row>
    <row r="2082" spans="10:10" x14ac:dyDescent="0.2">
      <c r="J2082"/>
    </row>
    <row r="2083" spans="10:10" x14ac:dyDescent="0.2">
      <c r="J2083"/>
    </row>
    <row r="2084" spans="10:10" x14ac:dyDescent="0.2">
      <c r="J2084"/>
    </row>
    <row r="2085" spans="10:10" x14ac:dyDescent="0.2">
      <c r="J2085"/>
    </row>
    <row r="2086" spans="10:10" x14ac:dyDescent="0.2">
      <c r="J2086"/>
    </row>
    <row r="2087" spans="10:10" x14ac:dyDescent="0.2">
      <c r="J2087"/>
    </row>
    <row r="2088" spans="10:10" x14ac:dyDescent="0.2">
      <c r="J2088"/>
    </row>
    <row r="2089" spans="10:10" x14ac:dyDescent="0.2">
      <c r="J2089"/>
    </row>
    <row r="2090" spans="10:10" x14ac:dyDescent="0.2">
      <c r="J2090"/>
    </row>
    <row r="2091" spans="10:10" x14ac:dyDescent="0.2">
      <c r="J2091"/>
    </row>
    <row r="2092" spans="10:10" x14ac:dyDescent="0.2">
      <c r="J2092"/>
    </row>
    <row r="2093" spans="10:10" x14ac:dyDescent="0.2">
      <c r="J2093"/>
    </row>
    <row r="2094" spans="10:10" x14ac:dyDescent="0.2">
      <c r="J2094"/>
    </row>
    <row r="2095" spans="10:10" x14ac:dyDescent="0.2">
      <c r="J2095"/>
    </row>
    <row r="2096" spans="10:10" x14ac:dyDescent="0.2">
      <c r="J2096"/>
    </row>
    <row r="2097" spans="10:10" x14ac:dyDescent="0.2">
      <c r="J2097"/>
    </row>
    <row r="2098" spans="10:10" x14ac:dyDescent="0.2">
      <c r="J2098"/>
    </row>
    <row r="2099" spans="10:10" x14ac:dyDescent="0.2">
      <c r="J2099"/>
    </row>
    <row r="2100" spans="10:10" x14ac:dyDescent="0.2">
      <c r="J2100"/>
    </row>
    <row r="2101" spans="10:10" x14ac:dyDescent="0.2">
      <c r="J2101"/>
    </row>
    <row r="2102" spans="10:10" x14ac:dyDescent="0.2">
      <c r="J2102"/>
    </row>
    <row r="2103" spans="10:10" x14ac:dyDescent="0.2">
      <c r="J2103"/>
    </row>
    <row r="2104" spans="10:10" x14ac:dyDescent="0.2">
      <c r="J2104"/>
    </row>
    <row r="2105" spans="10:10" x14ac:dyDescent="0.2">
      <c r="J2105"/>
    </row>
    <row r="2106" spans="10:10" x14ac:dyDescent="0.2">
      <c r="J2106"/>
    </row>
    <row r="2107" spans="10:10" x14ac:dyDescent="0.2">
      <c r="J2107"/>
    </row>
    <row r="2108" spans="10:10" x14ac:dyDescent="0.2">
      <c r="J2108"/>
    </row>
    <row r="2109" spans="10:10" x14ac:dyDescent="0.2">
      <c r="J2109"/>
    </row>
    <row r="2110" spans="10:10" x14ac:dyDescent="0.2">
      <c r="J2110"/>
    </row>
    <row r="2111" spans="10:10" x14ac:dyDescent="0.2">
      <c r="J2111"/>
    </row>
    <row r="2112" spans="10:10" x14ac:dyDescent="0.2">
      <c r="J2112"/>
    </row>
    <row r="2113" spans="10:10" x14ac:dyDescent="0.2">
      <c r="J2113"/>
    </row>
    <row r="2114" spans="10:10" x14ac:dyDescent="0.2">
      <c r="J2114"/>
    </row>
    <row r="2115" spans="10:10" x14ac:dyDescent="0.2">
      <c r="J2115"/>
    </row>
    <row r="2116" spans="10:10" x14ac:dyDescent="0.2">
      <c r="J2116"/>
    </row>
    <row r="2117" spans="10:10" x14ac:dyDescent="0.2">
      <c r="J2117"/>
    </row>
    <row r="2118" spans="10:10" x14ac:dyDescent="0.2">
      <c r="J2118"/>
    </row>
    <row r="2119" spans="10:10" x14ac:dyDescent="0.2">
      <c r="J2119"/>
    </row>
    <row r="2120" spans="10:10" x14ac:dyDescent="0.2">
      <c r="J2120"/>
    </row>
    <row r="2121" spans="10:10" x14ac:dyDescent="0.2">
      <c r="J2121"/>
    </row>
    <row r="2122" spans="10:10" x14ac:dyDescent="0.2">
      <c r="J2122"/>
    </row>
    <row r="2123" spans="10:10" x14ac:dyDescent="0.2">
      <c r="J2123"/>
    </row>
    <row r="2124" spans="10:10" x14ac:dyDescent="0.2">
      <c r="J2124"/>
    </row>
    <row r="2125" spans="10:10" x14ac:dyDescent="0.2">
      <c r="J2125"/>
    </row>
    <row r="2126" spans="10:10" x14ac:dyDescent="0.2">
      <c r="J2126"/>
    </row>
    <row r="2127" spans="10:10" x14ac:dyDescent="0.2">
      <c r="J2127"/>
    </row>
    <row r="2128" spans="10:10" x14ac:dyDescent="0.2">
      <c r="J2128"/>
    </row>
    <row r="2129" spans="10:10" x14ac:dyDescent="0.2">
      <c r="J2129"/>
    </row>
    <row r="2130" spans="10:10" x14ac:dyDescent="0.2">
      <c r="J2130"/>
    </row>
    <row r="2131" spans="10:10" x14ac:dyDescent="0.2">
      <c r="J2131"/>
    </row>
    <row r="2132" spans="10:10" x14ac:dyDescent="0.2">
      <c r="J2132"/>
    </row>
    <row r="2133" spans="10:10" x14ac:dyDescent="0.2">
      <c r="J2133"/>
    </row>
    <row r="2134" spans="10:10" x14ac:dyDescent="0.2">
      <c r="J2134"/>
    </row>
    <row r="2135" spans="10:10" x14ac:dyDescent="0.2">
      <c r="J2135"/>
    </row>
    <row r="2136" spans="10:10" x14ac:dyDescent="0.2">
      <c r="J2136"/>
    </row>
    <row r="2137" spans="10:10" x14ac:dyDescent="0.2">
      <c r="J2137"/>
    </row>
    <row r="2138" spans="10:10" x14ac:dyDescent="0.2">
      <c r="J2138"/>
    </row>
    <row r="2139" spans="10:10" x14ac:dyDescent="0.2">
      <c r="J2139"/>
    </row>
    <row r="2140" spans="10:10" x14ac:dyDescent="0.2">
      <c r="J2140"/>
    </row>
    <row r="2141" spans="10:10" x14ac:dyDescent="0.2">
      <c r="J2141"/>
    </row>
    <row r="2142" spans="10:10" x14ac:dyDescent="0.2">
      <c r="J2142"/>
    </row>
    <row r="2143" spans="10:10" x14ac:dyDescent="0.2">
      <c r="J2143"/>
    </row>
    <row r="2144" spans="10:10" x14ac:dyDescent="0.2">
      <c r="J2144"/>
    </row>
    <row r="2145" spans="10:10" x14ac:dyDescent="0.2">
      <c r="J2145"/>
    </row>
    <row r="2146" spans="10:10" x14ac:dyDescent="0.2">
      <c r="J2146"/>
    </row>
    <row r="2147" spans="10:10" x14ac:dyDescent="0.2">
      <c r="J2147"/>
    </row>
    <row r="2148" spans="10:10" x14ac:dyDescent="0.2">
      <c r="J2148"/>
    </row>
    <row r="2149" spans="10:10" x14ac:dyDescent="0.2">
      <c r="J2149"/>
    </row>
    <row r="2150" spans="10:10" x14ac:dyDescent="0.2">
      <c r="J2150"/>
    </row>
    <row r="2151" spans="10:10" x14ac:dyDescent="0.2">
      <c r="J2151"/>
    </row>
    <row r="2152" spans="10:10" x14ac:dyDescent="0.2">
      <c r="J2152"/>
    </row>
    <row r="2153" spans="10:10" x14ac:dyDescent="0.2">
      <c r="J2153"/>
    </row>
    <row r="2154" spans="10:10" x14ac:dyDescent="0.2">
      <c r="J2154"/>
    </row>
    <row r="2155" spans="10:10" x14ac:dyDescent="0.2">
      <c r="J2155"/>
    </row>
    <row r="2156" spans="10:10" x14ac:dyDescent="0.2">
      <c r="J2156"/>
    </row>
    <row r="2157" spans="10:10" x14ac:dyDescent="0.2">
      <c r="J2157"/>
    </row>
    <row r="2158" spans="10:10" x14ac:dyDescent="0.2">
      <c r="J2158"/>
    </row>
    <row r="2159" spans="10:10" x14ac:dyDescent="0.2">
      <c r="J2159"/>
    </row>
    <row r="2160" spans="10:10" x14ac:dyDescent="0.2">
      <c r="J2160"/>
    </row>
    <row r="2161" spans="10:10" x14ac:dyDescent="0.2">
      <c r="J2161"/>
    </row>
    <row r="2162" spans="10:10" x14ac:dyDescent="0.2">
      <c r="J2162"/>
    </row>
    <row r="2163" spans="10:10" x14ac:dyDescent="0.2">
      <c r="J2163"/>
    </row>
    <row r="2164" spans="10:10" x14ac:dyDescent="0.2">
      <c r="J2164"/>
    </row>
    <row r="2165" spans="10:10" x14ac:dyDescent="0.2">
      <c r="J2165"/>
    </row>
    <row r="2166" spans="10:10" x14ac:dyDescent="0.2">
      <c r="J2166"/>
    </row>
    <row r="2167" spans="10:10" x14ac:dyDescent="0.2">
      <c r="J2167"/>
    </row>
    <row r="2168" spans="10:10" x14ac:dyDescent="0.2">
      <c r="J2168"/>
    </row>
    <row r="2169" spans="10:10" x14ac:dyDescent="0.2">
      <c r="J2169"/>
    </row>
    <row r="2170" spans="10:10" x14ac:dyDescent="0.2">
      <c r="J2170"/>
    </row>
    <row r="2171" spans="10:10" x14ac:dyDescent="0.2">
      <c r="J2171"/>
    </row>
    <row r="2172" spans="10:10" x14ac:dyDescent="0.2">
      <c r="J2172"/>
    </row>
    <row r="2173" spans="10:10" x14ac:dyDescent="0.2">
      <c r="J2173"/>
    </row>
    <row r="2174" spans="10:10" x14ac:dyDescent="0.2">
      <c r="J2174"/>
    </row>
    <row r="2175" spans="10:10" x14ac:dyDescent="0.2">
      <c r="J2175"/>
    </row>
    <row r="2176" spans="10:10" x14ac:dyDescent="0.2">
      <c r="J2176"/>
    </row>
    <row r="2177" spans="10:10" x14ac:dyDescent="0.2">
      <c r="J2177"/>
    </row>
    <row r="2178" spans="10:10" x14ac:dyDescent="0.2">
      <c r="J2178"/>
    </row>
    <row r="2179" spans="10:10" x14ac:dyDescent="0.2">
      <c r="J2179"/>
    </row>
    <row r="2180" spans="10:10" x14ac:dyDescent="0.2">
      <c r="J2180"/>
    </row>
    <row r="2181" spans="10:10" x14ac:dyDescent="0.2">
      <c r="J2181"/>
    </row>
    <row r="2182" spans="10:10" x14ac:dyDescent="0.2">
      <c r="J2182"/>
    </row>
    <row r="2183" spans="10:10" x14ac:dyDescent="0.2">
      <c r="J2183"/>
    </row>
    <row r="2184" spans="10:10" x14ac:dyDescent="0.2">
      <c r="J2184"/>
    </row>
    <row r="2185" spans="10:10" x14ac:dyDescent="0.2">
      <c r="J2185"/>
    </row>
    <row r="2186" spans="10:10" x14ac:dyDescent="0.2">
      <c r="J2186"/>
    </row>
    <row r="2187" spans="10:10" x14ac:dyDescent="0.2">
      <c r="J2187"/>
    </row>
    <row r="2188" spans="10:10" x14ac:dyDescent="0.2">
      <c r="J2188"/>
    </row>
    <row r="2189" spans="10:10" x14ac:dyDescent="0.2">
      <c r="J2189"/>
    </row>
    <row r="2190" spans="10:10" x14ac:dyDescent="0.2">
      <c r="J2190"/>
    </row>
    <row r="2191" spans="10:10" x14ac:dyDescent="0.2">
      <c r="J2191"/>
    </row>
    <row r="2192" spans="10:10" x14ac:dyDescent="0.2">
      <c r="J2192"/>
    </row>
    <row r="2193" spans="10:10" x14ac:dyDescent="0.2">
      <c r="J2193"/>
    </row>
    <row r="2194" spans="10:10" x14ac:dyDescent="0.2">
      <c r="J2194"/>
    </row>
    <row r="2195" spans="10:10" x14ac:dyDescent="0.2">
      <c r="J2195"/>
    </row>
    <row r="2196" spans="10:10" x14ac:dyDescent="0.2">
      <c r="J2196"/>
    </row>
    <row r="2197" spans="10:10" x14ac:dyDescent="0.2">
      <c r="J2197"/>
    </row>
    <row r="2198" spans="10:10" x14ac:dyDescent="0.2">
      <c r="J2198"/>
    </row>
    <row r="2199" spans="10:10" x14ac:dyDescent="0.2">
      <c r="J2199"/>
    </row>
    <row r="2200" spans="10:10" x14ac:dyDescent="0.2">
      <c r="J2200"/>
    </row>
    <row r="2201" spans="10:10" x14ac:dyDescent="0.2">
      <c r="J2201"/>
    </row>
    <row r="2202" spans="10:10" x14ac:dyDescent="0.2">
      <c r="J2202"/>
    </row>
    <row r="2203" spans="10:10" x14ac:dyDescent="0.2">
      <c r="J2203"/>
    </row>
    <row r="2204" spans="10:10" x14ac:dyDescent="0.2">
      <c r="J2204"/>
    </row>
    <row r="2205" spans="10:10" x14ac:dyDescent="0.2">
      <c r="J2205"/>
    </row>
    <row r="2206" spans="10:10" x14ac:dyDescent="0.2">
      <c r="J2206"/>
    </row>
    <row r="2207" spans="10:10" x14ac:dyDescent="0.2">
      <c r="J2207"/>
    </row>
    <row r="2208" spans="10:10" x14ac:dyDescent="0.2">
      <c r="J2208"/>
    </row>
    <row r="2209" spans="10:10" x14ac:dyDescent="0.2">
      <c r="J2209"/>
    </row>
    <row r="2210" spans="10:10" x14ac:dyDescent="0.2">
      <c r="J2210"/>
    </row>
    <row r="2211" spans="10:10" x14ac:dyDescent="0.2">
      <c r="J2211"/>
    </row>
    <row r="2212" spans="10:10" x14ac:dyDescent="0.2">
      <c r="J2212"/>
    </row>
    <row r="2213" spans="10:10" x14ac:dyDescent="0.2">
      <c r="J2213"/>
    </row>
    <row r="2214" spans="10:10" x14ac:dyDescent="0.2">
      <c r="J2214"/>
    </row>
    <row r="2215" spans="10:10" x14ac:dyDescent="0.2">
      <c r="J2215"/>
    </row>
    <row r="2216" spans="10:10" x14ac:dyDescent="0.2">
      <c r="J2216"/>
    </row>
    <row r="2217" spans="10:10" x14ac:dyDescent="0.2">
      <c r="J2217"/>
    </row>
    <row r="2218" spans="10:10" x14ac:dyDescent="0.2">
      <c r="J2218"/>
    </row>
    <row r="2219" spans="10:10" x14ac:dyDescent="0.2">
      <c r="J2219"/>
    </row>
    <row r="2220" spans="10:10" x14ac:dyDescent="0.2">
      <c r="J2220"/>
    </row>
    <row r="2221" spans="10:10" x14ac:dyDescent="0.2">
      <c r="J2221"/>
    </row>
    <row r="2222" spans="10:10" x14ac:dyDescent="0.2">
      <c r="J2222"/>
    </row>
    <row r="2223" spans="10:10" x14ac:dyDescent="0.2">
      <c r="J2223"/>
    </row>
    <row r="2224" spans="10:10" x14ac:dyDescent="0.2">
      <c r="J2224"/>
    </row>
    <row r="2225" spans="10:10" x14ac:dyDescent="0.2">
      <c r="J2225"/>
    </row>
    <row r="2226" spans="10:10" x14ac:dyDescent="0.2">
      <c r="J2226"/>
    </row>
    <row r="2227" spans="10:10" x14ac:dyDescent="0.2">
      <c r="J2227"/>
    </row>
    <row r="2228" spans="10:10" x14ac:dyDescent="0.2">
      <c r="J2228"/>
    </row>
    <row r="2229" spans="10:10" x14ac:dyDescent="0.2">
      <c r="J2229"/>
    </row>
    <row r="2230" spans="10:10" x14ac:dyDescent="0.2">
      <c r="J2230"/>
    </row>
    <row r="2231" spans="10:10" x14ac:dyDescent="0.2">
      <c r="J2231"/>
    </row>
    <row r="2232" spans="10:10" x14ac:dyDescent="0.2">
      <c r="J2232"/>
    </row>
    <row r="2233" spans="10:10" x14ac:dyDescent="0.2">
      <c r="J2233"/>
    </row>
    <row r="2234" spans="10:10" x14ac:dyDescent="0.2">
      <c r="J2234"/>
    </row>
    <row r="2235" spans="10:10" x14ac:dyDescent="0.2">
      <c r="J2235"/>
    </row>
    <row r="2236" spans="10:10" x14ac:dyDescent="0.2">
      <c r="J2236"/>
    </row>
    <row r="2237" spans="10:10" x14ac:dyDescent="0.2">
      <c r="J2237"/>
    </row>
    <row r="2238" spans="10:10" x14ac:dyDescent="0.2">
      <c r="J2238"/>
    </row>
    <row r="2239" spans="10:10" x14ac:dyDescent="0.2">
      <c r="J2239"/>
    </row>
    <row r="2240" spans="10:10" x14ac:dyDescent="0.2">
      <c r="J2240"/>
    </row>
    <row r="2241" spans="10:10" x14ac:dyDescent="0.2">
      <c r="J2241"/>
    </row>
    <row r="2242" spans="10:10" x14ac:dyDescent="0.2">
      <c r="J2242"/>
    </row>
    <row r="2243" spans="10:10" x14ac:dyDescent="0.2">
      <c r="J2243"/>
    </row>
    <row r="2244" spans="10:10" x14ac:dyDescent="0.2">
      <c r="J2244"/>
    </row>
    <row r="2245" spans="10:10" x14ac:dyDescent="0.2">
      <c r="J2245"/>
    </row>
    <row r="2246" spans="10:10" x14ac:dyDescent="0.2">
      <c r="J2246"/>
    </row>
    <row r="2247" spans="10:10" x14ac:dyDescent="0.2">
      <c r="J2247"/>
    </row>
    <row r="2248" spans="10:10" x14ac:dyDescent="0.2">
      <c r="J2248"/>
    </row>
    <row r="2249" spans="10:10" x14ac:dyDescent="0.2">
      <c r="J2249"/>
    </row>
    <row r="2250" spans="10:10" x14ac:dyDescent="0.2">
      <c r="J2250"/>
    </row>
    <row r="2251" spans="10:10" x14ac:dyDescent="0.2">
      <c r="J2251"/>
    </row>
    <row r="2252" spans="10:10" x14ac:dyDescent="0.2">
      <c r="J2252"/>
    </row>
    <row r="2253" spans="10:10" x14ac:dyDescent="0.2">
      <c r="J2253"/>
    </row>
    <row r="2254" spans="10:10" x14ac:dyDescent="0.2">
      <c r="J2254"/>
    </row>
    <row r="2255" spans="10:10" x14ac:dyDescent="0.2">
      <c r="J2255"/>
    </row>
    <row r="2256" spans="10:10" x14ac:dyDescent="0.2">
      <c r="J2256"/>
    </row>
    <row r="2257" spans="10:10" x14ac:dyDescent="0.2">
      <c r="J2257"/>
    </row>
    <row r="2258" spans="10:10" x14ac:dyDescent="0.2">
      <c r="J2258"/>
    </row>
    <row r="2259" spans="10:10" x14ac:dyDescent="0.2">
      <c r="J2259"/>
    </row>
    <row r="2260" spans="10:10" x14ac:dyDescent="0.2">
      <c r="J2260"/>
    </row>
    <row r="2261" spans="10:10" x14ac:dyDescent="0.2">
      <c r="J2261"/>
    </row>
    <row r="2262" spans="10:10" x14ac:dyDescent="0.2">
      <c r="J2262"/>
    </row>
    <row r="2263" spans="10:10" x14ac:dyDescent="0.2">
      <c r="J2263"/>
    </row>
    <row r="2264" spans="10:10" x14ac:dyDescent="0.2">
      <c r="J2264"/>
    </row>
    <row r="2265" spans="10:10" x14ac:dyDescent="0.2">
      <c r="J2265"/>
    </row>
    <row r="2266" spans="10:10" x14ac:dyDescent="0.2">
      <c r="J2266"/>
    </row>
    <row r="2267" spans="10:10" x14ac:dyDescent="0.2">
      <c r="J2267"/>
    </row>
    <row r="2268" spans="10:10" x14ac:dyDescent="0.2">
      <c r="J2268"/>
    </row>
    <row r="2269" spans="10:10" x14ac:dyDescent="0.2">
      <c r="J2269"/>
    </row>
    <row r="2270" spans="10:10" x14ac:dyDescent="0.2">
      <c r="J2270"/>
    </row>
    <row r="2271" spans="10:10" x14ac:dyDescent="0.2">
      <c r="J2271"/>
    </row>
    <row r="2272" spans="10:10" x14ac:dyDescent="0.2">
      <c r="J2272"/>
    </row>
    <row r="2273" spans="10:10" x14ac:dyDescent="0.2">
      <c r="J2273"/>
    </row>
    <row r="2274" spans="10:10" x14ac:dyDescent="0.2">
      <c r="J2274"/>
    </row>
    <row r="2275" spans="10:10" x14ac:dyDescent="0.2">
      <c r="J2275"/>
    </row>
    <row r="2276" spans="10:10" x14ac:dyDescent="0.2">
      <c r="J2276"/>
    </row>
    <row r="2277" spans="10:10" x14ac:dyDescent="0.2">
      <c r="J2277"/>
    </row>
    <row r="2278" spans="10:10" x14ac:dyDescent="0.2">
      <c r="J2278"/>
    </row>
    <row r="2279" spans="10:10" x14ac:dyDescent="0.2">
      <c r="J2279"/>
    </row>
    <row r="2280" spans="10:10" x14ac:dyDescent="0.2">
      <c r="J2280"/>
    </row>
    <row r="2281" spans="10:10" x14ac:dyDescent="0.2">
      <c r="J2281"/>
    </row>
    <row r="2282" spans="10:10" x14ac:dyDescent="0.2">
      <c r="J2282"/>
    </row>
    <row r="2283" spans="10:10" x14ac:dyDescent="0.2">
      <c r="J2283"/>
    </row>
    <row r="2284" spans="10:10" x14ac:dyDescent="0.2">
      <c r="J2284"/>
    </row>
    <row r="2285" spans="10:10" x14ac:dyDescent="0.2">
      <c r="J2285"/>
    </row>
    <row r="2286" spans="10:10" x14ac:dyDescent="0.2">
      <c r="J2286"/>
    </row>
    <row r="2287" spans="10:10" x14ac:dyDescent="0.2">
      <c r="J2287"/>
    </row>
    <row r="2288" spans="10:10" x14ac:dyDescent="0.2">
      <c r="J2288"/>
    </row>
    <row r="2289" spans="10:10" x14ac:dyDescent="0.2">
      <c r="J2289"/>
    </row>
    <row r="2290" spans="10:10" x14ac:dyDescent="0.2">
      <c r="J2290"/>
    </row>
    <row r="2291" spans="10:10" x14ac:dyDescent="0.2">
      <c r="J2291"/>
    </row>
    <row r="2292" spans="10:10" x14ac:dyDescent="0.2">
      <c r="J2292"/>
    </row>
    <row r="2293" spans="10:10" x14ac:dyDescent="0.2">
      <c r="J2293"/>
    </row>
    <row r="2294" spans="10:10" x14ac:dyDescent="0.2">
      <c r="J2294"/>
    </row>
    <row r="2295" spans="10:10" x14ac:dyDescent="0.2">
      <c r="J2295"/>
    </row>
    <row r="2296" spans="10:10" x14ac:dyDescent="0.2">
      <c r="J2296"/>
    </row>
    <row r="2297" spans="10:10" x14ac:dyDescent="0.2">
      <c r="J2297"/>
    </row>
    <row r="2298" spans="10:10" x14ac:dyDescent="0.2">
      <c r="J2298"/>
    </row>
    <row r="2299" spans="10:10" x14ac:dyDescent="0.2">
      <c r="J2299"/>
    </row>
    <row r="2300" spans="10:10" x14ac:dyDescent="0.2">
      <c r="J2300"/>
    </row>
    <row r="2301" spans="10:10" x14ac:dyDescent="0.2">
      <c r="J2301"/>
    </row>
    <row r="2302" spans="10:10" x14ac:dyDescent="0.2">
      <c r="J2302"/>
    </row>
    <row r="2303" spans="10:10" x14ac:dyDescent="0.2">
      <c r="J2303"/>
    </row>
    <row r="2304" spans="10:10" x14ac:dyDescent="0.2">
      <c r="J2304"/>
    </row>
    <row r="2305" spans="10:10" x14ac:dyDescent="0.2">
      <c r="J2305"/>
    </row>
    <row r="2306" spans="10:10" x14ac:dyDescent="0.2">
      <c r="J2306"/>
    </row>
    <row r="2307" spans="10:10" x14ac:dyDescent="0.2">
      <c r="J2307"/>
    </row>
    <row r="2308" spans="10:10" x14ac:dyDescent="0.2">
      <c r="J2308"/>
    </row>
    <row r="2309" spans="10:10" x14ac:dyDescent="0.2">
      <c r="J2309"/>
    </row>
    <row r="2310" spans="10:10" x14ac:dyDescent="0.2">
      <c r="J2310"/>
    </row>
    <row r="2311" spans="10:10" x14ac:dyDescent="0.2">
      <c r="J2311"/>
    </row>
    <row r="2312" spans="10:10" x14ac:dyDescent="0.2">
      <c r="J2312"/>
    </row>
    <row r="2313" spans="10:10" x14ac:dyDescent="0.2">
      <c r="J2313"/>
    </row>
    <row r="2314" spans="10:10" x14ac:dyDescent="0.2">
      <c r="J2314"/>
    </row>
    <row r="2315" spans="10:10" x14ac:dyDescent="0.2">
      <c r="J2315"/>
    </row>
    <row r="2316" spans="10:10" x14ac:dyDescent="0.2">
      <c r="J2316"/>
    </row>
    <row r="2317" spans="10:10" x14ac:dyDescent="0.2">
      <c r="J2317"/>
    </row>
    <row r="2318" spans="10:10" x14ac:dyDescent="0.2">
      <c r="J2318"/>
    </row>
    <row r="2319" spans="10:10" x14ac:dyDescent="0.2">
      <c r="J2319"/>
    </row>
    <row r="2320" spans="10:10" x14ac:dyDescent="0.2">
      <c r="J2320"/>
    </row>
    <row r="2321" spans="10:10" x14ac:dyDescent="0.2">
      <c r="J2321"/>
    </row>
    <row r="2322" spans="10:10" x14ac:dyDescent="0.2">
      <c r="J2322"/>
    </row>
    <row r="2323" spans="10:10" x14ac:dyDescent="0.2">
      <c r="J2323"/>
    </row>
    <row r="2324" spans="10:10" x14ac:dyDescent="0.2">
      <c r="J2324"/>
    </row>
    <row r="2325" spans="10:10" x14ac:dyDescent="0.2">
      <c r="J2325"/>
    </row>
    <row r="2326" spans="10:10" x14ac:dyDescent="0.2">
      <c r="J2326"/>
    </row>
    <row r="2327" spans="10:10" x14ac:dyDescent="0.2">
      <c r="J2327"/>
    </row>
    <row r="2328" spans="10:10" x14ac:dyDescent="0.2">
      <c r="J2328"/>
    </row>
    <row r="2329" spans="10:10" x14ac:dyDescent="0.2">
      <c r="J2329"/>
    </row>
    <row r="2330" spans="10:10" x14ac:dyDescent="0.2">
      <c r="J2330"/>
    </row>
    <row r="2331" spans="10:10" x14ac:dyDescent="0.2">
      <c r="J2331"/>
    </row>
    <row r="2332" spans="10:10" x14ac:dyDescent="0.2">
      <c r="J2332"/>
    </row>
    <row r="2333" spans="10:10" x14ac:dyDescent="0.2">
      <c r="J2333"/>
    </row>
    <row r="2334" spans="10:10" x14ac:dyDescent="0.2">
      <c r="J2334"/>
    </row>
    <row r="2335" spans="10:10" x14ac:dyDescent="0.2">
      <c r="J2335"/>
    </row>
    <row r="2336" spans="10:10" x14ac:dyDescent="0.2">
      <c r="J2336"/>
    </row>
    <row r="2337" spans="10:10" x14ac:dyDescent="0.2">
      <c r="J2337"/>
    </row>
    <row r="2338" spans="10:10" x14ac:dyDescent="0.2">
      <c r="J2338"/>
    </row>
    <row r="2339" spans="10:10" x14ac:dyDescent="0.2">
      <c r="J2339"/>
    </row>
    <row r="2340" spans="10:10" x14ac:dyDescent="0.2">
      <c r="J2340"/>
    </row>
    <row r="2341" spans="10:10" x14ac:dyDescent="0.2">
      <c r="J2341"/>
    </row>
    <row r="2342" spans="10:10" x14ac:dyDescent="0.2">
      <c r="J2342"/>
    </row>
    <row r="2343" spans="10:10" x14ac:dyDescent="0.2">
      <c r="J2343"/>
    </row>
    <row r="2344" spans="10:10" x14ac:dyDescent="0.2">
      <c r="J2344"/>
    </row>
    <row r="2345" spans="10:10" x14ac:dyDescent="0.2">
      <c r="J2345"/>
    </row>
    <row r="2346" spans="10:10" x14ac:dyDescent="0.2">
      <c r="J2346"/>
    </row>
    <row r="2347" spans="10:10" x14ac:dyDescent="0.2">
      <c r="J2347"/>
    </row>
    <row r="2348" spans="10:10" x14ac:dyDescent="0.2">
      <c r="J2348"/>
    </row>
    <row r="2349" spans="10:10" x14ac:dyDescent="0.2">
      <c r="J2349"/>
    </row>
    <row r="2350" spans="10:10" x14ac:dyDescent="0.2">
      <c r="J2350"/>
    </row>
    <row r="2351" spans="10:10" x14ac:dyDescent="0.2">
      <c r="J2351"/>
    </row>
    <row r="2352" spans="10:10" x14ac:dyDescent="0.2">
      <c r="J2352"/>
    </row>
    <row r="2353" spans="10:10" x14ac:dyDescent="0.2">
      <c r="J2353"/>
    </row>
    <row r="2354" spans="10:10" x14ac:dyDescent="0.2">
      <c r="J2354"/>
    </row>
    <row r="2355" spans="10:10" x14ac:dyDescent="0.2">
      <c r="J2355"/>
    </row>
    <row r="2356" spans="10:10" x14ac:dyDescent="0.2">
      <c r="J2356"/>
    </row>
    <row r="2357" spans="10:10" x14ac:dyDescent="0.2">
      <c r="J2357"/>
    </row>
    <row r="2358" spans="10:10" x14ac:dyDescent="0.2">
      <c r="J2358"/>
    </row>
    <row r="2359" spans="10:10" x14ac:dyDescent="0.2">
      <c r="J2359"/>
    </row>
    <row r="2360" spans="10:10" x14ac:dyDescent="0.2">
      <c r="J2360"/>
    </row>
    <row r="2361" spans="10:10" x14ac:dyDescent="0.2">
      <c r="J2361"/>
    </row>
    <row r="2362" spans="10:10" x14ac:dyDescent="0.2">
      <c r="J2362"/>
    </row>
    <row r="2363" spans="10:10" x14ac:dyDescent="0.2">
      <c r="J2363"/>
    </row>
    <row r="2364" spans="10:10" x14ac:dyDescent="0.2">
      <c r="J2364"/>
    </row>
    <row r="2365" spans="10:10" x14ac:dyDescent="0.2">
      <c r="J2365"/>
    </row>
    <row r="2366" spans="10:10" x14ac:dyDescent="0.2">
      <c r="J2366"/>
    </row>
    <row r="2367" spans="10:10" x14ac:dyDescent="0.2">
      <c r="J2367"/>
    </row>
    <row r="2368" spans="10:10" x14ac:dyDescent="0.2">
      <c r="J2368"/>
    </row>
    <row r="2369" spans="10:10" x14ac:dyDescent="0.2">
      <c r="J2369"/>
    </row>
    <row r="2370" spans="10:10" x14ac:dyDescent="0.2">
      <c r="J2370"/>
    </row>
    <row r="2371" spans="10:10" x14ac:dyDescent="0.2">
      <c r="J2371"/>
    </row>
    <row r="2372" spans="10:10" x14ac:dyDescent="0.2">
      <c r="J2372"/>
    </row>
    <row r="2373" spans="10:10" x14ac:dyDescent="0.2">
      <c r="J2373"/>
    </row>
    <row r="2374" spans="10:10" x14ac:dyDescent="0.2">
      <c r="J2374"/>
    </row>
    <row r="2375" spans="10:10" x14ac:dyDescent="0.2">
      <c r="J2375"/>
    </row>
    <row r="2376" spans="10:10" x14ac:dyDescent="0.2">
      <c r="J2376"/>
    </row>
    <row r="2377" spans="10:10" x14ac:dyDescent="0.2">
      <c r="J2377"/>
    </row>
    <row r="2378" spans="10:10" x14ac:dyDescent="0.2">
      <c r="J2378"/>
    </row>
    <row r="2379" spans="10:10" x14ac:dyDescent="0.2">
      <c r="J2379"/>
    </row>
    <row r="2380" spans="10:10" x14ac:dyDescent="0.2">
      <c r="J2380"/>
    </row>
    <row r="2381" spans="10:10" x14ac:dyDescent="0.2">
      <c r="J2381"/>
    </row>
    <row r="2382" spans="10:10" x14ac:dyDescent="0.2">
      <c r="J2382"/>
    </row>
    <row r="2383" spans="10:10" x14ac:dyDescent="0.2">
      <c r="J2383"/>
    </row>
    <row r="2384" spans="10:10" x14ac:dyDescent="0.2">
      <c r="J2384"/>
    </row>
    <row r="2385" spans="10:10" x14ac:dyDescent="0.2">
      <c r="J2385"/>
    </row>
    <row r="2386" spans="10:10" x14ac:dyDescent="0.2">
      <c r="J2386"/>
    </row>
    <row r="2387" spans="10:10" x14ac:dyDescent="0.2">
      <c r="J2387"/>
    </row>
    <row r="2388" spans="10:10" x14ac:dyDescent="0.2">
      <c r="J2388"/>
    </row>
    <row r="2389" spans="10:10" x14ac:dyDescent="0.2">
      <c r="J2389"/>
    </row>
    <row r="2390" spans="10:10" x14ac:dyDescent="0.2">
      <c r="J2390"/>
    </row>
    <row r="2391" spans="10:10" x14ac:dyDescent="0.2">
      <c r="J2391"/>
    </row>
    <row r="2392" spans="10:10" x14ac:dyDescent="0.2">
      <c r="J2392"/>
    </row>
    <row r="2393" spans="10:10" x14ac:dyDescent="0.2">
      <c r="J2393"/>
    </row>
    <row r="2394" spans="10:10" x14ac:dyDescent="0.2">
      <c r="J2394"/>
    </row>
    <row r="2395" spans="10:10" x14ac:dyDescent="0.2">
      <c r="J2395"/>
    </row>
    <row r="2396" spans="10:10" x14ac:dyDescent="0.2">
      <c r="J2396"/>
    </row>
    <row r="2397" spans="10:10" x14ac:dyDescent="0.2">
      <c r="J2397"/>
    </row>
    <row r="2398" spans="10:10" x14ac:dyDescent="0.2">
      <c r="J2398"/>
    </row>
    <row r="2399" spans="10:10" x14ac:dyDescent="0.2">
      <c r="J2399"/>
    </row>
    <row r="2400" spans="10:10" x14ac:dyDescent="0.2">
      <c r="J2400"/>
    </row>
    <row r="2401" spans="10:10" x14ac:dyDescent="0.2">
      <c r="J2401"/>
    </row>
    <row r="2402" spans="10:10" x14ac:dyDescent="0.2">
      <c r="J2402"/>
    </row>
    <row r="2403" spans="10:10" x14ac:dyDescent="0.2">
      <c r="J2403"/>
    </row>
    <row r="2404" spans="10:10" x14ac:dyDescent="0.2">
      <c r="J2404"/>
    </row>
    <row r="2405" spans="10:10" x14ac:dyDescent="0.2">
      <c r="J2405"/>
    </row>
    <row r="2406" spans="10:10" x14ac:dyDescent="0.2">
      <c r="J2406"/>
    </row>
    <row r="2407" spans="10:10" x14ac:dyDescent="0.2">
      <c r="J2407"/>
    </row>
    <row r="2408" spans="10:10" x14ac:dyDescent="0.2">
      <c r="J2408"/>
    </row>
    <row r="2409" spans="10:10" x14ac:dyDescent="0.2">
      <c r="J2409"/>
    </row>
    <row r="2410" spans="10:10" x14ac:dyDescent="0.2">
      <c r="J2410"/>
    </row>
    <row r="2411" spans="10:10" x14ac:dyDescent="0.2">
      <c r="J2411"/>
    </row>
    <row r="2412" spans="10:10" x14ac:dyDescent="0.2">
      <c r="J2412"/>
    </row>
    <row r="2413" spans="10:10" x14ac:dyDescent="0.2">
      <c r="J2413"/>
    </row>
    <row r="2414" spans="10:10" x14ac:dyDescent="0.2">
      <c r="J2414"/>
    </row>
    <row r="2415" spans="10:10" x14ac:dyDescent="0.2">
      <c r="J2415"/>
    </row>
    <row r="2416" spans="10:10" x14ac:dyDescent="0.2">
      <c r="J2416"/>
    </row>
    <row r="2417" spans="10:10" x14ac:dyDescent="0.2">
      <c r="J2417"/>
    </row>
    <row r="2418" spans="10:10" x14ac:dyDescent="0.2">
      <c r="J2418"/>
    </row>
    <row r="2419" spans="10:10" x14ac:dyDescent="0.2">
      <c r="J2419"/>
    </row>
    <row r="2420" spans="10:10" x14ac:dyDescent="0.2">
      <c r="J2420"/>
    </row>
    <row r="2421" spans="10:10" x14ac:dyDescent="0.2">
      <c r="J2421"/>
    </row>
    <row r="2422" spans="10:10" x14ac:dyDescent="0.2">
      <c r="J2422"/>
    </row>
    <row r="2423" spans="10:10" x14ac:dyDescent="0.2">
      <c r="J2423"/>
    </row>
    <row r="2424" spans="10:10" x14ac:dyDescent="0.2">
      <c r="J2424"/>
    </row>
    <row r="2425" spans="10:10" x14ac:dyDescent="0.2">
      <c r="J2425"/>
    </row>
    <row r="2426" spans="10:10" x14ac:dyDescent="0.2">
      <c r="J2426"/>
    </row>
    <row r="2427" spans="10:10" x14ac:dyDescent="0.2">
      <c r="J2427"/>
    </row>
    <row r="2428" spans="10:10" x14ac:dyDescent="0.2">
      <c r="J2428"/>
    </row>
    <row r="2429" spans="10:10" x14ac:dyDescent="0.2">
      <c r="J2429"/>
    </row>
    <row r="2430" spans="10:10" x14ac:dyDescent="0.2">
      <c r="J2430"/>
    </row>
    <row r="2431" spans="10:10" x14ac:dyDescent="0.2">
      <c r="J2431"/>
    </row>
    <row r="2432" spans="10:10" x14ac:dyDescent="0.2">
      <c r="J2432"/>
    </row>
    <row r="2433" spans="10:10" x14ac:dyDescent="0.2">
      <c r="J2433"/>
    </row>
    <row r="2434" spans="10:10" x14ac:dyDescent="0.2">
      <c r="J2434"/>
    </row>
    <row r="2435" spans="10:10" x14ac:dyDescent="0.2">
      <c r="J2435"/>
    </row>
    <row r="2436" spans="10:10" x14ac:dyDescent="0.2">
      <c r="J2436"/>
    </row>
    <row r="2437" spans="10:10" x14ac:dyDescent="0.2">
      <c r="J2437"/>
    </row>
    <row r="2438" spans="10:10" x14ac:dyDescent="0.2">
      <c r="J2438"/>
    </row>
    <row r="2439" spans="10:10" x14ac:dyDescent="0.2">
      <c r="J2439"/>
    </row>
    <row r="2440" spans="10:10" x14ac:dyDescent="0.2">
      <c r="J2440"/>
    </row>
    <row r="2441" spans="10:10" x14ac:dyDescent="0.2">
      <c r="J2441"/>
    </row>
    <row r="2442" spans="10:10" x14ac:dyDescent="0.2">
      <c r="J2442"/>
    </row>
    <row r="2443" spans="10:10" x14ac:dyDescent="0.2">
      <c r="J2443"/>
    </row>
    <row r="2444" spans="10:10" x14ac:dyDescent="0.2">
      <c r="J2444"/>
    </row>
    <row r="2445" spans="10:10" x14ac:dyDescent="0.2">
      <c r="J2445"/>
    </row>
    <row r="2446" spans="10:10" x14ac:dyDescent="0.2">
      <c r="J2446"/>
    </row>
    <row r="2447" spans="10:10" x14ac:dyDescent="0.2">
      <c r="J2447"/>
    </row>
    <row r="2448" spans="10:10" x14ac:dyDescent="0.2">
      <c r="J2448"/>
    </row>
    <row r="2449" spans="10:10" x14ac:dyDescent="0.2">
      <c r="J2449"/>
    </row>
    <row r="2450" spans="10:10" x14ac:dyDescent="0.2">
      <c r="J2450"/>
    </row>
    <row r="2451" spans="10:10" x14ac:dyDescent="0.2">
      <c r="J2451"/>
    </row>
    <row r="2452" spans="10:10" x14ac:dyDescent="0.2">
      <c r="J2452"/>
    </row>
    <row r="2453" spans="10:10" x14ac:dyDescent="0.2">
      <c r="J2453"/>
    </row>
    <row r="2454" spans="10:10" x14ac:dyDescent="0.2">
      <c r="J2454"/>
    </row>
    <row r="2455" spans="10:10" x14ac:dyDescent="0.2">
      <c r="J2455"/>
    </row>
    <row r="2456" spans="10:10" x14ac:dyDescent="0.2">
      <c r="J2456"/>
    </row>
    <row r="2457" spans="10:10" x14ac:dyDescent="0.2">
      <c r="J2457"/>
    </row>
    <row r="2458" spans="10:10" x14ac:dyDescent="0.2">
      <c r="J2458"/>
    </row>
    <row r="2459" spans="10:10" x14ac:dyDescent="0.2">
      <c r="J2459"/>
    </row>
    <row r="2460" spans="10:10" x14ac:dyDescent="0.2">
      <c r="J2460"/>
    </row>
    <row r="2461" spans="10:10" x14ac:dyDescent="0.2">
      <c r="J2461"/>
    </row>
    <row r="2462" spans="10:10" x14ac:dyDescent="0.2">
      <c r="J2462"/>
    </row>
    <row r="2463" spans="10:10" x14ac:dyDescent="0.2">
      <c r="J2463"/>
    </row>
    <row r="2464" spans="10:10" x14ac:dyDescent="0.2">
      <c r="J2464"/>
    </row>
    <row r="2465" spans="10:10" x14ac:dyDescent="0.2">
      <c r="J2465"/>
    </row>
    <row r="2466" spans="10:10" x14ac:dyDescent="0.2">
      <c r="J2466"/>
    </row>
    <row r="2467" spans="10:10" x14ac:dyDescent="0.2">
      <c r="J2467"/>
    </row>
    <row r="2468" spans="10:10" x14ac:dyDescent="0.2">
      <c r="J2468"/>
    </row>
    <row r="2469" spans="10:10" x14ac:dyDescent="0.2">
      <c r="J2469"/>
    </row>
    <row r="2470" spans="10:10" x14ac:dyDescent="0.2">
      <c r="J2470"/>
    </row>
    <row r="2471" spans="10:10" x14ac:dyDescent="0.2">
      <c r="J2471"/>
    </row>
    <row r="2472" spans="10:10" x14ac:dyDescent="0.2">
      <c r="J2472"/>
    </row>
    <row r="2473" spans="10:10" x14ac:dyDescent="0.2">
      <c r="J2473"/>
    </row>
    <row r="2474" spans="10:10" x14ac:dyDescent="0.2">
      <c r="J2474"/>
    </row>
    <row r="2475" spans="10:10" x14ac:dyDescent="0.2">
      <c r="J2475"/>
    </row>
    <row r="2476" spans="10:10" x14ac:dyDescent="0.2">
      <c r="J2476"/>
    </row>
    <row r="2477" spans="10:10" x14ac:dyDescent="0.2">
      <c r="J2477"/>
    </row>
    <row r="2478" spans="10:10" x14ac:dyDescent="0.2">
      <c r="J2478"/>
    </row>
    <row r="2479" spans="10:10" x14ac:dyDescent="0.2">
      <c r="J2479"/>
    </row>
    <row r="2480" spans="10:10" x14ac:dyDescent="0.2">
      <c r="J2480"/>
    </row>
    <row r="2481" spans="10:10" x14ac:dyDescent="0.2">
      <c r="J2481"/>
    </row>
    <row r="2482" spans="10:10" x14ac:dyDescent="0.2">
      <c r="J2482"/>
    </row>
    <row r="2483" spans="10:10" x14ac:dyDescent="0.2">
      <c r="J2483"/>
    </row>
    <row r="2484" spans="10:10" x14ac:dyDescent="0.2">
      <c r="J2484"/>
    </row>
    <row r="2485" spans="10:10" x14ac:dyDescent="0.2">
      <c r="J2485"/>
    </row>
    <row r="2486" spans="10:10" x14ac:dyDescent="0.2">
      <c r="J2486"/>
    </row>
    <row r="2487" spans="10:10" x14ac:dyDescent="0.2">
      <c r="J2487"/>
    </row>
    <row r="2488" spans="10:10" x14ac:dyDescent="0.2">
      <c r="J2488"/>
    </row>
    <row r="2489" spans="10:10" x14ac:dyDescent="0.2">
      <c r="J2489"/>
    </row>
    <row r="2490" spans="10:10" x14ac:dyDescent="0.2">
      <c r="J2490"/>
    </row>
    <row r="2491" spans="10:10" x14ac:dyDescent="0.2">
      <c r="J2491"/>
    </row>
    <row r="2492" spans="10:10" x14ac:dyDescent="0.2">
      <c r="J2492"/>
    </row>
    <row r="2493" spans="10:10" x14ac:dyDescent="0.2">
      <c r="J2493"/>
    </row>
    <row r="2494" spans="10:10" x14ac:dyDescent="0.2">
      <c r="J2494"/>
    </row>
    <row r="2495" spans="10:10" x14ac:dyDescent="0.2">
      <c r="J2495"/>
    </row>
    <row r="2496" spans="10:10" x14ac:dyDescent="0.2">
      <c r="J2496"/>
    </row>
    <row r="2497" spans="10:10" x14ac:dyDescent="0.2">
      <c r="J2497"/>
    </row>
    <row r="2498" spans="10:10" x14ac:dyDescent="0.2">
      <c r="J2498"/>
    </row>
    <row r="2499" spans="10:10" x14ac:dyDescent="0.2">
      <c r="J2499"/>
    </row>
    <row r="2500" spans="10:10" x14ac:dyDescent="0.2">
      <c r="J2500"/>
    </row>
    <row r="2501" spans="10:10" x14ac:dyDescent="0.2">
      <c r="J2501"/>
    </row>
    <row r="2502" spans="10:10" x14ac:dyDescent="0.2">
      <c r="J2502"/>
    </row>
    <row r="2503" spans="10:10" x14ac:dyDescent="0.2">
      <c r="J2503"/>
    </row>
    <row r="2504" spans="10:10" x14ac:dyDescent="0.2">
      <c r="J2504"/>
    </row>
    <row r="2505" spans="10:10" x14ac:dyDescent="0.2">
      <c r="J2505"/>
    </row>
    <row r="2506" spans="10:10" x14ac:dyDescent="0.2">
      <c r="J2506"/>
    </row>
    <row r="2507" spans="10:10" x14ac:dyDescent="0.2">
      <c r="J2507"/>
    </row>
    <row r="2508" spans="10:10" x14ac:dyDescent="0.2">
      <c r="J2508"/>
    </row>
    <row r="2509" spans="10:10" x14ac:dyDescent="0.2">
      <c r="J2509"/>
    </row>
    <row r="2510" spans="10:10" x14ac:dyDescent="0.2">
      <c r="J2510"/>
    </row>
    <row r="2511" spans="10:10" x14ac:dyDescent="0.2">
      <c r="J2511"/>
    </row>
    <row r="2512" spans="10:10" x14ac:dyDescent="0.2">
      <c r="J2512"/>
    </row>
    <row r="2513" spans="10:10" x14ac:dyDescent="0.2">
      <c r="J2513"/>
    </row>
    <row r="2514" spans="10:10" x14ac:dyDescent="0.2">
      <c r="J2514"/>
    </row>
    <row r="2515" spans="10:10" x14ac:dyDescent="0.2">
      <c r="J2515"/>
    </row>
    <row r="2516" spans="10:10" x14ac:dyDescent="0.2">
      <c r="J2516"/>
    </row>
    <row r="2517" spans="10:10" x14ac:dyDescent="0.2">
      <c r="J2517"/>
    </row>
    <row r="2518" spans="10:10" x14ac:dyDescent="0.2">
      <c r="J2518"/>
    </row>
    <row r="2519" spans="10:10" x14ac:dyDescent="0.2">
      <c r="J2519"/>
    </row>
    <row r="2520" spans="10:10" x14ac:dyDescent="0.2">
      <c r="J2520"/>
    </row>
    <row r="2521" spans="10:10" x14ac:dyDescent="0.2">
      <c r="J2521"/>
    </row>
    <row r="2522" spans="10:10" x14ac:dyDescent="0.2">
      <c r="J2522"/>
    </row>
    <row r="2523" spans="10:10" x14ac:dyDescent="0.2">
      <c r="J2523"/>
    </row>
    <row r="2524" spans="10:10" x14ac:dyDescent="0.2">
      <c r="J2524"/>
    </row>
    <row r="2525" spans="10:10" x14ac:dyDescent="0.2">
      <c r="J2525"/>
    </row>
    <row r="2526" spans="10:10" x14ac:dyDescent="0.2">
      <c r="J2526"/>
    </row>
    <row r="2527" spans="10:10" x14ac:dyDescent="0.2">
      <c r="J2527"/>
    </row>
    <row r="2528" spans="10:10" x14ac:dyDescent="0.2">
      <c r="J2528"/>
    </row>
    <row r="2529" spans="10:10" x14ac:dyDescent="0.2">
      <c r="J2529"/>
    </row>
    <row r="2530" spans="10:10" x14ac:dyDescent="0.2">
      <c r="J2530"/>
    </row>
    <row r="2531" spans="10:10" x14ac:dyDescent="0.2">
      <c r="J2531"/>
    </row>
    <row r="2532" spans="10:10" x14ac:dyDescent="0.2">
      <c r="J2532"/>
    </row>
    <row r="2533" spans="10:10" x14ac:dyDescent="0.2">
      <c r="J2533"/>
    </row>
    <row r="2534" spans="10:10" x14ac:dyDescent="0.2">
      <c r="J2534"/>
    </row>
    <row r="2535" spans="10:10" x14ac:dyDescent="0.2">
      <c r="J2535"/>
    </row>
    <row r="2536" spans="10:10" x14ac:dyDescent="0.2">
      <c r="J2536"/>
    </row>
    <row r="2537" spans="10:10" x14ac:dyDescent="0.2">
      <c r="J2537"/>
    </row>
    <row r="2538" spans="10:10" x14ac:dyDescent="0.2">
      <c r="J2538"/>
    </row>
    <row r="2539" spans="10:10" x14ac:dyDescent="0.2">
      <c r="J2539"/>
    </row>
    <row r="2540" spans="10:10" x14ac:dyDescent="0.2">
      <c r="J2540"/>
    </row>
    <row r="2541" spans="10:10" x14ac:dyDescent="0.2">
      <c r="J2541"/>
    </row>
    <row r="2542" spans="10:10" x14ac:dyDescent="0.2">
      <c r="J2542"/>
    </row>
    <row r="2543" spans="10:10" x14ac:dyDescent="0.2">
      <c r="J2543"/>
    </row>
    <row r="2544" spans="10:10" x14ac:dyDescent="0.2">
      <c r="J2544"/>
    </row>
    <row r="2545" spans="10:10" x14ac:dyDescent="0.2">
      <c r="J2545"/>
    </row>
    <row r="2546" spans="10:10" x14ac:dyDescent="0.2">
      <c r="J2546"/>
    </row>
    <row r="2547" spans="10:10" x14ac:dyDescent="0.2">
      <c r="J2547"/>
    </row>
    <row r="2548" spans="10:10" x14ac:dyDescent="0.2">
      <c r="J2548"/>
    </row>
    <row r="2549" spans="10:10" x14ac:dyDescent="0.2">
      <c r="J2549"/>
    </row>
    <row r="2550" spans="10:10" x14ac:dyDescent="0.2">
      <c r="J2550"/>
    </row>
    <row r="2551" spans="10:10" x14ac:dyDescent="0.2">
      <c r="J2551"/>
    </row>
    <row r="2552" spans="10:10" x14ac:dyDescent="0.2">
      <c r="J2552"/>
    </row>
    <row r="2553" spans="10:10" x14ac:dyDescent="0.2">
      <c r="J2553"/>
    </row>
    <row r="2554" spans="10:10" x14ac:dyDescent="0.2">
      <c r="J2554"/>
    </row>
    <row r="2555" spans="10:10" x14ac:dyDescent="0.2">
      <c r="J2555"/>
    </row>
    <row r="2556" spans="10:10" x14ac:dyDescent="0.2">
      <c r="J2556"/>
    </row>
    <row r="2557" spans="10:10" x14ac:dyDescent="0.2">
      <c r="J2557"/>
    </row>
    <row r="2558" spans="10:10" x14ac:dyDescent="0.2">
      <c r="J2558"/>
    </row>
    <row r="2559" spans="10:10" x14ac:dyDescent="0.2">
      <c r="J2559"/>
    </row>
    <row r="2560" spans="10:10" x14ac:dyDescent="0.2">
      <c r="J2560"/>
    </row>
    <row r="2561" spans="10:10" x14ac:dyDescent="0.2">
      <c r="J2561"/>
    </row>
    <row r="2562" spans="10:10" x14ac:dyDescent="0.2">
      <c r="J2562"/>
    </row>
    <row r="2563" spans="10:10" x14ac:dyDescent="0.2">
      <c r="J2563"/>
    </row>
    <row r="2564" spans="10:10" x14ac:dyDescent="0.2">
      <c r="J2564"/>
    </row>
    <row r="2565" spans="10:10" x14ac:dyDescent="0.2">
      <c r="J2565"/>
    </row>
    <row r="2566" spans="10:10" x14ac:dyDescent="0.2">
      <c r="J2566"/>
    </row>
    <row r="2567" spans="10:10" x14ac:dyDescent="0.2">
      <c r="J2567"/>
    </row>
    <row r="2568" spans="10:10" x14ac:dyDescent="0.2">
      <c r="J2568"/>
    </row>
    <row r="2569" spans="10:10" x14ac:dyDescent="0.2">
      <c r="J2569"/>
    </row>
    <row r="2570" spans="10:10" x14ac:dyDescent="0.2">
      <c r="J2570"/>
    </row>
    <row r="2571" spans="10:10" x14ac:dyDescent="0.2">
      <c r="J2571"/>
    </row>
    <row r="2572" spans="10:10" x14ac:dyDescent="0.2">
      <c r="J2572"/>
    </row>
    <row r="2573" spans="10:10" x14ac:dyDescent="0.2">
      <c r="J2573"/>
    </row>
    <row r="2574" spans="10:10" x14ac:dyDescent="0.2">
      <c r="J2574"/>
    </row>
    <row r="2575" spans="10:10" x14ac:dyDescent="0.2">
      <c r="J2575"/>
    </row>
    <row r="2576" spans="10:10" x14ac:dyDescent="0.2">
      <c r="J2576"/>
    </row>
    <row r="2577" spans="10:10" x14ac:dyDescent="0.2">
      <c r="J2577"/>
    </row>
    <row r="2578" spans="10:10" x14ac:dyDescent="0.2">
      <c r="J2578"/>
    </row>
    <row r="2579" spans="10:10" x14ac:dyDescent="0.2">
      <c r="J2579"/>
    </row>
    <row r="2580" spans="10:10" x14ac:dyDescent="0.2">
      <c r="J2580"/>
    </row>
    <row r="2581" spans="10:10" x14ac:dyDescent="0.2">
      <c r="J2581"/>
    </row>
    <row r="2582" spans="10:10" x14ac:dyDescent="0.2">
      <c r="J2582"/>
    </row>
    <row r="2583" spans="10:10" x14ac:dyDescent="0.2">
      <c r="J2583"/>
    </row>
    <row r="2584" spans="10:10" x14ac:dyDescent="0.2">
      <c r="J2584"/>
    </row>
    <row r="2585" spans="10:10" x14ac:dyDescent="0.2">
      <c r="J2585"/>
    </row>
    <row r="2586" spans="10:10" x14ac:dyDescent="0.2">
      <c r="J2586"/>
    </row>
    <row r="2587" spans="10:10" x14ac:dyDescent="0.2">
      <c r="J2587"/>
    </row>
    <row r="2588" spans="10:10" x14ac:dyDescent="0.2">
      <c r="J2588"/>
    </row>
    <row r="2589" spans="10:10" x14ac:dyDescent="0.2">
      <c r="J2589"/>
    </row>
    <row r="2590" spans="10:10" x14ac:dyDescent="0.2">
      <c r="J2590"/>
    </row>
    <row r="2591" spans="10:10" x14ac:dyDescent="0.2">
      <c r="J2591"/>
    </row>
    <row r="2592" spans="10:10" x14ac:dyDescent="0.2">
      <c r="J2592"/>
    </row>
    <row r="2593" spans="10:10" x14ac:dyDescent="0.2">
      <c r="J2593"/>
    </row>
    <row r="2594" spans="10:10" x14ac:dyDescent="0.2">
      <c r="J2594"/>
    </row>
    <row r="2595" spans="10:10" x14ac:dyDescent="0.2">
      <c r="J2595"/>
    </row>
    <row r="2596" spans="10:10" x14ac:dyDescent="0.2">
      <c r="J2596"/>
    </row>
    <row r="2597" spans="10:10" x14ac:dyDescent="0.2">
      <c r="J2597"/>
    </row>
    <row r="2598" spans="10:10" x14ac:dyDescent="0.2">
      <c r="J2598"/>
    </row>
    <row r="2599" spans="10:10" x14ac:dyDescent="0.2">
      <c r="J2599"/>
    </row>
    <row r="2600" spans="10:10" x14ac:dyDescent="0.2">
      <c r="J2600"/>
    </row>
    <row r="2601" spans="10:10" x14ac:dyDescent="0.2">
      <c r="J2601"/>
    </row>
    <row r="2602" spans="10:10" x14ac:dyDescent="0.2">
      <c r="J2602"/>
    </row>
    <row r="2603" spans="10:10" x14ac:dyDescent="0.2">
      <c r="J2603"/>
    </row>
    <row r="2604" spans="10:10" x14ac:dyDescent="0.2">
      <c r="J2604"/>
    </row>
    <row r="2605" spans="10:10" x14ac:dyDescent="0.2">
      <c r="J2605"/>
    </row>
    <row r="2606" spans="10:10" x14ac:dyDescent="0.2">
      <c r="J2606"/>
    </row>
    <row r="2607" spans="10:10" x14ac:dyDescent="0.2">
      <c r="J2607"/>
    </row>
    <row r="2608" spans="10:10" x14ac:dyDescent="0.2">
      <c r="J2608"/>
    </row>
    <row r="2609" spans="10:10" x14ac:dyDescent="0.2">
      <c r="J2609"/>
    </row>
    <row r="2610" spans="10:10" x14ac:dyDescent="0.2">
      <c r="J2610"/>
    </row>
    <row r="2611" spans="10:10" x14ac:dyDescent="0.2">
      <c r="J2611"/>
    </row>
    <row r="2612" spans="10:10" x14ac:dyDescent="0.2">
      <c r="J2612"/>
    </row>
    <row r="2613" spans="10:10" x14ac:dyDescent="0.2">
      <c r="J2613"/>
    </row>
    <row r="2614" spans="10:10" x14ac:dyDescent="0.2">
      <c r="J2614"/>
    </row>
    <row r="2615" spans="10:10" x14ac:dyDescent="0.2">
      <c r="J2615"/>
    </row>
    <row r="2616" spans="10:10" x14ac:dyDescent="0.2">
      <c r="J2616"/>
    </row>
    <row r="2617" spans="10:10" x14ac:dyDescent="0.2">
      <c r="J2617"/>
    </row>
    <row r="2618" spans="10:10" x14ac:dyDescent="0.2">
      <c r="J2618"/>
    </row>
    <row r="2619" spans="10:10" x14ac:dyDescent="0.2">
      <c r="J2619"/>
    </row>
    <row r="2620" spans="10:10" x14ac:dyDescent="0.2">
      <c r="J2620"/>
    </row>
    <row r="2621" spans="10:10" x14ac:dyDescent="0.2">
      <c r="J2621"/>
    </row>
    <row r="2622" spans="10:10" x14ac:dyDescent="0.2">
      <c r="J2622"/>
    </row>
    <row r="2623" spans="10:10" x14ac:dyDescent="0.2">
      <c r="J2623"/>
    </row>
    <row r="2624" spans="10:10" x14ac:dyDescent="0.2">
      <c r="J2624"/>
    </row>
    <row r="2625" spans="10:10" x14ac:dyDescent="0.2">
      <c r="J2625"/>
    </row>
    <row r="2626" spans="10:10" x14ac:dyDescent="0.2">
      <c r="J2626"/>
    </row>
    <row r="2627" spans="10:10" x14ac:dyDescent="0.2">
      <c r="J2627"/>
    </row>
    <row r="2628" spans="10:10" x14ac:dyDescent="0.2">
      <c r="J2628"/>
    </row>
    <row r="2629" spans="10:10" x14ac:dyDescent="0.2">
      <c r="J2629"/>
    </row>
    <row r="2630" spans="10:10" x14ac:dyDescent="0.2">
      <c r="J2630"/>
    </row>
    <row r="2631" spans="10:10" x14ac:dyDescent="0.2">
      <c r="J2631"/>
    </row>
    <row r="2632" spans="10:10" x14ac:dyDescent="0.2">
      <c r="J2632"/>
    </row>
    <row r="2633" spans="10:10" x14ac:dyDescent="0.2">
      <c r="J2633"/>
    </row>
    <row r="2634" spans="10:10" x14ac:dyDescent="0.2">
      <c r="J2634"/>
    </row>
    <row r="2635" spans="10:10" x14ac:dyDescent="0.2">
      <c r="J2635"/>
    </row>
    <row r="2636" spans="10:10" x14ac:dyDescent="0.2">
      <c r="J2636"/>
    </row>
    <row r="2637" spans="10:10" x14ac:dyDescent="0.2">
      <c r="J2637"/>
    </row>
    <row r="2638" spans="10:10" x14ac:dyDescent="0.2">
      <c r="J2638"/>
    </row>
    <row r="2639" spans="10:10" x14ac:dyDescent="0.2">
      <c r="J2639"/>
    </row>
    <row r="2640" spans="10:10" x14ac:dyDescent="0.2">
      <c r="J2640"/>
    </row>
    <row r="2641" spans="10:10" x14ac:dyDescent="0.2">
      <c r="J2641"/>
    </row>
    <row r="2642" spans="10:10" x14ac:dyDescent="0.2">
      <c r="J2642"/>
    </row>
    <row r="2643" spans="10:10" x14ac:dyDescent="0.2">
      <c r="J2643"/>
    </row>
    <row r="2644" spans="10:10" x14ac:dyDescent="0.2">
      <c r="J2644"/>
    </row>
    <row r="2645" spans="10:10" x14ac:dyDescent="0.2">
      <c r="J2645"/>
    </row>
    <row r="2646" spans="10:10" x14ac:dyDescent="0.2">
      <c r="J2646"/>
    </row>
    <row r="2647" spans="10:10" x14ac:dyDescent="0.2">
      <c r="J2647"/>
    </row>
    <row r="2648" spans="10:10" x14ac:dyDescent="0.2">
      <c r="J2648"/>
    </row>
    <row r="2649" spans="10:10" x14ac:dyDescent="0.2">
      <c r="J2649"/>
    </row>
    <row r="2650" spans="10:10" x14ac:dyDescent="0.2">
      <c r="J2650"/>
    </row>
    <row r="2651" spans="10:10" x14ac:dyDescent="0.2">
      <c r="J2651"/>
    </row>
    <row r="2652" spans="10:10" x14ac:dyDescent="0.2">
      <c r="J2652"/>
    </row>
    <row r="2653" spans="10:10" x14ac:dyDescent="0.2">
      <c r="J2653"/>
    </row>
    <row r="2654" spans="10:10" x14ac:dyDescent="0.2">
      <c r="J2654"/>
    </row>
    <row r="2655" spans="10:10" x14ac:dyDescent="0.2">
      <c r="J2655"/>
    </row>
    <row r="2656" spans="10:10" x14ac:dyDescent="0.2">
      <c r="J2656"/>
    </row>
    <row r="2657" spans="10:10" x14ac:dyDescent="0.2">
      <c r="J2657"/>
    </row>
    <row r="2658" spans="10:10" x14ac:dyDescent="0.2">
      <c r="J2658"/>
    </row>
    <row r="2659" spans="10:10" x14ac:dyDescent="0.2">
      <c r="J2659"/>
    </row>
    <row r="2660" spans="10:10" x14ac:dyDescent="0.2">
      <c r="J2660"/>
    </row>
    <row r="2661" spans="10:10" x14ac:dyDescent="0.2">
      <c r="J2661"/>
    </row>
    <row r="2662" spans="10:10" x14ac:dyDescent="0.2">
      <c r="J2662"/>
    </row>
    <row r="2663" spans="10:10" x14ac:dyDescent="0.2">
      <c r="J2663"/>
    </row>
    <row r="2664" spans="10:10" x14ac:dyDescent="0.2">
      <c r="J2664"/>
    </row>
    <row r="2665" spans="10:10" x14ac:dyDescent="0.2">
      <c r="J2665"/>
    </row>
    <row r="2666" spans="10:10" x14ac:dyDescent="0.2">
      <c r="J2666"/>
    </row>
    <row r="2667" spans="10:10" x14ac:dyDescent="0.2">
      <c r="J2667"/>
    </row>
    <row r="2668" spans="10:10" x14ac:dyDescent="0.2">
      <c r="J2668"/>
    </row>
    <row r="2669" spans="10:10" x14ac:dyDescent="0.2">
      <c r="J2669"/>
    </row>
    <row r="2670" spans="10:10" x14ac:dyDescent="0.2">
      <c r="J2670"/>
    </row>
    <row r="2671" spans="10:10" x14ac:dyDescent="0.2">
      <c r="J2671"/>
    </row>
    <row r="2672" spans="10:10" x14ac:dyDescent="0.2">
      <c r="J2672"/>
    </row>
    <row r="2673" spans="10:10" x14ac:dyDescent="0.2">
      <c r="J2673"/>
    </row>
    <row r="2674" spans="10:10" x14ac:dyDescent="0.2">
      <c r="J2674"/>
    </row>
    <row r="2675" spans="10:10" x14ac:dyDescent="0.2">
      <c r="J2675"/>
    </row>
    <row r="2676" spans="10:10" x14ac:dyDescent="0.2">
      <c r="J2676"/>
    </row>
    <row r="2677" spans="10:10" x14ac:dyDescent="0.2">
      <c r="J2677"/>
    </row>
    <row r="2678" spans="10:10" x14ac:dyDescent="0.2">
      <c r="J2678"/>
    </row>
    <row r="2679" spans="10:10" x14ac:dyDescent="0.2">
      <c r="J2679"/>
    </row>
    <row r="2680" spans="10:10" x14ac:dyDescent="0.2">
      <c r="J2680"/>
    </row>
    <row r="2681" spans="10:10" x14ac:dyDescent="0.2">
      <c r="J2681"/>
    </row>
    <row r="2682" spans="10:10" x14ac:dyDescent="0.2">
      <c r="J2682"/>
    </row>
    <row r="2683" spans="10:10" x14ac:dyDescent="0.2">
      <c r="J2683"/>
    </row>
    <row r="2684" spans="10:10" x14ac:dyDescent="0.2">
      <c r="J2684"/>
    </row>
    <row r="2685" spans="10:10" x14ac:dyDescent="0.2">
      <c r="J2685"/>
    </row>
    <row r="2686" spans="10:10" x14ac:dyDescent="0.2">
      <c r="J2686"/>
    </row>
    <row r="2687" spans="10:10" x14ac:dyDescent="0.2">
      <c r="J2687"/>
    </row>
    <row r="2688" spans="10:10" x14ac:dyDescent="0.2">
      <c r="J2688"/>
    </row>
    <row r="2689" spans="10:10" x14ac:dyDescent="0.2">
      <c r="J2689"/>
    </row>
    <row r="2690" spans="10:10" x14ac:dyDescent="0.2">
      <c r="J2690"/>
    </row>
    <row r="2691" spans="10:10" x14ac:dyDescent="0.2">
      <c r="J2691"/>
    </row>
    <row r="2692" spans="10:10" x14ac:dyDescent="0.2">
      <c r="J2692"/>
    </row>
    <row r="2693" spans="10:10" x14ac:dyDescent="0.2">
      <c r="J2693"/>
    </row>
    <row r="2694" spans="10:10" x14ac:dyDescent="0.2">
      <c r="J2694"/>
    </row>
    <row r="2695" spans="10:10" x14ac:dyDescent="0.2">
      <c r="J2695"/>
    </row>
    <row r="2696" spans="10:10" x14ac:dyDescent="0.2">
      <c r="J2696"/>
    </row>
    <row r="2697" spans="10:10" x14ac:dyDescent="0.2">
      <c r="J2697"/>
    </row>
    <row r="2698" spans="10:10" x14ac:dyDescent="0.2">
      <c r="J2698"/>
    </row>
    <row r="2699" spans="10:10" x14ac:dyDescent="0.2">
      <c r="J2699"/>
    </row>
    <row r="2700" spans="10:10" x14ac:dyDescent="0.2">
      <c r="J2700"/>
    </row>
    <row r="2701" spans="10:10" x14ac:dyDescent="0.2">
      <c r="J2701"/>
    </row>
    <row r="2702" spans="10:10" x14ac:dyDescent="0.2">
      <c r="J2702"/>
    </row>
    <row r="2703" spans="10:10" x14ac:dyDescent="0.2">
      <c r="J2703"/>
    </row>
    <row r="2704" spans="10:10" x14ac:dyDescent="0.2">
      <c r="J2704"/>
    </row>
    <row r="2705" spans="10:10" x14ac:dyDescent="0.2">
      <c r="J2705"/>
    </row>
    <row r="2706" spans="10:10" x14ac:dyDescent="0.2">
      <c r="J2706"/>
    </row>
    <row r="2707" spans="10:10" x14ac:dyDescent="0.2">
      <c r="J2707"/>
    </row>
    <row r="2708" spans="10:10" x14ac:dyDescent="0.2">
      <c r="J2708"/>
    </row>
    <row r="2709" spans="10:10" x14ac:dyDescent="0.2">
      <c r="J2709"/>
    </row>
    <row r="2710" spans="10:10" x14ac:dyDescent="0.2">
      <c r="J2710"/>
    </row>
    <row r="2711" spans="10:10" x14ac:dyDescent="0.2">
      <c r="J2711"/>
    </row>
    <row r="2712" spans="10:10" x14ac:dyDescent="0.2">
      <c r="J2712"/>
    </row>
    <row r="2713" spans="10:10" x14ac:dyDescent="0.2">
      <c r="J2713"/>
    </row>
    <row r="2714" spans="10:10" x14ac:dyDescent="0.2">
      <c r="J2714"/>
    </row>
    <row r="2715" spans="10:10" x14ac:dyDescent="0.2">
      <c r="J2715"/>
    </row>
    <row r="2716" spans="10:10" x14ac:dyDescent="0.2">
      <c r="J2716"/>
    </row>
    <row r="2717" spans="10:10" x14ac:dyDescent="0.2">
      <c r="J2717"/>
    </row>
    <row r="2718" spans="10:10" x14ac:dyDescent="0.2">
      <c r="J2718"/>
    </row>
    <row r="2719" spans="10:10" x14ac:dyDescent="0.2">
      <c r="J2719"/>
    </row>
    <row r="2720" spans="10:10" x14ac:dyDescent="0.2">
      <c r="J2720"/>
    </row>
    <row r="2721" spans="10:10" x14ac:dyDescent="0.2">
      <c r="J2721"/>
    </row>
    <row r="2722" spans="10:10" x14ac:dyDescent="0.2">
      <c r="J2722"/>
    </row>
    <row r="2723" spans="10:10" x14ac:dyDescent="0.2">
      <c r="J2723"/>
    </row>
    <row r="2724" spans="10:10" x14ac:dyDescent="0.2">
      <c r="J2724"/>
    </row>
    <row r="2725" spans="10:10" x14ac:dyDescent="0.2">
      <c r="J2725"/>
    </row>
    <row r="2726" spans="10:10" x14ac:dyDescent="0.2">
      <c r="J2726"/>
    </row>
    <row r="2727" spans="10:10" x14ac:dyDescent="0.2">
      <c r="J2727"/>
    </row>
    <row r="2728" spans="10:10" x14ac:dyDescent="0.2">
      <c r="J2728"/>
    </row>
    <row r="2729" spans="10:10" x14ac:dyDescent="0.2">
      <c r="J2729"/>
    </row>
    <row r="2730" spans="10:10" x14ac:dyDescent="0.2">
      <c r="J2730"/>
    </row>
    <row r="2731" spans="10:10" x14ac:dyDescent="0.2">
      <c r="J2731"/>
    </row>
    <row r="2732" spans="10:10" x14ac:dyDescent="0.2">
      <c r="J2732"/>
    </row>
    <row r="2733" spans="10:10" x14ac:dyDescent="0.2">
      <c r="J2733"/>
    </row>
    <row r="2734" spans="10:10" x14ac:dyDescent="0.2">
      <c r="J2734"/>
    </row>
    <row r="2735" spans="10:10" x14ac:dyDescent="0.2">
      <c r="J2735"/>
    </row>
    <row r="2736" spans="10:10" x14ac:dyDescent="0.2">
      <c r="J2736"/>
    </row>
    <row r="2737" spans="10:10" x14ac:dyDescent="0.2">
      <c r="J2737"/>
    </row>
    <row r="2738" spans="10:10" x14ac:dyDescent="0.2">
      <c r="J2738"/>
    </row>
    <row r="2739" spans="10:10" x14ac:dyDescent="0.2">
      <c r="J2739"/>
    </row>
    <row r="2740" spans="10:10" x14ac:dyDescent="0.2">
      <c r="J2740"/>
    </row>
    <row r="2741" spans="10:10" x14ac:dyDescent="0.2">
      <c r="J2741"/>
    </row>
    <row r="2742" spans="10:10" x14ac:dyDescent="0.2">
      <c r="J2742"/>
    </row>
    <row r="2743" spans="10:10" x14ac:dyDescent="0.2">
      <c r="J2743"/>
    </row>
    <row r="2744" spans="10:10" x14ac:dyDescent="0.2">
      <c r="J2744"/>
    </row>
    <row r="2745" spans="10:10" x14ac:dyDescent="0.2">
      <c r="J2745"/>
    </row>
    <row r="2746" spans="10:10" x14ac:dyDescent="0.2">
      <c r="J2746"/>
    </row>
    <row r="2747" spans="10:10" x14ac:dyDescent="0.2">
      <c r="J2747"/>
    </row>
    <row r="2748" spans="10:10" x14ac:dyDescent="0.2">
      <c r="J2748"/>
    </row>
    <row r="2749" spans="10:10" x14ac:dyDescent="0.2">
      <c r="J2749"/>
    </row>
    <row r="2750" spans="10:10" x14ac:dyDescent="0.2">
      <c r="J2750"/>
    </row>
    <row r="2751" spans="10:10" x14ac:dyDescent="0.2">
      <c r="J2751"/>
    </row>
    <row r="2752" spans="10:10" x14ac:dyDescent="0.2">
      <c r="J2752"/>
    </row>
    <row r="2753" spans="10:10" x14ac:dyDescent="0.2">
      <c r="J2753"/>
    </row>
    <row r="2754" spans="10:10" x14ac:dyDescent="0.2">
      <c r="J2754"/>
    </row>
    <row r="2755" spans="10:10" x14ac:dyDescent="0.2">
      <c r="J2755"/>
    </row>
    <row r="2756" spans="10:10" x14ac:dyDescent="0.2">
      <c r="J2756"/>
    </row>
    <row r="2757" spans="10:10" x14ac:dyDescent="0.2">
      <c r="J2757"/>
    </row>
    <row r="2758" spans="10:10" x14ac:dyDescent="0.2">
      <c r="J2758"/>
    </row>
    <row r="2759" spans="10:10" x14ac:dyDescent="0.2">
      <c r="J2759"/>
    </row>
    <row r="2760" spans="10:10" x14ac:dyDescent="0.2">
      <c r="J2760"/>
    </row>
    <row r="2761" spans="10:10" x14ac:dyDescent="0.2">
      <c r="J2761"/>
    </row>
    <row r="2762" spans="10:10" x14ac:dyDescent="0.2">
      <c r="J2762"/>
    </row>
    <row r="2763" spans="10:10" x14ac:dyDescent="0.2">
      <c r="J2763"/>
    </row>
    <row r="2764" spans="10:10" x14ac:dyDescent="0.2">
      <c r="J2764"/>
    </row>
    <row r="2765" spans="10:10" x14ac:dyDescent="0.2">
      <c r="J2765"/>
    </row>
    <row r="2766" spans="10:10" x14ac:dyDescent="0.2">
      <c r="J2766"/>
    </row>
    <row r="2767" spans="10:10" x14ac:dyDescent="0.2">
      <c r="J2767"/>
    </row>
    <row r="2768" spans="10:10" x14ac:dyDescent="0.2">
      <c r="J2768"/>
    </row>
    <row r="2769" spans="10:10" x14ac:dyDescent="0.2">
      <c r="J2769"/>
    </row>
    <row r="2770" spans="10:10" x14ac:dyDescent="0.2">
      <c r="J2770"/>
    </row>
    <row r="2771" spans="10:10" x14ac:dyDescent="0.2">
      <c r="J2771"/>
    </row>
    <row r="2772" spans="10:10" x14ac:dyDescent="0.2">
      <c r="J2772"/>
    </row>
    <row r="2773" spans="10:10" x14ac:dyDescent="0.2">
      <c r="J2773"/>
    </row>
    <row r="2774" spans="10:10" x14ac:dyDescent="0.2">
      <c r="J2774"/>
    </row>
    <row r="2775" spans="10:10" x14ac:dyDescent="0.2">
      <c r="J2775"/>
    </row>
    <row r="2776" spans="10:10" x14ac:dyDescent="0.2">
      <c r="J2776"/>
    </row>
    <row r="2777" spans="10:10" x14ac:dyDescent="0.2">
      <c r="J2777"/>
    </row>
    <row r="2778" spans="10:10" x14ac:dyDescent="0.2">
      <c r="J2778"/>
    </row>
    <row r="2779" spans="10:10" x14ac:dyDescent="0.2">
      <c r="J2779"/>
    </row>
    <row r="2780" spans="10:10" x14ac:dyDescent="0.2">
      <c r="J2780"/>
    </row>
    <row r="2781" spans="10:10" x14ac:dyDescent="0.2">
      <c r="J2781"/>
    </row>
    <row r="2782" spans="10:10" x14ac:dyDescent="0.2">
      <c r="J2782"/>
    </row>
    <row r="2783" spans="10:10" x14ac:dyDescent="0.2">
      <c r="J2783"/>
    </row>
    <row r="2784" spans="10:10" x14ac:dyDescent="0.2">
      <c r="J2784"/>
    </row>
    <row r="2785" spans="10:10" x14ac:dyDescent="0.2">
      <c r="J2785"/>
    </row>
    <row r="2786" spans="10:10" x14ac:dyDescent="0.2">
      <c r="J2786"/>
    </row>
    <row r="2787" spans="10:10" x14ac:dyDescent="0.2">
      <c r="J2787"/>
    </row>
    <row r="2788" spans="10:10" x14ac:dyDescent="0.2">
      <c r="J2788"/>
    </row>
    <row r="2789" spans="10:10" x14ac:dyDescent="0.2">
      <c r="J2789"/>
    </row>
    <row r="2790" spans="10:10" x14ac:dyDescent="0.2">
      <c r="J2790"/>
    </row>
    <row r="2791" spans="10:10" x14ac:dyDescent="0.2">
      <c r="J2791"/>
    </row>
    <row r="2792" spans="10:10" x14ac:dyDescent="0.2">
      <c r="J2792"/>
    </row>
    <row r="2793" spans="10:10" x14ac:dyDescent="0.2">
      <c r="J2793"/>
    </row>
    <row r="2794" spans="10:10" x14ac:dyDescent="0.2">
      <c r="J2794"/>
    </row>
    <row r="2795" spans="10:10" x14ac:dyDescent="0.2">
      <c r="J2795"/>
    </row>
    <row r="2796" spans="10:10" x14ac:dyDescent="0.2">
      <c r="J2796"/>
    </row>
    <row r="2797" spans="10:10" x14ac:dyDescent="0.2">
      <c r="J2797"/>
    </row>
    <row r="2798" spans="10:10" x14ac:dyDescent="0.2">
      <c r="J2798"/>
    </row>
    <row r="2799" spans="10:10" x14ac:dyDescent="0.2">
      <c r="J2799"/>
    </row>
    <row r="2800" spans="10:10" x14ac:dyDescent="0.2">
      <c r="J2800"/>
    </row>
    <row r="2801" spans="10:10" x14ac:dyDescent="0.2">
      <c r="J2801"/>
    </row>
    <row r="2802" spans="10:10" x14ac:dyDescent="0.2">
      <c r="J2802"/>
    </row>
    <row r="2803" spans="10:10" x14ac:dyDescent="0.2">
      <c r="J2803"/>
    </row>
    <row r="2804" spans="10:10" x14ac:dyDescent="0.2">
      <c r="J2804"/>
    </row>
    <row r="2805" spans="10:10" x14ac:dyDescent="0.2">
      <c r="J2805"/>
    </row>
    <row r="2806" spans="10:10" x14ac:dyDescent="0.2">
      <c r="J2806"/>
    </row>
    <row r="2807" spans="10:10" x14ac:dyDescent="0.2">
      <c r="J2807"/>
    </row>
    <row r="2808" spans="10:10" x14ac:dyDescent="0.2">
      <c r="J2808"/>
    </row>
    <row r="2809" spans="10:10" x14ac:dyDescent="0.2">
      <c r="J2809"/>
    </row>
    <row r="2810" spans="10:10" x14ac:dyDescent="0.2">
      <c r="J2810"/>
    </row>
    <row r="2811" spans="10:10" x14ac:dyDescent="0.2">
      <c r="J2811"/>
    </row>
    <row r="2812" spans="10:10" x14ac:dyDescent="0.2">
      <c r="J2812"/>
    </row>
    <row r="2813" spans="10:10" x14ac:dyDescent="0.2">
      <c r="J2813"/>
    </row>
    <row r="2814" spans="10:10" x14ac:dyDescent="0.2">
      <c r="J2814"/>
    </row>
    <row r="2815" spans="10:10" x14ac:dyDescent="0.2">
      <c r="J2815"/>
    </row>
    <row r="2816" spans="10:10" x14ac:dyDescent="0.2">
      <c r="J2816"/>
    </row>
    <row r="2817" spans="10:10" x14ac:dyDescent="0.2">
      <c r="J2817"/>
    </row>
    <row r="2818" spans="10:10" x14ac:dyDescent="0.2">
      <c r="J2818"/>
    </row>
    <row r="2819" spans="10:10" x14ac:dyDescent="0.2">
      <c r="J2819"/>
    </row>
    <row r="2820" spans="10:10" x14ac:dyDescent="0.2">
      <c r="J2820"/>
    </row>
    <row r="2821" spans="10:10" x14ac:dyDescent="0.2">
      <c r="J2821"/>
    </row>
    <row r="2822" spans="10:10" x14ac:dyDescent="0.2">
      <c r="J2822"/>
    </row>
    <row r="2823" spans="10:10" x14ac:dyDescent="0.2">
      <c r="J2823"/>
    </row>
    <row r="2824" spans="10:10" x14ac:dyDescent="0.2">
      <c r="J2824"/>
    </row>
    <row r="2825" spans="10:10" x14ac:dyDescent="0.2">
      <c r="J2825"/>
    </row>
    <row r="2826" spans="10:10" x14ac:dyDescent="0.2">
      <c r="J2826"/>
    </row>
    <row r="2827" spans="10:10" x14ac:dyDescent="0.2">
      <c r="J2827"/>
    </row>
    <row r="2828" spans="10:10" x14ac:dyDescent="0.2">
      <c r="J2828"/>
    </row>
    <row r="2829" spans="10:10" x14ac:dyDescent="0.2">
      <c r="J2829"/>
    </row>
    <row r="2830" spans="10:10" x14ac:dyDescent="0.2">
      <c r="J2830"/>
    </row>
    <row r="2831" spans="10:10" x14ac:dyDescent="0.2">
      <c r="J2831"/>
    </row>
    <row r="2832" spans="10:10" x14ac:dyDescent="0.2">
      <c r="J2832"/>
    </row>
    <row r="2833" spans="10:10" x14ac:dyDescent="0.2">
      <c r="J2833"/>
    </row>
    <row r="2834" spans="10:10" x14ac:dyDescent="0.2">
      <c r="J2834"/>
    </row>
    <row r="2835" spans="10:10" x14ac:dyDescent="0.2">
      <c r="J2835"/>
    </row>
    <row r="2836" spans="10:10" x14ac:dyDescent="0.2">
      <c r="J2836"/>
    </row>
    <row r="2837" spans="10:10" x14ac:dyDescent="0.2">
      <c r="J2837"/>
    </row>
    <row r="2838" spans="10:10" x14ac:dyDescent="0.2">
      <c r="J2838"/>
    </row>
    <row r="2839" spans="10:10" x14ac:dyDescent="0.2">
      <c r="J2839"/>
    </row>
    <row r="2840" spans="10:10" x14ac:dyDescent="0.2">
      <c r="J2840"/>
    </row>
    <row r="2841" spans="10:10" x14ac:dyDescent="0.2">
      <c r="J2841"/>
    </row>
    <row r="2842" spans="10:10" x14ac:dyDescent="0.2">
      <c r="J2842"/>
    </row>
    <row r="2843" spans="10:10" x14ac:dyDescent="0.2">
      <c r="J2843"/>
    </row>
    <row r="2844" spans="10:10" x14ac:dyDescent="0.2">
      <c r="J2844"/>
    </row>
    <row r="2845" spans="10:10" x14ac:dyDescent="0.2">
      <c r="J2845"/>
    </row>
    <row r="2846" spans="10:10" x14ac:dyDescent="0.2">
      <c r="J2846"/>
    </row>
    <row r="2847" spans="10:10" x14ac:dyDescent="0.2">
      <c r="J2847"/>
    </row>
    <row r="2848" spans="10:10" x14ac:dyDescent="0.2">
      <c r="J2848"/>
    </row>
    <row r="2849" spans="10:10" x14ac:dyDescent="0.2">
      <c r="J2849"/>
    </row>
    <row r="2850" spans="10:10" x14ac:dyDescent="0.2">
      <c r="J2850"/>
    </row>
    <row r="2851" spans="10:10" x14ac:dyDescent="0.2">
      <c r="J2851"/>
    </row>
    <row r="2852" spans="10:10" x14ac:dyDescent="0.2">
      <c r="J2852"/>
    </row>
    <row r="2853" spans="10:10" x14ac:dyDescent="0.2">
      <c r="J2853"/>
    </row>
    <row r="2854" spans="10:10" x14ac:dyDescent="0.2">
      <c r="J2854"/>
    </row>
    <row r="2855" spans="10:10" x14ac:dyDescent="0.2">
      <c r="J2855"/>
    </row>
    <row r="2856" spans="10:10" x14ac:dyDescent="0.2">
      <c r="J2856"/>
    </row>
    <row r="2857" spans="10:10" x14ac:dyDescent="0.2">
      <c r="J2857"/>
    </row>
    <row r="2858" spans="10:10" x14ac:dyDescent="0.2">
      <c r="J2858"/>
    </row>
    <row r="2859" spans="10:10" x14ac:dyDescent="0.2">
      <c r="J2859"/>
    </row>
    <row r="2860" spans="10:10" x14ac:dyDescent="0.2">
      <c r="J2860"/>
    </row>
    <row r="2861" spans="10:10" x14ac:dyDescent="0.2">
      <c r="J2861"/>
    </row>
    <row r="2862" spans="10:10" x14ac:dyDescent="0.2">
      <c r="J2862"/>
    </row>
    <row r="2863" spans="10:10" x14ac:dyDescent="0.2">
      <c r="J2863"/>
    </row>
    <row r="2864" spans="10:10" x14ac:dyDescent="0.2">
      <c r="J2864"/>
    </row>
    <row r="2865" spans="10:10" x14ac:dyDescent="0.2">
      <c r="J2865"/>
    </row>
    <row r="2866" spans="10:10" x14ac:dyDescent="0.2">
      <c r="J2866"/>
    </row>
    <row r="2867" spans="10:10" x14ac:dyDescent="0.2">
      <c r="J2867"/>
    </row>
    <row r="2868" spans="10:10" x14ac:dyDescent="0.2">
      <c r="J2868"/>
    </row>
    <row r="2869" spans="10:10" x14ac:dyDescent="0.2">
      <c r="J2869"/>
    </row>
    <row r="2870" spans="10:10" x14ac:dyDescent="0.2">
      <c r="J2870"/>
    </row>
    <row r="2871" spans="10:10" x14ac:dyDescent="0.2">
      <c r="J2871"/>
    </row>
    <row r="2872" spans="10:10" x14ac:dyDescent="0.2">
      <c r="J2872"/>
    </row>
    <row r="2873" spans="10:10" x14ac:dyDescent="0.2">
      <c r="J2873"/>
    </row>
    <row r="2874" spans="10:10" x14ac:dyDescent="0.2">
      <c r="J2874"/>
    </row>
    <row r="2875" spans="10:10" x14ac:dyDescent="0.2">
      <c r="J2875"/>
    </row>
    <row r="2876" spans="10:10" x14ac:dyDescent="0.2">
      <c r="J2876"/>
    </row>
    <row r="2877" spans="10:10" x14ac:dyDescent="0.2">
      <c r="J2877"/>
    </row>
    <row r="2878" spans="10:10" x14ac:dyDescent="0.2">
      <c r="J2878"/>
    </row>
    <row r="2879" spans="10:10" x14ac:dyDescent="0.2">
      <c r="J2879"/>
    </row>
    <row r="2880" spans="10:10" x14ac:dyDescent="0.2">
      <c r="J2880"/>
    </row>
    <row r="2881" spans="10:10" x14ac:dyDescent="0.2">
      <c r="J2881"/>
    </row>
    <row r="2882" spans="10:10" x14ac:dyDescent="0.2">
      <c r="J2882"/>
    </row>
    <row r="2883" spans="10:10" x14ac:dyDescent="0.2">
      <c r="J2883"/>
    </row>
    <row r="2884" spans="10:10" x14ac:dyDescent="0.2">
      <c r="J2884"/>
    </row>
    <row r="2885" spans="10:10" x14ac:dyDescent="0.2">
      <c r="J2885"/>
    </row>
    <row r="2886" spans="10:10" x14ac:dyDescent="0.2">
      <c r="J2886"/>
    </row>
    <row r="2887" spans="10:10" x14ac:dyDescent="0.2">
      <c r="J2887"/>
    </row>
    <row r="2888" spans="10:10" x14ac:dyDescent="0.2">
      <c r="J2888"/>
    </row>
    <row r="2889" spans="10:10" x14ac:dyDescent="0.2">
      <c r="J2889"/>
    </row>
    <row r="2890" spans="10:10" x14ac:dyDescent="0.2">
      <c r="J2890"/>
    </row>
    <row r="2891" spans="10:10" x14ac:dyDescent="0.2">
      <c r="J2891"/>
    </row>
    <row r="2892" spans="10:10" x14ac:dyDescent="0.2">
      <c r="J2892"/>
    </row>
    <row r="2893" spans="10:10" x14ac:dyDescent="0.2">
      <c r="J2893"/>
    </row>
    <row r="2894" spans="10:10" x14ac:dyDescent="0.2">
      <c r="J2894"/>
    </row>
    <row r="2895" spans="10:10" x14ac:dyDescent="0.2">
      <c r="J2895"/>
    </row>
    <row r="2896" spans="10:10" x14ac:dyDescent="0.2">
      <c r="J2896"/>
    </row>
    <row r="2897" spans="10:10" x14ac:dyDescent="0.2">
      <c r="J2897"/>
    </row>
    <row r="2898" spans="10:10" x14ac:dyDescent="0.2">
      <c r="J2898"/>
    </row>
    <row r="2899" spans="10:10" x14ac:dyDescent="0.2">
      <c r="J2899"/>
    </row>
    <row r="2900" spans="10:10" x14ac:dyDescent="0.2">
      <c r="J2900"/>
    </row>
    <row r="2901" spans="10:10" x14ac:dyDescent="0.2">
      <c r="J2901"/>
    </row>
    <row r="2902" spans="10:10" x14ac:dyDescent="0.2">
      <c r="J2902"/>
    </row>
    <row r="2903" spans="10:10" x14ac:dyDescent="0.2">
      <c r="J2903"/>
    </row>
    <row r="2904" spans="10:10" x14ac:dyDescent="0.2">
      <c r="J2904"/>
    </row>
    <row r="2905" spans="10:10" x14ac:dyDescent="0.2">
      <c r="J2905"/>
    </row>
    <row r="2906" spans="10:10" x14ac:dyDescent="0.2">
      <c r="J2906"/>
    </row>
    <row r="2907" spans="10:10" x14ac:dyDescent="0.2">
      <c r="J2907"/>
    </row>
    <row r="2908" spans="10:10" x14ac:dyDescent="0.2">
      <c r="J2908"/>
    </row>
    <row r="2909" spans="10:10" x14ac:dyDescent="0.2">
      <c r="J2909"/>
    </row>
    <row r="2910" spans="10:10" x14ac:dyDescent="0.2">
      <c r="J2910"/>
    </row>
    <row r="2911" spans="10:10" x14ac:dyDescent="0.2">
      <c r="J2911"/>
    </row>
    <row r="2912" spans="10:10" x14ac:dyDescent="0.2">
      <c r="J2912"/>
    </row>
    <row r="2913" spans="10:10" x14ac:dyDescent="0.2">
      <c r="J2913"/>
    </row>
    <row r="2914" spans="10:10" x14ac:dyDescent="0.2">
      <c r="J2914"/>
    </row>
    <row r="2915" spans="10:10" x14ac:dyDescent="0.2">
      <c r="J2915"/>
    </row>
    <row r="2916" spans="10:10" x14ac:dyDescent="0.2">
      <c r="J2916"/>
    </row>
    <row r="2917" spans="10:10" x14ac:dyDescent="0.2">
      <c r="J2917"/>
    </row>
    <row r="2918" spans="10:10" x14ac:dyDescent="0.2">
      <c r="J2918"/>
    </row>
    <row r="2919" spans="10:10" x14ac:dyDescent="0.2">
      <c r="J2919"/>
    </row>
    <row r="2920" spans="10:10" x14ac:dyDescent="0.2">
      <c r="J2920"/>
    </row>
    <row r="2921" spans="10:10" x14ac:dyDescent="0.2">
      <c r="J2921"/>
    </row>
    <row r="2922" spans="10:10" x14ac:dyDescent="0.2">
      <c r="J2922"/>
    </row>
    <row r="2923" spans="10:10" x14ac:dyDescent="0.2">
      <c r="J2923"/>
    </row>
    <row r="2924" spans="10:10" x14ac:dyDescent="0.2">
      <c r="J2924"/>
    </row>
    <row r="2925" spans="10:10" x14ac:dyDescent="0.2">
      <c r="J2925"/>
    </row>
    <row r="2926" spans="10:10" x14ac:dyDescent="0.2">
      <c r="J2926"/>
    </row>
    <row r="2927" spans="10:10" x14ac:dyDescent="0.2">
      <c r="J2927"/>
    </row>
    <row r="2928" spans="10:10" x14ac:dyDescent="0.2">
      <c r="J2928"/>
    </row>
    <row r="2929" spans="10:10" x14ac:dyDescent="0.2">
      <c r="J2929"/>
    </row>
    <row r="2930" spans="10:10" x14ac:dyDescent="0.2">
      <c r="J2930"/>
    </row>
    <row r="2931" spans="10:10" x14ac:dyDescent="0.2">
      <c r="J2931"/>
    </row>
    <row r="2932" spans="10:10" x14ac:dyDescent="0.2">
      <c r="J2932"/>
    </row>
    <row r="2933" spans="10:10" x14ac:dyDescent="0.2">
      <c r="J2933"/>
    </row>
    <row r="2934" spans="10:10" x14ac:dyDescent="0.2">
      <c r="J2934"/>
    </row>
    <row r="2935" spans="10:10" x14ac:dyDescent="0.2">
      <c r="J2935"/>
    </row>
    <row r="2936" spans="10:10" x14ac:dyDescent="0.2">
      <c r="J2936"/>
    </row>
    <row r="2937" spans="10:10" x14ac:dyDescent="0.2">
      <c r="J2937"/>
    </row>
    <row r="2938" spans="10:10" x14ac:dyDescent="0.2">
      <c r="J2938"/>
    </row>
    <row r="2939" spans="10:10" x14ac:dyDescent="0.2">
      <c r="J2939"/>
    </row>
    <row r="2940" spans="10:10" x14ac:dyDescent="0.2">
      <c r="J2940"/>
    </row>
    <row r="2941" spans="10:10" x14ac:dyDescent="0.2">
      <c r="J2941"/>
    </row>
    <row r="2942" spans="10:10" x14ac:dyDescent="0.2">
      <c r="J2942"/>
    </row>
    <row r="2943" spans="10:10" x14ac:dyDescent="0.2">
      <c r="J2943"/>
    </row>
    <row r="2944" spans="10:10" x14ac:dyDescent="0.2">
      <c r="J2944"/>
    </row>
    <row r="2945" spans="10:10" x14ac:dyDescent="0.2">
      <c r="J2945"/>
    </row>
    <row r="2946" spans="10:10" x14ac:dyDescent="0.2">
      <c r="J2946"/>
    </row>
    <row r="2947" spans="10:10" x14ac:dyDescent="0.2">
      <c r="J2947"/>
    </row>
    <row r="2948" spans="10:10" x14ac:dyDescent="0.2">
      <c r="J2948"/>
    </row>
    <row r="2949" spans="10:10" x14ac:dyDescent="0.2">
      <c r="J2949"/>
    </row>
    <row r="2950" spans="10:10" x14ac:dyDescent="0.2">
      <c r="J2950"/>
    </row>
    <row r="2951" spans="10:10" x14ac:dyDescent="0.2">
      <c r="J2951"/>
    </row>
    <row r="2952" spans="10:10" x14ac:dyDescent="0.2">
      <c r="J2952"/>
    </row>
    <row r="2953" spans="10:10" x14ac:dyDescent="0.2">
      <c r="J2953"/>
    </row>
    <row r="2954" spans="10:10" x14ac:dyDescent="0.2">
      <c r="J2954"/>
    </row>
    <row r="2955" spans="10:10" x14ac:dyDescent="0.2">
      <c r="J2955"/>
    </row>
    <row r="2956" spans="10:10" x14ac:dyDescent="0.2">
      <c r="J2956"/>
    </row>
    <row r="2957" spans="10:10" x14ac:dyDescent="0.2">
      <c r="J2957"/>
    </row>
    <row r="2958" spans="10:10" x14ac:dyDescent="0.2">
      <c r="J2958"/>
    </row>
    <row r="2959" spans="10:10" x14ac:dyDescent="0.2">
      <c r="J2959"/>
    </row>
    <row r="2960" spans="10:10" x14ac:dyDescent="0.2">
      <c r="J2960"/>
    </row>
    <row r="2961" spans="10:10" x14ac:dyDescent="0.2">
      <c r="J2961"/>
    </row>
    <row r="2962" spans="10:10" x14ac:dyDescent="0.2">
      <c r="J2962"/>
    </row>
    <row r="2963" spans="10:10" x14ac:dyDescent="0.2">
      <c r="J2963"/>
    </row>
    <row r="2964" spans="10:10" x14ac:dyDescent="0.2">
      <c r="J2964"/>
    </row>
    <row r="2965" spans="10:10" x14ac:dyDescent="0.2">
      <c r="J2965"/>
    </row>
    <row r="2966" spans="10:10" x14ac:dyDescent="0.2">
      <c r="J2966"/>
    </row>
    <row r="2967" spans="10:10" x14ac:dyDescent="0.2">
      <c r="J2967"/>
    </row>
    <row r="2968" spans="10:10" x14ac:dyDescent="0.2">
      <c r="J2968"/>
    </row>
    <row r="2969" spans="10:10" x14ac:dyDescent="0.2">
      <c r="J2969"/>
    </row>
    <row r="2970" spans="10:10" x14ac:dyDescent="0.2">
      <c r="J2970"/>
    </row>
    <row r="2971" spans="10:10" x14ac:dyDescent="0.2">
      <c r="J2971"/>
    </row>
    <row r="2972" spans="10:10" x14ac:dyDescent="0.2">
      <c r="J2972"/>
    </row>
    <row r="2973" spans="10:10" x14ac:dyDescent="0.2">
      <c r="J2973"/>
    </row>
    <row r="2974" spans="10:10" x14ac:dyDescent="0.2">
      <c r="J2974"/>
    </row>
    <row r="2975" spans="10:10" x14ac:dyDescent="0.2">
      <c r="J2975"/>
    </row>
    <row r="2976" spans="10:10" x14ac:dyDescent="0.2">
      <c r="J2976"/>
    </row>
    <row r="2977" spans="10:10" x14ac:dyDescent="0.2">
      <c r="J2977"/>
    </row>
    <row r="2978" spans="10:10" x14ac:dyDescent="0.2">
      <c r="J2978"/>
    </row>
    <row r="2979" spans="10:10" x14ac:dyDescent="0.2">
      <c r="J2979"/>
    </row>
    <row r="2980" spans="10:10" x14ac:dyDescent="0.2">
      <c r="J2980"/>
    </row>
    <row r="2981" spans="10:10" x14ac:dyDescent="0.2">
      <c r="J2981"/>
    </row>
    <row r="2982" spans="10:10" x14ac:dyDescent="0.2">
      <c r="J2982"/>
    </row>
    <row r="2983" spans="10:10" x14ac:dyDescent="0.2">
      <c r="J2983"/>
    </row>
    <row r="2984" spans="10:10" x14ac:dyDescent="0.2">
      <c r="J2984"/>
    </row>
    <row r="2985" spans="10:10" x14ac:dyDescent="0.2">
      <c r="J2985"/>
    </row>
    <row r="2986" spans="10:10" x14ac:dyDescent="0.2">
      <c r="J2986"/>
    </row>
    <row r="2987" spans="10:10" x14ac:dyDescent="0.2">
      <c r="J2987"/>
    </row>
    <row r="2988" spans="10:10" x14ac:dyDescent="0.2">
      <c r="J2988"/>
    </row>
    <row r="2989" spans="10:10" x14ac:dyDescent="0.2">
      <c r="J2989"/>
    </row>
    <row r="2990" spans="10:10" x14ac:dyDescent="0.2">
      <c r="J2990"/>
    </row>
    <row r="2991" spans="10:10" x14ac:dyDescent="0.2">
      <c r="J2991"/>
    </row>
    <row r="2992" spans="10:10" x14ac:dyDescent="0.2">
      <c r="J2992"/>
    </row>
    <row r="2993" spans="10:10" x14ac:dyDescent="0.2">
      <c r="J2993"/>
    </row>
    <row r="2994" spans="10:10" x14ac:dyDescent="0.2">
      <c r="J2994"/>
    </row>
    <row r="2995" spans="10:10" x14ac:dyDescent="0.2">
      <c r="J2995"/>
    </row>
    <row r="2996" spans="10:10" x14ac:dyDescent="0.2">
      <c r="J2996"/>
    </row>
    <row r="2997" spans="10:10" x14ac:dyDescent="0.2">
      <c r="J2997"/>
    </row>
    <row r="2998" spans="10:10" x14ac:dyDescent="0.2">
      <c r="J2998"/>
    </row>
    <row r="2999" spans="10:10" x14ac:dyDescent="0.2">
      <c r="J2999"/>
    </row>
    <row r="3000" spans="10:10" x14ac:dyDescent="0.2">
      <c r="J3000"/>
    </row>
    <row r="3001" spans="10:10" x14ac:dyDescent="0.2">
      <c r="J3001"/>
    </row>
    <row r="3002" spans="10:10" x14ac:dyDescent="0.2">
      <c r="J3002"/>
    </row>
    <row r="3003" spans="10:10" x14ac:dyDescent="0.2">
      <c r="J3003"/>
    </row>
    <row r="3004" spans="10:10" x14ac:dyDescent="0.2">
      <c r="J3004"/>
    </row>
    <row r="3005" spans="10:10" x14ac:dyDescent="0.2">
      <c r="J3005"/>
    </row>
    <row r="3006" spans="10:10" x14ac:dyDescent="0.2">
      <c r="J3006"/>
    </row>
    <row r="3007" spans="10:10" x14ac:dyDescent="0.2">
      <c r="J3007"/>
    </row>
    <row r="3008" spans="10:10" x14ac:dyDescent="0.2">
      <c r="J3008"/>
    </row>
    <row r="3009" spans="10:10" x14ac:dyDescent="0.2">
      <c r="J3009"/>
    </row>
    <row r="3010" spans="10:10" x14ac:dyDescent="0.2">
      <c r="J3010"/>
    </row>
    <row r="3011" spans="10:10" x14ac:dyDescent="0.2">
      <c r="J3011"/>
    </row>
    <row r="3012" spans="10:10" x14ac:dyDescent="0.2">
      <c r="J3012"/>
    </row>
    <row r="3013" spans="10:10" x14ac:dyDescent="0.2">
      <c r="J3013"/>
    </row>
    <row r="3014" spans="10:10" x14ac:dyDescent="0.2">
      <c r="J3014"/>
    </row>
    <row r="3015" spans="10:10" x14ac:dyDescent="0.2">
      <c r="J3015"/>
    </row>
    <row r="3016" spans="10:10" x14ac:dyDescent="0.2">
      <c r="J3016"/>
    </row>
    <row r="3017" spans="10:10" x14ac:dyDescent="0.2">
      <c r="J3017"/>
    </row>
    <row r="3018" spans="10:10" x14ac:dyDescent="0.2">
      <c r="J3018"/>
    </row>
    <row r="3019" spans="10:10" x14ac:dyDescent="0.2">
      <c r="J3019"/>
    </row>
    <row r="3020" spans="10:10" x14ac:dyDescent="0.2">
      <c r="J3020"/>
    </row>
    <row r="3021" spans="10:10" x14ac:dyDescent="0.2">
      <c r="J3021"/>
    </row>
    <row r="3022" spans="10:10" x14ac:dyDescent="0.2">
      <c r="J3022"/>
    </row>
    <row r="3023" spans="10:10" x14ac:dyDescent="0.2">
      <c r="J3023"/>
    </row>
    <row r="3024" spans="10:10" x14ac:dyDescent="0.2">
      <c r="J3024"/>
    </row>
    <row r="3025" spans="10:10" x14ac:dyDescent="0.2">
      <c r="J3025"/>
    </row>
    <row r="3026" spans="10:10" x14ac:dyDescent="0.2">
      <c r="J3026"/>
    </row>
    <row r="3027" spans="10:10" x14ac:dyDescent="0.2">
      <c r="J3027"/>
    </row>
    <row r="3028" spans="10:10" x14ac:dyDescent="0.2">
      <c r="J3028"/>
    </row>
    <row r="3029" spans="10:10" x14ac:dyDescent="0.2">
      <c r="J3029"/>
    </row>
    <row r="3030" spans="10:10" x14ac:dyDescent="0.2">
      <c r="J3030"/>
    </row>
    <row r="3031" spans="10:10" x14ac:dyDescent="0.2">
      <c r="J3031"/>
    </row>
    <row r="3032" spans="10:10" x14ac:dyDescent="0.2">
      <c r="J3032"/>
    </row>
    <row r="3033" spans="10:10" x14ac:dyDescent="0.2">
      <c r="J3033"/>
    </row>
    <row r="3034" spans="10:10" x14ac:dyDescent="0.2">
      <c r="J3034"/>
    </row>
    <row r="3035" spans="10:10" x14ac:dyDescent="0.2">
      <c r="J3035"/>
    </row>
    <row r="3036" spans="10:10" x14ac:dyDescent="0.2">
      <c r="J3036"/>
    </row>
    <row r="3037" spans="10:10" x14ac:dyDescent="0.2">
      <c r="J3037"/>
    </row>
    <row r="3038" spans="10:10" x14ac:dyDescent="0.2">
      <c r="J3038"/>
    </row>
    <row r="3039" spans="10:10" x14ac:dyDescent="0.2">
      <c r="J3039"/>
    </row>
    <row r="3040" spans="10:10" x14ac:dyDescent="0.2">
      <c r="J3040"/>
    </row>
    <row r="3041" spans="10:10" x14ac:dyDescent="0.2">
      <c r="J3041"/>
    </row>
    <row r="3042" spans="10:10" x14ac:dyDescent="0.2">
      <c r="J3042"/>
    </row>
    <row r="3043" spans="10:10" x14ac:dyDescent="0.2">
      <c r="J3043"/>
    </row>
    <row r="3044" spans="10:10" x14ac:dyDescent="0.2">
      <c r="J3044"/>
    </row>
    <row r="3045" spans="10:10" x14ac:dyDescent="0.2">
      <c r="J3045"/>
    </row>
    <row r="3046" spans="10:10" x14ac:dyDescent="0.2">
      <c r="J3046"/>
    </row>
    <row r="3047" spans="10:10" x14ac:dyDescent="0.2">
      <c r="J3047"/>
    </row>
    <row r="3048" spans="10:10" x14ac:dyDescent="0.2">
      <c r="J3048"/>
    </row>
    <row r="3049" spans="10:10" x14ac:dyDescent="0.2">
      <c r="J3049"/>
    </row>
    <row r="3050" spans="10:10" x14ac:dyDescent="0.2">
      <c r="J3050"/>
    </row>
    <row r="3051" spans="10:10" x14ac:dyDescent="0.2">
      <c r="J3051"/>
    </row>
    <row r="3052" spans="10:10" x14ac:dyDescent="0.2">
      <c r="J3052"/>
    </row>
    <row r="3053" spans="10:10" x14ac:dyDescent="0.2">
      <c r="J3053"/>
    </row>
    <row r="3054" spans="10:10" x14ac:dyDescent="0.2">
      <c r="J3054"/>
    </row>
    <row r="3055" spans="10:10" x14ac:dyDescent="0.2">
      <c r="J3055"/>
    </row>
    <row r="3056" spans="10:10" x14ac:dyDescent="0.2">
      <c r="J3056"/>
    </row>
    <row r="3057" spans="10:10" x14ac:dyDescent="0.2">
      <c r="J3057"/>
    </row>
    <row r="3058" spans="10:10" x14ac:dyDescent="0.2">
      <c r="J3058"/>
    </row>
    <row r="3059" spans="10:10" x14ac:dyDescent="0.2">
      <c r="J3059"/>
    </row>
    <row r="3060" spans="10:10" x14ac:dyDescent="0.2">
      <c r="J3060"/>
    </row>
    <row r="3061" spans="10:10" x14ac:dyDescent="0.2">
      <c r="J3061"/>
    </row>
    <row r="3062" spans="10:10" x14ac:dyDescent="0.2">
      <c r="J3062"/>
    </row>
    <row r="3063" spans="10:10" x14ac:dyDescent="0.2">
      <c r="J3063"/>
    </row>
    <row r="3064" spans="10:10" x14ac:dyDescent="0.2">
      <c r="J3064"/>
    </row>
    <row r="3065" spans="10:10" x14ac:dyDescent="0.2">
      <c r="J3065"/>
    </row>
    <row r="3066" spans="10:10" x14ac:dyDescent="0.2">
      <c r="J3066"/>
    </row>
    <row r="3067" spans="10:10" x14ac:dyDescent="0.2">
      <c r="J3067"/>
    </row>
    <row r="3068" spans="10:10" x14ac:dyDescent="0.2">
      <c r="J3068"/>
    </row>
    <row r="3069" spans="10:10" x14ac:dyDescent="0.2">
      <c r="J3069"/>
    </row>
    <row r="3070" spans="10:10" x14ac:dyDescent="0.2">
      <c r="J3070"/>
    </row>
    <row r="3071" spans="10:10" x14ac:dyDescent="0.2">
      <c r="J3071"/>
    </row>
    <row r="3072" spans="10:10" x14ac:dyDescent="0.2">
      <c r="J3072"/>
    </row>
    <row r="3073" spans="10:10" x14ac:dyDescent="0.2">
      <c r="J3073"/>
    </row>
    <row r="3074" spans="10:10" x14ac:dyDescent="0.2">
      <c r="J3074"/>
    </row>
    <row r="3075" spans="10:10" x14ac:dyDescent="0.2">
      <c r="J3075"/>
    </row>
    <row r="3076" spans="10:10" x14ac:dyDescent="0.2">
      <c r="J3076"/>
    </row>
    <row r="3077" spans="10:10" x14ac:dyDescent="0.2">
      <c r="J3077"/>
    </row>
    <row r="3078" spans="10:10" x14ac:dyDescent="0.2">
      <c r="J3078"/>
    </row>
    <row r="3079" spans="10:10" x14ac:dyDescent="0.2">
      <c r="J3079"/>
    </row>
    <row r="3080" spans="10:10" x14ac:dyDescent="0.2">
      <c r="J3080"/>
    </row>
    <row r="3081" spans="10:10" x14ac:dyDescent="0.2">
      <c r="J3081"/>
    </row>
    <row r="3082" spans="10:10" x14ac:dyDescent="0.2">
      <c r="J3082"/>
    </row>
    <row r="3083" spans="10:10" x14ac:dyDescent="0.2">
      <c r="J3083"/>
    </row>
    <row r="3084" spans="10:10" x14ac:dyDescent="0.2">
      <c r="J3084"/>
    </row>
    <row r="3085" spans="10:10" x14ac:dyDescent="0.2">
      <c r="J3085"/>
    </row>
    <row r="3086" spans="10:10" x14ac:dyDescent="0.2">
      <c r="J3086"/>
    </row>
    <row r="3087" spans="10:10" x14ac:dyDescent="0.2">
      <c r="J3087"/>
    </row>
    <row r="3088" spans="10:10" x14ac:dyDescent="0.2">
      <c r="J3088"/>
    </row>
    <row r="3089" spans="10:10" x14ac:dyDescent="0.2">
      <c r="J3089"/>
    </row>
    <row r="3090" spans="10:10" x14ac:dyDescent="0.2">
      <c r="J3090"/>
    </row>
    <row r="3091" spans="10:10" x14ac:dyDescent="0.2">
      <c r="J3091"/>
    </row>
    <row r="3092" spans="10:10" x14ac:dyDescent="0.2">
      <c r="J3092"/>
    </row>
    <row r="3093" spans="10:10" x14ac:dyDescent="0.2">
      <c r="J3093"/>
    </row>
    <row r="3094" spans="10:10" x14ac:dyDescent="0.2">
      <c r="J3094"/>
    </row>
    <row r="3095" spans="10:10" x14ac:dyDescent="0.2">
      <c r="J3095"/>
    </row>
    <row r="3096" spans="10:10" x14ac:dyDescent="0.2">
      <c r="J3096"/>
    </row>
    <row r="3097" spans="10:10" x14ac:dyDescent="0.2">
      <c r="J3097"/>
    </row>
    <row r="3098" spans="10:10" x14ac:dyDescent="0.2">
      <c r="J3098"/>
    </row>
    <row r="3099" spans="10:10" x14ac:dyDescent="0.2">
      <c r="J3099"/>
    </row>
    <row r="3100" spans="10:10" x14ac:dyDescent="0.2">
      <c r="J3100"/>
    </row>
    <row r="3101" spans="10:10" x14ac:dyDescent="0.2">
      <c r="J3101"/>
    </row>
    <row r="3102" spans="10:10" x14ac:dyDescent="0.2">
      <c r="J3102"/>
    </row>
    <row r="3103" spans="10:10" x14ac:dyDescent="0.2">
      <c r="J3103"/>
    </row>
    <row r="3104" spans="10:10" x14ac:dyDescent="0.2">
      <c r="J3104"/>
    </row>
    <row r="3105" spans="10:10" x14ac:dyDescent="0.2">
      <c r="J3105"/>
    </row>
    <row r="3106" spans="10:10" x14ac:dyDescent="0.2">
      <c r="J3106"/>
    </row>
    <row r="3107" spans="10:10" x14ac:dyDescent="0.2">
      <c r="J3107"/>
    </row>
    <row r="3108" spans="10:10" x14ac:dyDescent="0.2">
      <c r="J3108"/>
    </row>
    <row r="3109" spans="10:10" x14ac:dyDescent="0.2">
      <c r="J3109"/>
    </row>
    <row r="3110" spans="10:10" x14ac:dyDescent="0.2">
      <c r="J3110"/>
    </row>
    <row r="3111" spans="10:10" x14ac:dyDescent="0.2">
      <c r="J3111"/>
    </row>
    <row r="3112" spans="10:10" x14ac:dyDescent="0.2">
      <c r="J3112"/>
    </row>
    <row r="3113" spans="10:10" x14ac:dyDescent="0.2">
      <c r="J3113"/>
    </row>
    <row r="3114" spans="10:10" x14ac:dyDescent="0.2">
      <c r="J3114"/>
    </row>
    <row r="3115" spans="10:10" x14ac:dyDescent="0.2">
      <c r="J3115"/>
    </row>
    <row r="3116" spans="10:10" x14ac:dyDescent="0.2">
      <c r="J3116"/>
    </row>
    <row r="3117" spans="10:10" x14ac:dyDescent="0.2">
      <c r="J3117"/>
    </row>
    <row r="3118" spans="10:10" x14ac:dyDescent="0.2">
      <c r="J3118"/>
    </row>
    <row r="3119" spans="10:10" x14ac:dyDescent="0.2">
      <c r="J3119"/>
    </row>
    <row r="3120" spans="10:10" x14ac:dyDescent="0.2">
      <c r="J3120"/>
    </row>
    <row r="3121" spans="10:10" x14ac:dyDescent="0.2">
      <c r="J3121"/>
    </row>
    <row r="3122" spans="10:10" x14ac:dyDescent="0.2">
      <c r="J3122"/>
    </row>
    <row r="3123" spans="10:10" x14ac:dyDescent="0.2">
      <c r="J3123"/>
    </row>
    <row r="3124" spans="10:10" x14ac:dyDescent="0.2">
      <c r="J3124"/>
    </row>
    <row r="3125" spans="10:10" x14ac:dyDescent="0.2">
      <c r="J3125"/>
    </row>
    <row r="3126" spans="10:10" x14ac:dyDescent="0.2">
      <c r="J3126"/>
    </row>
    <row r="3127" spans="10:10" x14ac:dyDescent="0.2">
      <c r="J3127"/>
    </row>
    <row r="3128" spans="10:10" x14ac:dyDescent="0.2">
      <c r="J3128"/>
    </row>
    <row r="3129" spans="10:10" x14ac:dyDescent="0.2">
      <c r="J3129"/>
    </row>
    <row r="3130" spans="10:10" x14ac:dyDescent="0.2">
      <c r="J3130"/>
    </row>
    <row r="3131" spans="10:10" x14ac:dyDescent="0.2">
      <c r="J3131"/>
    </row>
    <row r="3132" spans="10:10" x14ac:dyDescent="0.2">
      <c r="J3132"/>
    </row>
    <row r="3133" spans="10:10" x14ac:dyDescent="0.2">
      <c r="J3133"/>
    </row>
    <row r="3134" spans="10:10" x14ac:dyDescent="0.2">
      <c r="J3134"/>
    </row>
    <row r="3135" spans="10:10" x14ac:dyDescent="0.2">
      <c r="J3135"/>
    </row>
    <row r="3136" spans="10:10" x14ac:dyDescent="0.2">
      <c r="J3136"/>
    </row>
    <row r="3137" spans="10:10" x14ac:dyDescent="0.2">
      <c r="J3137"/>
    </row>
    <row r="3138" spans="10:10" x14ac:dyDescent="0.2">
      <c r="J3138"/>
    </row>
    <row r="3139" spans="10:10" x14ac:dyDescent="0.2">
      <c r="J3139"/>
    </row>
    <row r="3140" spans="10:10" x14ac:dyDescent="0.2">
      <c r="J3140"/>
    </row>
    <row r="3141" spans="10:10" x14ac:dyDescent="0.2">
      <c r="J3141"/>
    </row>
    <row r="3142" spans="10:10" x14ac:dyDescent="0.2">
      <c r="J3142"/>
    </row>
    <row r="3143" spans="10:10" x14ac:dyDescent="0.2">
      <c r="J3143"/>
    </row>
    <row r="3144" spans="10:10" x14ac:dyDescent="0.2">
      <c r="J3144"/>
    </row>
    <row r="3145" spans="10:10" x14ac:dyDescent="0.2">
      <c r="J3145"/>
    </row>
    <row r="3146" spans="10:10" x14ac:dyDescent="0.2">
      <c r="J3146"/>
    </row>
    <row r="3147" spans="10:10" x14ac:dyDescent="0.2">
      <c r="J3147"/>
    </row>
    <row r="3148" spans="10:10" x14ac:dyDescent="0.2">
      <c r="J3148"/>
    </row>
    <row r="3149" spans="10:10" x14ac:dyDescent="0.2">
      <c r="J3149"/>
    </row>
    <row r="3150" spans="10:10" x14ac:dyDescent="0.2">
      <c r="J3150"/>
    </row>
    <row r="3151" spans="10:10" x14ac:dyDescent="0.2">
      <c r="J3151"/>
    </row>
    <row r="3152" spans="10:10" x14ac:dyDescent="0.2">
      <c r="J3152"/>
    </row>
    <row r="3153" spans="10:10" x14ac:dyDescent="0.2">
      <c r="J3153"/>
    </row>
    <row r="3154" spans="10:10" x14ac:dyDescent="0.2">
      <c r="J3154"/>
    </row>
    <row r="3155" spans="10:10" x14ac:dyDescent="0.2">
      <c r="J3155"/>
    </row>
    <row r="3156" spans="10:10" x14ac:dyDescent="0.2">
      <c r="J3156"/>
    </row>
    <row r="3157" spans="10:10" x14ac:dyDescent="0.2">
      <c r="J3157"/>
    </row>
    <row r="3158" spans="10:10" x14ac:dyDescent="0.2">
      <c r="J3158"/>
    </row>
    <row r="3159" spans="10:10" x14ac:dyDescent="0.2">
      <c r="J3159"/>
    </row>
    <row r="3160" spans="10:10" x14ac:dyDescent="0.2">
      <c r="J3160"/>
    </row>
    <row r="3161" spans="10:10" x14ac:dyDescent="0.2">
      <c r="J3161"/>
    </row>
    <row r="3162" spans="10:10" x14ac:dyDescent="0.2">
      <c r="J3162"/>
    </row>
    <row r="3163" spans="10:10" x14ac:dyDescent="0.2">
      <c r="J3163"/>
    </row>
    <row r="3164" spans="10:10" x14ac:dyDescent="0.2">
      <c r="J3164"/>
    </row>
    <row r="3165" spans="10:10" x14ac:dyDescent="0.2">
      <c r="J3165"/>
    </row>
    <row r="3166" spans="10:10" x14ac:dyDescent="0.2">
      <c r="J3166"/>
    </row>
    <row r="3167" spans="10:10" x14ac:dyDescent="0.2">
      <c r="J3167"/>
    </row>
    <row r="3168" spans="10:10" x14ac:dyDescent="0.2">
      <c r="J3168"/>
    </row>
    <row r="3169" spans="10:10" x14ac:dyDescent="0.2">
      <c r="J3169"/>
    </row>
    <row r="3170" spans="10:10" x14ac:dyDescent="0.2">
      <c r="J3170"/>
    </row>
    <row r="3171" spans="10:10" x14ac:dyDescent="0.2">
      <c r="J3171"/>
    </row>
    <row r="3172" spans="10:10" x14ac:dyDescent="0.2">
      <c r="J3172"/>
    </row>
    <row r="3173" spans="10:10" x14ac:dyDescent="0.2">
      <c r="J3173"/>
    </row>
    <row r="3174" spans="10:10" x14ac:dyDescent="0.2">
      <c r="J3174"/>
    </row>
    <row r="3175" spans="10:10" x14ac:dyDescent="0.2">
      <c r="J3175"/>
    </row>
    <row r="3176" spans="10:10" x14ac:dyDescent="0.2">
      <c r="J3176"/>
    </row>
    <row r="3177" spans="10:10" x14ac:dyDescent="0.2">
      <c r="J3177"/>
    </row>
    <row r="3178" spans="10:10" x14ac:dyDescent="0.2">
      <c r="J3178"/>
    </row>
    <row r="3179" spans="10:10" x14ac:dyDescent="0.2">
      <c r="J3179"/>
    </row>
    <row r="3180" spans="10:10" x14ac:dyDescent="0.2">
      <c r="J3180"/>
    </row>
    <row r="3181" spans="10:10" x14ac:dyDescent="0.2">
      <c r="J3181"/>
    </row>
    <row r="3182" spans="10:10" x14ac:dyDescent="0.2">
      <c r="J3182"/>
    </row>
    <row r="3183" spans="10:10" x14ac:dyDescent="0.2">
      <c r="J3183"/>
    </row>
    <row r="3184" spans="10:10" x14ac:dyDescent="0.2">
      <c r="J3184"/>
    </row>
    <row r="3185" spans="10:10" x14ac:dyDescent="0.2">
      <c r="J3185"/>
    </row>
    <row r="3186" spans="10:10" x14ac:dyDescent="0.2">
      <c r="J3186"/>
    </row>
    <row r="3187" spans="10:10" x14ac:dyDescent="0.2">
      <c r="J3187"/>
    </row>
    <row r="3188" spans="10:10" x14ac:dyDescent="0.2">
      <c r="J3188"/>
    </row>
    <row r="3189" spans="10:10" x14ac:dyDescent="0.2">
      <c r="J3189"/>
    </row>
    <row r="3190" spans="10:10" x14ac:dyDescent="0.2">
      <c r="J3190"/>
    </row>
    <row r="3191" spans="10:10" x14ac:dyDescent="0.2">
      <c r="J3191"/>
    </row>
    <row r="3192" spans="10:10" x14ac:dyDescent="0.2">
      <c r="J3192"/>
    </row>
    <row r="3193" spans="10:10" x14ac:dyDescent="0.2">
      <c r="J3193"/>
    </row>
    <row r="3194" spans="10:10" x14ac:dyDescent="0.2">
      <c r="J3194"/>
    </row>
    <row r="3195" spans="10:10" x14ac:dyDescent="0.2">
      <c r="J3195"/>
    </row>
    <row r="3196" spans="10:10" x14ac:dyDescent="0.2">
      <c r="J3196"/>
    </row>
    <row r="3197" spans="10:10" x14ac:dyDescent="0.2">
      <c r="J3197"/>
    </row>
    <row r="3198" spans="10:10" x14ac:dyDescent="0.2">
      <c r="J3198"/>
    </row>
    <row r="3199" spans="10:10" x14ac:dyDescent="0.2">
      <c r="J3199"/>
    </row>
    <row r="3200" spans="10:10" x14ac:dyDescent="0.2">
      <c r="J3200"/>
    </row>
    <row r="3201" spans="10:10" x14ac:dyDescent="0.2">
      <c r="J3201"/>
    </row>
    <row r="3202" spans="10:10" x14ac:dyDescent="0.2">
      <c r="J3202"/>
    </row>
    <row r="3203" spans="10:10" x14ac:dyDescent="0.2">
      <c r="J3203"/>
    </row>
    <row r="3204" spans="10:10" x14ac:dyDescent="0.2">
      <c r="J3204"/>
    </row>
    <row r="3205" spans="10:10" x14ac:dyDescent="0.2">
      <c r="J3205"/>
    </row>
    <row r="3206" spans="10:10" x14ac:dyDescent="0.2">
      <c r="J3206"/>
    </row>
    <row r="3207" spans="10:10" x14ac:dyDescent="0.2">
      <c r="J3207"/>
    </row>
    <row r="3208" spans="10:10" x14ac:dyDescent="0.2">
      <c r="J3208"/>
    </row>
    <row r="3209" spans="10:10" x14ac:dyDescent="0.2">
      <c r="J3209"/>
    </row>
    <row r="3210" spans="10:10" x14ac:dyDescent="0.2">
      <c r="J3210"/>
    </row>
    <row r="3211" spans="10:10" x14ac:dyDescent="0.2">
      <c r="J3211"/>
    </row>
    <row r="3212" spans="10:10" x14ac:dyDescent="0.2">
      <c r="J3212"/>
    </row>
    <row r="3213" spans="10:10" x14ac:dyDescent="0.2">
      <c r="J3213"/>
    </row>
    <row r="3214" spans="10:10" x14ac:dyDescent="0.2">
      <c r="J3214"/>
    </row>
    <row r="3215" spans="10:10" x14ac:dyDescent="0.2">
      <c r="J3215"/>
    </row>
    <row r="3216" spans="10:10" x14ac:dyDescent="0.2">
      <c r="J3216"/>
    </row>
    <row r="3217" spans="10:10" x14ac:dyDescent="0.2">
      <c r="J3217"/>
    </row>
    <row r="3218" spans="10:10" x14ac:dyDescent="0.2">
      <c r="J3218"/>
    </row>
    <row r="3219" spans="10:10" x14ac:dyDescent="0.2">
      <c r="J3219"/>
    </row>
    <row r="3220" spans="10:10" x14ac:dyDescent="0.2">
      <c r="J3220"/>
    </row>
    <row r="3221" spans="10:10" x14ac:dyDescent="0.2">
      <c r="J3221"/>
    </row>
    <row r="3222" spans="10:10" x14ac:dyDescent="0.2">
      <c r="J3222"/>
    </row>
    <row r="3223" spans="10:10" x14ac:dyDescent="0.2">
      <c r="J3223"/>
    </row>
    <row r="3224" spans="10:10" x14ac:dyDescent="0.2">
      <c r="J3224"/>
    </row>
    <row r="3225" spans="10:10" x14ac:dyDescent="0.2">
      <c r="J3225"/>
    </row>
    <row r="3226" spans="10:10" x14ac:dyDescent="0.2">
      <c r="J3226"/>
    </row>
    <row r="3227" spans="10:10" x14ac:dyDescent="0.2">
      <c r="J3227"/>
    </row>
    <row r="3228" spans="10:10" x14ac:dyDescent="0.2">
      <c r="J3228"/>
    </row>
    <row r="3229" spans="10:10" x14ac:dyDescent="0.2">
      <c r="J3229"/>
    </row>
    <row r="3230" spans="10:10" x14ac:dyDescent="0.2">
      <c r="J3230"/>
    </row>
    <row r="3231" spans="10:10" x14ac:dyDescent="0.2">
      <c r="J3231"/>
    </row>
    <row r="3232" spans="10:10" x14ac:dyDescent="0.2">
      <c r="J3232"/>
    </row>
    <row r="3233" spans="10:10" x14ac:dyDescent="0.2">
      <c r="J3233"/>
    </row>
    <row r="3234" spans="10:10" x14ac:dyDescent="0.2">
      <c r="J3234"/>
    </row>
    <row r="3235" spans="10:10" x14ac:dyDescent="0.2">
      <c r="J3235"/>
    </row>
    <row r="3236" spans="10:10" x14ac:dyDescent="0.2">
      <c r="J3236"/>
    </row>
    <row r="3237" spans="10:10" x14ac:dyDescent="0.2">
      <c r="J3237"/>
    </row>
    <row r="3238" spans="10:10" x14ac:dyDescent="0.2">
      <c r="J3238"/>
    </row>
    <row r="3239" spans="10:10" x14ac:dyDescent="0.2">
      <c r="J3239"/>
    </row>
    <row r="3240" spans="10:10" x14ac:dyDescent="0.2">
      <c r="J3240"/>
    </row>
    <row r="3241" spans="10:10" x14ac:dyDescent="0.2">
      <c r="J3241"/>
    </row>
    <row r="3242" spans="10:10" x14ac:dyDescent="0.2">
      <c r="J3242"/>
    </row>
    <row r="3243" spans="10:10" x14ac:dyDescent="0.2">
      <c r="J3243"/>
    </row>
    <row r="3244" spans="10:10" x14ac:dyDescent="0.2">
      <c r="J3244"/>
    </row>
    <row r="3245" spans="10:10" x14ac:dyDescent="0.2">
      <c r="J3245"/>
    </row>
    <row r="3246" spans="10:10" x14ac:dyDescent="0.2">
      <c r="J3246"/>
    </row>
    <row r="3247" spans="10:10" x14ac:dyDescent="0.2">
      <c r="J3247"/>
    </row>
    <row r="3248" spans="10:10" x14ac:dyDescent="0.2">
      <c r="J3248"/>
    </row>
    <row r="3249" spans="10:10" x14ac:dyDescent="0.2">
      <c r="J3249"/>
    </row>
    <row r="3250" spans="10:10" x14ac:dyDescent="0.2">
      <c r="J3250"/>
    </row>
    <row r="3251" spans="10:10" x14ac:dyDescent="0.2">
      <c r="J3251"/>
    </row>
    <row r="3252" spans="10:10" x14ac:dyDescent="0.2">
      <c r="J3252"/>
    </row>
    <row r="3253" spans="10:10" x14ac:dyDescent="0.2">
      <c r="J3253"/>
    </row>
    <row r="3254" spans="10:10" x14ac:dyDescent="0.2">
      <c r="J3254"/>
    </row>
    <row r="3255" spans="10:10" x14ac:dyDescent="0.2">
      <c r="J3255"/>
    </row>
    <row r="3256" spans="10:10" x14ac:dyDescent="0.2">
      <c r="J3256"/>
    </row>
    <row r="3257" spans="10:10" x14ac:dyDescent="0.2">
      <c r="J3257"/>
    </row>
    <row r="3258" spans="10:10" x14ac:dyDescent="0.2">
      <c r="J3258"/>
    </row>
    <row r="3259" spans="10:10" x14ac:dyDescent="0.2">
      <c r="J3259"/>
    </row>
    <row r="3260" spans="10:10" x14ac:dyDescent="0.2">
      <c r="J3260"/>
    </row>
    <row r="3261" spans="10:10" x14ac:dyDescent="0.2">
      <c r="J3261"/>
    </row>
    <row r="3262" spans="10:10" x14ac:dyDescent="0.2">
      <c r="J3262"/>
    </row>
    <row r="3263" spans="10:10" x14ac:dyDescent="0.2">
      <c r="J3263"/>
    </row>
    <row r="3264" spans="10:10" x14ac:dyDescent="0.2">
      <c r="J3264"/>
    </row>
    <row r="3265" spans="10:10" x14ac:dyDescent="0.2">
      <c r="J3265"/>
    </row>
    <row r="3266" spans="10:10" x14ac:dyDescent="0.2">
      <c r="J3266"/>
    </row>
    <row r="3267" spans="10:10" x14ac:dyDescent="0.2">
      <c r="J3267"/>
    </row>
    <row r="3268" spans="10:10" x14ac:dyDescent="0.2">
      <c r="J3268"/>
    </row>
    <row r="3269" spans="10:10" x14ac:dyDescent="0.2">
      <c r="J3269"/>
    </row>
    <row r="3270" spans="10:10" x14ac:dyDescent="0.2">
      <c r="J3270"/>
    </row>
    <row r="3271" spans="10:10" x14ac:dyDescent="0.2">
      <c r="J3271"/>
    </row>
    <row r="3272" spans="10:10" x14ac:dyDescent="0.2">
      <c r="J3272"/>
    </row>
    <row r="3273" spans="10:10" x14ac:dyDescent="0.2">
      <c r="J3273"/>
    </row>
    <row r="3274" spans="10:10" x14ac:dyDescent="0.2">
      <c r="J3274"/>
    </row>
    <row r="3275" spans="10:10" x14ac:dyDescent="0.2">
      <c r="J3275"/>
    </row>
    <row r="3276" spans="10:10" x14ac:dyDescent="0.2">
      <c r="J3276"/>
    </row>
    <row r="3277" spans="10:10" x14ac:dyDescent="0.2">
      <c r="J3277"/>
    </row>
    <row r="3278" spans="10:10" x14ac:dyDescent="0.2">
      <c r="J3278"/>
    </row>
    <row r="3279" spans="10:10" x14ac:dyDescent="0.2">
      <c r="J3279"/>
    </row>
    <row r="3280" spans="10:10" x14ac:dyDescent="0.2">
      <c r="J3280"/>
    </row>
    <row r="3281" spans="10:10" x14ac:dyDescent="0.2">
      <c r="J3281"/>
    </row>
    <row r="3282" spans="10:10" x14ac:dyDescent="0.2">
      <c r="J3282"/>
    </row>
    <row r="3283" spans="10:10" x14ac:dyDescent="0.2">
      <c r="J3283"/>
    </row>
    <row r="3284" spans="10:10" x14ac:dyDescent="0.2">
      <c r="J3284"/>
    </row>
    <row r="3285" spans="10:10" x14ac:dyDescent="0.2">
      <c r="J3285"/>
    </row>
    <row r="3286" spans="10:10" x14ac:dyDescent="0.2">
      <c r="J3286"/>
    </row>
    <row r="3287" spans="10:10" x14ac:dyDescent="0.2">
      <c r="J3287"/>
    </row>
    <row r="3288" spans="10:10" x14ac:dyDescent="0.2">
      <c r="J3288"/>
    </row>
    <row r="3289" spans="10:10" x14ac:dyDescent="0.2">
      <c r="J3289"/>
    </row>
    <row r="3290" spans="10:10" x14ac:dyDescent="0.2">
      <c r="J3290"/>
    </row>
    <row r="3291" spans="10:10" x14ac:dyDescent="0.2">
      <c r="J3291"/>
    </row>
    <row r="3292" spans="10:10" x14ac:dyDescent="0.2">
      <c r="J3292"/>
    </row>
    <row r="3293" spans="10:10" x14ac:dyDescent="0.2">
      <c r="J3293"/>
    </row>
    <row r="3294" spans="10:10" x14ac:dyDescent="0.2">
      <c r="J3294"/>
    </row>
    <row r="3295" spans="10:10" x14ac:dyDescent="0.2">
      <c r="J3295"/>
    </row>
    <row r="3296" spans="10:10" x14ac:dyDescent="0.2">
      <c r="J3296"/>
    </row>
    <row r="3297" spans="10:10" x14ac:dyDescent="0.2">
      <c r="J3297"/>
    </row>
    <row r="3298" spans="10:10" x14ac:dyDescent="0.2">
      <c r="J3298"/>
    </row>
    <row r="3299" spans="10:10" x14ac:dyDescent="0.2">
      <c r="J3299"/>
    </row>
    <row r="3300" spans="10:10" x14ac:dyDescent="0.2">
      <c r="J3300"/>
    </row>
    <row r="3301" spans="10:10" x14ac:dyDescent="0.2">
      <c r="J3301"/>
    </row>
    <row r="3302" spans="10:10" x14ac:dyDescent="0.2">
      <c r="J3302"/>
    </row>
    <row r="3303" spans="10:10" x14ac:dyDescent="0.2">
      <c r="J3303"/>
    </row>
    <row r="3304" spans="10:10" x14ac:dyDescent="0.2">
      <c r="J3304"/>
    </row>
    <row r="3305" spans="10:10" x14ac:dyDescent="0.2">
      <c r="J3305"/>
    </row>
    <row r="3306" spans="10:10" x14ac:dyDescent="0.2">
      <c r="J3306"/>
    </row>
    <row r="3307" spans="10:10" x14ac:dyDescent="0.2">
      <c r="J3307"/>
    </row>
    <row r="3308" spans="10:10" x14ac:dyDescent="0.2">
      <c r="J3308"/>
    </row>
    <row r="3309" spans="10:10" x14ac:dyDescent="0.2">
      <c r="J3309"/>
    </row>
    <row r="3310" spans="10:10" x14ac:dyDescent="0.2">
      <c r="J3310"/>
    </row>
    <row r="3311" spans="10:10" x14ac:dyDescent="0.2">
      <c r="J3311"/>
    </row>
    <row r="3312" spans="10:10" x14ac:dyDescent="0.2">
      <c r="J3312"/>
    </row>
    <row r="3313" spans="10:10" x14ac:dyDescent="0.2">
      <c r="J3313"/>
    </row>
    <row r="3314" spans="10:10" x14ac:dyDescent="0.2">
      <c r="J3314"/>
    </row>
    <row r="3315" spans="10:10" x14ac:dyDescent="0.2">
      <c r="J3315"/>
    </row>
    <row r="3316" spans="10:10" x14ac:dyDescent="0.2">
      <c r="J3316"/>
    </row>
    <row r="3317" spans="10:10" x14ac:dyDescent="0.2">
      <c r="J3317"/>
    </row>
    <row r="3318" spans="10:10" x14ac:dyDescent="0.2">
      <c r="J3318"/>
    </row>
    <row r="3319" spans="10:10" x14ac:dyDescent="0.2">
      <c r="J3319"/>
    </row>
    <row r="3320" spans="10:10" x14ac:dyDescent="0.2">
      <c r="J3320"/>
    </row>
    <row r="3321" spans="10:10" x14ac:dyDescent="0.2">
      <c r="J3321"/>
    </row>
    <row r="3322" spans="10:10" x14ac:dyDescent="0.2">
      <c r="J3322"/>
    </row>
    <row r="3323" spans="10:10" x14ac:dyDescent="0.2">
      <c r="J3323"/>
    </row>
    <row r="3324" spans="10:10" x14ac:dyDescent="0.2">
      <c r="J3324"/>
    </row>
    <row r="3325" spans="10:10" x14ac:dyDescent="0.2">
      <c r="J3325"/>
    </row>
    <row r="3326" spans="10:10" x14ac:dyDescent="0.2">
      <c r="J3326"/>
    </row>
    <row r="3327" spans="10:10" x14ac:dyDescent="0.2">
      <c r="J3327"/>
    </row>
    <row r="3328" spans="10:10" x14ac:dyDescent="0.2">
      <c r="J3328"/>
    </row>
    <row r="3329" spans="10:10" x14ac:dyDescent="0.2">
      <c r="J3329"/>
    </row>
    <row r="3330" spans="10:10" x14ac:dyDescent="0.2">
      <c r="J3330"/>
    </row>
    <row r="3331" spans="10:10" x14ac:dyDescent="0.2">
      <c r="J3331"/>
    </row>
    <row r="3332" spans="10:10" x14ac:dyDescent="0.2">
      <c r="J3332"/>
    </row>
    <row r="3333" spans="10:10" x14ac:dyDescent="0.2">
      <c r="J3333"/>
    </row>
    <row r="3334" spans="10:10" x14ac:dyDescent="0.2">
      <c r="J3334"/>
    </row>
    <row r="3335" spans="10:10" x14ac:dyDescent="0.2">
      <c r="J3335"/>
    </row>
    <row r="3336" spans="10:10" x14ac:dyDescent="0.2">
      <c r="J3336"/>
    </row>
    <row r="3337" spans="10:10" x14ac:dyDescent="0.2">
      <c r="J3337"/>
    </row>
    <row r="3338" spans="10:10" x14ac:dyDescent="0.2">
      <c r="J3338"/>
    </row>
    <row r="3339" spans="10:10" x14ac:dyDescent="0.2">
      <c r="J3339"/>
    </row>
    <row r="3340" spans="10:10" x14ac:dyDescent="0.2">
      <c r="J3340"/>
    </row>
    <row r="3341" spans="10:10" x14ac:dyDescent="0.2">
      <c r="J3341"/>
    </row>
    <row r="3342" spans="10:10" x14ac:dyDescent="0.2">
      <c r="J3342"/>
    </row>
    <row r="3343" spans="10:10" x14ac:dyDescent="0.2">
      <c r="J3343"/>
    </row>
    <row r="3344" spans="10:10" x14ac:dyDescent="0.2">
      <c r="J3344"/>
    </row>
    <row r="3345" spans="10:10" x14ac:dyDescent="0.2">
      <c r="J3345"/>
    </row>
    <row r="3346" spans="10:10" x14ac:dyDescent="0.2">
      <c r="J3346"/>
    </row>
    <row r="3347" spans="10:10" x14ac:dyDescent="0.2">
      <c r="J3347"/>
    </row>
    <row r="3348" spans="10:10" x14ac:dyDescent="0.2">
      <c r="J3348"/>
    </row>
    <row r="3349" spans="10:10" x14ac:dyDescent="0.2">
      <c r="J3349"/>
    </row>
    <row r="3350" spans="10:10" x14ac:dyDescent="0.2">
      <c r="J3350"/>
    </row>
    <row r="3351" spans="10:10" x14ac:dyDescent="0.2">
      <c r="J3351"/>
    </row>
    <row r="3352" spans="10:10" x14ac:dyDescent="0.2">
      <c r="J3352"/>
    </row>
    <row r="3353" spans="10:10" x14ac:dyDescent="0.2">
      <c r="J3353"/>
    </row>
    <row r="3354" spans="10:10" x14ac:dyDescent="0.2">
      <c r="J3354"/>
    </row>
    <row r="3355" spans="10:10" x14ac:dyDescent="0.2">
      <c r="J3355"/>
    </row>
    <row r="3356" spans="10:10" x14ac:dyDescent="0.2">
      <c r="J3356"/>
    </row>
    <row r="3357" spans="10:10" x14ac:dyDescent="0.2">
      <c r="J3357"/>
    </row>
    <row r="3358" spans="10:10" x14ac:dyDescent="0.2">
      <c r="J3358"/>
    </row>
    <row r="3359" spans="10:10" x14ac:dyDescent="0.2">
      <c r="J3359"/>
    </row>
    <row r="3360" spans="10:10" x14ac:dyDescent="0.2">
      <c r="J3360"/>
    </row>
    <row r="3361" spans="10:10" x14ac:dyDescent="0.2">
      <c r="J3361"/>
    </row>
    <row r="3362" spans="10:10" x14ac:dyDescent="0.2">
      <c r="J3362"/>
    </row>
    <row r="3363" spans="10:10" x14ac:dyDescent="0.2">
      <c r="J3363"/>
    </row>
    <row r="3364" spans="10:10" x14ac:dyDescent="0.2">
      <c r="J3364"/>
    </row>
    <row r="3365" spans="10:10" x14ac:dyDescent="0.2">
      <c r="J3365"/>
    </row>
    <row r="3366" spans="10:10" x14ac:dyDescent="0.2">
      <c r="J3366"/>
    </row>
    <row r="3367" spans="10:10" x14ac:dyDescent="0.2">
      <c r="J3367"/>
    </row>
    <row r="3368" spans="10:10" x14ac:dyDescent="0.2">
      <c r="J3368"/>
    </row>
    <row r="3369" spans="10:10" x14ac:dyDescent="0.2">
      <c r="J3369"/>
    </row>
    <row r="3370" spans="10:10" x14ac:dyDescent="0.2">
      <c r="J3370"/>
    </row>
    <row r="3371" spans="10:10" x14ac:dyDescent="0.2">
      <c r="J3371"/>
    </row>
    <row r="3372" spans="10:10" x14ac:dyDescent="0.2">
      <c r="J3372"/>
    </row>
    <row r="3373" spans="10:10" x14ac:dyDescent="0.2">
      <c r="J3373"/>
    </row>
    <row r="3374" spans="10:10" x14ac:dyDescent="0.2">
      <c r="J3374"/>
    </row>
    <row r="3375" spans="10:10" x14ac:dyDescent="0.2">
      <c r="J3375"/>
    </row>
    <row r="3376" spans="10:10" x14ac:dyDescent="0.2">
      <c r="J3376"/>
    </row>
    <row r="3377" spans="10:10" x14ac:dyDescent="0.2">
      <c r="J3377"/>
    </row>
    <row r="3378" spans="10:10" x14ac:dyDescent="0.2">
      <c r="J3378"/>
    </row>
    <row r="3379" spans="10:10" x14ac:dyDescent="0.2">
      <c r="J3379"/>
    </row>
    <row r="3380" spans="10:10" x14ac:dyDescent="0.2">
      <c r="J3380"/>
    </row>
    <row r="3381" spans="10:10" x14ac:dyDescent="0.2">
      <c r="J3381"/>
    </row>
    <row r="3382" spans="10:10" x14ac:dyDescent="0.2">
      <c r="J3382"/>
    </row>
    <row r="3383" spans="10:10" x14ac:dyDescent="0.2">
      <c r="J3383"/>
    </row>
    <row r="3384" spans="10:10" x14ac:dyDescent="0.2">
      <c r="J3384"/>
    </row>
    <row r="3385" spans="10:10" x14ac:dyDescent="0.2">
      <c r="J3385"/>
    </row>
    <row r="3386" spans="10:10" x14ac:dyDescent="0.2">
      <c r="J3386"/>
    </row>
    <row r="3387" spans="10:10" x14ac:dyDescent="0.2">
      <c r="J3387"/>
    </row>
    <row r="3388" spans="10:10" x14ac:dyDescent="0.2">
      <c r="J3388"/>
    </row>
    <row r="3389" spans="10:10" x14ac:dyDescent="0.2">
      <c r="J3389"/>
    </row>
    <row r="3390" spans="10:10" x14ac:dyDescent="0.2">
      <c r="J3390"/>
    </row>
    <row r="3391" spans="10:10" x14ac:dyDescent="0.2">
      <c r="J3391"/>
    </row>
    <row r="3392" spans="10:10" x14ac:dyDescent="0.2">
      <c r="J3392"/>
    </row>
    <row r="3393" spans="10:10" x14ac:dyDescent="0.2">
      <c r="J3393"/>
    </row>
    <row r="3394" spans="10:10" x14ac:dyDescent="0.2">
      <c r="J3394"/>
    </row>
    <row r="3395" spans="10:10" x14ac:dyDescent="0.2">
      <c r="J3395"/>
    </row>
    <row r="3396" spans="10:10" x14ac:dyDescent="0.2">
      <c r="J3396"/>
    </row>
    <row r="3397" spans="10:10" x14ac:dyDescent="0.2">
      <c r="J3397"/>
    </row>
    <row r="3398" spans="10:10" x14ac:dyDescent="0.2">
      <c r="J3398"/>
    </row>
    <row r="3399" spans="10:10" x14ac:dyDescent="0.2">
      <c r="J3399"/>
    </row>
    <row r="3400" spans="10:10" x14ac:dyDescent="0.2">
      <c r="J3400"/>
    </row>
    <row r="3401" spans="10:10" x14ac:dyDescent="0.2">
      <c r="J3401"/>
    </row>
    <row r="3402" spans="10:10" x14ac:dyDescent="0.2">
      <c r="J3402"/>
    </row>
    <row r="3403" spans="10:10" x14ac:dyDescent="0.2">
      <c r="J3403"/>
    </row>
    <row r="3404" spans="10:10" x14ac:dyDescent="0.2">
      <c r="J3404"/>
    </row>
    <row r="3405" spans="10:10" x14ac:dyDescent="0.2">
      <c r="J3405"/>
    </row>
    <row r="3406" spans="10:10" x14ac:dyDescent="0.2">
      <c r="J3406"/>
    </row>
    <row r="3407" spans="10:10" x14ac:dyDescent="0.2">
      <c r="J3407"/>
    </row>
    <row r="3408" spans="10:10" x14ac:dyDescent="0.2">
      <c r="J3408"/>
    </row>
    <row r="3409" spans="10:10" x14ac:dyDescent="0.2">
      <c r="J3409"/>
    </row>
    <row r="3410" spans="10:10" x14ac:dyDescent="0.2">
      <c r="J3410"/>
    </row>
    <row r="3411" spans="10:10" x14ac:dyDescent="0.2">
      <c r="J3411"/>
    </row>
    <row r="3412" spans="10:10" x14ac:dyDescent="0.2">
      <c r="J3412"/>
    </row>
    <row r="3413" spans="10:10" x14ac:dyDescent="0.2">
      <c r="J3413"/>
    </row>
    <row r="3414" spans="10:10" x14ac:dyDescent="0.2">
      <c r="J3414"/>
    </row>
    <row r="3415" spans="10:10" x14ac:dyDescent="0.2">
      <c r="J3415"/>
    </row>
    <row r="3416" spans="10:10" x14ac:dyDescent="0.2">
      <c r="J3416"/>
    </row>
    <row r="3417" spans="10:10" x14ac:dyDescent="0.2">
      <c r="J3417"/>
    </row>
    <row r="3418" spans="10:10" x14ac:dyDescent="0.2">
      <c r="J3418"/>
    </row>
    <row r="3419" spans="10:10" x14ac:dyDescent="0.2">
      <c r="J3419"/>
    </row>
    <row r="3420" spans="10:10" x14ac:dyDescent="0.2">
      <c r="J3420"/>
    </row>
    <row r="3421" spans="10:10" x14ac:dyDescent="0.2">
      <c r="J3421"/>
    </row>
    <row r="3422" spans="10:10" x14ac:dyDescent="0.2">
      <c r="J3422"/>
    </row>
    <row r="3423" spans="10:10" x14ac:dyDescent="0.2">
      <c r="J3423"/>
    </row>
    <row r="3424" spans="10:10" x14ac:dyDescent="0.2">
      <c r="J3424"/>
    </row>
    <row r="3425" spans="10:10" x14ac:dyDescent="0.2">
      <c r="J3425"/>
    </row>
    <row r="3426" spans="10:10" x14ac:dyDescent="0.2">
      <c r="J3426"/>
    </row>
    <row r="3427" spans="10:10" x14ac:dyDescent="0.2">
      <c r="J3427"/>
    </row>
    <row r="3428" spans="10:10" x14ac:dyDescent="0.2">
      <c r="J3428"/>
    </row>
    <row r="3429" spans="10:10" x14ac:dyDescent="0.2">
      <c r="J3429"/>
    </row>
    <row r="3430" spans="10:10" x14ac:dyDescent="0.2">
      <c r="J3430"/>
    </row>
    <row r="3431" spans="10:10" x14ac:dyDescent="0.2">
      <c r="J3431"/>
    </row>
    <row r="3432" spans="10:10" x14ac:dyDescent="0.2">
      <c r="J3432"/>
    </row>
    <row r="3433" spans="10:10" x14ac:dyDescent="0.2">
      <c r="J3433"/>
    </row>
    <row r="3434" spans="10:10" x14ac:dyDescent="0.2">
      <c r="J3434"/>
    </row>
    <row r="3435" spans="10:10" x14ac:dyDescent="0.2">
      <c r="J3435"/>
    </row>
    <row r="3436" spans="10:10" x14ac:dyDescent="0.2">
      <c r="J3436"/>
    </row>
    <row r="3437" spans="10:10" x14ac:dyDescent="0.2">
      <c r="J3437"/>
    </row>
    <row r="3438" spans="10:10" x14ac:dyDescent="0.2">
      <c r="J3438"/>
    </row>
    <row r="3439" spans="10:10" x14ac:dyDescent="0.2">
      <c r="J3439"/>
    </row>
    <row r="3440" spans="10:10" x14ac:dyDescent="0.2">
      <c r="J3440"/>
    </row>
    <row r="3441" spans="10:10" x14ac:dyDescent="0.2">
      <c r="J3441"/>
    </row>
    <row r="3442" spans="10:10" x14ac:dyDescent="0.2">
      <c r="J3442"/>
    </row>
    <row r="3443" spans="10:10" x14ac:dyDescent="0.2">
      <c r="J3443"/>
    </row>
    <row r="3444" spans="10:10" x14ac:dyDescent="0.2">
      <c r="J3444"/>
    </row>
    <row r="3445" spans="10:10" x14ac:dyDescent="0.2">
      <c r="J3445"/>
    </row>
    <row r="3446" spans="10:10" x14ac:dyDescent="0.2">
      <c r="J3446"/>
    </row>
    <row r="3447" spans="10:10" x14ac:dyDescent="0.2">
      <c r="J3447"/>
    </row>
    <row r="3448" spans="10:10" x14ac:dyDescent="0.2">
      <c r="J3448"/>
    </row>
    <row r="3449" spans="10:10" x14ac:dyDescent="0.2">
      <c r="J3449"/>
    </row>
    <row r="3450" spans="10:10" x14ac:dyDescent="0.2">
      <c r="J3450"/>
    </row>
    <row r="3451" spans="10:10" x14ac:dyDescent="0.2">
      <c r="J3451"/>
    </row>
    <row r="3452" spans="10:10" x14ac:dyDescent="0.2">
      <c r="J3452"/>
    </row>
    <row r="3453" spans="10:10" x14ac:dyDescent="0.2">
      <c r="J3453"/>
    </row>
    <row r="3454" spans="10:10" x14ac:dyDescent="0.2">
      <c r="J3454"/>
    </row>
    <row r="3455" spans="10:10" x14ac:dyDescent="0.2">
      <c r="J3455"/>
    </row>
    <row r="3456" spans="10:10" x14ac:dyDescent="0.2">
      <c r="J3456"/>
    </row>
    <row r="3457" spans="10:10" x14ac:dyDescent="0.2">
      <c r="J3457"/>
    </row>
    <row r="3458" spans="10:10" x14ac:dyDescent="0.2">
      <c r="J3458"/>
    </row>
    <row r="3459" spans="10:10" x14ac:dyDescent="0.2">
      <c r="J3459"/>
    </row>
    <row r="3460" spans="10:10" x14ac:dyDescent="0.2">
      <c r="J3460"/>
    </row>
    <row r="3461" spans="10:10" x14ac:dyDescent="0.2">
      <c r="J3461"/>
    </row>
    <row r="3462" spans="10:10" x14ac:dyDescent="0.2">
      <c r="J3462"/>
    </row>
    <row r="3463" spans="10:10" x14ac:dyDescent="0.2">
      <c r="J3463"/>
    </row>
    <row r="3464" spans="10:10" x14ac:dyDescent="0.2">
      <c r="J3464"/>
    </row>
    <row r="3465" spans="10:10" x14ac:dyDescent="0.2">
      <c r="J3465"/>
    </row>
    <row r="3466" spans="10:10" x14ac:dyDescent="0.2">
      <c r="J3466"/>
    </row>
    <row r="3467" spans="10:10" x14ac:dyDescent="0.2">
      <c r="J3467"/>
    </row>
    <row r="3468" spans="10:10" x14ac:dyDescent="0.2">
      <c r="J3468"/>
    </row>
    <row r="3469" spans="10:10" x14ac:dyDescent="0.2">
      <c r="J3469"/>
    </row>
    <row r="3470" spans="10:10" x14ac:dyDescent="0.2">
      <c r="J3470"/>
    </row>
    <row r="3471" spans="10:10" x14ac:dyDescent="0.2">
      <c r="J3471"/>
    </row>
    <row r="3472" spans="10:10" x14ac:dyDescent="0.2">
      <c r="J3472"/>
    </row>
    <row r="3473" spans="10:10" x14ac:dyDescent="0.2">
      <c r="J3473"/>
    </row>
    <row r="3474" spans="10:10" x14ac:dyDescent="0.2">
      <c r="J3474"/>
    </row>
    <row r="3475" spans="10:10" x14ac:dyDescent="0.2">
      <c r="J3475"/>
    </row>
    <row r="3476" spans="10:10" x14ac:dyDescent="0.2">
      <c r="J3476"/>
    </row>
    <row r="3477" spans="10:10" x14ac:dyDescent="0.2">
      <c r="J3477"/>
    </row>
    <row r="3478" spans="10:10" x14ac:dyDescent="0.2">
      <c r="J3478"/>
    </row>
    <row r="3479" spans="10:10" x14ac:dyDescent="0.2">
      <c r="J3479"/>
    </row>
    <row r="3480" spans="10:10" x14ac:dyDescent="0.2">
      <c r="J3480"/>
    </row>
    <row r="3481" spans="10:10" x14ac:dyDescent="0.2">
      <c r="J3481"/>
    </row>
    <row r="3482" spans="10:10" x14ac:dyDescent="0.2">
      <c r="J3482"/>
    </row>
    <row r="3483" spans="10:10" x14ac:dyDescent="0.2">
      <c r="J3483"/>
    </row>
    <row r="3484" spans="10:10" x14ac:dyDescent="0.2">
      <c r="J3484"/>
    </row>
    <row r="3485" spans="10:10" x14ac:dyDescent="0.2">
      <c r="J3485"/>
    </row>
    <row r="3486" spans="10:10" x14ac:dyDescent="0.2">
      <c r="J3486"/>
    </row>
    <row r="3487" spans="10:10" x14ac:dyDescent="0.2">
      <c r="J3487"/>
    </row>
    <row r="3488" spans="10:10" x14ac:dyDescent="0.2">
      <c r="J3488"/>
    </row>
    <row r="3489" spans="10:10" x14ac:dyDescent="0.2">
      <c r="J3489"/>
    </row>
    <row r="3490" spans="10:10" x14ac:dyDescent="0.2">
      <c r="J3490"/>
    </row>
    <row r="3491" spans="10:10" x14ac:dyDescent="0.2">
      <c r="J3491"/>
    </row>
    <row r="3492" spans="10:10" x14ac:dyDescent="0.2">
      <c r="J3492"/>
    </row>
    <row r="3493" spans="10:10" x14ac:dyDescent="0.2">
      <c r="J3493"/>
    </row>
    <row r="3494" spans="10:10" x14ac:dyDescent="0.2">
      <c r="J3494"/>
    </row>
    <row r="3495" spans="10:10" x14ac:dyDescent="0.2">
      <c r="J3495"/>
    </row>
    <row r="3496" spans="10:10" x14ac:dyDescent="0.2">
      <c r="J3496"/>
    </row>
    <row r="3497" spans="10:10" x14ac:dyDescent="0.2">
      <c r="J3497"/>
    </row>
    <row r="3498" spans="10:10" x14ac:dyDescent="0.2">
      <c r="J3498"/>
    </row>
    <row r="3499" spans="10:10" x14ac:dyDescent="0.2">
      <c r="J3499"/>
    </row>
    <row r="3500" spans="10:10" x14ac:dyDescent="0.2">
      <c r="J3500"/>
    </row>
    <row r="3501" spans="10:10" x14ac:dyDescent="0.2">
      <c r="J3501"/>
    </row>
    <row r="3502" spans="10:10" x14ac:dyDescent="0.2">
      <c r="J3502"/>
    </row>
    <row r="3503" spans="10:10" x14ac:dyDescent="0.2">
      <c r="J3503"/>
    </row>
    <row r="3504" spans="10:10" x14ac:dyDescent="0.2">
      <c r="J3504"/>
    </row>
    <row r="3505" spans="10:10" x14ac:dyDescent="0.2">
      <c r="J3505"/>
    </row>
    <row r="3506" spans="10:10" x14ac:dyDescent="0.2">
      <c r="J3506"/>
    </row>
    <row r="3507" spans="10:10" x14ac:dyDescent="0.2">
      <c r="J3507"/>
    </row>
    <row r="3508" spans="10:10" x14ac:dyDescent="0.2">
      <c r="J3508"/>
    </row>
    <row r="3509" spans="10:10" x14ac:dyDescent="0.2">
      <c r="J3509"/>
    </row>
    <row r="3510" spans="10:10" x14ac:dyDescent="0.2">
      <c r="J3510"/>
    </row>
    <row r="3511" spans="10:10" x14ac:dyDescent="0.2">
      <c r="J3511"/>
    </row>
    <row r="3512" spans="10:10" x14ac:dyDescent="0.2">
      <c r="J3512"/>
    </row>
    <row r="3513" spans="10:10" x14ac:dyDescent="0.2">
      <c r="J3513"/>
    </row>
    <row r="3514" spans="10:10" x14ac:dyDescent="0.2">
      <c r="J3514"/>
    </row>
    <row r="3515" spans="10:10" x14ac:dyDescent="0.2">
      <c r="J3515"/>
    </row>
    <row r="3516" spans="10:10" x14ac:dyDescent="0.2">
      <c r="J3516"/>
    </row>
    <row r="3517" spans="10:10" x14ac:dyDescent="0.2">
      <c r="J3517"/>
    </row>
    <row r="3518" spans="10:10" x14ac:dyDescent="0.2">
      <c r="J3518"/>
    </row>
    <row r="3519" spans="10:10" x14ac:dyDescent="0.2">
      <c r="J3519"/>
    </row>
    <row r="3520" spans="10:10" x14ac:dyDescent="0.2">
      <c r="J3520"/>
    </row>
    <row r="3521" spans="10:10" x14ac:dyDescent="0.2">
      <c r="J3521"/>
    </row>
    <row r="3522" spans="10:10" x14ac:dyDescent="0.2">
      <c r="J3522"/>
    </row>
    <row r="3523" spans="10:10" x14ac:dyDescent="0.2">
      <c r="J3523"/>
    </row>
    <row r="3524" spans="10:10" x14ac:dyDescent="0.2">
      <c r="J3524"/>
    </row>
    <row r="3525" spans="10:10" x14ac:dyDescent="0.2">
      <c r="J3525"/>
    </row>
    <row r="3526" spans="10:10" x14ac:dyDescent="0.2">
      <c r="J3526"/>
    </row>
    <row r="3527" spans="10:10" x14ac:dyDescent="0.2">
      <c r="J3527"/>
    </row>
    <row r="3528" spans="10:10" x14ac:dyDescent="0.2">
      <c r="J3528"/>
    </row>
    <row r="3529" spans="10:10" x14ac:dyDescent="0.2">
      <c r="J3529"/>
    </row>
    <row r="3530" spans="10:10" x14ac:dyDescent="0.2">
      <c r="J3530"/>
    </row>
    <row r="3531" spans="10:10" x14ac:dyDescent="0.2">
      <c r="J3531"/>
    </row>
    <row r="3532" spans="10:10" x14ac:dyDescent="0.2">
      <c r="J3532"/>
    </row>
    <row r="3533" spans="10:10" x14ac:dyDescent="0.2">
      <c r="J3533"/>
    </row>
    <row r="3534" spans="10:10" x14ac:dyDescent="0.2">
      <c r="J3534"/>
    </row>
    <row r="3535" spans="10:10" x14ac:dyDescent="0.2">
      <c r="J3535"/>
    </row>
    <row r="3536" spans="10:10" x14ac:dyDescent="0.2">
      <c r="J3536"/>
    </row>
    <row r="3537" spans="10:10" x14ac:dyDescent="0.2">
      <c r="J3537"/>
    </row>
    <row r="3538" spans="10:10" x14ac:dyDescent="0.2">
      <c r="J3538"/>
    </row>
    <row r="3539" spans="10:10" x14ac:dyDescent="0.2">
      <c r="J3539"/>
    </row>
    <row r="3540" spans="10:10" x14ac:dyDescent="0.2">
      <c r="J3540"/>
    </row>
    <row r="3541" spans="10:10" x14ac:dyDescent="0.2">
      <c r="J3541"/>
    </row>
    <row r="3542" spans="10:10" x14ac:dyDescent="0.2">
      <c r="J3542"/>
    </row>
    <row r="3543" spans="10:10" x14ac:dyDescent="0.2">
      <c r="J3543"/>
    </row>
    <row r="3544" spans="10:10" x14ac:dyDescent="0.2">
      <c r="J3544"/>
    </row>
    <row r="3545" spans="10:10" x14ac:dyDescent="0.2">
      <c r="J3545"/>
    </row>
    <row r="3546" spans="10:10" x14ac:dyDescent="0.2">
      <c r="J3546"/>
    </row>
    <row r="3547" spans="10:10" x14ac:dyDescent="0.2">
      <c r="J3547"/>
    </row>
    <row r="3548" spans="10:10" x14ac:dyDescent="0.2">
      <c r="J3548"/>
    </row>
    <row r="3549" spans="10:10" x14ac:dyDescent="0.2">
      <c r="J3549"/>
    </row>
    <row r="3550" spans="10:10" x14ac:dyDescent="0.2">
      <c r="J3550"/>
    </row>
    <row r="3551" spans="10:10" x14ac:dyDescent="0.2">
      <c r="J3551"/>
    </row>
    <row r="3552" spans="10:10" x14ac:dyDescent="0.2">
      <c r="J3552"/>
    </row>
    <row r="3553" spans="10:10" x14ac:dyDescent="0.2">
      <c r="J3553"/>
    </row>
    <row r="3554" spans="10:10" x14ac:dyDescent="0.2">
      <c r="J3554"/>
    </row>
    <row r="3555" spans="10:10" x14ac:dyDescent="0.2">
      <c r="J3555"/>
    </row>
    <row r="3556" spans="10:10" x14ac:dyDescent="0.2">
      <c r="J3556"/>
    </row>
    <row r="3557" spans="10:10" x14ac:dyDescent="0.2">
      <c r="J3557"/>
    </row>
    <row r="3558" spans="10:10" x14ac:dyDescent="0.2">
      <c r="J3558"/>
    </row>
    <row r="3559" spans="10:10" x14ac:dyDescent="0.2">
      <c r="J3559"/>
    </row>
    <row r="3560" spans="10:10" x14ac:dyDescent="0.2">
      <c r="J3560"/>
    </row>
    <row r="3561" spans="10:10" x14ac:dyDescent="0.2">
      <c r="J3561"/>
    </row>
    <row r="3562" spans="10:10" x14ac:dyDescent="0.2">
      <c r="J3562"/>
    </row>
    <row r="3563" spans="10:10" x14ac:dyDescent="0.2">
      <c r="J3563"/>
    </row>
    <row r="3564" spans="10:10" x14ac:dyDescent="0.2">
      <c r="J3564"/>
    </row>
    <row r="3565" spans="10:10" x14ac:dyDescent="0.2">
      <c r="J3565"/>
    </row>
    <row r="3566" spans="10:10" x14ac:dyDescent="0.2">
      <c r="J3566"/>
    </row>
    <row r="3567" spans="10:10" x14ac:dyDescent="0.2">
      <c r="J3567"/>
    </row>
    <row r="3568" spans="10:10" x14ac:dyDescent="0.2">
      <c r="J3568"/>
    </row>
    <row r="3569" spans="10:10" x14ac:dyDescent="0.2">
      <c r="J3569"/>
    </row>
    <row r="3570" spans="10:10" x14ac:dyDescent="0.2">
      <c r="J3570"/>
    </row>
    <row r="3571" spans="10:10" x14ac:dyDescent="0.2">
      <c r="J3571"/>
    </row>
    <row r="3572" spans="10:10" x14ac:dyDescent="0.2">
      <c r="J3572"/>
    </row>
    <row r="3573" spans="10:10" x14ac:dyDescent="0.2">
      <c r="J3573"/>
    </row>
    <row r="3574" spans="10:10" x14ac:dyDescent="0.2">
      <c r="J3574"/>
    </row>
    <row r="3575" spans="10:10" x14ac:dyDescent="0.2">
      <c r="J3575"/>
    </row>
    <row r="3576" spans="10:10" x14ac:dyDescent="0.2">
      <c r="J3576"/>
    </row>
    <row r="3577" spans="10:10" x14ac:dyDescent="0.2">
      <c r="J3577"/>
    </row>
    <row r="3578" spans="10:10" x14ac:dyDescent="0.2">
      <c r="J3578"/>
    </row>
    <row r="3579" spans="10:10" x14ac:dyDescent="0.2">
      <c r="J3579"/>
    </row>
    <row r="3580" spans="10:10" x14ac:dyDescent="0.2">
      <c r="J3580"/>
    </row>
    <row r="3581" spans="10:10" x14ac:dyDescent="0.2">
      <c r="J3581"/>
    </row>
    <row r="3582" spans="10:10" x14ac:dyDescent="0.2">
      <c r="J3582"/>
    </row>
    <row r="3583" spans="10:10" x14ac:dyDescent="0.2">
      <c r="J3583"/>
    </row>
    <row r="3584" spans="10:10" x14ac:dyDescent="0.2">
      <c r="J3584"/>
    </row>
    <row r="3585" spans="10:10" x14ac:dyDescent="0.2">
      <c r="J3585"/>
    </row>
    <row r="3586" spans="10:10" x14ac:dyDescent="0.2">
      <c r="J3586"/>
    </row>
    <row r="3587" spans="10:10" x14ac:dyDescent="0.2">
      <c r="J3587"/>
    </row>
    <row r="3588" spans="10:10" x14ac:dyDescent="0.2">
      <c r="J3588"/>
    </row>
    <row r="3589" spans="10:10" x14ac:dyDescent="0.2">
      <c r="J3589"/>
    </row>
    <row r="3590" spans="10:10" x14ac:dyDescent="0.2">
      <c r="J3590"/>
    </row>
    <row r="3591" spans="10:10" x14ac:dyDescent="0.2">
      <c r="J3591"/>
    </row>
    <row r="3592" spans="10:10" x14ac:dyDescent="0.2">
      <c r="J3592"/>
    </row>
    <row r="3593" spans="10:10" x14ac:dyDescent="0.2">
      <c r="J3593"/>
    </row>
    <row r="3594" spans="10:10" x14ac:dyDescent="0.2">
      <c r="J3594"/>
    </row>
    <row r="3595" spans="10:10" x14ac:dyDescent="0.2">
      <c r="J3595"/>
    </row>
    <row r="3596" spans="10:10" x14ac:dyDescent="0.2">
      <c r="J3596"/>
    </row>
    <row r="3597" spans="10:10" x14ac:dyDescent="0.2">
      <c r="J3597"/>
    </row>
    <row r="3598" spans="10:10" x14ac:dyDescent="0.2">
      <c r="J3598"/>
    </row>
    <row r="3599" spans="10:10" x14ac:dyDescent="0.2">
      <c r="J3599"/>
    </row>
    <row r="3600" spans="10:10" x14ac:dyDescent="0.2">
      <c r="J3600"/>
    </row>
    <row r="3601" spans="10:10" x14ac:dyDescent="0.2">
      <c r="J3601"/>
    </row>
    <row r="3602" spans="10:10" x14ac:dyDescent="0.2">
      <c r="J3602"/>
    </row>
    <row r="3603" spans="10:10" x14ac:dyDescent="0.2">
      <c r="J3603"/>
    </row>
    <row r="3604" spans="10:10" x14ac:dyDescent="0.2">
      <c r="J3604"/>
    </row>
    <row r="3605" spans="10:10" x14ac:dyDescent="0.2">
      <c r="J3605"/>
    </row>
    <row r="3606" spans="10:10" x14ac:dyDescent="0.2">
      <c r="J3606"/>
    </row>
    <row r="3607" spans="10:10" x14ac:dyDescent="0.2">
      <c r="J3607"/>
    </row>
    <row r="3608" spans="10:10" x14ac:dyDescent="0.2">
      <c r="J3608"/>
    </row>
    <row r="3609" spans="10:10" x14ac:dyDescent="0.2">
      <c r="J3609"/>
    </row>
    <row r="3610" spans="10:10" x14ac:dyDescent="0.2">
      <c r="J3610"/>
    </row>
    <row r="3611" spans="10:10" x14ac:dyDescent="0.2">
      <c r="J3611"/>
    </row>
    <row r="3612" spans="10:10" x14ac:dyDescent="0.2">
      <c r="J3612"/>
    </row>
    <row r="3613" spans="10:10" x14ac:dyDescent="0.2">
      <c r="J3613"/>
    </row>
    <row r="3614" spans="10:10" x14ac:dyDescent="0.2">
      <c r="J3614"/>
    </row>
    <row r="3615" spans="10:10" x14ac:dyDescent="0.2">
      <c r="J3615"/>
    </row>
    <row r="3616" spans="10:10" x14ac:dyDescent="0.2">
      <c r="J3616"/>
    </row>
    <row r="3617" spans="10:10" x14ac:dyDescent="0.2">
      <c r="J3617"/>
    </row>
    <row r="3618" spans="10:10" x14ac:dyDescent="0.2">
      <c r="J3618"/>
    </row>
    <row r="3619" spans="10:10" x14ac:dyDescent="0.2">
      <c r="J3619"/>
    </row>
    <row r="3620" spans="10:10" x14ac:dyDescent="0.2">
      <c r="J3620"/>
    </row>
    <row r="3621" spans="10:10" x14ac:dyDescent="0.2">
      <c r="J3621"/>
    </row>
    <row r="3622" spans="10:10" x14ac:dyDescent="0.2">
      <c r="J3622"/>
    </row>
    <row r="3623" spans="10:10" x14ac:dyDescent="0.2">
      <c r="J3623"/>
    </row>
    <row r="3624" spans="10:10" x14ac:dyDescent="0.2">
      <c r="J3624"/>
    </row>
    <row r="3625" spans="10:10" x14ac:dyDescent="0.2">
      <c r="J3625"/>
    </row>
    <row r="3626" spans="10:10" x14ac:dyDescent="0.2">
      <c r="J3626"/>
    </row>
    <row r="3627" spans="10:10" x14ac:dyDescent="0.2">
      <c r="J3627"/>
    </row>
    <row r="3628" spans="10:10" x14ac:dyDescent="0.2">
      <c r="J3628"/>
    </row>
    <row r="3629" spans="10:10" x14ac:dyDescent="0.2">
      <c r="J3629"/>
    </row>
    <row r="3630" spans="10:10" x14ac:dyDescent="0.2">
      <c r="J3630"/>
    </row>
    <row r="3631" spans="10:10" x14ac:dyDescent="0.2">
      <c r="J3631"/>
    </row>
    <row r="3632" spans="10:10" x14ac:dyDescent="0.2">
      <c r="J3632"/>
    </row>
    <row r="3633" spans="10:10" x14ac:dyDescent="0.2">
      <c r="J3633"/>
    </row>
    <row r="3634" spans="10:10" x14ac:dyDescent="0.2">
      <c r="J3634"/>
    </row>
    <row r="3635" spans="10:10" x14ac:dyDescent="0.2">
      <c r="J3635"/>
    </row>
    <row r="3636" spans="10:10" x14ac:dyDescent="0.2">
      <c r="J3636"/>
    </row>
    <row r="3637" spans="10:10" x14ac:dyDescent="0.2">
      <c r="J3637"/>
    </row>
    <row r="3638" spans="10:10" x14ac:dyDescent="0.2">
      <c r="J3638"/>
    </row>
    <row r="3639" spans="10:10" x14ac:dyDescent="0.2">
      <c r="J3639"/>
    </row>
    <row r="3640" spans="10:10" x14ac:dyDescent="0.2">
      <c r="J3640"/>
    </row>
    <row r="3641" spans="10:10" x14ac:dyDescent="0.2">
      <c r="J3641"/>
    </row>
    <row r="3642" spans="10:10" x14ac:dyDescent="0.2">
      <c r="J3642"/>
    </row>
    <row r="3643" spans="10:10" x14ac:dyDescent="0.2">
      <c r="J3643"/>
    </row>
    <row r="3644" spans="10:10" x14ac:dyDescent="0.2">
      <c r="J3644"/>
    </row>
    <row r="3645" spans="10:10" x14ac:dyDescent="0.2">
      <c r="J3645"/>
    </row>
    <row r="3646" spans="10:10" x14ac:dyDescent="0.2">
      <c r="J3646"/>
    </row>
    <row r="3647" spans="10:10" x14ac:dyDescent="0.2">
      <c r="J3647"/>
    </row>
    <row r="3648" spans="10:10" x14ac:dyDescent="0.2">
      <c r="J3648"/>
    </row>
    <row r="3649" spans="10:10" x14ac:dyDescent="0.2">
      <c r="J3649"/>
    </row>
    <row r="3650" spans="10:10" x14ac:dyDescent="0.2">
      <c r="J3650"/>
    </row>
    <row r="3651" spans="10:10" x14ac:dyDescent="0.2">
      <c r="J3651"/>
    </row>
    <row r="3652" spans="10:10" x14ac:dyDescent="0.2">
      <c r="J3652"/>
    </row>
    <row r="3653" spans="10:10" x14ac:dyDescent="0.2">
      <c r="J3653"/>
    </row>
    <row r="3654" spans="10:10" x14ac:dyDescent="0.2">
      <c r="J3654"/>
    </row>
    <row r="3655" spans="10:10" x14ac:dyDescent="0.2">
      <c r="J3655"/>
    </row>
    <row r="3656" spans="10:10" x14ac:dyDescent="0.2">
      <c r="J3656"/>
    </row>
    <row r="3657" spans="10:10" x14ac:dyDescent="0.2">
      <c r="J3657"/>
    </row>
    <row r="3658" spans="10:10" x14ac:dyDescent="0.2">
      <c r="J3658"/>
    </row>
    <row r="3659" spans="10:10" x14ac:dyDescent="0.2">
      <c r="J3659"/>
    </row>
    <row r="3660" spans="10:10" x14ac:dyDescent="0.2">
      <c r="J3660"/>
    </row>
    <row r="3661" spans="10:10" x14ac:dyDescent="0.2">
      <c r="J3661"/>
    </row>
    <row r="3662" spans="10:10" x14ac:dyDescent="0.2">
      <c r="J3662"/>
    </row>
    <row r="3663" spans="10:10" x14ac:dyDescent="0.2">
      <c r="J3663"/>
    </row>
    <row r="3664" spans="10:10" x14ac:dyDescent="0.2">
      <c r="J3664"/>
    </row>
    <row r="3665" spans="10:10" x14ac:dyDescent="0.2">
      <c r="J3665"/>
    </row>
    <row r="3666" spans="10:10" x14ac:dyDescent="0.2">
      <c r="J3666"/>
    </row>
    <row r="3667" spans="10:10" x14ac:dyDescent="0.2">
      <c r="J3667"/>
    </row>
    <row r="3668" spans="10:10" x14ac:dyDescent="0.2">
      <c r="J3668"/>
    </row>
    <row r="3669" spans="10:10" x14ac:dyDescent="0.2">
      <c r="J3669"/>
    </row>
    <row r="3670" spans="10:10" x14ac:dyDescent="0.2">
      <c r="J3670"/>
    </row>
    <row r="3671" spans="10:10" x14ac:dyDescent="0.2">
      <c r="J3671"/>
    </row>
    <row r="3672" spans="10:10" x14ac:dyDescent="0.2">
      <c r="J3672"/>
    </row>
    <row r="3673" spans="10:10" x14ac:dyDescent="0.2">
      <c r="J3673"/>
    </row>
    <row r="3674" spans="10:10" x14ac:dyDescent="0.2">
      <c r="J3674"/>
    </row>
    <row r="3675" spans="10:10" x14ac:dyDescent="0.2">
      <c r="J3675"/>
    </row>
    <row r="3676" spans="10:10" x14ac:dyDescent="0.2">
      <c r="J3676"/>
    </row>
    <row r="3677" spans="10:10" x14ac:dyDescent="0.2">
      <c r="J3677"/>
    </row>
    <row r="3678" spans="10:10" x14ac:dyDescent="0.2">
      <c r="J3678"/>
    </row>
    <row r="3679" spans="10:10" x14ac:dyDescent="0.2">
      <c r="J3679"/>
    </row>
    <row r="3680" spans="10:10" x14ac:dyDescent="0.2">
      <c r="J3680"/>
    </row>
    <row r="3681" spans="10:10" x14ac:dyDescent="0.2">
      <c r="J3681"/>
    </row>
    <row r="3682" spans="10:10" x14ac:dyDescent="0.2">
      <c r="J3682"/>
    </row>
    <row r="3683" spans="10:10" x14ac:dyDescent="0.2">
      <c r="J3683"/>
    </row>
    <row r="3684" spans="10:10" x14ac:dyDescent="0.2">
      <c r="J3684"/>
    </row>
    <row r="3685" spans="10:10" x14ac:dyDescent="0.2">
      <c r="J3685"/>
    </row>
    <row r="3686" spans="10:10" x14ac:dyDescent="0.2">
      <c r="J3686"/>
    </row>
    <row r="3687" spans="10:10" x14ac:dyDescent="0.2">
      <c r="J3687"/>
    </row>
    <row r="3688" spans="10:10" x14ac:dyDescent="0.2">
      <c r="J3688"/>
    </row>
    <row r="3689" spans="10:10" x14ac:dyDescent="0.2">
      <c r="J3689"/>
    </row>
    <row r="3690" spans="10:10" x14ac:dyDescent="0.2">
      <c r="J3690"/>
    </row>
    <row r="3691" spans="10:10" x14ac:dyDescent="0.2">
      <c r="J3691"/>
    </row>
    <row r="3692" spans="10:10" x14ac:dyDescent="0.2">
      <c r="J3692"/>
    </row>
    <row r="3693" spans="10:10" x14ac:dyDescent="0.2">
      <c r="J3693"/>
    </row>
    <row r="3694" spans="10:10" x14ac:dyDescent="0.2">
      <c r="J3694"/>
    </row>
    <row r="3695" spans="10:10" x14ac:dyDescent="0.2">
      <c r="J3695"/>
    </row>
    <row r="3696" spans="10:10" x14ac:dyDescent="0.2">
      <c r="J3696"/>
    </row>
    <row r="3697" spans="10:10" x14ac:dyDescent="0.2">
      <c r="J3697"/>
    </row>
    <row r="3698" spans="10:10" x14ac:dyDescent="0.2">
      <c r="J3698"/>
    </row>
    <row r="3699" spans="10:10" x14ac:dyDescent="0.2">
      <c r="J3699"/>
    </row>
    <row r="3700" spans="10:10" x14ac:dyDescent="0.2">
      <c r="J3700"/>
    </row>
    <row r="3701" spans="10:10" x14ac:dyDescent="0.2">
      <c r="J3701"/>
    </row>
    <row r="3702" spans="10:10" x14ac:dyDescent="0.2">
      <c r="J3702"/>
    </row>
    <row r="3703" spans="10:10" x14ac:dyDescent="0.2">
      <c r="J3703"/>
    </row>
    <row r="3704" spans="10:10" x14ac:dyDescent="0.2">
      <c r="J3704"/>
    </row>
    <row r="3705" spans="10:10" x14ac:dyDescent="0.2">
      <c r="J3705"/>
    </row>
    <row r="3706" spans="10:10" x14ac:dyDescent="0.2">
      <c r="J3706"/>
    </row>
    <row r="3707" spans="10:10" x14ac:dyDescent="0.2">
      <c r="J3707"/>
    </row>
    <row r="3708" spans="10:10" x14ac:dyDescent="0.2">
      <c r="J3708"/>
    </row>
    <row r="3709" spans="10:10" x14ac:dyDescent="0.2">
      <c r="J3709"/>
    </row>
    <row r="3710" spans="10:10" x14ac:dyDescent="0.2">
      <c r="J3710"/>
    </row>
    <row r="3711" spans="10:10" x14ac:dyDescent="0.2">
      <c r="J3711"/>
    </row>
    <row r="3712" spans="10:10" x14ac:dyDescent="0.2">
      <c r="J3712"/>
    </row>
    <row r="3713" spans="10:10" x14ac:dyDescent="0.2">
      <c r="J3713"/>
    </row>
    <row r="3714" spans="10:10" x14ac:dyDescent="0.2">
      <c r="J3714"/>
    </row>
    <row r="3715" spans="10:10" x14ac:dyDescent="0.2">
      <c r="J3715"/>
    </row>
    <row r="3716" spans="10:10" x14ac:dyDescent="0.2">
      <c r="J3716"/>
    </row>
    <row r="3717" spans="10:10" x14ac:dyDescent="0.2">
      <c r="J3717"/>
    </row>
    <row r="3718" spans="10:10" x14ac:dyDescent="0.2">
      <c r="J3718"/>
    </row>
    <row r="3719" spans="10:10" x14ac:dyDescent="0.2">
      <c r="J3719"/>
    </row>
    <row r="3720" spans="10:10" x14ac:dyDescent="0.2">
      <c r="J3720"/>
    </row>
    <row r="3721" spans="10:10" x14ac:dyDescent="0.2">
      <c r="J3721"/>
    </row>
    <row r="3722" spans="10:10" x14ac:dyDescent="0.2">
      <c r="J3722"/>
    </row>
    <row r="3723" spans="10:10" x14ac:dyDescent="0.2">
      <c r="J3723"/>
    </row>
    <row r="3724" spans="10:10" x14ac:dyDescent="0.2">
      <c r="J3724"/>
    </row>
    <row r="3725" spans="10:10" x14ac:dyDescent="0.2">
      <c r="J3725"/>
    </row>
    <row r="3726" spans="10:10" x14ac:dyDescent="0.2">
      <c r="J3726"/>
    </row>
    <row r="3727" spans="10:10" x14ac:dyDescent="0.2">
      <c r="J3727"/>
    </row>
    <row r="3728" spans="10:10" x14ac:dyDescent="0.2">
      <c r="J3728"/>
    </row>
    <row r="3729" spans="10:10" x14ac:dyDescent="0.2">
      <c r="J3729"/>
    </row>
    <row r="3730" spans="10:10" x14ac:dyDescent="0.2">
      <c r="J3730"/>
    </row>
    <row r="3731" spans="10:10" x14ac:dyDescent="0.2">
      <c r="J3731"/>
    </row>
    <row r="3732" spans="10:10" x14ac:dyDescent="0.2">
      <c r="J3732"/>
    </row>
    <row r="3733" spans="10:10" x14ac:dyDescent="0.2">
      <c r="J3733"/>
    </row>
    <row r="3734" spans="10:10" x14ac:dyDescent="0.2">
      <c r="J3734"/>
    </row>
    <row r="3735" spans="10:10" x14ac:dyDescent="0.2">
      <c r="J3735"/>
    </row>
    <row r="3736" spans="10:10" x14ac:dyDescent="0.2">
      <c r="J3736"/>
    </row>
    <row r="3737" spans="10:10" x14ac:dyDescent="0.2">
      <c r="J3737"/>
    </row>
    <row r="3738" spans="10:10" x14ac:dyDescent="0.2">
      <c r="J3738"/>
    </row>
    <row r="3739" spans="10:10" x14ac:dyDescent="0.2">
      <c r="J3739"/>
    </row>
    <row r="3740" spans="10:10" x14ac:dyDescent="0.2">
      <c r="J3740"/>
    </row>
    <row r="3741" spans="10:10" x14ac:dyDescent="0.2">
      <c r="J3741"/>
    </row>
    <row r="3742" spans="10:10" x14ac:dyDescent="0.2">
      <c r="J3742"/>
    </row>
    <row r="3743" spans="10:10" x14ac:dyDescent="0.2">
      <c r="J3743"/>
    </row>
    <row r="3744" spans="10:10" x14ac:dyDescent="0.2">
      <c r="J3744"/>
    </row>
    <row r="3745" spans="10:10" x14ac:dyDescent="0.2">
      <c r="J3745"/>
    </row>
    <row r="3746" spans="10:10" x14ac:dyDescent="0.2">
      <c r="J3746"/>
    </row>
    <row r="3747" spans="10:10" x14ac:dyDescent="0.2">
      <c r="J3747"/>
    </row>
    <row r="3748" spans="10:10" x14ac:dyDescent="0.2">
      <c r="J3748"/>
    </row>
    <row r="3749" spans="10:10" x14ac:dyDescent="0.2">
      <c r="J3749"/>
    </row>
    <row r="3750" spans="10:10" x14ac:dyDescent="0.2">
      <c r="J3750"/>
    </row>
    <row r="3751" spans="10:10" x14ac:dyDescent="0.2">
      <c r="J3751"/>
    </row>
    <row r="3752" spans="10:10" x14ac:dyDescent="0.2">
      <c r="J3752"/>
    </row>
    <row r="3753" spans="10:10" x14ac:dyDescent="0.2">
      <c r="J3753"/>
    </row>
    <row r="3754" spans="10:10" x14ac:dyDescent="0.2">
      <c r="J3754"/>
    </row>
    <row r="3755" spans="10:10" x14ac:dyDescent="0.2">
      <c r="J3755"/>
    </row>
    <row r="3756" spans="10:10" x14ac:dyDescent="0.2">
      <c r="J3756"/>
    </row>
    <row r="3757" spans="10:10" x14ac:dyDescent="0.2">
      <c r="J3757"/>
    </row>
    <row r="3758" spans="10:10" x14ac:dyDescent="0.2">
      <c r="J3758"/>
    </row>
    <row r="3759" spans="10:10" x14ac:dyDescent="0.2">
      <c r="J3759"/>
    </row>
    <row r="3760" spans="10:10" x14ac:dyDescent="0.2">
      <c r="J3760"/>
    </row>
    <row r="3761" spans="10:10" x14ac:dyDescent="0.2">
      <c r="J3761"/>
    </row>
    <row r="3762" spans="10:10" x14ac:dyDescent="0.2">
      <c r="J3762"/>
    </row>
    <row r="3763" spans="10:10" x14ac:dyDescent="0.2">
      <c r="J3763"/>
    </row>
    <row r="3764" spans="10:10" x14ac:dyDescent="0.2">
      <c r="J3764"/>
    </row>
    <row r="3765" spans="10:10" x14ac:dyDescent="0.2">
      <c r="J3765"/>
    </row>
    <row r="3766" spans="10:10" x14ac:dyDescent="0.2">
      <c r="J3766"/>
    </row>
    <row r="3767" spans="10:10" x14ac:dyDescent="0.2">
      <c r="J3767"/>
    </row>
    <row r="3768" spans="10:10" x14ac:dyDescent="0.2">
      <c r="J3768"/>
    </row>
    <row r="3769" spans="10:10" x14ac:dyDescent="0.2">
      <c r="J3769"/>
    </row>
    <row r="3770" spans="10:10" x14ac:dyDescent="0.2">
      <c r="J3770"/>
    </row>
    <row r="3771" spans="10:10" x14ac:dyDescent="0.2">
      <c r="J3771"/>
    </row>
    <row r="3772" spans="10:10" x14ac:dyDescent="0.2">
      <c r="J3772"/>
    </row>
    <row r="3773" spans="10:10" x14ac:dyDescent="0.2">
      <c r="J3773"/>
    </row>
    <row r="3774" spans="10:10" x14ac:dyDescent="0.2">
      <c r="J3774"/>
    </row>
    <row r="3775" spans="10:10" x14ac:dyDescent="0.2">
      <c r="J3775"/>
    </row>
    <row r="3776" spans="10:10" x14ac:dyDescent="0.2">
      <c r="J3776"/>
    </row>
    <row r="3777" spans="10:10" x14ac:dyDescent="0.2">
      <c r="J3777"/>
    </row>
    <row r="3778" spans="10:10" x14ac:dyDescent="0.2">
      <c r="J3778"/>
    </row>
    <row r="3779" spans="10:10" x14ac:dyDescent="0.2">
      <c r="J3779"/>
    </row>
    <row r="3780" spans="10:10" x14ac:dyDescent="0.2">
      <c r="J3780"/>
    </row>
    <row r="3781" spans="10:10" x14ac:dyDescent="0.2">
      <c r="J3781"/>
    </row>
    <row r="3782" spans="10:10" x14ac:dyDescent="0.2">
      <c r="J3782"/>
    </row>
    <row r="3783" spans="10:10" x14ac:dyDescent="0.2">
      <c r="J3783"/>
    </row>
    <row r="3784" spans="10:10" x14ac:dyDescent="0.2">
      <c r="J3784"/>
    </row>
    <row r="3785" spans="10:10" x14ac:dyDescent="0.2">
      <c r="J3785"/>
    </row>
    <row r="3786" spans="10:10" x14ac:dyDescent="0.2">
      <c r="J3786"/>
    </row>
    <row r="3787" spans="10:10" x14ac:dyDescent="0.2">
      <c r="J3787"/>
    </row>
    <row r="3788" spans="10:10" x14ac:dyDescent="0.2">
      <c r="J3788"/>
    </row>
    <row r="3789" spans="10:10" x14ac:dyDescent="0.2">
      <c r="J3789"/>
    </row>
    <row r="3790" spans="10:10" x14ac:dyDescent="0.2">
      <c r="J3790"/>
    </row>
    <row r="3791" spans="10:10" x14ac:dyDescent="0.2">
      <c r="J3791"/>
    </row>
    <row r="3792" spans="10:10" x14ac:dyDescent="0.2">
      <c r="J3792"/>
    </row>
    <row r="3793" spans="10:10" x14ac:dyDescent="0.2">
      <c r="J3793"/>
    </row>
    <row r="3794" spans="10:10" x14ac:dyDescent="0.2">
      <c r="J3794"/>
    </row>
    <row r="3795" spans="10:10" x14ac:dyDescent="0.2">
      <c r="J3795"/>
    </row>
    <row r="3796" spans="10:10" x14ac:dyDescent="0.2">
      <c r="J3796"/>
    </row>
    <row r="3797" spans="10:10" x14ac:dyDescent="0.2">
      <c r="J3797"/>
    </row>
    <row r="3798" spans="10:10" x14ac:dyDescent="0.2">
      <c r="J3798"/>
    </row>
    <row r="3799" spans="10:10" x14ac:dyDescent="0.2">
      <c r="J3799"/>
    </row>
    <row r="3800" spans="10:10" x14ac:dyDescent="0.2">
      <c r="J3800"/>
    </row>
    <row r="3801" spans="10:10" x14ac:dyDescent="0.2">
      <c r="J3801"/>
    </row>
    <row r="3802" spans="10:10" x14ac:dyDescent="0.2">
      <c r="J3802"/>
    </row>
    <row r="3803" spans="10:10" x14ac:dyDescent="0.2">
      <c r="J3803"/>
    </row>
    <row r="3804" spans="10:10" x14ac:dyDescent="0.2">
      <c r="J3804"/>
    </row>
    <row r="3805" spans="10:10" x14ac:dyDescent="0.2">
      <c r="J3805"/>
    </row>
    <row r="3806" spans="10:10" x14ac:dyDescent="0.2">
      <c r="J3806"/>
    </row>
    <row r="3807" spans="10:10" x14ac:dyDescent="0.2">
      <c r="J3807"/>
    </row>
    <row r="3808" spans="10:10" x14ac:dyDescent="0.2">
      <c r="J3808"/>
    </row>
    <row r="3809" spans="10:10" x14ac:dyDescent="0.2">
      <c r="J3809"/>
    </row>
    <row r="3810" spans="10:10" x14ac:dyDescent="0.2">
      <c r="J3810"/>
    </row>
    <row r="3811" spans="10:10" x14ac:dyDescent="0.2">
      <c r="J3811"/>
    </row>
    <row r="3812" spans="10:10" x14ac:dyDescent="0.2">
      <c r="J3812"/>
    </row>
    <row r="3813" spans="10:10" x14ac:dyDescent="0.2">
      <c r="J3813"/>
    </row>
    <row r="3814" spans="10:10" x14ac:dyDescent="0.2">
      <c r="J3814"/>
    </row>
    <row r="3815" spans="10:10" x14ac:dyDescent="0.2">
      <c r="J3815"/>
    </row>
    <row r="3816" spans="10:10" x14ac:dyDescent="0.2">
      <c r="J3816"/>
    </row>
    <row r="3817" spans="10:10" x14ac:dyDescent="0.2">
      <c r="J3817"/>
    </row>
    <row r="3818" spans="10:10" x14ac:dyDescent="0.2">
      <c r="J3818"/>
    </row>
    <row r="3819" spans="10:10" x14ac:dyDescent="0.2">
      <c r="J3819"/>
    </row>
    <row r="3820" spans="10:10" x14ac:dyDescent="0.2">
      <c r="J3820"/>
    </row>
    <row r="3821" spans="10:10" x14ac:dyDescent="0.2">
      <c r="J3821"/>
    </row>
    <row r="3822" spans="10:10" x14ac:dyDescent="0.2">
      <c r="J3822"/>
    </row>
    <row r="3823" spans="10:10" x14ac:dyDescent="0.2">
      <c r="J3823"/>
    </row>
    <row r="3824" spans="10:10" x14ac:dyDescent="0.2">
      <c r="J3824"/>
    </row>
    <row r="3825" spans="10:10" x14ac:dyDescent="0.2">
      <c r="J3825"/>
    </row>
    <row r="3826" spans="10:10" x14ac:dyDescent="0.2">
      <c r="J3826"/>
    </row>
    <row r="3827" spans="10:10" x14ac:dyDescent="0.2">
      <c r="J3827"/>
    </row>
    <row r="3828" spans="10:10" x14ac:dyDescent="0.2">
      <c r="J3828"/>
    </row>
    <row r="3829" spans="10:10" x14ac:dyDescent="0.2">
      <c r="J3829"/>
    </row>
    <row r="3830" spans="10:10" x14ac:dyDescent="0.2">
      <c r="J3830"/>
    </row>
    <row r="3831" spans="10:10" x14ac:dyDescent="0.2">
      <c r="J3831"/>
    </row>
    <row r="3832" spans="10:10" x14ac:dyDescent="0.2">
      <c r="J3832"/>
    </row>
    <row r="3833" spans="10:10" x14ac:dyDescent="0.2">
      <c r="J3833"/>
    </row>
    <row r="3834" spans="10:10" x14ac:dyDescent="0.2">
      <c r="J3834"/>
    </row>
    <row r="3835" spans="10:10" x14ac:dyDescent="0.2">
      <c r="J3835"/>
    </row>
    <row r="3836" spans="10:10" x14ac:dyDescent="0.2">
      <c r="J3836"/>
    </row>
    <row r="3837" spans="10:10" x14ac:dyDescent="0.2">
      <c r="J3837"/>
    </row>
    <row r="3838" spans="10:10" x14ac:dyDescent="0.2">
      <c r="J3838"/>
    </row>
    <row r="3839" spans="10:10" x14ac:dyDescent="0.2">
      <c r="J3839"/>
    </row>
    <row r="3840" spans="10:10" x14ac:dyDescent="0.2">
      <c r="J3840"/>
    </row>
    <row r="3841" spans="10:10" x14ac:dyDescent="0.2">
      <c r="J3841"/>
    </row>
    <row r="3842" spans="10:10" x14ac:dyDescent="0.2">
      <c r="J3842"/>
    </row>
    <row r="3843" spans="10:10" x14ac:dyDescent="0.2">
      <c r="J3843"/>
    </row>
    <row r="3844" spans="10:10" x14ac:dyDescent="0.2">
      <c r="J3844"/>
    </row>
    <row r="3845" spans="10:10" x14ac:dyDescent="0.2">
      <c r="J3845"/>
    </row>
    <row r="3846" spans="10:10" x14ac:dyDescent="0.2">
      <c r="J3846"/>
    </row>
    <row r="3847" spans="10:10" x14ac:dyDescent="0.2">
      <c r="J3847"/>
    </row>
    <row r="3848" spans="10:10" x14ac:dyDescent="0.2">
      <c r="J3848"/>
    </row>
    <row r="3849" spans="10:10" x14ac:dyDescent="0.2">
      <c r="J3849"/>
    </row>
    <row r="3850" spans="10:10" x14ac:dyDescent="0.2">
      <c r="J3850"/>
    </row>
    <row r="3851" spans="10:10" x14ac:dyDescent="0.2">
      <c r="J3851"/>
    </row>
    <row r="3852" spans="10:10" x14ac:dyDescent="0.2">
      <c r="J3852"/>
    </row>
    <row r="3853" spans="10:10" x14ac:dyDescent="0.2">
      <c r="J3853"/>
    </row>
    <row r="3854" spans="10:10" x14ac:dyDescent="0.2">
      <c r="J3854"/>
    </row>
    <row r="3855" spans="10:10" x14ac:dyDescent="0.2">
      <c r="J3855"/>
    </row>
    <row r="3856" spans="10:10" x14ac:dyDescent="0.2">
      <c r="J3856"/>
    </row>
    <row r="3857" spans="10:10" x14ac:dyDescent="0.2">
      <c r="J3857"/>
    </row>
    <row r="3858" spans="10:10" x14ac:dyDescent="0.2">
      <c r="J3858"/>
    </row>
    <row r="3859" spans="10:10" x14ac:dyDescent="0.2">
      <c r="J3859"/>
    </row>
    <row r="3860" spans="10:10" x14ac:dyDescent="0.2">
      <c r="J3860"/>
    </row>
    <row r="3861" spans="10:10" x14ac:dyDescent="0.2">
      <c r="J3861"/>
    </row>
    <row r="3862" spans="10:10" x14ac:dyDescent="0.2">
      <c r="J3862"/>
    </row>
    <row r="3863" spans="10:10" x14ac:dyDescent="0.2">
      <c r="J3863"/>
    </row>
    <row r="3864" spans="10:10" x14ac:dyDescent="0.2">
      <c r="J3864"/>
    </row>
    <row r="3865" spans="10:10" x14ac:dyDescent="0.2">
      <c r="J3865"/>
    </row>
    <row r="3866" spans="10:10" x14ac:dyDescent="0.2">
      <c r="J3866"/>
    </row>
    <row r="3867" spans="10:10" x14ac:dyDescent="0.2">
      <c r="J3867"/>
    </row>
    <row r="3868" spans="10:10" x14ac:dyDescent="0.2">
      <c r="J3868"/>
    </row>
    <row r="3869" spans="10:10" x14ac:dyDescent="0.2">
      <c r="J3869"/>
    </row>
    <row r="3870" spans="10:10" x14ac:dyDescent="0.2">
      <c r="J3870"/>
    </row>
    <row r="3871" spans="10:10" x14ac:dyDescent="0.2">
      <c r="J3871"/>
    </row>
    <row r="3872" spans="10:10" x14ac:dyDescent="0.2">
      <c r="J3872"/>
    </row>
    <row r="3873" spans="10:10" x14ac:dyDescent="0.2">
      <c r="J3873"/>
    </row>
    <row r="3874" spans="10:10" x14ac:dyDescent="0.2">
      <c r="J3874"/>
    </row>
    <row r="3875" spans="10:10" x14ac:dyDescent="0.2">
      <c r="J3875"/>
    </row>
    <row r="3876" spans="10:10" x14ac:dyDescent="0.2">
      <c r="J3876"/>
    </row>
    <row r="3877" spans="10:10" x14ac:dyDescent="0.2">
      <c r="J3877"/>
    </row>
    <row r="3878" spans="10:10" x14ac:dyDescent="0.2">
      <c r="J3878"/>
    </row>
    <row r="3879" spans="10:10" x14ac:dyDescent="0.2">
      <c r="J3879"/>
    </row>
    <row r="3880" spans="10:10" x14ac:dyDescent="0.2">
      <c r="J3880"/>
    </row>
    <row r="3881" spans="10:10" x14ac:dyDescent="0.2">
      <c r="J3881"/>
    </row>
    <row r="3882" spans="10:10" x14ac:dyDescent="0.2">
      <c r="J3882"/>
    </row>
    <row r="3883" spans="10:10" x14ac:dyDescent="0.2">
      <c r="J3883"/>
    </row>
    <row r="3884" spans="10:10" x14ac:dyDescent="0.2">
      <c r="J3884"/>
    </row>
    <row r="3885" spans="10:10" x14ac:dyDescent="0.2">
      <c r="J3885"/>
    </row>
    <row r="3886" spans="10:10" x14ac:dyDescent="0.2">
      <c r="J3886"/>
    </row>
    <row r="3887" spans="10:10" x14ac:dyDescent="0.2">
      <c r="J3887"/>
    </row>
    <row r="3888" spans="10:10" x14ac:dyDescent="0.2">
      <c r="J3888"/>
    </row>
    <row r="3889" spans="10:10" x14ac:dyDescent="0.2">
      <c r="J3889"/>
    </row>
    <row r="3890" spans="10:10" x14ac:dyDescent="0.2">
      <c r="J3890"/>
    </row>
    <row r="3891" spans="10:10" x14ac:dyDescent="0.2">
      <c r="J3891"/>
    </row>
    <row r="3892" spans="10:10" x14ac:dyDescent="0.2">
      <c r="J3892"/>
    </row>
    <row r="3893" spans="10:10" x14ac:dyDescent="0.2">
      <c r="J3893"/>
    </row>
    <row r="3894" spans="10:10" x14ac:dyDescent="0.2">
      <c r="J3894"/>
    </row>
    <row r="3895" spans="10:10" x14ac:dyDescent="0.2">
      <c r="J3895"/>
    </row>
    <row r="3896" spans="10:10" x14ac:dyDescent="0.2">
      <c r="J3896"/>
    </row>
    <row r="3897" spans="10:10" x14ac:dyDescent="0.2">
      <c r="J3897"/>
    </row>
    <row r="3898" spans="10:10" x14ac:dyDescent="0.2">
      <c r="J3898"/>
    </row>
    <row r="3899" spans="10:10" x14ac:dyDescent="0.2">
      <c r="J3899"/>
    </row>
    <row r="3900" spans="10:10" x14ac:dyDescent="0.2">
      <c r="J3900"/>
    </row>
    <row r="3901" spans="10:10" x14ac:dyDescent="0.2">
      <c r="J3901"/>
    </row>
    <row r="3902" spans="10:10" x14ac:dyDescent="0.2">
      <c r="J3902"/>
    </row>
    <row r="3903" spans="10:10" x14ac:dyDescent="0.2">
      <c r="J3903"/>
    </row>
    <row r="3904" spans="10:10" x14ac:dyDescent="0.2">
      <c r="J3904"/>
    </row>
    <row r="3905" spans="10:10" x14ac:dyDescent="0.2">
      <c r="J3905"/>
    </row>
    <row r="3906" spans="10:10" x14ac:dyDescent="0.2">
      <c r="J3906"/>
    </row>
    <row r="3907" spans="10:10" x14ac:dyDescent="0.2">
      <c r="J3907"/>
    </row>
    <row r="3908" spans="10:10" x14ac:dyDescent="0.2">
      <c r="J3908"/>
    </row>
    <row r="3909" spans="10:10" x14ac:dyDescent="0.2">
      <c r="J3909"/>
    </row>
    <row r="3910" spans="10:10" x14ac:dyDescent="0.2">
      <c r="J3910"/>
    </row>
    <row r="3911" spans="10:10" x14ac:dyDescent="0.2">
      <c r="J3911"/>
    </row>
    <row r="3912" spans="10:10" x14ac:dyDescent="0.2">
      <c r="J3912"/>
    </row>
    <row r="3913" spans="10:10" x14ac:dyDescent="0.2">
      <c r="J3913"/>
    </row>
    <row r="3914" spans="10:10" x14ac:dyDescent="0.2">
      <c r="J3914"/>
    </row>
    <row r="3915" spans="10:10" x14ac:dyDescent="0.2">
      <c r="J3915"/>
    </row>
    <row r="3916" spans="10:10" x14ac:dyDescent="0.2">
      <c r="J3916"/>
    </row>
    <row r="3917" spans="10:10" x14ac:dyDescent="0.2">
      <c r="J3917"/>
    </row>
    <row r="3918" spans="10:10" x14ac:dyDescent="0.2">
      <c r="J3918"/>
    </row>
    <row r="3919" spans="10:10" x14ac:dyDescent="0.2">
      <c r="J3919"/>
    </row>
    <row r="3920" spans="10:10" x14ac:dyDescent="0.2">
      <c r="J3920"/>
    </row>
    <row r="3921" spans="10:10" x14ac:dyDescent="0.2">
      <c r="J3921"/>
    </row>
    <row r="3922" spans="10:10" x14ac:dyDescent="0.2">
      <c r="J3922"/>
    </row>
    <row r="3923" spans="10:10" x14ac:dyDescent="0.2">
      <c r="J3923"/>
    </row>
    <row r="3924" spans="10:10" x14ac:dyDescent="0.2">
      <c r="J3924"/>
    </row>
    <row r="3925" spans="10:10" x14ac:dyDescent="0.2">
      <c r="J3925"/>
    </row>
    <row r="3926" spans="10:10" x14ac:dyDescent="0.2">
      <c r="J3926"/>
    </row>
    <row r="3927" spans="10:10" x14ac:dyDescent="0.2">
      <c r="J3927"/>
    </row>
    <row r="3928" spans="10:10" x14ac:dyDescent="0.2">
      <c r="J3928"/>
    </row>
    <row r="3929" spans="10:10" x14ac:dyDescent="0.2">
      <c r="J3929"/>
    </row>
    <row r="3930" spans="10:10" x14ac:dyDescent="0.2">
      <c r="J3930"/>
    </row>
    <row r="3931" spans="10:10" x14ac:dyDescent="0.2">
      <c r="J3931"/>
    </row>
    <row r="3932" spans="10:10" x14ac:dyDescent="0.2">
      <c r="J3932"/>
    </row>
    <row r="3933" spans="10:10" x14ac:dyDescent="0.2">
      <c r="J3933"/>
    </row>
    <row r="3934" spans="10:10" x14ac:dyDescent="0.2">
      <c r="J3934"/>
    </row>
    <row r="3935" spans="10:10" x14ac:dyDescent="0.2">
      <c r="J3935"/>
    </row>
    <row r="3936" spans="10:10" x14ac:dyDescent="0.2">
      <c r="J3936"/>
    </row>
    <row r="3937" spans="10:10" x14ac:dyDescent="0.2">
      <c r="J3937"/>
    </row>
    <row r="3938" spans="10:10" x14ac:dyDescent="0.2">
      <c r="J3938"/>
    </row>
    <row r="3939" spans="10:10" x14ac:dyDescent="0.2">
      <c r="J3939"/>
    </row>
    <row r="3940" spans="10:10" x14ac:dyDescent="0.2">
      <c r="J3940"/>
    </row>
    <row r="3941" spans="10:10" x14ac:dyDescent="0.2">
      <c r="J3941"/>
    </row>
    <row r="3942" spans="10:10" x14ac:dyDescent="0.2">
      <c r="J3942"/>
    </row>
    <row r="3943" spans="10:10" x14ac:dyDescent="0.2">
      <c r="J3943"/>
    </row>
    <row r="3944" spans="10:10" x14ac:dyDescent="0.2">
      <c r="J3944"/>
    </row>
    <row r="3945" spans="10:10" x14ac:dyDescent="0.2">
      <c r="J3945"/>
    </row>
    <row r="3946" spans="10:10" x14ac:dyDescent="0.2">
      <c r="J3946"/>
    </row>
    <row r="3947" spans="10:10" x14ac:dyDescent="0.2">
      <c r="J3947"/>
    </row>
    <row r="3948" spans="10:10" x14ac:dyDescent="0.2">
      <c r="J3948"/>
    </row>
    <row r="3949" spans="10:10" x14ac:dyDescent="0.2">
      <c r="J3949"/>
    </row>
    <row r="3950" spans="10:10" x14ac:dyDescent="0.2">
      <c r="J3950"/>
    </row>
    <row r="3951" spans="10:10" x14ac:dyDescent="0.2">
      <c r="J3951"/>
    </row>
    <row r="3952" spans="10:10" x14ac:dyDescent="0.2">
      <c r="J3952"/>
    </row>
    <row r="3953" spans="10:10" x14ac:dyDescent="0.2">
      <c r="J3953"/>
    </row>
    <row r="3954" spans="10:10" x14ac:dyDescent="0.2">
      <c r="J3954"/>
    </row>
    <row r="3955" spans="10:10" x14ac:dyDescent="0.2">
      <c r="J3955"/>
    </row>
    <row r="3956" spans="10:10" x14ac:dyDescent="0.2">
      <c r="J3956"/>
    </row>
    <row r="3957" spans="10:10" x14ac:dyDescent="0.2">
      <c r="J3957"/>
    </row>
    <row r="3958" spans="10:10" x14ac:dyDescent="0.2">
      <c r="J3958"/>
    </row>
    <row r="3959" spans="10:10" x14ac:dyDescent="0.2">
      <c r="J3959"/>
    </row>
    <row r="3960" spans="10:10" x14ac:dyDescent="0.2">
      <c r="J3960"/>
    </row>
    <row r="3961" spans="10:10" x14ac:dyDescent="0.2">
      <c r="J3961"/>
    </row>
    <row r="3962" spans="10:10" x14ac:dyDescent="0.2">
      <c r="J3962"/>
    </row>
    <row r="3963" spans="10:10" x14ac:dyDescent="0.2">
      <c r="J3963"/>
    </row>
    <row r="3964" spans="10:10" x14ac:dyDescent="0.2">
      <c r="J3964"/>
    </row>
    <row r="3965" spans="10:10" x14ac:dyDescent="0.2">
      <c r="J3965"/>
    </row>
    <row r="3966" spans="10:10" x14ac:dyDescent="0.2">
      <c r="J3966"/>
    </row>
    <row r="3967" spans="10:10" x14ac:dyDescent="0.2">
      <c r="J3967"/>
    </row>
    <row r="3968" spans="10:10" x14ac:dyDescent="0.2">
      <c r="J3968"/>
    </row>
    <row r="3969" spans="10:10" x14ac:dyDescent="0.2">
      <c r="J3969"/>
    </row>
    <row r="3970" spans="10:10" x14ac:dyDescent="0.2">
      <c r="J3970"/>
    </row>
    <row r="3971" spans="10:10" x14ac:dyDescent="0.2">
      <c r="J3971"/>
    </row>
    <row r="3972" spans="10:10" x14ac:dyDescent="0.2">
      <c r="J3972"/>
    </row>
    <row r="3973" spans="10:10" x14ac:dyDescent="0.2">
      <c r="J3973"/>
    </row>
    <row r="3974" spans="10:10" x14ac:dyDescent="0.2">
      <c r="J3974"/>
    </row>
    <row r="3975" spans="10:10" x14ac:dyDescent="0.2">
      <c r="J3975"/>
    </row>
    <row r="3976" spans="10:10" x14ac:dyDescent="0.2">
      <c r="J3976"/>
    </row>
    <row r="3977" spans="10:10" x14ac:dyDescent="0.2">
      <c r="J3977"/>
    </row>
    <row r="3978" spans="10:10" x14ac:dyDescent="0.2">
      <c r="J3978"/>
    </row>
    <row r="3979" spans="10:10" x14ac:dyDescent="0.2">
      <c r="J3979"/>
    </row>
    <row r="3980" spans="10:10" x14ac:dyDescent="0.2">
      <c r="J3980"/>
    </row>
    <row r="3981" spans="10:10" x14ac:dyDescent="0.2">
      <c r="J3981"/>
    </row>
    <row r="3982" spans="10:10" x14ac:dyDescent="0.2">
      <c r="J3982"/>
    </row>
    <row r="3983" spans="10:10" x14ac:dyDescent="0.2">
      <c r="J3983"/>
    </row>
    <row r="3984" spans="10:10" x14ac:dyDescent="0.2">
      <c r="J3984"/>
    </row>
    <row r="3985" spans="10:10" x14ac:dyDescent="0.2">
      <c r="J3985"/>
    </row>
    <row r="3986" spans="10:10" x14ac:dyDescent="0.2">
      <c r="J3986"/>
    </row>
    <row r="3987" spans="10:10" x14ac:dyDescent="0.2">
      <c r="J3987"/>
    </row>
    <row r="3988" spans="10:10" x14ac:dyDescent="0.2">
      <c r="J3988"/>
    </row>
    <row r="3989" spans="10:10" x14ac:dyDescent="0.2">
      <c r="J3989"/>
    </row>
    <row r="3990" spans="10:10" x14ac:dyDescent="0.2">
      <c r="J3990"/>
    </row>
    <row r="3991" spans="10:10" x14ac:dyDescent="0.2">
      <c r="J3991"/>
    </row>
    <row r="3992" spans="10:10" x14ac:dyDescent="0.2">
      <c r="J3992"/>
    </row>
    <row r="3993" spans="10:10" x14ac:dyDescent="0.2">
      <c r="J3993"/>
    </row>
    <row r="3994" spans="10:10" x14ac:dyDescent="0.2">
      <c r="J3994"/>
    </row>
    <row r="3995" spans="10:10" x14ac:dyDescent="0.2">
      <c r="J3995"/>
    </row>
    <row r="3996" spans="10:10" x14ac:dyDescent="0.2">
      <c r="J3996"/>
    </row>
    <row r="3997" spans="10:10" x14ac:dyDescent="0.2">
      <c r="J3997"/>
    </row>
    <row r="3998" spans="10:10" x14ac:dyDescent="0.2">
      <c r="J3998"/>
    </row>
    <row r="3999" spans="10:10" x14ac:dyDescent="0.2">
      <c r="J3999"/>
    </row>
    <row r="4000" spans="10:10" x14ac:dyDescent="0.2">
      <c r="J4000"/>
    </row>
    <row r="4001" spans="10:10" x14ac:dyDescent="0.2">
      <c r="J4001"/>
    </row>
    <row r="4002" spans="10:10" x14ac:dyDescent="0.2">
      <c r="J4002"/>
    </row>
    <row r="4003" spans="10:10" x14ac:dyDescent="0.2">
      <c r="J4003"/>
    </row>
    <row r="4004" spans="10:10" x14ac:dyDescent="0.2">
      <c r="J4004"/>
    </row>
    <row r="4005" spans="10:10" x14ac:dyDescent="0.2">
      <c r="J4005"/>
    </row>
    <row r="4006" spans="10:10" x14ac:dyDescent="0.2">
      <c r="J4006"/>
    </row>
    <row r="4007" spans="10:10" x14ac:dyDescent="0.2">
      <c r="J4007"/>
    </row>
    <row r="4008" spans="10:10" x14ac:dyDescent="0.2">
      <c r="J4008"/>
    </row>
    <row r="4009" spans="10:10" x14ac:dyDescent="0.2">
      <c r="J4009"/>
    </row>
    <row r="4010" spans="10:10" x14ac:dyDescent="0.2">
      <c r="J4010"/>
    </row>
    <row r="4011" spans="10:10" x14ac:dyDescent="0.2">
      <c r="J4011"/>
    </row>
    <row r="4012" spans="10:10" x14ac:dyDescent="0.2">
      <c r="J4012"/>
    </row>
    <row r="4013" spans="10:10" x14ac:dyDescent="0.2">
      <c r="J4013"/>
    </row>
    <row r="4014" spans="10:10" x14ac:dyDescent="0.2">
      <c r="J4014"/>
    </row>
    <row r="4015" spans="10:10" x14ac:dyDescent="0.2">
      <c r="J4015"/>
    </row>
    <row r="4016" spans="10:10" x14ac:dyDescent="0.2">
      <c r="J4016"/>
    </row>
    <row r="4017" spans="10:10" x14ac:dyDescent="0.2">
      <c r="J4017"/>
    </row>
    <row r="4018" spans="10:10" x14ac:dyDescent="0.2">
      <c r="J4018"/>
    </row>
    <row r="4019" spans="10:10" x14ac:dyDescent="0.2">
      <c r="J4019"/>
    </row>
    <row r="4020" spans="10:10" x14ac:dyDescent="0.2">
      <c r="J4020"/>
    </row>
    <row r="4021" spans="10:10" x14ac:dyDescent="0.2">
      <c r="J4021"/>
    </row>
    <row r="4022" spans="10:10" x14ac:dyDescent="0.2">
      <c r="J4022"/>
    </row>
    <row r="4023" spans="10:10" x14ac:dyDescent="0.2">
      <c r="J4023"/>
    </row>
    <row r="4024" spans="10:10" x14ac:dyDescent="0.2">
      <c r="J4024"/>
    </row>
    <row r="4025" spans="10:10" x14ac:dyDescent="0.2">
      <c r="J4025"/>
    </row>
    <row r="4026" spans="10:10" x14ac:dyDescent="0.2">
      <c r="J4026"/>
    </row>
    <row r="4027" spans="10:10" x14ac:dyDescent="0.2">
      <c r="J4027"/>
    </row>
    <row r="4028" spans="10:10" x14ac:dyDescent="0.2">
      <c r="J4028"/>
    </row>
    <row r="4029" spans="10:10" x14ac:dyDescent="0.2">
      <c r="J4029"/>
    </row>
    <row r="4030" spans="10:10" x14ac:dyDescent="0.2">
      <c r="J4030"/>
    </row>
    <row r="4031" spans="10:10" x14ac:dyDescent="0.2">
      <c r="J4031"/>
    </row>
    <row r="4032" spans="10:10" x14ac:dyDescent="0.2">
      <c r="J4032"/>
    </row>
    <row r="4033" spans="10:10" x14ac:dyDescent="0.2">
      <c r="J4033"/>
    </row>
    <row r="4034" spans="10:10" x14ac:dyDescent="0.2">
      <c r="J4034"/>
    </row>
    <row r="4035" spans="10:10" x14ac:dyDescent="0.2">
      <c r="J4035"/>
    </row>
    <row r="4036" spans="10:10" x14ac:dyDescent="0.2">
      <c r="J4036"/>
    </row>
    <row r="4037" spans="10:10" x14ac:dyDescent="0.2">
      <c r="J4037"/>
    </row>
    <row r="4038" spans="10:10" x14ac:dyDescent="0.2">
      <c r="J4038"/>
    </row>
    <row r="4039" spans="10:10" x14ac:dyDescent="0.2">
      <c r="J4039"/>
    </row>
    <row r="4040" spans="10:10" x14ac:dyDescent="0.2">
      <c r="J4040"/>
    </row>
    <row r="4041" spans="10:10" x14ac:dyDescent="0.2">
      <c r="J4041"/>
    </row>
    <row r="4042" spans="10:10" x14ac:dyDescent="0.2">
      <c r="J4042"/>
    </row>
    <row r="4043" spans="10:10" x14ac:dyDescent="0.2">
      <c r="J4043"/>
    </row>
    <row r="4044" spans="10:10" x14ac:dyDescent="0.2">
      <c r="J4044"/>
    </row>
    <row r="4045" spans="10:10" x14ac:dyDescent="0.2">
      <c r="J4045"/>
    </row>
    <row r="4046" spans="10:10" x14ac:dyDescent="0.2">
      <c r="J4046"/>
    </row>
    <row r="4047" spans="10:10" x14ac:dyDescent="0.2">
      <c r="J4047"/>
    </row>
    <row r="4048" spans="10:10" x14ac:dyDescent="0.2">
      <c r="J4048"/>
    </row>
    <row r="4049" spans="10:10" x14ac:dyDescent="0.2">
      <c r="J4049"/>
    </row>
    <row r="4050" spans="10:10" x14ac:dyDescent="0.2">
      <c r="J4050"/>
    </row>
    <row r="4051" spans="10:10" x14ac:dyDescent="0.2">
      <c r="J4051"/>
    </row>
    <row r="4052" spans="10:10" x14ac:dyDescent="0.2">
      <c r="J4052"/>
    </row>
    <row r="4053" spans="10:10" x14ac:dyDescent="0.2">
      <c r="J4053"/>
    </row>
    <row r="4054" spans="10:10" x14ac:dyDescent="0.2">
      <c r="J4054"/>
    </row>
    <row r="4055" spans="10:10" x14ac:dyDescent="0.2">
      <c r="J4055"/>
    </row>
    <row r="4056" spans="10:10" x14ac:dyDescent="0.2">
      <c r="J4056"/>
    </row>
    <row r="4057" spans="10:10" x14ac:dyDescent="0.2">
      <c r="J4057"/>
    </row>
    <row r="4058" spans="10:10" x14ac:dyDescent="0.2">
      <c r="J4058"/>
    </row>
    <row r="4059" spans="10:10" x14ac:dyDescent="0.2">
      <c r="J4059"/>
    </row>
    <row r="4060" spans="10:10" x14ac:dyDescent="0.2">
      <c r="J4060"/>
    </row>
    <row r="4061" spans="10:10" x14ac:dyDescent="0.2">
      <c r="J4061"/>
    </row>
    <row r="4062" spans="10:10" x14ac:dyDescent="0.2">
      <c r="J4062"/>
    </row>
    <row r="4063" spans="10:10" x14ac:dyDescent="0.2">
      <c r="J4063"/>
    </row>
    <row r="4064" spans="10:10" x14ac:dyDescent="0.2">
      <c r="J4064"/>
    </row>
    <row r="4065" spans="10:10" x14ac:dyDescent="0.2">
      <c r="J4065"/>
    </row>
    <row r="4066" spans="10:10" x14ac:dyDescent="0.2">
      <c r="J4066"/>
    </row>
    <row r="4067" spans="10:10" x14ac:dyDescent="0.2">
      <c r="J4067"/>
    </row>
    <row r="4068" spans="10:10" x14ac:dyDescent="0.2">
      <c r="J4068"/>
    </row>
    <row r="4069" spans="10:10" x14ac:dyDescent="0.2">
      <c r="J4069"/>
    </row>
    <row r="4070" spans="10:10" x14ac:dyDescent="0.2">
      <c r="J4070"/>
    </row>
    <row r="4071" spans="10:10" x14ac:dyDescent="0.2">
      <c r="J4071"/>
    </row>
    <row r="4072" spans="10:10" x14ac:dyDescent="0.2">
      <c r="J4072"/>
    </row>
    <row r="4073" spans="10:10" x14ac:dyDescent="0.2">
      <c r="J4073"/>
    </row>
    <row r="4074" spans="10:10" x14ac:dyDescent="0.2">
      <c r="J4074"/>
    </row>
    <row r="4075" spans="10:10" x14ac:dyDescent="0.2">
      <c r="J4075"/>
    </row>
    <row r="4076" spans="10:10" x14ac:dyDescent="0.2">
      <c r="J4076"/>
    </row>
    <row r="4077" spans="10:10" x14ac:dyDescent="0.2">
      <c r="J4077"/>
    </row>
    <row r="4078" spans="10:10" x14ac:dyDescent="0.2">
      <c r="J4078"/>
    </row>
    <row r="4079" spans="10:10" x14ac:dyDescent="0.2">
      <c r="J4079"/>
    </row>
    <row r="4080" spans="10:10" x14ac:dyDescent="0.2">
      <c r="J4080"/>
    </row>
    <row r="4081" spans="10:10" x14ac:dyDescent="0.2">
      <c r="J4081"/>
    </row>
    <row r="4082" spans="10:10" x14ac:dyDescent="0.2">
      <c r="J4082"/>
    </row>
    <row r="4083" spans="10:10" x14ac:dyDescent="0.2">
      <c r="J4083"/>
    </row>
    <row r="4084" spans="10:10" x14ac:dyDescent="0.2">
      <c r="J4084"/>
    </row>
    <row r="4085" spans="10:10" x14ac:dyDescent="0.2">
      <c r="J4085"/>
    </row>
    <row r="4086" spans="10:10" x14ac:dyDescent="0.2">
      <c r="J4086"/>
    </row>
    <row r="4087" spans="10:10" x14ac:dyDescent="0.2">
      <c r="J4087"/>
    </row>
    <row r="4088" spans="10:10" x14ac:dyDescent="0.2">
      <c r="J4088"/>
    </row>
    <row r="4089" spans="10:10" x14ac:dyDescent="0.2">
      <c r="J4089"/>
    </row>
    <row r="4090" spans="10:10" x14ac:dyDescent="0.2">
      <c r="J4090"/>
    </row>
    <row r="4091" spans="10:10" x14ac:dyDescent="0.2">
      <c r="J4091"/>
    </row>
    <row r="4092" spans="10:10" x14ac:dyDescent="0.2">
      <c r="J4092"/>
    </row>
    <row r="4093" spans="10:10" x14ac:dyDescent="0.2">
      <c r="J4093"/>
    </row>
    <row r="4094" spans="10:10" x14ac:dyDescent="0.2">
      <c r="J4094"/>
    </row>
    <row r="4095" spans="10:10" x14ac:dyDescent="0.2">
      <c r="J4095"/>
    </row>
    <row r="4096" spans="10:10" x14ac:dyDescent="0.2">
      <c r="J4096"/>
    </row>
    <row r="4097" spans="10:10" x14ac:dyDescent="0.2">
      <c r="J4097"/>
    </row>
    <row r="4098" spans="10:10" x14ac:dyDescent="0.2">
      <c r="J4098"/>
    </row>
    <row r="4099" spans="10:10" x14ac:dyDescent="0.2">
      <c r="J4099"/>
    </row>
    <row r="4100" spans="10:10" x14ac:dyDescent="0.2">
      <c r="J4100"/>
    </row>
    <row r="4101" spans="10:10" x14ac:dyDescent="0.2">
      <c r="J4101"/>
    </row>
    <row r="4102" spans="10:10" x14ac:dyDescent="0.2">
      <c r="J4102"/>
    </row>
    <row r="4103" spans="10:10" x14ac:dyDescent="0.2">
      <c r="J4103"/>
    </row>
    <row r="4104" spans="10:10" x14ac:dyDescent="0.2">
      <c r="J4104"/>
    </row>
    <row r="4105" spans="10:10" x14ac:dyDescent="0.2">
      <c r="J4105"/>
    </row>
    <row r="4106" spans="10:10" x14ac:dyDescent="0.2">
      <c r="J4106"/>
    </row>
    <row r="4107" spans="10:10" x14ac:dyDescent="0.2">
      <c r="J4107"/>
    </row>
    <row r="4108" spans="10:10" x14ac:dyDescent="0.2">
      <c r="J4108"/>
    </row>
    <row r="4109" spans="10:10" x14ac:dyDescent="0.2">
      <c r="J4109"/>
    </row>
    <row r="4110" spans="10:10" x14ac:dyDescent="0.2">
      <c r="J4110"/>
    </row>
    <row r="4111" spans="10:10" x14ac:dyDescent="0.2">
      <c r="J4111"/>
    </row>
    <row r="4112" spans="10:10" x14ac:dyDescent="0.2">
      <c r="J4112"/>
    </row>
    <row r="4113" spans="10:10" x14ac:dyDescent="0.2">
      <c r="J4113"/>
    </row>
    <row r="4114" spans="10:10" x14ac:dyDescent="0.2">
      <c r="J4114"/>
    </row>
    <row r="4115" spans="10:10" x14ac:dyDescent="0.2">
      <c r="J4115"/>
    </row>
    <row r="4116" spans="10:10" x14ac:dyDescent="0.2">
      <c r="J4116"/>
    </row>
    <row r="4117" spans="10:10" x14ac:dyDescent="0.2">
      <c r="J4117"/>
    </row>
    <row r="4118" spans="10:10" x14ac:dyDescent="0.2">
      <c r="J4118"/>
    </row>
    <row r="4119" spans="10:10" x14ac:dyDescent="0.2">
      <c r="J4119"/>
    </row>
    <row r="4120" spans="10:10" x14ac:dyDescent="0.2">
      <c r="J4120"/>
    </row>
    <row r="4121" spans="10:10" x14ac:dyDescent="0.2">
      <c r="J4121"/>
    </row>
    <row r="4122" spans="10:10" x14ac:dyDescent="0.2">
      <c r="J4122"/>
    </row>
    <row r="4123" spans="10:10" x14ac:dyDescent="0.2">
      <c r="J4123"/>
    </row>
    <row r="4124" spans="10:10" x14ac:dyDescent="0.2">
      <c r="J4124"/>
    </row>
    <row r="4125" spans="10:10" x14ac:dyDescent="0.2">
      <c r="J4125"/>
    </row>
    <row r="4126" spans="10:10" x14ac:dyDescent="0.2">
      <c r="J4126"/>
    </row>
    <row r="4127" spans="10:10" x14ac:dyDescent="0.2">
      <c r="J4127"/>
    </row>
    <row r="4128" spans="10:10" x14ac:dyDescent="0.2">
      <c r="J4128"/>
    </row>
    <row r="4129" spans="10:10" x14ac:dyDescent="0.2">
      <c r="J4129"/>
    </row>
    <row r="4130" spans="10:10" x14ac:dyDescent="0.2">
      <c r="J4130"/>
    </row>
    <row r="4131" spans="10:10" x14ac:dyDescent="0.2">
      <c r="J4131"/>
    </row>
    <row r="4132" spans="10:10" x14ac:dyDescent="0.2">
      <c r="J4132"/>
    </row>
    <row r="4133" spans="10:10" x14ac:dyDescent="0.2">
      <c r="J4133"/>
    </row>
    <row r="4134" spans="10:10" x14ac:dyDescent="0.2">
      <c r="J4134"/>
    </row>
    <row r="4135" spans="10:10" x14ac:dyDescent="0.2">
      <c r="J4135"/>
    </row>
    <row r="4136" spans="10:10" x14ac:dyDescent="0.2">
      <c r="J4136"/>
    </row>
    <row r="4137" spans="10:10" x14ac:dyDescent="0.2">
      <c r="J4137"/>
    </row>
    <row r="4138" spans="10:10" x14ac:dyDescent="0.2">
      <c r="J4138"/>
    </row>
    <row r="4139" spans="10:10" x14ac:dyDescent="0.2">
      <c r="J4139"/>
    </row>
    <row r="4140" spans="10:10" x14ac:dyDescent="0.2">
      <c r="J4140"/>
    </row>
    <row r="4141" spans="10:10" x14ac:dyDescent="0.2">
      <c r="J4141"/>
    </row>
    <row r="4142" spans="10:10" x14ac:dyDescent="0.2">
      <c r="J4142"/>
    </row>
    <row r="4143" spans="10:10" x14ac:dyDescent="0.2">
      <c r="J4143"/>
    </row>
    <row r="4144" spans="10:10" x14ac:dyDescent="0.2">
      <c r="J4144"/>
    </row>
    <row r="4145" spans="10:10" x14ac:dyDescent="0.2">
      <c r="J4145"/>
    </row>
    <row r="4146" spans="10:10" x14ac:dyDescent="0.2">
      <c r="J4146"/>
    </row>
    <row r="4147" spans="10:10" x14ac:dyDescent="0.2">
      <c r="J4147"/>
    </row>
    <row r="4148" spans="10:10" x14ac:dyDescent="0.2">
      <c r="J4148"/>
    </row>
    <row r="4149" spans="10:10" x14ac:dyDescent="0.2">
      <c r="J4149"/>
    </row>
    <row r="4150" spans="10:10" x14ac:dyDescent="0.2">
      <c r="J4150"/>
    </row>
    <row r="4151" spans="10:10" x14ac:dyDescent="0.2">
      <c r="J4151"/>
    </row>
    <row r="4152" spans="10:10" x14ac:dyDescent="0.2">
      <c r="J4152"/>
    </row>
    <row r="4153" spans="10:10" x14ac:dyDescent="0.2">
      <c r="J4153"/>
    </row>
    <row r="4154" spans="10:10" x14ac:dyDescent="0.2">
      <c r="J4154"/>
    </row>
    <row r="4155" spans="10:10" x14ac:dyDescent="0.2">
      <c r="J4155"/>
    </row>
    <row r="4156" spans="10:10" x14ac:dyDescent="0.2">
      <c r="J4156"/>
    </row>
    <row r="4157" spans="10:10" x14ac:dyDescent="0.2">
      <c r="J4157"/>
    </row>
    <row r="4158" spans="10:10" x14ac:dyDescent="0.2">
      <c r="J4158"/>
    </row>
    <row r="4159" spans="10:10" x14ac:dyDescent="0.2">
      <c r="J4159"/>
    </row>
    <row r="4160" spans="10:10" x14ac:dyDescent="0.2">
      <c r="J4160"/>
    </row>
    <row r="4161" spans="10:10" x14ac:dyDescent="0.2">
      <c r="J4161"/>
    </row>
    <row r="4162" spans="10:10" x14ac:dyDescent="0.2">
      <c r="J4162"/>
    </row>
    <row r="4163" spans="10:10" x14ac:dyDescent="0.2">
      <c r="J4163"/>
    </row>
    <row r="4164" spans="10:10" x14ac:dyDescent="0.2">
      <c r="J4164"/>
    </row>
    <row r="4165" spans="10:10" x14ac:dyDescent="0.2">
      <c r="J4165"/>
    </row>
    <row r="4166" spans="10:10" x14ac:dyDescent="0.2">
      <c r="J4166"/>
    </row>
    <row r="4167" spans="10:10" x14ac:dyDescent="0.2">
      <c r="J4167"/>
    </row>
    <row r="4168" spans="10:10" x14ac:dyDescent="0.2">
      <c r="J4168"/>
    </row>
    <row r="4169" spans="10:10" x14ac:dyDescent="0.2">
      <c r="J4169"/>
    </row>
    <row r="4170" spans="10:10" x14ac:dyDescent="0.2">
      <c r="J4170"/>
    </row>
    <row r="4171" spans="10:10" x14ac:dyDescent="0.2">
      <c r="J4171"/>
    </row>
    <row r="4172" spans="10:10" x14ac:dyDescent="0.2">
      <c r="J4172"/>
    </row>
    <row r="4173" spans="10:10" x14ac:dyDescent="0.2">
      <c r="J4173"/>
    </row>
    <row r="4174" spans="10:10" x14ac:dyDescent="0.2">
      <c r="J4174"/>
    </row>
    <row r="4175" spans="10:10" x14ac:dyDescent="0.2">
      <c r="J4175"/>
    </row>
    <row r="4176" spans="10:10" x14ac:dyDescent="0.2">
      <c r="J4176"/>
    </row>
    <row r="4177" spans="10:10" x14ac:dyDescent="0.2">
      <c r="J4177"/>
    </row>
    <row r="4178" spans="10:10" x14ac:dyDescent="0.2">
      <c r="J4178"/>
    </row>
    <row r="4179" spans="10:10" x14ac:dyDescent="0.2">
      <c r="J4179"/>
    </row>
    <row r="4180" spans="10:10" x14ac:dyDescent="0.2">
      <c r="J4180"/>
    </row>
    <row r="4181" spans="10:10" x14ac:dyDescent="0.2">
      <c r="J4181"/>
    </row>
    <row r="4182" spans="10:10" x14ac:dyDescent="0.2">
      <c r="J4182"/>
    </row>
    <row r="4183" spans="10:10" x14ac:dyDescent="0.2">
      <c r="J4183"/>
    </row>
    <row r="4184" spans="10:10" x14ac:dyDescent="0.2">
      <c r="J4184"/>
    </row>
    <row r="4185" spans="10:10" x14ac:dyDescent="0.2">
      <c r="J4185"/>
    </row>
    <row r="4186" spans="10:10" x14ac:dyDescent="0.2">
      <c r="J4186"/>
    </row>
    <row r="4187" spans="10:10" x14ac:dyDescent="0.2">
      <c r="J4187"/>
    </row>
    <row r="4188" spans="10:10" x14ac:dyDescent="0.2">
      <c r="J4188"/>
    </row>
    <row r="4189" spans="10:10" x14ac:dyDescent="0.2">
      <c r="J4189"/>
    </row>
    <row r="4190" spans="10:10" x14ac:dyDescent="0.2">
      <c r="J4190"/>
    </row>
    <row r="4191" spans="10:10" x14ac:dyDescent="0.2">
      <c r="J4191"/>
    </row>
    <row r="4192" spans="10:10" x14ac:dyDescent="0.2">
      <c r="J4192"/>
    </row>
    <row r="4193" spans="10:10" x14ac:dyDescent="0.2">
      <c r="J4193"/>
    </row>
    <row r="4194" spans="10:10" x14ac:dyDescent="0.2">
      <c r="J4194"/>
    </row>
    <row r="4195" spans="10:10" x14ac:dyDescent="0.2">
      <c r="J4195"/>
    </row>
    <row r="4196" spans="10:10" x14ac:dyDescent="0.2">
      <c r="J4196"/>
    </row>
    <row r="4197" spans="10:10" x14ac:dyDescent="0.2">
      <c r="J4197"/>
    </row>
    <row r="4198" spans="10:10" x14ac:dyDescent="0.2">
      <c r="J4198"/>
    </row>
    <row r="4199" spans="10:10" x14ac:dyDescent="0.2">
      <c r="J4199"/>
    </row>
    <row r="4200" spans="10:10" x14ac:dyDescent="0.2">
      <c r="J4200"/>
    </row>
    <row r="4201" spans="10:10" x14ac:dyDescent="0.2">
      <c r="J4201"/>
    </row>
    <row r="4202" spans="10:10" x14ac:dyDescent="0.2">
      <c r="J4202"/>
    </row>
    <row r="4203" spans="10:10" x14ac:dyDescent="0.2">
      <c r="J4203"/>
    </row>
    <row r="4204" spans="10:10" x14ac:dyDescent="0.2">
      <c r="J4204"/>
    </row>
    <row r="4205" spans="10:10" x14ac:dyDescent="0.2">
      <c r="J4205"/>
    </row>
    <row r="4206" spans="10:10" x14ac:dyDescent="0.2">
      <c r="J4206"/>
    </row>
    <row r="4207" spans="10:10" x14ac:dyDescent="0.2">
      <c r="J4207"/>
    </row>
    <row r="4208" spans="10:10" x14ac:dyDescent="0.2">
      <c r="J4208"/>
    </row>
    <row r="4209" spans="10:10" x14ac:dyDescent="0.2">
      <c r="J4209"/>
    </row>
    <row r="4210" spans="10:10" x14ac:dyDescent="0.2">
      <c r="J4210"/>
    </row>
    <row r="4211" spans="10:10" x14ac:dyDescent="0.2">
      <c r="J4211"/>
    </row>
    <row r="4212" spans="10:10" x14ac:dyDescent="0.2">
      <c r="J4212"/>
    </row>
    <row r="4213" spans="10:10" x14ac:dyDescent="0.2">
      <c r="J4213"/>
    </row>
    <row r="4214" spans="10:10" x14ac:dyDescent="0.2">
      <c r="J4214"/>
    </row>
    <row r="4215" spans="10:10" x14ac:dyDescent="0.2">
      <c r="J4215"/>
    </row>
    <row r="4216" spans="10:10" x14ac:dyDescent="0.2">
      <c r="J4216"/>
    </row>
    <row r="4217" spans="10:10" x14ac:dyDescent="0.2">
      <c r="J4217"/>
    </row>
    <row r="4218" spans="10:10" x14ac:dyDescent="0.2">
      <c r="J4218"/>
    </row>
    <row r="4219" spans="10:10" x14ac:dyDescent="0.2">
      <c r="J4219"/>
    </row>
    <row r="4220" spans="10:10" x14ac:dyDescent="0.2">
      <c r="J4220"/>
    </row>
    <row r="4221" spans="10:10" x14ac:dyDescent="0.2">
      <c r="J4221"/>
    </row>
    <row r="4222" spans="10:10" x14ac:dyDescent="0.2">
      <c r="J4222"/>
    </row>
    <row r="4223" spans="10:10" x14ac:dyDescent="0.2">
      <c r="J4223"/>
    </row>
    <row r="4224" spans="10:10" x14ac:dyDescent="0.2">
      <c r="J4224"/>
    </row>
    <row r="4225" spans="10:10" x14ac:dyDescent="0.2">
      <c r="J4225"/>
    </row>
    <row r="4226" spans="10:10" x14ac:dyDescent="0.2">
      <c r="J4226"/>
    </row>
    <row r="4227" spans="10:10" x14ac:dyDescent="0.2">
      <c r="J4227"/>
    </row>
    <row r="4228" spans="10:10" x14ac:dyDescent="0.2">
      <c r="J4228"/>
    </row>
    <row r="4229" spans="10:10" x14ac:dyDescent="0.2">
      <c r="J4229"/>
    </row>
    <row r="4230" spans="10:10" x14ac:dyDescent="0.2">
      <c r="J4230"/>
    </row>
    <row r="4231" spans="10:10" x14ac:dyDescent="0.2">
      <c r="J4231"/>
    </row>
    <row r="4232" spans="10:10" x14ac:dyDescent="0.2">
      <c r="J4232"/>
    </row>
    <row r="4233" spans="10:10" x14ac:dyDescent="0.2">
      <c r="J4233"/>
    </row>
    <row r="4234" spans="10:10" x14ac:dyDescent="0.2">
      <c r="J4234"/>
    </row>
    <row r="4235" spans="10:10" x14ac:dyDescent="0.2">
      <c r="J4235"/>
    </row>
    <row r="4236" spans="10:10" x14ac:dyDescent="0.2">
      <c r="J4236"/>
    </row>
    <row r="4237" spans="10:10" x14ac:dyDescent="0.2">
      <c r="J4237"/>
    </row>
    <row r="4238" spans="10:10" x14ac:dyDescent="0.2">
      <c r="J4238"/>
    </row>
    <row r="4239" spans="10:10" x14ac:dyDescent="0.2">
      <c r="J4239"/>
    </row>
    <row r="4240" spans="10:10" x14ac:dyDescent="0.2">
      <c r="J4240"/>
    </row>
    <row r="4241" spans="10:10" x14ac:dyDescent="0.2">
      <c r="J4241"/>
    </row>
    <row r="4242" spans="10:10" x14ac:dyDescent="0.2">
      <c r="J4242"/>
    </row>
    <row r="4243" spans="10:10" x14ac:dyDescent="0.2">
      <c r="J4243"/>
    </row>
    <row r="4244" spans="10:10" x14ac:dyDescent="0.2">
      <c r="J4244"/>
    </row>
    <row r="4245" spans="10:10" x14ac:dyDescent="0.2">
      <c r="J4245"/>
    </row>
    <row r="4246" spans="10:10" x14ac:dyDescent="0.2">
      <c r="J4246"/>
    </row>
    <row r="4247" spans="10:10" x14ac:dyDescent="0.2">
      <c r="J4247"/>
    </row>
    <row r="4248" spans="10:10" x14ac:dyDescent="0.2">
      <c r="J4248"/>
    </row>
    <row r="4249" spans="10:10" x14ac:dyDescent="0.2">
      <c r="J4249"/>
    </row>
    <row r="4250" spans="10:10" x14ac:dyDescent="0.2">
      <c r="J4250"/>
    </row>
    <row r="4251" spans="10:10" x14ac:dyDescent="0.2">
      <c r="J4251"/>
    </row>
    <row r="4252" spans="10:10" x14ac:dyDescent="0.2">
      <c r="J4252"/>
    </row>
    <row r="4253" spans="10:10" x14ac:dyDescent="0.2">
      <c r="J4253"/>
    </row>
    <row r="4254" spans="10:10" x14ac:dyDescent="0.2">
      <c r="J4254"/>
    </row>
    <row r="4255" spans="10:10" x14ac:dyDescent="0.2">
      <c r="J4255"/>
    </row>
    <row r="4256" spans="10:10" x14ac:dyDescent="0.2">
      <c r="J4256"/>
    </row>
    <row r="4257" spans="10:10" x14ac:dyDescent="0.2">
      <c r="J4257"/>
    </row>
    <row r="4258" spans="10:10" x14ac:dyDescent="0.2">
      <c r="J4258"/>
    </row>
    <row r="4259" spans="10:10" x14ac:dyDescent="0.2">
      <c r="J4259"/>
    </row>
    <row r="4260" spans="10:10" x14ac:dyDescent="0.2">
      <c r="J4260"/>
    </row>
    <row r="4261" spans="10:10" x14ac:dyDescent="0.2">
      <c r="J4261"/>
    </row>
    <row r="4262" spans="10:10" x14ac:dyDescent="0.2">
      <c r="J4262"/>
    </row>
    <row r="4263" spans="10:10" x14ac:dyDescent="0.2">
      <c r="J4263"/>
    </row>
    <row r="4264" spans="10:10" x14ac:dyDescent="0.2">
      <c r="J4264"/>
    </row>
    <row r="4265" spans="10:10" x14ac:dyDescent="0.2">
      <c r="J4265"/>
    </row>
    <row r="4266" spans="10:10" x14ac:dyDescent="0.2">
      <c r="J4266"/>
    </row>
    <row r="4267" spans="10:10" x14ac:dyDescent="0.2">
      <c r="J4267"/>
    </row>
    <row r="4268" spans="10:10" x14ac:dyDescent="0.2">
      <c r="J4268"/>
    </row>
    <row r="4269" spans="10:10" x14ac:dyDescent="0.2">
      <c r="J4269"/>
    </row>
    <row r="4270" spans="10:10" x14ac:dyDescent="0.2">
      <c r="J4270"/>
    </row>
    <row r="4271" spans="10:10" x14ac:dyDescent="0.2">
      <c r="J4271"/>
    </row>
    <row r="4272" spans="10:10" x14ac:dyDescent="0.2">
      <c r="J4272"/>
    </row>
    <row r="4273" spans="10:10" x14ac:dyDescent="0.2">
      <c r="J4273"/>
    </row>
    <row r="4274" spans="10:10" x14ac:dyDescent="0.2">
      <c r="J4274"/>
    </row>
    <row r="4275" spans="10:10" x14ac:dyDescent="0.2">
      <c r="J4275"/>
    </row>
    <row r="4276" spans="10:10" x14ac:dyDescent="0.2">
      <c r="J4276"/>
    </row>
    <row r="4277" spans="10:10" x14ac:dyDescent="0.2">
      <c r="J4277"/>
    </row>
    <row r="4278" spans="10:10" x14ac:dyDescent="0.2">
      <c r="J4278"/>
    </row>
    <row r="4279" spans="10:10" x14ac:dyDescent="0.2">
      <c r="J4279"/>
    </row>
    <row r="4280" spans="10:10" x14ac:dyDescent="0.2">
      <c r="J4280"/>
    </row>
    <row r="4281" spans="10:10" x14ac:dyDescent="0.2">
      <c r="J4281"/>
    </row>
    <row r="4282" spans="10:10" x14ac:dyDescent="0.2">
      <c r="J4282"/>
    </row>
    <row r="4283" spans="10:10" x14ac:dyDescent="0.2">
      <c r="J4283"/>
    </row>
    <row r="4284" spans="10:10" x14ac:dyDescent="0.2">
      <c r="J4284"/>
    </row>
    <row r="4285" spans="10:10" x14ac:dyDescent="0.2">
      <c r="J4285"/>
    </row>
    <row r="4286" spans="10:10" x14ac:dyDescent="0.2">
      <c r="J4286"/>
    </row>
    <row r="4287" spans="10:10" x14ac:dyDescent="0.2">
      <c r="J4287"/>
    </row>
    <row r="4288" spans="10:10" x14ac:dyDescent="0.2">
      <c r="J4288"/>
    </row>
    <row r="4289" spans="10:10" x14ac:dyDescent="0.2">
      <c r="J4289"/>
    </row>
    <row r="4290" spans="10:10" x14ac:dyDescent="0.2">
      <c r="J4290"/>
    </row>
    <row r="4291" spans="10:10" x14ac:dyDescent="0.2">
      <c r="J4291"/>
    </row>
    <row r="4292" spans="10:10" x14ac:dyDescent="0.2">
      <c r="J4292"/>
    </row>
    <row r="4293" spans="10:10" x14ac:dyDescent="0.2">
      <c r="J4293"/>
    </row>
    <row r="4294" spans="10:10" x14ac:dyDescent="0.2">
      <c r="J4294"/>
    </row>
    <row r="4295" spans="10:10" x14ac:dyDescent="0.2">
      <c r="J4295"/>
    </row>
    <row r="4296" spans="10:10" x14ac:dyDescent="0.2">
      <c r="J4296"/>
    </row>
    <row r="4297" spans="10:10" x14ac:dyDescent="0.2">
      <c r="J4297"/>
    </row>
    <row r="4298" spans="10:10" x14ac:dyDescent="0.2">
      <c r="J4298"/>
    </row>
    <row r="4299" spans="10:10" x14ac:dyDescent="0.2">
      <c r="J4299"/>
    </row>
    <row r="4300" spans="10:10" x14ac:dyDescent="0.2">
      <c r="J4300"/>
    </row>
    <row r="4301" spans="10:10" x14ac:dyDescent="0.2">
      <c r="J4301"/>
    </row>
    <row r="4302" spans="10:10" x14ac:dyDescent="0.2">
      <c r="J4302"/>
    </row>
    <row r="4303" spans="10:10" x14ac:dyDescent="0.2">
      <c r="J4303"/>
    </row>
    <row r="4304" spans="10:10" x14ac:dyDescent="0.2">
      <c r="J4304"/>
    </row>
    <row r="4305" spans="10:10" x14ac:dyDescent="0.2">
      <c r="J4305"/>
    </row>
    <row r="4306" spans="10:10" x14ac:dyDescent="0.2">
      <c r="J4306"/>
    </row>
    <row r="4307" spans="10:10" x14ac:dyDescent="0.2">
      <c r="J4307"/>
    </row>
    <row r="4308" spans="10:10" x14ac:dyDescent="0.2">
      <c r="J4308"/>
    </row>
    <row r="4309" spans="10:10" x14ac:dyDescent="0.2">
      <c r="J4309"/>
    </row>
    <row r="4310" spans="10:10" x14ac:dyDescent="0.2">
      <c r="J4310"/>
    </row>
    <row r="4311" spans="10:10" x14ac:dyDescent="0.2">
      <c r="J4311"/>
    </row>
    <row r="4312" spans="10:10" x14ac:dyDescent="0.2">
      <c r="J4312"/>
    </row>
    <row r="4313" spans="10:10" x14ac:dyDescent="0.2">
      <c r="J4313"/>
    </row>
    <row r="4314" spans="10:10" x14ac:dyDescent="0.2">
      <c r="J4314"/>
    </row>
    <row r="4315" spans="10:10" x14ac:dyDescent="0.2">
      <c r="J4315"/>
    </row>
    <row r="4316" spans="10:10" x14ac:dyDescent="0.2">
      <c r="J4316"/>
    </row>
    <row r="4317" spans="10:10" x14ac:dyDescent="0.2">
      <c r="J4317"/>
    </row>
    <row r="4318" spans="10:10" x14ac:dyDescent="0.2">
      <c r="J4318"/>
    </row>
    <row r="4319" spans="10:10" x14ac:dyDescent="0.2">
      <c r="J4319"/>
    </row>
    <row r="4320" spans="10:10" x14ac:dyDescent="0.2">
      <c r="J4320"/>
    </row>
    <row r="4321" spans="10:10" x14ac:dyDescent="0.2">
      <c r="J4321"/>
    </row>
    <row r="4322" spans="10:10" x14ac:dyDescent="0.2">
      <c r="J4322"/>
    </row>
    <row r="4323" spans="10:10" x14ac:dyDescent="0.2">
      <c r="J4323"/>
    </row>
    <row r="4324" spans="10:10" x14ac:dyDescent="0.2">
      <c r="J4324"/>
    </row>
    <row r="4325" spans="10:10" x14ac:dyDescent="0.2">
      <c r="J4325"/>
    </row>
    <row r="4326" spans="10:10" x14ac:dyDescent="0.2">
      <c r="J4326"/>
    </row>
    <row r="4327" spans="10:10" x14ac:dyDescent="0.2">
      <c r="J4327"/>
    </row>
    <row r="4328" spans="10:10" x14ac:dyDescent="0.2">
      <c r="J4328"/>
    </row>
    <row r="4329" spans="10:10" x14ac:dyDescent="0.2">
      <c r="J4329"/>
    </row>
    <row r="4330" spans="10:10" x14ac:dyDescent="0.2">
      <c r="J4330"/>
    </row>
    <row r="4331" spans="10:10" x14ac:dyDescent="0.2">
      <c r="J4331"/>
    </row>
    <row r="4332" spans="10:10" x14ac:dyDescent="0.2">
      <c r="J4332"/>
    </row>
    <row r="4333" spans="10:10" x14ac:dyDescent="0.2">
      <c r="J4333"/>
    </row>
    <row r="4334" spans="10:10" x14ac:dyDescent="0.2">
      <c r="J4334"/>
    </row>
    <row r="4335" spans="10:10" x14ac:dyDescent="0.2">
      <c r="J4335"/>
    </row>
    <row r="4336" spans="10:10" x14ac:dyDescent="0.2">
      <c r="J4336"/>
    </row>
    <row r="4337" spans="10:10" x14ac:dyDescent="0.2">
      <c r="J4337"/>
    </row>
    <row r="4338" spans="10:10" x14ac:dyDescent="0.2">
      <c r="J4338"/>
    </row>
    <row r="4339" spans="10:10" x14ac:dyDescent="0.2">
      <c r="J4339"/>
    </row>
    <row r="4340" spans="10:10" x14ac:dyDescent="0.2">
      <c r="J4340"/>
    </row>
    <row r="4341" spans="10:10" x14ac:dyDescent="0.2">
      <c r="J4341"/>
    </row>
    <row r="4342" spans="10:10" x14ac:dyDescent="0.2">
      <c r="J4342"/>
    </row>
    <row r="4343" spans="10:10" x14ac:dyDescent="0.2">
      <c r="J4343"/>
    </row>
    <row r="4344" spans="10:10" x14ac:dyDescent="0.2">
      <c r="J4344"/>
    </row>
    <row r="4345" spans="10:10" x14ac:dyDescent="0.2">
      <c r="J4345"/>
    </row>
    <row r="4346" spans="10:10" x14ac:dyDescent="0.2">
      <c r="J4346"/>
    </row>
    <row r="4347" spans="10:10" x14ac:dyDescent="0.2">
      <c r="J4347"/>
    </row>
    <row r="4348" spans="10:10" x14ac:dyDescent="0.2">
      <c r="J4348"/>
    </row>
    <row r="4349" spans="10:10" x14ac:dyDescent="0.2">
      <c r="J4349"/>
    </row>
    <row r="4350" spans="10:10" x14ac:dyDescent="0.2">
      <c r="J4350"/>
    </row>
    <row r="4351" spans="10:10" x14ac:dyDescent="0.2">
      <c r="J4351"/>
    </row>
    <row r="4352" spans="10:10" x14ac:dyDescent="0.2">
      <c r="J4352"/>
    </row>
    <row r="4353" spans="10:10" x14ac:dyDescent="0.2">
      <c r="J4353"/>
    </row>
    <row r="4354" spans="10:10" x14ac:dyDescent="0.2">
      <c r="J4354"/>
    </row>
    <row r="4355" spans="10:10" x14ac:dyDescent="0.2">
      <c r="J4355"/>
    </row>
    <row r="4356" spans="10:10" x14ac:dyDescent="0.2">
      <c r="J4356"/>
    </row>
    <row r="4357" spans="10:10" x14ac:dyDescent="0.2">
      <c r="J4357"/>
    </row>
    <row r="4358" spans="10:10" x14ac:dyDescent="0.2">
      <c r="J4358"/>
    </row>
    <row r="4359" spans="10:10" x14ac:dyDescent="0.2">
      <c r="J4359"/>
    </row>
    <row r="4360" spans="10:10" x14ac:dyDescent="0.2">
      <c r="J4360"/>
    </row>
    <row r="4361" spans="10:10" x14ac:dyDescent="0.2">
      <c r="J4361"/>
    </row>
    <row r="4362" spans="10:10" x14ac:dyDescent="0.2">
      <c r="J4362"/>
    </row>
    <row r="4363" spans="10:10" x14ac:dyDescent="0.2">
      <c r="J4363"/>
    </row>
    <row r="4364" spans="10:10" x14ac:dyDescent="0.2">
      <c r="J4364"/>
    </row>
    <row r="4365" spans="10:10" x14ac:dyDescent="0.2">
      <c r="J4365"/>
    </row>
    <row r="4366" spans="10:10" x14ac:dyDescent="0.2">
      <c r="J4366"/>
    </row>
    <row r="4367" spans="10:10" x14ac:dyDescent="0.2">
      <c r="J4367"/>
    </row>
    <row r="4368" spans="10:10" x14ac:dyDescent="0.2">
      <c r="J4368"/>
    </row>
    <row r="4369" spans="10:10" x14ac:dyDescent="0.2">
      <c r="J4369"/>
    </row>
    <row r="4370" spans="10:10" x14ac:dyDescent="0.2">
      <c r="J4370"/>
    </row>
    <row r="4371" spans="10:10" x14ac:dyDescent="0.2">
      <c r="J4371"/>
    </row>
    <row r="4372" spans="10:10" x14ac:dyDescent="0.2">
      <c r="J4372"/>
    </row>
    <row r="4373" spans="10:10" x14ac:dyDescent="0.2">
      <c r="J4373"/>
    </row>
    <row r="4374" spans="10:10" x14ac:dyDescent="0.2">
      <c r="J4374"/>
    </row>
    <row r="4375" spans="10:10" x14ac:dyDescent="0.2">
      <c r="J4375"/>
    </row>
    <row r="4376" spans="10:10" x14ac:dyDescent="0.2">
      <c r="J4376"/>
    </row>
    <row r="4377" spans="10:10" x14ac:dyDescent="0.2">
      <c r="J4377"/>
    </row>
    <row r="4378" spans="10:10" x14ac:dyDescent="0.2">
      <c r="J4378"/>
    </row>
    <row r="4379" spans="10:10" x14ac:dyDescent="0.2">
      <c r="J4379"/>
    </row>
    <row r="4380" spans="10:10" x14ac:dyDescent="0.2">
      <c r="J4380"/>
    </row>
    <row r="4381" spans="10:10" x14ac:dyDescent="0.2">
      <c r="J4381"/>
    </row>
    <row r="4382" spans="10:10" x14ac:dyDescent="0.2">
      <c r="J4382"/>
    </row>
    <row r="4383" spans="10:10" x14ac:dyDescent="0.2">
      <c r="J4383"/>
    </row>
    <row r="4384" spans="10:10" x14ac:dyDescent="0.2">
      <c r="J4384"/>
    </row>
    <row r="4385" spans="10:10" x14ac:dyDescent="0.2">
      <c r="J4385"/>
    </row>
    <row r="4386" spans="10:10" x14ac:dyDescent="0.2">
      <c r="J4386"/>
    </row>
    <row r="4387" spans="10:10" x14ac:dyDescent="0.2">
      <c r="J4387"/>
    </row>
    <row r="4388" spans="10:10" x14ac:dyDescent="0.2">
      <c r="J4388"/>
    </row>
    <row r="4389" spans="10:10" x14ac:dyDescent="0.2">
      <c r="J4389"/>
    </row>
    <row r="4390" spans="10:10" x14ac:dyDescent="0.2">
      <c r="J4390"/>
    </row>
    <row r="4391" spans="10:10" x14ac:dyDescent="0.2">
      <c r="J4391"/>
    </row>
    <row r="4392" spans="10:10" x14ac:dyDescent="0.2">
      <c r="J4392"/>
    </row>
    <row r="4393" spans="10:10" x14ac:dyDescent="0.2">
      <c r="J4393"/>
    </row>
    <row r="4394" spans="10:10" x14ac:dyDescent="0.2">
      <c r="J4394"/>
    </row>
    <row r="4395" spans="10:10" x14ac:dyDescent="0.2">
      <c r="J4395"/>
    </row>
    <row r="4396" spans="10:10" x14ac:dyDescent="0.2">
      <c r="J4396"/>
    </row>
    <row r="4397" spans="10:10" x14ac:dyDescent="0.2">
      <c r="J4397"/>
    </row>
    <row r="4398" spans="10:10" x14ac:dyDescent="0.2">
      <c r="J4398"/>
    </row>
    <row r="4399" spans="10:10" x14ac:dyDescent="0.2">
      <c r="J4399"/>
    </row>
    <row r="4400" spans="10:10" x14ac:dyDescent="0.2">
      <c r="J4400"/>
    </row>
    <row r="4401" spans="10:10" x14ac:dyDescent="0.2">
      <c r="J4401"/>
    </row>
    <row r="4402" spans="10:10" x14ac:dyDescent="0.2">
      <c r="J4402"/>
    </row>
    <row r="4403" spans="10:10" x14ac:dyDescent="0.2">
      <c r="J4403"/>
    </row>
    <row r="4404" spans="10:10" x14ac:dyDescent="0.2">
      <c r="J4404"/>
    </row>
    <row r="4405" spans="10:10" x14ac:dyDescent="0.2">
      <c r="J4405"/>
    </row>
    <row r="4406" spans="10:10" x14ac:dyDescent="0.2">
      <c r="J4406"/>
    </row>
    <row r="4407" spans="10:10" x14ac:dyDescent="0.2">
      <c r="J4407"/>
    </row>
    <row r="4408" spans="10:10" x14ac:dyDescent="0.2">
      <c r="J4408"/>
    </row>
    <row r="4409" spans="10:10" x14ac:dyDescent="0.2">
      <c r="J4409"/>
    </row>
    <row r="4410" spans="10:10" x14ac:dyDescent="0.2">
      <c r="J4410"/>
    </row>
    <row r="4411" spans="10:10" x14ac:dyDescent="0.2">
      <c r="J4411"/>
    </row>
    <row r="4412" spans="10:10" x14ac:dyDescent="0.2">
      <c r="J4412"/>
    </row>
    <row r="4413" spans="10:10" x14ac:dyDescent="0.2">
      <c r="J4413"/>
    </row>
    <row r="4414" spans="10:10" x14ac:dyDescent="0.2">
      <c r="J4414"/>
    </row>
    <row r="4415" spans="10:10" x14ac:dyDescent="0.2">
      <c r="J4415"/>
    </row>
    <row r="4416" spans="10:10" x14ac:dyDescent="0.2">
      <c r="J4416"/>
    </row>
    <row r="4417" spans="10:10" x14ac:dyDescent="0.2">
      <c r="J4417"/>
    </row>
    <row r="4418" spans="10:10" x14ac:dyDescent="0.2">
      <c r="J4418"/>
    </row>
    <row r="4419" spans="10:10" x14ac:dyDescent="0.2">
      <c r="J4419"/>
    </row>
    <row r="4420" spans="10:10" x14ac:dyDescent="0.2">
      <c r="J4420"/>
    </row>
    <row r="4421" spans="10:10" x14ac:dyDescent="0.2">
      <c r="J4421"/>
    </row>
    <row r="4422" spans="10:10" x14ac:dyDescent="0.2">
      <c r="J4422"/>
    </row>
    <row r="4423" spans="10:10" x14ac:dyDescent="0.2">
      <c r="J4423"/>
    </row>
    <row r="4424" spans="10:10" x14ac:dyDescent="0.2">
      <c r="J4424"/>
    </row>
    <row r="4425" spans="10:10" x14ac:dyDescent="0.2">
      <c r="J4425"/>
    </row>
    <row r="4426" spans="10:10" x14ac:dyDescent="0.2">
      <c r="J4426"/>
    </row>
    <row r="4427" spans="10:10" x14ac:dyDescent="0.2">
      <c r="J4427"/>
    </row>
    <row r="4428" spans="10:10" x14ac:dyDescent="0.2">
      <c r="J4428"/>
    </row>
    <row r="4429" spans="10:10" x14ac:dyDescent="0.2">
      <c r="J4429"/>
    </row>
    <row r="4430" spans="10:10" x14ac:dyDescent="0.2">
      <c r="J4430"/>
    </row>
    <row r="4431" spans="10:10" x14ac:dyDescent="0.2">
      <c r="J4431"/>
    </row>
    <row r="4432" spans="10:10" x14ac:dyDescent="0.2">
      <c r="J4432"/>
    </row>
    <row r="4433" spans="10:10" x14ac:dyDescent="0.2">
      <c r="J4433"/>
    </row>
    <row r="4434" spans="10:10" x14ac:dyDescent="0.2">
      <c r="J4434"/>
    </row>
    <row r="4435" spans="10:10" x14ac:dyDescent="0.2">
      <c r="J4435"/>
    </row>
    <row r="4436" spans="10:10" x14ac:dyDescent="0.2">
      <c r="J4436"/>
    </row>
    <row r="4437" spans="10:10" x14ac:dyDescent="0.2">
      <c r="J4437"/>
    </row>
    <row r="4438" spans="10:10" x14ac:dyDescent="0.2">
      <c r="J4438"/>
    </row>
    <row r="4439" spans="10:10" x14ac:dyDescent="0.2">
      <c r="J4439"/>
    </row>
    <row r="4440" spans="10:10" x14ac:dyDescent="0.2">
      <c r="J4440"/>
    </row>
    <row r="4441" spans="10:10" x14ac:dyDescent="0.2">
      <c r="J4441"/>
    </row>
    <row r="4442" spans="10:10" x14ac:dyDescent="0.2">
      <c r="J4442"/>
    </row>
    <row r="4443" spans="10:10" x14ac:dyDescent="0.2">
      <c r="J4443"/>
    </row>
    <row r="4444" spans="10:10" x14ac:dyDescent="0.2">
      <c r="J4444"/>
    </row>
    <row r="4445" spans="10:10" x14ac:dyDescent="0.2">
      <c r="J4445"/>
    </row>
    <row r="4446" spans="10:10" x14ac:dyDescent="0.2">
      <c r="J4446"/>
    </row>
    <row r="4447" spans="10:10" x14ac:dyDescent="0.2">
      <c r="J4447"/>
    </row>
    <row r="4448" spans="10:10" x14ac:dyDescent="0.2">
      <c r="J4448"/>
    </row>
    <row r="4449" spans="10:10" x14ac:dyDescent="0.2">
      <c r="J4449"/>
    </row>
    <row r="4450" spans="10:10" x14ac:dyDescent="0.2">
      <c r="J4450"/>
    </row>
    <row r="4451" spans="10:10" x14ac:dyDescent="0.2">
      <c r="J4451"/>
    </row>
    <row r="4452" spans="10:10" x14ac:dyDescent="0.2">
      <c r="J4452"/>
    </row>
    <row r="4453" spans="10:10" x14ac:dyDescent="0.2">
      <c r="J4453"/>
    </row>
    <row r="4454" spans="10:10" x14ac:dyDescent="0.2">
      <c r="J4454"/>
    </row>
    <row r="4455" spans="10:10" x14ac:dyDescent="0.2">
      <c r="J4455"/>
    </row>
    <row r="4456" spans="10:10" x14ac:dyDescent="0.2">
      <c r="J4456"/>
    </row>
    <row r="4457" spans="10:10" x14ac:dyDescent="0.2">
      <c r="J4457"/>
    </row>
    <row r="4458" spans="10:10" x14ac:dyDescent="0.2">
      <c r="J4458"/>
    </row>
    <row r="4459" spans="10:10" x14ac:dyDescent="0.2">
      <c r="J4459"/>
    </row>
    <row r="4460" spans="10:10" x14ac:dyDescent="0.2">
      <c r="J4460"/>
    </row>
    <row r="4461" spans="10:10" x14ac:dyDescent="0.2">
      <c r="J4461"/>
    </row>
    <row r="4462" spans="10:10" x14ac:dyDescent="0.2">
      <c r="J4462"/>
    </row>
    <row r="4463" spans="10:10" x14ac:dyDescent="0.2">
      <c r="J4463"/>
    </row>
    <row r="4464" spans="10:10" x14ac:dyDescent="0.2">
      <c r="J4464"/>
    </row>
    <row r="4465" spans="10:10" x14ac:dyDescent="0.2">
      <c r="J4465"/>
    </row>
    <row r="4466" spans="10:10" x14ac:dyDescent="0.2">
      <c r="J4466"/>
    </row>
    <row r="4467" spans="10:10" x14ac:dyDescent="0.2">
      <c r="J4467"/>
    </row>
    <row r="4468" spans="10:10" x14ac:dyDescent="0.2">
      <c r="J4468"/>
    </row>
    <row r="4469" spans="10:10" x14ac:dyDescent="0.2">
      <c r="J4469"/>
    </row>
    <row r="4470" spans="10:10" x14ac:dyDescent="0.2">
      <c r="J4470"/>
    </row>
    <row r="4471" spans="10:10" x14ac:dyDescent="0.2">
      <c r="J4471"/>
    </row>
    <row r="4472" spans="10:10" x14ac:dyDescent="0.2">
      <c r="J4472"/>
    </row>
    <row r="4473" spans="10:10" x14ac:dyDescent="0.2">
      <c r="J4473"/>
    </row>
    <row r="4474" spans="10:10" x14ac:dyDescent="0.2">
      <c r="J4474"/>
    </row>
    <row r="4475" spans="10:10" x14ac:dyDescent="0.2">
      <c r="J4475"/>
    </row>
    <row r="4476" spans="10:10" x14ac:dyDescent="0.2">
      <c r="J4476"/>
    </row>
    <row r="4477" spans="10:10" x14ac:dyDescent="0.2">
      <c r="J4477"/>
    </row>
    <row r="4478" spans="10:10" x14ac:dyDescent="0.2">
      <c r="J4478"/>
    </row>
    <row r="4479" spans="10:10" x14ac:dyDescent="0.2">
      <c r="J4479"/>
    </row>
    <row r="4480" spans="10:10" x14ac:dyDescent="0.2">
      <c r="J4480"/>
    </row>
    <row r="4481" spans="10:10" x14ac:dyDescent="0.2">
      <c r="J4481"/>
    </row>
    <row r="4482" spans="10:10" x14ac:dyDescent="0.2">
      <c r="J4482"/>
    </row>
    <row r="4483" spans="10:10" x14ac:dyDescent="0.2">
      <c r="J4483"/>
    </row>
    <row r="4484" spans="10:10" x14ac:dyDescent="0.2">
      <c r="J4484"/>
    </row>
    <row r="4485" spans="10:10" x14ac:dyDescent="0.2">
      <c r="J4485"/>
    </row>
    <row r="4486" spans="10:10" x14ac:dyDescent="0.2">
      <c r="J4486"/>
    </row>
    <row r="4487" spans="10:10" x14ac:dyDescent="0.2">
      <c r="J4487"/>
    </row>
    <row r="4488" spans="10:10" x14ac:dyDescent="0.2">
      <c r="J4488"/>
    </row>
    <row r="4489" spans="10:10" x14ac:dyDescent="0.2">
      <c r="J4489"/>
    </row>
    <row r="4490" spans="10:10" x14ac:dyDescent="0.2">
      <c r="J4490"/>
    </row>
    <row r="4491" spans="10:10" x14ac:dyDescent="0.2">
      <c r="J4491"/>
    </row>
    <row r="4492" spans="10:10" x14ac:dyDescent="0.2">
      <c r="J4492"/>
    </row>
    <row r="4493" spans="10:10" x14ac:dyDescent="0.2">
      <c r="J4493"/>
    </row>
    <row r="4494" spans="10:10" x14ac:dyDescent="0.2">
      <c r="J4494"/>
    </row>
    <row r="4495" spans="10:10" x14ac:dyDescent="0.2">
      <c r="J4495"/>
    </row>
    <row r="4496" spans="10:10" x14ac:dyDescent="0.2">
      <c r="J4496"/>
    </row>
    <row r="4497" spans="10:10" x14ac:dyDescent="0.2">
      <c r="J4497"/>
    </row>
    <row r="4498" spans="10:10" x14ac:dyDescent="0.2">
      <c r="J4498"/>
    </row>
    <row r="4499" spans="10:10" x14ac:dyDescent="0.2">
      <c r="J4499"/>
    </row>
    <row r="4500" spans="10:10" x14ac:dyDescent="0.2">
      <c r="J4500"/>
    </row>
    <row r="4501" spans="10:10" x14ac:dyDescent="0.2">
      <c r="J4501"/>
    </row>
    <row r="4502" spans="10:10" x14ac:dyDescent="0.2">
      <c r="J4502"/>
    </row>
    <row r="4503" spans="10:10" x14ac:dyDescent="0.2">
      <c r="J4503"/>
    </row>
    <row r="4504" spans="10:10" x14ac:dyDescent="0.2">
      <c r="J4504"/>
    </row>
    <row r="4505" spans="10:10" x14ac:dyDescent="0.2">
      <c r="J4505"/>
    </row>
    <row r="4506" spans="10:10" x14ac:dyDescent="0.2">
      <c r="J4506"/>
    </row>
    <row r="4507" spans="10:10" x14ac:dyDescent="0.2">
      <c r="J4507"/>
    </row>
    <row r="4508" spans="10:10" x14ac:dyDescent="0.2">
      <c r="J4508"/>
    </row>
    <row r="4509" spans="10:10" x14ac:dyDescent="0.2">
      <c r="J4509"/>
    </row>
    <row r="4510" spans="10:10" x14ac:dyDescent="0.2">
      <c r="J4510"/>
    </row>
    <row r="4511" spans="10:10" x14ac:dyDescent="0.2">
      <c r="J4511"/>
    </row>
    <row r="4512" spans="10:10" x14ac:dyDescent="0.2">
      <c r="J4512"/>
    </row>
    <row r="4513" spans="10:10" x14ac:dyDescent="0.2">
      <c r="J4513"/>
    </row>
    <row r="4514" spans="10:10" x14ac:dyDescent="0.2">
      <c r="J4514"/>
    </row>
    <row r="4515" spans="10:10" x14ac:dyDescent="0.2">
      <c r="J4515"/>
    </row>
    <row r="4516" spans="10:10" x14ac:dyDescent="0.2">
      <c r="J4516"/>
    </row>
    <row r="4517" spans="10:10" x14ac:dyDescent="0.2">
      <c r="J4517"/>
    </row>
    <row r="4518" spans="10:10" x14ac:dyDescent="0.2">
      <c r="J4518"/>
    </row>
    <row r="4519" spans="10:10" x14ac:dyDescent="0.2">
      <c r="J4519"/>
    </row>
    <row r="4520" spans="10:10" x14ac:dyDescent="0.2">
      <c r="J4520"/>
    </row>
    <row r="4521" spans="10:10" x14ac:dyDescent="0.2">
      <c r="J4521"/>
    </row>
    <row r="4522" spans="10:10" x14ac:dyDescent="0.2">
      <c r="J4522"/>
    </row>
    <row r="4523" spans="10:10" x14ac:dyDescent="0.2">
      <c r="J4523"/>
    </row>
    <row r="4524" spans="10:10" x14ac:dyDescent="0.2">
      <c r="J4524"/>
    </row>
    <row r="4525" spans="10:10" x14ac:dyDescent="0.2">
      <c r="J4525"/>
    </row>
    <row r="4526" spans="10:10" x14ac:dyDescent="0.2">
      <c r="J4526"/>
    </row>
    <row r="4527" spans="10:10" x14ac:dyDescent="0.2">
      <c r="J4527"/>
    </row>
    <row r="4528" spans="10:10" x14ac:dyDescent="0.2">
      <c r="J4528"/>
    </row>
    <row r="4529" spans="10:10" x14ac:dyDescent="0.2">
      <c r="J4529"/>
    </row>
    <row r="4530" spans="10:10" x14ac:dyDescent="0.2">
      <c r="J4530"/>
    </row>
    <row r="4531" spans="10:10" x14ac:dyDescent="0.2">
      <c r="J4531"/>
    </row>
    <row r="4532" spans="10:10" x14ac:dyDescent="0.2">
      <c r="J4532"/>
    </row>
    <row r="4533" spans="10:10" x14ac:dyDescent="0.2">
      <c r="J4533"/>
    </row>
    <row r="4534" spans="10:10" x14ac:dyDescent="0.2">
      <c r="J4534"/>
    </row>
    <row r="4535" spans="10:10" x14ac:dyDescent="0.2">
      <c r="J4535"/>
    </row>
    <row r="4536" spans="10:10" x14ac:dyDescent="0.2">
      <c r="J4536"/>
    </row>
    <row r="4537" spans="10:10" x14ac:dyDescent="0.2">
      <c r="J4537"/>
    </row>
    <row r="4538" spans="10:10" x14ac:dyDescent="0.2">
      <c r="J4538"/>
    </row>
    <row r="4539" spans="10:10" x14ac:dyDescent="0.2">
      <c r="J4539"/>
    </row>
    <row r="4540" spans="10:10" x14ac:dyDescent="0.2">
      <c r="J4540"/>
    </row>
    <row r="4541" spans="10:10" x14ac:dyDescent="0.2">
      <c r="J4541"/>
    </row>
    <row r="4542" spans="10:10" x14ac:dyDescent="0.2">
      <c r="J4542"/>
    </row>
    <row r="4543" spans="10:10" x14ac:dyDescent="0.2">
      <c r="J4543"/>
    </row>
    <row r="4544" spans="10:10" x14ac:dyDescent="0.2">
      <c r="J4544"/>
    </row>
    <row r="4545" spans="10:10" x14ac:dyDescent="0.2">
      <c r="J4545"/>
    </row>
    <row r="4546" spans="10:10" x14ac:dyDescent="0.2">
      <c r="J4546"/>
    </row>
    <row r="4547" spans="10:10" x14ac:dyDescent="0.2">
      <c r="J4547"/>
    </row>
    <row r="4548" spans="10:10" x14ac:dyDescent="0.2">
      <c r="J4548"/>
    </row>
    <row r="4549" spans="10:10" x14ac:dyDescent="0.2">
      <c r="J4549"/>
    </row>
    <row r="4550" spans="10:10" x14ac:dyDescent="0.2">
      <c r="J4550"/>
    </row>
    <row r="4551" spans="10:10" x14ac:dyDescent="0.2">
      <c r="J4551"/>
    </row>
    <row r="4552" spans="10:10" x14ac:dyDescent="0.2">
      <c r="J4552"/>
    </row>
    <row r="4553" spans="10:10" x14ac:dyDescent="0.2">
      <c r="J4553"/>
    </row>
    <row r="4554" spans="10:10" x14ac:dyDescent="0.2">
      <c r="J4554"/>
    </row>
    <row r="4555" spans="10:10" x14ac:dyDescent="0.2">
      <c r="J4555"/>
    </row>
    <row r="4556" spans="10:10" x14ac:dyDescent="0.2">
      <c r="J4556"/>
    </row>
    <row r="4557" spans="10:10" x14ac:dyDescent="0.2">
      <c r="J4557"/>
    </row>
    <row r="4558" spans="10:10" x14ac:dyDescent="0.2">
      <c r="J4558"/>
    </row>
    <row r="4559" spans="10:10" x14ac:dyDescent="0.2">
      <c r="J4559"/>
    </row>
    <row r="4560" spans="10:10" x14ac:dyDescent="0.2">
      <c r="J4560"/>
    </row>
    <row r="4561" spans="10:10" x14ac:dyDescent="0.2">
      <c r="J4561"/>
    </row>
    <row r="4562" spans="10:10" x14ac:dyDescent="0.2">
      <c r="J4562"/>
    </row>
    <row r="4563" spans="10:10" x14ac:dyDescent="0.2">
      <c r="J4563"/>
    </row>
    <row r="4564" spans="10:10" x14ac:dyDescent="0.2">
      <c r="J4564"/>
    </row>
    <row r="4565" spans="10:10" x14ac:dyDescent="0.2">
      <c r="J4565"/>
    </row>
    <row r="4566" spans="10:10" x14ac:dyDescent="0.2">
      <c r="J4566"/>
    </row>
    <row r="4567" spans="10:10" x14ac:dyDescent="0.2">
      <c r="J4567"/>
    </row>
    <row r="4568" spans="10:10" x14ac:dyDescent="0.2">
      <c r="J4568"/>
    </row>
    <row r="4569" spans="10:10" x14ac:dyDescent="0.2">
      <c r="J4569"/>
    </row>
    <row r="4570" spans="10:10" x14ac:dyDescent="0.2">
      <c r="J4570"/>
    </row>
    <row r="4571" spans="10:10" x14ac:dyDescent="0.2">
      <c r="J4571"/>
    </row>
    <row r="4572" spans="10:10" x14ac:dyDescent="0.2">
      <c r="J4572"/>
    </row>
    <row r="4573" spans="10:10" x14ac:dyDescent="0.2">
      <c r="J4573"/>
    </row>
    <row r="4574" spans="10:10" x14ac:dyDescent="0.2">
      <c r="J4574"/>
    </row>
    <row r="4575" spans="10:10" x14ac:dyDescent="0.2">
      <c r="J4575"/>
    </row>
    <row r="4576" spans="10:10" x14ac:dyDescent="0.2">
      <c r="J4576"/>
    </row>
    <row r="4577" spans="10:10" x14ac:dyDescent="0.2">
      <c r="J4577"/>
    </row>
    <row r="4578" spans="10:10" x14ac:dyDescent="0.2">
      <c r="J4578"/>
    </row>
    <row r="4579" spans="10:10" x14ac:dyDescent="0.2">
      <c r="J4579"/>
    </row>
    <row r="4580" spans="10:10" x14ac:dyDescent="0.2">
      <c r="J4580"/>
    </row>
    <row r="4581" spans="10:10" x14ac:dyDescent="0.2">
      <c r="J4581"/>
    </row>
    <row r="4582" spans="10:10" x14ac:dyDescent="0.2">
      <c r="J4582"/>
    </row>
    <row r="4583" spans="10:10" x14ac:dyDescent="0.2">
      <c r="J4583"/>
    </row>
    <row r="4584" spans="10:10" x14ac:dyDescent="0.2">
      <c r="J4584"/>
    </row>
    <row r="4585" spans="10:10" x14ac:dyDescent="0.2">
      <c r="J4585"/>
    </row>
    <row r="4586" spans="10:10" x14ac:dyDescent="0.2">
      <c r="J4586"/>
    </row>
    <row r="4587" spans="10:10" x14ac:dyDescent="0.2">
      <c r="J4587"/>
    </row>
    <row r="4588" spans="10:10" x14ac:dyDescent="0.2">
      <c r="J4588"/>
    </row>
    <row r="4589" spans="10:10" x14ac:dyDescent="0.2">
      <c r="J4589"/>
    </row>
    <row r="4590" spans="10:10" x14ac:dyDescent="0.2">
      <c r="J4590"/>
    </row>
    <row r="4591" spans="10:10" x14ac:dyDescent="0.2">
      <c r="J4591"/>
    </row>
    <row r="4592" spans="10:10" x14ac:dyDescent="0.2">
      <c r="J4592"/>
    </row>
    <row r="4593" spans="10:10" x14ac:dyDescent="0.2">
      <c r="J4593"/>
    </row>
    <row r="4594" spans="10:10" x14ac:dyDescent="0.2">
      <c r="J4594"/>
    </row>
    <row r="4595" spans="10:10" x14ac:dyDescent="0.2">
      <c r="J4595"/>
    </row>
    <row r="4596" spans="10:10" x14ac:dyDescent="0.2">
      <c r="J4596"/>
    </row>
    <row r="4597" spans="10:10" x14ac:dyDescent="0.2">
      <c r="J4597"/>
    </row>
    <row r="4598" spans="10:10" x14ac:dyDescent="0.2">
      <c r="J4598"/>
    </row>
    <row r="4599" spans="10:10" x14ac:dyDescent="0.2">
      <c r="J4599"/>
    </row>
    <row r="4600" spans="10:10" x14ac:dyDescent="0.2">
      <c r="J4600"/>
    </row>
    <row r="4601" spans="10:10" x14ac:dyDescent="0.2">
      <c r="J4601"/>
    </row>
    <row r="4602" spans="10:10" x14ac:dyDescent="0.2">
      <c r="J4602"/>
    </row>
    <row r="4603" spans="10:10" x14ac:dyDescent="0.2">
      <c r="J4603"/>
    </row>
    <row r="4604" spans="10:10" x14ac:dyDescent="0.2">
      <c r="J4604"/>
    </row>
    <row r="4605" spans="10:10" x14ac:dyDescent="0.2">
      <c r="J4605"/>
    </row>
    <row r="4606" spans="10:10" x14ac:dyDescent="0.2">
      <c r="J4606"/>
    </row>
    <row r="4607" spans="10:10" x14ac:dyDescent="0.2">
      <c r="J4607"/>
    </row>
    <row r="4608" spans="10:10" x14ac:dyDescent="0.2">
      <c r="J4608"/>
    </row>
    <row r="4609" spans="10:10" x14ac:dyDescent="0.2">
      <c r="J4609"/>
    </row>
    <row r="4610" spans="10:10" x14ac:dyDescent="0.2">
      <c r="J4610"/>
    </row>
    <row r="4611" spans="10:10" x14ac:dyDescent="0.2">
      <c r="J4611"/>
    </row>
    <row r="4612" spans="10:10" x14ac:dyDescent="0.2">
      <c r="J4612"/>
    </row>
    <row r="4613" spans="10:10" x14ac:dyDescent="0.2">
      <c r="J4613"/>
    </row>
    <row r="4614" spans="10:10" x14ac:dyDescent="0.2">
      <c r="J4614"/>
    </row>
    <row r="4615" spans="10:10" x14ac:dyDescent="0.2">
      <c r="J4615"/>
    </row>
    <row r="4616" spans="10:10" x14ac:dyDescent="0.2">
      <c r="J4616"/>
    </row>
    <row r="4617" spans="10:10" x14ac:dyDescent="0.2">
      <c r="J4617"/>
    </row>
    <row r="4618" spans="10:10" x14ac:dyDescent="0.2">
      <c r="J4618"/>
    </row>
    <row r="4619" spans="10:10" x14ac:dyDescent="0.2">
      <c r="J4619"/>
    </row>
    <row r="4620" spans="10:10" x14ac:dyDescent="0.2">
      <c r="J4620"/>
    </row>
    <row r="4621" spans="10:10" x14ac:dyDescent="0.2">
      <c r="J4621"/>
    </row>
    <row r="4622" spans="10:10" x14ac:dyDescent="0.2">
      <c r="J4622"/>
    </row>
    <row r="4623" spans="10:10" x14ac:dyDescent="0.2">
      <c r="J4623"/>
    </row>
    <row r="4624" spans="10:10" x14ac:dyDescent="0.2">
      <c r="J4624"/>
    </row>
    <row r="4625" spans="10:10" x14ac:dyDescent="0.2">
      <c r="J4625"/>
    </row>
    <row r="4626" spans="10:10" x14ac:dyDescent="0.2">
      <c r="J4626"/>
    </row>
    <row r="4627" spans="10:10" x14ac:dyDescent="0.2">
      <c r="J4627"/>
    </row>
    <row r="4628" spans="10:10" x14ac:dyDescent="0.2">
      <c r="J4628"/>
    </row>
    <row r="4629" spans="10:10" x14ac:dyDescent="0.2">
      <c r="J4629"/>
    </row>
    <row r="4630" spans="10:10" x14ac:dyDescent="0.2">
      <c r="J4630"/>
    </row>
    <row r="4631" spans="10:10" x14ac:dyDescent="0.2">
      <c r="J4631"/>
    </row>
    <row r="4632" spans="10:10" x14ac:dyDescent="0.2">
      <c r="J4632"/>
    </row>
    <row r="4633" spans="10:10" x14ac:dyDescent="0.2">
      <c r="J4633"/>
    </row>
    <row r="4634" spans="10:10" x14ac:dyDescent="0.2">
      <c r="J4634"/>
    </row>
    <row r="4635" spans="10:10" x14ac:dyDescent="0.2">
      <c r="J4635"/>
    </row>
    <row r="4636" spans="10:10" x14ac:dyDescent="0.2">
      <c r="J4636"/>
    </row>
    <row r="4637" spans="10:10" x14ac:dyDescent="0.2">
      <c r="J4637"/>
    </row>
    <row r="4638" spans="10:10" x14ac:dyDescent="0.2">
      <c r="J4638"/>
    </row>
    <row r="4639" spans="10:10" x14ac:dyDescent="0.2">
      <c r="J4639"/>
    </row>
    <row r="4640" spans="10:10" x14ac:dyDescent="0.2">
      <c r="J4640"/>
    </row>
    <row r="4641" spans="10:10" x14ac:dyDescent="0.2">
      <c r="J4641"/>
    </row>
    <row r="4642" spans="10:10" x14ac:dyDescent="0.2">
      <c r="J4642"/>
    </row>
    <row r="4643" spans="10:10" x14ac:dyDescent="0.2">
      <c r="J4643"/>
    </row>
    <row r="4644" spans="10:10" x14ac:dyDescent="0.2">
      <c r="J4644"/>
    </row>
    <row r="4645" spans="10:10" x14ac:dyDescent="0.2">
      <c r="J4645"/>
    </row>
    <row r="4646" spans="10:10" x14ac:dyDescent="0.2">
      <c r="J4646"/>
    </row>
    <row r="4647" spans="10:10" x14ac:dyDescent="0.2">
      <c r="J4647"/>
    </row>
    <row r="4648" spans="10:10" x14ac:dyDescent="0.2">
      <c r="J4648"/>
    </row>
    <row r="4649" spans="10:10" x14ac:dyDescent="0.2">
      <c r="J4649"/>
    </row>
    <row r="4650" spans="10:10" x14ac:dyDescent="0.2">
      <c r="J4650"/>
    </row>
    <row r="4651" spans="10:10" x14ac:dyDescent="0.2">
      <c r="J4651"/>
    </row>
    <row r="4652" spans="10:10" x14ac:dyDescent="0.2">
      <c r="J4652"/>
    </row>
    <row r="4653" spans="10:10" x14ac:dyDescent="0.2">
      <c r="J4653"/>
    </row>
    <row r="4654" spans="10:10" x14ac:dyDescent="0.2">
      <c r="J4654"/>
    </row>
    <row r="4655" spans="10:10" x14ac:dyDescent="0.2">
      <c r="J4655"/>
    </row>
    <row r="4656" spans="10:10" x14ac:dyDescent="0.2">
      <c r="J4656"/>
    </row>
    <row r="4657" spans="10:10" x14ac:dyDescent="0.2">
      <c r="J4657"/>
    </row>
    <row r="4658" spans="10:10" x14ac:dyDescent="0.2">
      <c r="J4658"/>
    </row>
    <row r="4659" spans="10:10" x14ac:dyDescent="0.2">
      <c r="J4659"/>
    </row>
    <row r="4660" spans="10:10" x14ac:dyDescent="0.2">
      <c r="J4660"/>
    </row>
    <row r="4661" spans="10:10" x14ac:dyDescent="0.2">
      <c r="J4661"/>
    </row>
    <row r="4662" spans="10:10" x14ac:dyDescent="0.2">
      <c r="J4662"/>
    </row>
    <row r="4663" spans="10:10" x14ac:dyDescent="0.2">
      <c r="J4663"/>
    </row>
    <row r="4664" spans="10:10" x14ac:dyDescent="0.2">
      <c r="J4664"/>
    </row>
    <row r="4665" spans="10:10" x14ac:dyDescent="0.2">
      <c r="J4665"/>
    </row>
    <row r="4666" spans="10:10" x14ac:dyDescent="0.2">
      <c r="J4666"/>
    </row>
    <row r="4667" spans="10:10" x14ac:dyDescent="0.2">
      <c r="J4667"/>
    </row>
    <row r="4668" spans="10:10" x14ac:dyDescent="0.2">
      <c r="J4668"/>
    </row>
    <row r="4669" spans="10:10" x14ac:dyDescent="0.2">
      <c r="J4669"/>
    </row>
    <row r="4670" spans="10:10" x14ac:dyDescent="0.2">
      <c r="J4670"/>
    </row>
    <row r="4671" spans="10:10" x14ac:dyDescent="0.2">
      <c r="J4671"/>
    </row>
    <row r="4672" spans="10:10" x14ac:dyDescent="0.2">
      <c r="J4672"/>
    </row>
    <row r="4673" spans="10:10" x14ac:dyDescent="0.2">
      <c r="J4673"/>
    </row>
    <row r="4674" spans="10:10" x14ac:dyDescent="0.2">
      <c r="J4674"/>
    </row>
    <row r="4675" spans="10:10" x14ac:dyDescent="0.2">
      <c r="J4675"/>
    </row>
    <row r="4676" spans="10:10" x14ac:dyDescent="0.2">
      <c r="J4676"/>
    </row>
    <row r="4677" spans="10:10" x14ac:dyDescent="0.2">
      <c r="J4677"/>
    </row>
    <row r="4678" spans="10:10" x14ac:dyDescent="0.2">
      <c r="J4678"/>
    </row>
    <row r="4679" spans="10:10" x14ac:dyDescent="0.2">
      <c r="J4679"/>
    </row>
    <row r="4680" spans="10:10" x14ac:dyDescent="0.2">
      <c r="J4680"/>
    </row>
    <row r="4681" spans="10:10" x14ac:dyDescent="0.2">
      <c r="J4681"/>
    </row>
    <row r="4682" spans="10:10" x14ac:dyDescent="0.2">
      <c r="J4682"/>
    </row>
    <row r="4683" spans="10:10" x14ac:dyDescent="0.2">
      <c r="J4683"/>
    </row>
    <row r="4684" spans="10:10" x14ac:dyDescent="0.2">
      <c r="J4684"/>
    </row>
    <row r="4685" spans="10:10" x14ac:dyDescent="0.2">
      <c r="J4685"/>
    </row>
    <row r="4686" spans="10:10" x14ac:dyDescent="0.2">
      <c r="J4686"/>
    </row>
    <row r="4687" spans="10:10" x14ac:dyDescent="0.2">
      <c r="J4687"/>
    </row>
    <row r="4688" spans="10:10" x14ac:dyDescent="0.2">
      <c r="J4688"/>
    </row>
    <row r="4689" spans="10:10" x14ac:dyDescent="0.2">
      <c r="J4689"/>
    </row>
    <row r="4690" spans="10:10" x14ac:dyDescent="0.2">
      <c r="J4690"/>
    </row>
    <row r="4691" spans="10:10" x14ac:dyDescent="0.2">
      <c r="J4691"/>
    </row>
    <row r="4692" spans="10:10" x14ac:dyDescent="0.2">
      <c r="J4692"/>
    </row>
    <row r="4693" spans="10:10" x14ac:dyDescent="0.2">
      <c r="J4693"/>
    </row>
    <row r="4694" spans="10:10" x14ac:dyDescent="0.2">
      <c r="J4694"/>
    </row>
    <row r="4695" spans="10:10" x14ac:dyDescent="0.2">
      <c r="J4695"/>
    </row>
    <row r="4696" spans="10:10" x14ac:dyDescent="0.2">
      <c r="J4696"/>
    </row>
    <row r="4697" spans="10:10" x14ac:dyDescent="0.2">
      <c r="J4697"/>
    </row>
    <row r="4698" spans="10:10" x14ac:dyDescent="0.2">
      <c r="J4698"/>
    </row>
    <row r="4699" spans="10:10" x14ac:dyDescent="0.2">
      <c r="J4699"/>
    </row>
    <row r="4700" spans="10:10" x14ac:dyDescent="0.2">
      <c r="J4700"/>
    </row>
    <row r="4701" spans="10:10" x14ac:dyDescent="0.2">
      <c r="J4701"/>
    </row>
    <row r="4702" spans="10:10" x14ac:dyDescent="0.2">
      <c r="J4702"/>
    </row>
    <row r="4703" spans="10:10" x14ac:dyDescent="0.2">
      <c r="J4703"/>
    </row>
    <row r="4704" spans="10:10" x14ac:dyDescent="0.2">
      <c r="J4704"/>
    </row>
    <row r="4705" spans="10:10" x14ac:dyDescent="0.2">
      <c r="J4705"/>
    </row>
    <row r="4706" spans="10:10" x14ac:dyDescent="0.2">
      <c r="J4706"/>
    </row>
    <row r="4707" spans="10:10" x14ac:dyDescent="0.2">
      <c r="J4707"/>
    </row>
    <row r="4708" spans="10:10" x14ac:dyDescent="0.2">
      <c r="J4708"/>
    </row>
    <row r="4709" spans="10:10" x14ac:dyDescent="0.2">
      <c r="J4709"/>
    </row>
    <row r="4710" spans="10:10" x14ac:dyDescent="0.2">
      <c r="J4710"/>
    </row>
    <row r="4711" spans="10:10" x14ac:dyDescent="0.2">
      <c r="J4711"/>
    </row>
    <row r="4712" spans="10:10" x14ac:dyDescent="0.2">
      <c r="J4712"/>
    </row>
    <row r="4713" spans="10:10" x14ac:dyDescent="0.2">
      <c r="J4713"/>
    </row>
    <row r="4714" spans="10:10" x14ac:dyDescent="0.2">
      <c r="J4714"/>
    </row>
    <row r="4715" spans="10:10" x14ac:dyDescent="0.2">
      <c r="J4715"/>
    </row>
    <row r="4716" spans="10:10" x14ac:dyDescent="0.2">
      <c r="J4716"/>
    </row>
    <row r="4717" spans="10:10" x14ac:dyDescent="0.2">
      <c r="J4717"/>
    </row>
    <row r="4718" spans="10:10" x14ac:dyDescent="0.2">
      <c r="J4718"/>
    </row>
    <row r="4719" spans="10:10" x14ac:dyDescent="0.2">
      <c r="J4719"/>
    </row>
    <row r="4720" spans="10:10" x14ac:dyDescent="0.2">
      <c r="J4720"/>
    </row>
    <row r="4721" spans="10:10" x14ac:dyDescent="0.2">
      <c r="J4721"/>
    </row>
    <row r="4722" spans="10:10" x14ac:dyDescent="0.2">
      <c r="J4722"/>
    </row>
    <row r="4723" spans="10:10" x14ac:dyDescent="0.2">
      <c r="J4723"/>
    </row>
    <row r="4724" spans="10:10" x14ac:dyDescent="0.2">
      <c r="J4724"/>
    </row>
    <row r="4725" spans="10:10" x14ac:dyDescent="0.2">
      <c r="J4725"/>
    </row>
    <row r="4726" spans="10:10" x14ac:dyDescent="0.2">
      <c r="J4726"/>
    </row>
    <row r="4727" spans="10:10" x14ac:dyDescent="0.2">
      <c r="J4727"/>
    </row>
    <row r="4728" spans="10:10" x14ac:dyDescent="0.2">
      <c r="J4728"/>
    </row>
    <row r="4729" spans="10:10" x14ac:dyDescent="0.2">
      <c r="J4729"/>
    </row>
    <row r="4730" spans="10:10" x14ac:dyDescent="0.2">
      <c r="J4730"/>
    </row>
    <row r="4731" spans="10:10" x14ac:dyDescent="0.2">
      <c r="J4731"/>
    </row>
    <row r="4732" spans="10:10" x14ac:dyDescent="0.2">
      <c r="J4732"/>
    </row>
    <row r="4733" spans="10:10" x14ac:dyDescent="0.2">
      <c r="J4733"/>
    </row>
    <row r="4734" spans="10:10" x14ac:dyDescent="0.2">
      <c r="J4734"/>
    </row>
    <row r="4735" spans="10:10" x14ac:dyDescent="0.2">
      <c r="J4735"/>
    </row>
    <row r="4736" spans="10:10" x14ac:dyDescent="0.2">
      <c r="J4736"/>
    </row>
    <row r="4737" spans="10:10" x14ac:dyDescent="0.2">
      <c r="J4737"/>
    </row>
    <row r="4738" spans="10:10" x14ac:dyDescent="0.2">
      <c r="J4738"/>
    </row>
    <row r="4739" spans="10:10" x14ac:dyDescent="0.2">
      <c r="J4739"/>
    </row>
    <row r="4740" spans="10:10" x14ac:dyDescent="0.2">
      <c r="J4740"/>
    </row>
    <row r="4741" spans="10:10" x14ac:dyDescent="0.2">
      <c r="J4741"/>
    </row>
    <row r="4742" spans="10:10" x14ac:dyDescent="0.2">
      <c r="J4742"/>
    </row>
    <row r="4743" spans="10:10" x14ac:dyDescent="0.2">
      <c r="J4743"/>
    </row>
    <row r="4744" spans="10:10" x14ac:dyDescent="0.2">
      <c r="J4744"/>
    </row>
    <row r="4745" spans="10:10" x14ac:dyDescent="0.2">
      <c r="J4745"/>
    </row>
    <row r="4746" spans="10:10" x14ac:dyDescent="0.2">
      <c r="J4746"/>
    </row>
    <row r="4747" spans="10:10" x14ac:dyDescent="0.2">
      <c r="J4747"/>
    </row>
    <row r="4748" spans="10:10" x14ac:dyDescent="0.2">
      <c r="J4748"/>
    </row>
    <row r="4749" spans="10:10" x14ac:dyDescent="0.2">
      <c r="J4749"/>
    </row>
    <row r="4750" spans="10:10" x14ac:dyDescent="0.2">
      <c r="J4750"/>
    </row>
    <row r="4751" spans="10:10" x14ac:dyDescent="0.2">
      <c r="J4751"/>
    </row>
    <row r="4752" spans="10:10" x14ac:dyDescent="0.2">
      <c r="J4752"/>
    </row>
    <row r="4753" spans="10:10" x14ac:dyDescent="0.2">
      <c r="J4753"/>
    </row>
    <row r="4754" spans="10:10" x14ac:dyDescent="0.2">
      <c r="J4754"/>
    </row>
    <row r="4755" spans="10:10" x14ac:dyDescent="0.2">
      <c r="J4755"/>
    </row>
    <row r="4756" spans="10:10" x14ac:dyDescent="0.2">
      <c r="J4756"/>
    </row>
    <row r="4757" spans="10:10" x14ac:dyDescent="0.2">
      <c r="J4757"/>
    </row>
    <row r="4758" spans="10:10" x14ac:dyDescent="0.2">
      <c r="J4758"/>
    </row>
    <row r="4759" spans="10:10" x14ac:dyDescent="0.2">
      <c r="J4759"/>
    </row>
    <row r="4760" spans="10:10" x14ac:dyDescent="0.2">
      <c r="J4760"/>
    </row>
    <row r="4761" spans="10:10" x14ac:dyDescent="0.2">
      <c r="J4761"/>
    </row>
    <row r="4762" spans="10:10" x14ac:dyDescent="0.2">
      <c r="J4762"/>
    </row>
    <row r="4763" spans="10:10" x14ac:dyDescent="0.2">
      <c r="J4763"/>
    </row>
    <row r="4764" spans="10:10" x14ac:dyDescent="0.2">
      <c r="J4764"/>
    </row>
    <row r="4765" spans="10:10" x14ac:dyDescent="0.2">
      <c r="J4765"/>
    </row>
    <row r="4766" spans="10:10" x14ac:dyDescent="0.2">
      <c r="J4766"/>
    </row>
    <row r="4767" spans="10:10" x14ac:dyDescent="0.2">
      <c r="J4767"/>
    </row>
    <row r="4768" spans="10:10" x14ac:dyDescent="0.2">
      <c r="J4768"/>
    </row>
    <row r="4769" spans="10:10" x14ac:dyDescent="0.2">
      <c r="J4769"/>
    </row>
    <row r="4770" spans="10:10" x14ac:dyDescent="0.2">
      <c r="J4770"/>
    </row>
    <row r="4771" spans="10:10" x14ac:dyDescent="0.2">
      <c r="J4771"/>
    </row>
    <row r="4772" spans="10:10" x14ac:dyDescent="0.2">
      <c r="J4772"/>
    </row>
    <row r="4773" spans="10:10" x14ac:dyDescent="0.2">
      <c r="J4773"/>
    </row>
    <row r="4774" spans="10:10" x14ac:dyDescent="0.2">
      <c r="J4774"/>
    </row>
    <row r="4775" spans="10:10" x14ac:dyDescent="0.2">
      <c r="J4775"/>
    </row>
    <row r="4776" spans="10:10" x14ac:dyDescent="0.2">
      <c r="J4776"/>
    </row>
    <row r="4777" spans="10:10" x14ac:dyDescent="0.2">
      <c r="J4777"/>
    </row>
    <row r="4778" spans="10:10" x14ac:dyDescent="0.2">
      <c r="J4778"/>
    </row>
    <row r="4779" spans="10:10" x14ac:dyDescent="0.2">
      <c r="J4779"/>
    </row>
    <row r="4780" spans="10:10" x14ac:dyDescent="0.2">
      <c r="J4780"/>
    </row>
    <row r="4781" spans="10:10" x14ac:dyDescent="0.2">
      <c r="J4781"/>
    </row>
    <row r="4782" spans="10:10" x14ac:dyDescent="0.2">
      <c r="J4782"/>
    </row>
    <row r="4783" spans="10:10" x14ac:dyDescent="0.2">
      <c r="J4783"/>
    </row>
    <row r="4784" spans="10:10" x14ac:dyDescent="0.2">
      <c r="J4784"/>
    </row>
    <row r="4785" spans="10:10" x14ac:dyDescent="0.2">
      <c r="J4785"/>
    </row>
    <row r="4786" spans="10:10" x14ac:dyDescent="0.2">
      <c r="J4786"/>
    </row>
    <row r="4787" spans="10:10" x14ac:dyDescent="0.2">
      <c r="J4787"/>
    </row>
    <row r="4788" spans="10:10" x14ac:dyDescent="0.2">
      <c r="J4788"/>
    </row>
    <row r="4789" spans="10:10" x14ac:dyDescent="0.2">
      <c r="J4789"/>
    </row>
    <row r="4790" spans="10:10" x14ac:dyDescent="0.2">
      <c r="J4790"/>
    </row>
    <row r="4791" spans="10:10" x14ac:dyDescent="0.2">
      <c r="J4791"/>
    </row>
    <row r="4792" spans="10:10" x14ac:dyDescent="0.2">
      <c r="J4792"/>
    </row>
    <row r="4793" spans="10:10" x14ac:dyDescent="0.2">
      <c r="J4793"/>
    </row>
    <row r="4794" spans="10:10" x14ac:dyDescent="0.2">
      <c r="J4794"/>
    </row>
    <row r="4795" spans="10:10" x14ac:dyDescent="0.2">
      <c r="J4795"/>
    </row>
    <row r="4796" spans="10:10" x14ac:dyDescent="0.2">
      <c r="J4796"/>
    </row>
    <row r="4797" spans="10:10" x14ac:dyDescent="0.2">
      <c r="J4797"/>
    </row>
    <row r="4798" spans="10:10" x14ac:dyDescent="0.2">
      <c r="J4798"/>
    </row>
    <row r="4799" spans="10:10" x14ac:dyDescent="0.2">
      <c r="J4799"/>
    </row>
    <row r="4800" spans="10:10" x14ac:dyDescent="0.2">
      <c r="J4800"/>
    </row>
    <row r="4801" spans="10:10" x14ac:dyDescent="0.2">
      <c r="J4801"/>
    </row>
    <row r="4802" spans="10:10" x14ac:dyDescent="0.2">
      <c r="J4802"/>
    </row>
    <row r="4803" spans="10:10" x14ac:dyDescent="0.2">
      <c r="J4803"/>
    </row>
    <row r="4804" spans="10:10" x14ac:dyDescent="0.2">
      <c r="J4804"/>
    </row>
    <row r="4805" spans="10:10" x14ac:dyDescent="0.2">
      <c r="J4805"/>
    </row>
    <row r="4806" spans="10:10" x14ac:dyDescent="0.2">
      <c r="J4806"/>
    </row>
    <row r="4807" spans="10:10" x14ac:dyDescent="0.2">
      <c r="J4807"/>
    </row>
    <row r="4808" spans="10:10" x14ac:dyDescent="0.2">
      <c r="J4808"/>
    </row>
    <row r="4809" spans="10:10" x14ac:dyDescent="0.2">
      <c r="J4809"/>
    </row>
    <row r="4810" spans="10:10" x14ac:dyDescent="0.2">
      <c r="J4810"/>
    </row>
    <row r="4811" spans="10:10" x14ac:dyDescent="0.2">
      <c r="J4811"/>
    </row>
    <row r="4812" spans="10:10" x14ac:dyDescent="0.2">
      <c r="J4812"/>
    </row>
    <row r="4813" spans="10:10" x14ac:dyDescent="0.2">
      <c r="J4813"/>
    </row>
    <row r="4814" spans="10:10" x14ac:dyDescent="0.2">
      <c r="J4814"/>
    </row>
    <row r="4815" spans="10:10" x14ac:dyDescent="0.2">
      <c r="J4815"/>
    </row>
    <row r="4816" spans="10:10" x14ac:dyDescent="0.2">
      <c r="J4816"/>
    </row>
    <row r="4817" spans="10:10" x14ac:dyDescent="0.2">
      <c r="J4817"/>
    </row>
    <row r="4818" spans="10:10" x14ac:dyDescent="0.2">
      <c r="J4818"/>
    </row>
    <row r="4819" spans="10:10" x14ac:dyDescent="0.2">
      <c r="J4819"/>
    </row>
    <row r="4820" spans="10:10" x14ac:dyDescent="0.2">
      <c r="J4820"/>
    </row>
    <row r="4821" spans="10:10" x14ac:dyDescent="0.2">
      <c r="J4821"/>
    </row>
    <row r="4822" spans="10:10" x14ac:dyDescent="0.2">
      <c r="J4822"/>
    </row>
    <row r="4823" spans="10:10" x14ac:dyDescent="0.2">
      <c r="J4823"/>
    </row>
    <row r="4824" spans="10:10" x14ac:dyDescent="0.2">
      <c r="J4824"/>
    </row>
    <row r="4825" spans="10:10" x14ac:dyDescent="0.2">
      <c r="J4825"/>
    </row>
    <row r="4826" spans="10:10" x14ac:dyDescent="0.2">
      <c r="J4826"/>
    </row>
    <row r="4827" spans="10:10" x14ac:dyDescent="0.2">
      <c r="J4827"/>
    </row>
    <row r="4828" spans="10:10" x14ac:dyDescent="0.2">
      <c r="J4828"/>
    </row>
    <row r="4829" spans="10:10" x14ac:dyDescent="0.2">
      <c r="J4829"/>
    </row>
    <row r="4830" spans="10:10" x14ac:dyDescent="0.2">
      <c r="J4830"/>
    </row>
    <row r="4831" spans="10:10" x14ac:dyDescent="0.2">
      <c r="J4831"/>
    </row>
    <row r="4832" spans="10:10" x14ac:dyDescent="0.2">
      <c r="J4832"/>
    </row>
    <row r="4833" spans="10:10" x14ac:dyDescent="0.2">
      <c r="J4833"/>
    </row>
    <row r="4834" spans="10:10" x14ac:dyDescent="0.2">
      <c r="J4834"/>
    </row>
    <row r="4835" spans="10:10" x14ac:dyDescent="0.2">
      <c r="J4835"/>
    </row>
    <row r="4836" spans="10:10" x14ac:dyDescent="0.2">
      <c r="J4836"/>
    </row>
    <row r="4837" spans="10:10" x14ac:dyDescent="0.2">
      <c r="J4837"/>
    </row>
    <row r="4838" spans="10:10" x14ac:dyDescent="0.2">
      <c r="J4838"/>
    </row>
    <row r="4839" spans="10:10" x14ac:dyDescent="0.2">
      <c r="J4839"/>
    </row>
    <row r="4840" spans="10:10" x14ac:dyDescent="0.2">
      <c r="J4840"/>
    </row>
    <row r="4841" spans="10:10" x14ac:dyDescent="0.2">
      <c r="J4841"/>
    </row>
    <row r="4842" spans="10:10" x14ac:dyDescent="0.2">
      <c r="J4842"/>
    </row>
    <row r="4843" spans="10:10" x14ac:dyDescent="0.2">
      <c r="J4843"/>
    </row>
    <row r="4844" spans="10:10" x14ac:dyDescent="0.2">
      <c r="J4844"/>
    </row>
    <row r="4845" spans="10:10" x14ac:dyDescent="0.2">
      <c r="J4845"/>
    </row>
    <row r="4846" spans="10:10" x14ac:dyDescent="0.2">
      <c r="J4846"/>
    </row>
    <row r="4847" spans="10:10" x14ac:dyDescent="0.2">
      <c r="J4847"/>
    </row>
    <row r="4848" spans="10:10" x14ac:dyDescent="0.2">
      <c r="J4848"/>
    </row>
    <row r="4849" spans="10:10" x14ac:dyDescent="0.2">
      <c r="J4849"/>
    </row>
    <row r="4850" spans="10:10" x14ac:dyDescent="0.2">
      <c r="J4850"/>
    </row>
    <row r="4851" spans="10:10" x14ac:dyDescent="0.2">
      <c r="J4851"/>
    </row>
    <row r="4852" spans="10:10" x14ac:dyDescent="0.2">
      <c r="J4852"/>
    </row>
    <row r="4853" spans="10:10" x14ac:dyDescent="0.2">
      <c r="J4853"/>
    </row>
    <row r="4854" spans="10:10" x14ac:dyDescent="0.2">
      <c r="J4854"/>
    </row>
    <row r="4855" spans="10:10" x14ac:dyDescent="0.2">
      <c r="J4855"/>
    </row>
    <row r="4856" spans="10:10" x14ac:dyDescent="0.2">
      <c r="J4856"/>
    </row>
    <row r="4857" spans="10:10" x14ac:dyDescent="0.2">
      <c r="J4857"/>
    </row>
    <row r="4858" spans="10:10" x14ac:dyDescent="0.2">
      <c r="J4858"/>
    </row>
    <row r="4859" spans="10:10" x14ac:dyDescent="0.2">
      <c r="J4859"/>
    </row>
    <row r="4860" spans="10:10" x14ac:dyDescent="0.2">
      <c r="J4860"/>
    </row>
    <row r="4861" spans="10:10" x14ac:dyDescent="0.2">
      <c r="J4861"/>
    </row>
    <row r="4862" spans="10:10" x14ac:dyDescent="0.2">
      <c r="J4862"/>
    </row>
    <row r="4863" spans="10:10" x14ac:dyDescent="0.2">
      <c r="J4863"/>
    </row>
    <row r="4864" spans="10:10" x14ac:dyDescent="0.2">
      <c r="J4864"/>
    </row>
    <row r="4865" spans="10:10" x14ac:dyDescent="0.2">
      <c r="J4865"/>
    </row>
    <row r="4866" spans="10:10" x14ac:dyDescent="0.2">
      <c r="J4866"/>
    </row>
    <row r="4867" spans="10:10" x14ac:dyDescent="0.2">
      <c r="J4867"/>
    </row>
    <row r="4868" spans="10:10" x14ac:dyDescent="0.2">
      <c r="J4868"/>
    </row>
    <row r="4869" spans="10:10" x14ac:dyDescent="0.2">
      <c r="J4869"/>
    </row>
    <row r="4870" spans="10:10" x14ac:dyDescent="0.2">
      <c r="J4870"/>
    </row>
    <row r="4871" spans="10:10" x14ac:dyDescent="0.2">
      <c r="J4871"/>
    </row>
    <row r="4872" spans="10:10" x14ac:dyDescent="0.2">
      <c r="J4872"/>
    </row>
    <row r="4873" spans="10:10" x14ac:dyDescent="0.2">
      <c r="J4873"/>
    </row>
    <row r="4874" spans="10:10" x14ac:dyDescent="0.2">
      <c r="J4874"/>
    </row>
    <row r="4875" spans="10:10" x14ac:dyDescent="0.2">
      <c r="J4875"/>
    </row>
    <row r="4876" spans="10:10" x14ac:dyDescent="0.2">
      <c r="J4876"/>
    </row>
    <row r="4877" spans="10:10" x14ac:dyDescent="0.2">
      <c r="J4877"/>
    </row>
    <row r="4878" spans="10:10" x14ac:dyDescent="0.2">
      <c r="J4878"/>
    </row>
    <row r="4879" spans="10:10" x14ac:dyDescent="0.2">
      <c r="J4879"/>
    </row>
    <row r="4880" spans="10:10" x14ac:dyDescent="0.2">
      <c r="J4880"/>
    </row>
    <row r="4881" spans="10:10" x14ac:dyDescent="0.2">
      <c r="J4881"/>
    </row>
    <row r="4882" spans="10:10" x14ac:dyDescent="0.2">
      <c r="J4882"/>
    </row>
    <row r="4883" spans="10:10" x14ac:dyDescent="0.2">
      <c r="J4883"/>
    </row>
    <row r="4884" spans="10:10" x14ac:dyDescent="0.2">
      <c r="J4884"/>
    </row>
    <row r="4885" spans="10:10" x14ac:dyDescent="0.2">
      <c r="J4885"/>
    </row>
    <row r="4886" spans="10:10" x14ac:dyDescent="0.2">
      <c r="J4886"/>
    </row>
    <row r="4887" spans="10:10" x14ac:dyDescent="0.2">
      <c r="J4887"/>
    </row>
    <row r="4888" spans="10:10" x14ac:dyDescent="0.2">
      <c r="J4888"/>
    </row>
    <row r="4889" spans="10:10" x14ac:dyDescent="0.2">
      <c r="J4889"/>
    </row>
    <row r="4890" spans="10:10" x14ac:dyDescent="0.2">
      <c r="J4890"/>
    </row>
    <row r="4891" spans="10:10" x14ac:dyDescent="0.2">
      <c r="J4891"/>
    </row>
    <row r="4892" spans="10:10" x14ac:dyDescent="0.2">
      <c r="J4892"/>
    </row>
    <row r="4893" spans="10:10" x14ac:dyDescent="0.2">
      <c r="J4893"/>
    </row>
    <row r="4894" spans="10:10" x14ac:dyDescent="0.2">
      <c r="J4894"/>
    </row>
    <row r="4895" spans="10:10" x14ac:dyDescent="0.2">
      <c r="J4895"/>
    </row>
    <row r="4896" spans="10:10" x14ac:dyDescent="0.2">
      <c r="J4896"/>
    </row>
    <row r="4897" spans="10:10" x14ac:dyDescent="0.2">
      <c r="J4897"/>
    </row>
    <row r="4898" spans="10:10" x14ac:dyDescent="0.2">
      <c r="J4898"/>
    </row>
    <row r="4899" spans="10:10" x14ac:dyDescent="0.2">
      <c r="J4899"/>
    </row>
    <row r="4900" spans="10:10" x14ac:dyDescent="0.2">
      <c r="J4900"/>
    </row>
    <row r="4901" spans="10:10" x14ac:dyDescent="0.2">
      <c r="J4901"/>
    </row>
    <row r="4902" spans="10:10" x14ac:dyDescent="0.2">
      <c r="J4902"/>
    </row>
    <row r="4903" spans="10:10" x14ac:dyDescent="0.2">
      <c r="J4903"/>
    </row>
    <row r="4904" spans="10:10" x14ac:dyDescent="0.2">
      <c r="J4904"/>
    </row>
    <row r="4905" spans="10:10" x14ac:dyDescent="0.2">
      <c r="J4905"/>
    </row>
    <row r="4906" spans="10:10" x14ac:dyDescent="0.2">
      <c r="J4906"/>
    </row>
    <row r="4907" spans="10:10" x14ac:dyDescent="0.2">
      <c r="J4907"/>
    </row>
    <row r="4908" spans="10:10" x14ac:dyDescent="0.2">
      <c r="J4908"/>
    </row>
    <row r="4909" spans="10:10" x14ac:dyDescent="0.2">
      <c r="J4909"/>
    </row>
    <row r="4910" spans="10:10" x14ac:dyDescent="0.2">
      <c r="J4910"/>
    </row>
    <row r="4911" spans="10:10" x14ac:dyDescent="0.2">
      <c r="J4911"/>
    </row>
    <row r="4912" spans="10:10" x14ac:dyDescent="0.2">
      <c r="J4912"/>
    </row>
    <row r="4913" spans="10:10" x14ac:dyDescent="0.2">
      <c r="J4913"/>
    </row>
    <row r="4914" spans="10:10" x14ac:dyDescent="0.2">
      <c r="J4914"/>
    </row>
    <row r="4915" spans="10:10" x14ac:dyDescent="0.2">
      <c r="J4915"/>
    </row>
    <row r="4916" spans="10:10" x14ac:dyDescent="0.2">
      <c r="J4916"/>
    </row>
    <row r="4917" spans="10:10" x14ac:dyDescent="0.2">
      <c r="J4917"/>
    </row>
    <row r="4918" spans="10:10" x14ac:dyDescent="0.2">
      <c r="J4918"/>
    </row>
    <row r="4919" spans="10:10" x14ac:dyDescent="0.2">
      <c r="J4919"/>
    </row>
    <row r="4920" spans="10:10" x14ac:dyDescent="0.2">
      <c r="J4920"/>
    </row>
    <row r="4921" spans="10:10" x14ac:dyDescent="0.2">
      <c r="J4921"/>
    </row>
    <row r="4922" spans="10:10" x14ac:dyDescent="0.2">
      <c r="J4922"/>
    </row>
    <row r="4923" spans="10:10" x14ac:dyDescent="0.2">
      <c r="J4923"/>
    </row>
    <row r="4924" spans="10:10" x14ac:dyDescent="0.2">
      <c r="J4924"/>
    </row>
    <row r="4925" spans="10:10" x14ac:dyDescent="0.2">
      <c r="J4925"/>
    </row>
    <row r="4926" spans="10:10" x14ac:dyDescent="0.2">
      <c r="J4926"/>
    </row>
    <row r="4927" spans="10:10" x14ac:dyDescent="0.2">
      <c r="J4927"/>
    </row>
    <row r="4928" spans="10:10" x14ac:dyDescent="0.2">
      <c r="J4928"/>
    </row>
    <row r="4929" spans="10:10" x14ac:dyDescent="0.2">
      <c r="J4929"/>
    </row>
    <row r="4930" spans="10:10" x14ac:dyDescent="0.2">
      <c r="J4930"/>
    </row>
    <row r="4931" spans="10:10" x14ac:dyDescent="0.2">
      <c r="J4931"/>
    </row>
    <row r="4932" spans="10:10" x14ac:dyDescent="0.2">
      <c r="J4932"/>
    </row>
    <row r="4933" spans="10:10" x14ac:dyDescent="0.2">
      <c r="J4933"/>
    </row>
    <row r="4934" spans="10:10" x14ac:dyDescent="0.2">
      <c r="J4934"/>
    </row>
    <row r="4935" spans="10:10" x14ac:dyDescent="0.2">
      <c r="J4935"/>
    </row>
    <row r="4936" spans="10:10" x14ac:dyDescent="0.2">
      <c r="J4936"/>
    </row>
    <row r="4937" spans="10:10" x14ac:dyDescent="0.2">
      <c r="J4937"/>
    </row>
    <row r="4938" spans="10:10" x14ac:dyDescent="0.2">
      <c r="J4938"/>
    </row>
    <row r="4939" spans="10:10" x14ac:dyDescent="0.2">
      <c r="J4939"/>
    </row>
    <row r="4940" spans="10:10" x14ac:dyDescent="0.2">
      <c r="J4940"/>
    </row>
    <row r="4941" spans="10:10" x14ac:dyDescent="0.2">
      <c r="J4941"/>
    </row>
    <row r="4942" spans="10:10" x14ac:dyDescent="0.2">
      <c r="J4942"/>
    </row>
    <row r="4943" spans="10:10" x14ac:dyDescent="0.2">
      <c r="J4943"/>
    </row>
    <row r="4944" spans="10:10" x14ac:dyDescent="0.2">
      <c r="J4944"/>
    </row>
    <row r="4945" spans="10:10" x14ac:dyDescent="0.2">
      <c r="J4945"/>
    </row>
    <row r="4946" spans="10:10" x14ac:dyDescent="0.2">
      <c r="J4946"/>
    </row>
    <row r="4947" spans="10:10" x14ac:dyDescent="0.2">
      <c r="J4947"/>
    </row>
    <row r="4948" spans="10:10" x14ac:dyDescent="0.2">
      <c r="J4948"/>
    </row>
    <row r="4949" spans="10:10" x14ac:dyDescent="0.2">
      <c r="J4949"/>
    </row>
    <row r="4950" spans="10:10" x14ac:dyDescent="0.2">
      <c r="J4950"/>
    </row>
    <row r="4951" spans="10:10" x14ac:dyDescent="0.2">
      <c r="J4951"/>
    </row>
    <row r="4952" spans="10:10" x14ac:dyDescent="0.2">
      <c r="J4952"/>
    </row>
    <row r="4953" spans="10:10" x14ac:dyDescent="0.2">
      <c r="J4953"/>
    </row>
    <row r="4954" spans="10:10" x14ac:dyDescent="0.2">
      <c r="J4954"/>
    </row>
    <row r="4955" spans="10:10" x14ac:dyDescent="0.2">
      <c r="J4955"/>
    </row>
    <row r="4956" spans="10:10" x14ac:dyDescent="0.2">
      <c r="J4956"/>
    </row>
    <row r="4957" spans="10:10" x14ac:dyDescent="0.2">
      <c r="J4957"/>
    </row>
    <row r="4958" spans="10:10" x14ac:dyDescent="0.2">
      <c r="J4958"/>
    </row>
    <row r="4959" spans="10:10" x14ac:dyDescent="0.2">
      <c r="J4959"/>
    </row>
    <row r="4960" spans="10:10" x14ac:dyDescent="0.2">
      <c r="J4960"/>
    </row>
    <row r="4961" spans="10:10" x14ac:dyDescent="0.2">
      <c r="J4961"/>
    </row>
    <row r="4962" spans="10:10" x14ac:dyDescent="0.2">
      <c r="J4962"/>
    </row>
    <row r="4963" spans="10:10" x14ac:dyDescent="0.2">
      <c r="J4963"/>
    </row>
    <row r="4964" spans="10:10" x14ac:dyDescent="0.2">
      <c r="J4964"/>
    </row>
    <row r="4965" spans="10:10" x14ac:dyDescent="0.2">
      <c r="J4965"/>
    </row>
    <row r="4966" spans="10:10" x14ac:dyDescent="0.2">
      <c r="J4966"/>
    </row>
    <row r="4967" spans="10:10" x14ac:dyDescent="0.2">
      <c r="J4967"/>
    </row>
    <row r="4968" spans="10:10" x14ac:dyDescent="0.2">
      <c r="J4968"/>
    </row>
    <row r="4969" spans="10:10" x14ac:dyDescent="0.2">
      <c r="J4969"/>
    </row>
    <row r="4970" spans="10:10" x14ac:dyDescent="0.2">
      <c r="J4970"/>
    </row>
    <row r="4971" spans="10:10" x14ac:dyDescent="0.2">
      <c r="J4971"/>
    </row>
    <row r="4972" spans="10:10" x14ac:dyDescent="0.2">
      <c r="J4972"/>
    </row>
    <row r="4973" spans="10:10" x14ac:dyDescent="0.2">
      <c r="J4973"/>
    </row>
    <row r="4974" spans="10:10" x14ac:dyDescent="0.2">
      <c r="J4974"/>
    </row>
    <row r="4975" spans="10:10" x14ac:dyDescent="0.2">
      <c r="J4975"/>
    </row>
    <row r="4976" spans="10:10" x14ac:dyDescent="0.2">
      <c r="J4976"/>
    </row>
    <row r="4977" spans="10:10" x14ac:dyDescent="0.2">
      <c r="J4977"/>
    </row>
    <row r="4978" spans="10:10" x14ac:dyDescent="0.2">
      <c r="J4978"/>
    </row>
    <row r="4979" spans="10:10" x14ac:dyDescent="0.2">
      <c r="J4979"/>
    </row>
    <row r="4980" spans="10:10" x14ac:dyDescent="0.2">
      <c r="J4980"/>
    </row>
    <row r="4981" spans="10:10" x14ac:dyDescent="0.2">
      <c r="J4981"/>
    </row>
    <row r="4982" spans="10:10" x14ac:dyDescent="0.2">
      <c r="J4982"/>
    </row>
    <row r="4983" spans="10:10" x14ac:dyDescent="0.2">
      <c r="J4983"/>
    </row>
    <row r="4984" spans="10:10" x14ac:dyDescent="0.2">
      <c r="J4984"/>
    </row>
    <row r="4985" spans="10:10" x14ac:dyDescent="0.2">
      <c r="J4985"/>
    </row>
    <row r="4986" spans="10:10" x14ac:dyDescent="0.2">
      <c r="J4986"/>
    </row>
    <row r="4987" spans="10:10" x14ac:dyDescent="0.2">
      <c r="J4987"/>
    </row>
    <row r="4988" spans="10:10" x14ac:dyDescent="0.2">
      <c r="J4988"/>
    </row>
    <row r="4989" spans="10:10" x14ac:dyDescent="0.2">
      <c r="J4989"/>
    </row>
    <row r="4990" spans="10:10" x14ac:dyDescent="0.2">
      <c r="J4990"/>
    </row>
    <row r="4991" spans="10:10" x14ac:dyDescent="0.2">
      <c r="J4991"/>
    </row>
    <row r="4992" spans="10:10" x14ac:dyDescent="0.2">
      <c r="J4992"/>
    </row>
    <row r="4993" spans="10:10" x14ac:dyDescent="0.2">
      <c r="J4993"/>
    </row>
    <row r="4994" spans="10:10" x14ac:dyDescent="0.2">
      <c r="J4994"/>
    </row>
    <row r="4995" spans="10:10" x14ac:dyDescent="0.2">
      <c r="J4995"/>
    </row>
    <row r="4996" spans="10:10" x14ac:dyDescent="0.2">
      <c r="J4996"/>
    </row>
    <row r="4997" spans="10:10" x14ac:dyDescent="0.2">
      <c r="J4997"/>
    </row>
    <row r="4998" spans="10:10" x14ac:dyDescent="0.2">
      <c r="J4998"/>
    </row>
    <row r="4999" spans="10:10" x14ac:dyDescent="0.2">
      <c r="J4999"/>
    </row>
    <row r="5000" spans="10:10" x14ac:dyDescent="0.2">
      <c r="J5000"/>
    </row>
    <row r="5001" spans="10:10" x14ac:dyDescent="0.2">
      <c r="J5001"/>
    </row>
    <row r="5002" spans="10:10" x14ac:dyDescent="0.2">
      <c r="J5002"/>
    </row>
    <row r="5003" spans="10:10" x14ac:dyDescent="0.2">
      <c r="J5003"/>
    </row>
    <row r="5004" spans="10:10" x14ac:dyDescent="0.2">
      <c r="J5004"/>
    </row>
    <row r="5005" spans="10:10" x14ac:dyDescent="0.2">
      <c r="J5005"/>
    </row>
    <row r="5006" spans="10:10" x14ac:dyDescent="0.2">
      <c r="J5006"/>
    </row>
    <row r="5007" spans="10:10" x14ac:dyDescent="0.2">
      <c r="J5007"/>
    </row>
    <row r="5008" spans="10:10" x14ac:dyDescent="0.2">
      <c r="J5008"/>
    </row>
    <row r="5009" spans="10:10" x14ac:dyDescent="0.2">
      <c r="J5009"/>
    </row>
    <row r="5010" spans="10:10" x14ac:dyDescent="0.2">
      <c r="J5010"/>
    </row>
    <row r="5011" spans="10:10" x14ac:dyDescent="0.2">
      <c r="J5011"/>
    </row>
    <row r="5012" spans="10:10" x14ac:dyDescent="0.2">
      <c r="J5012"/>
    </row>
    <row r="5013" spans="10:10" x14ac:dyDescent="0.2">
      <c r="J5013"/>
    </row>
    <row r="5014" spans="10:10" x14ac:dyDescent="0.2">
      <c r="J5014"/>
    </row>
    <row r="5015" spans="10:10" x14ac:dyDescent="0.2">
      <c r="J5015"/>
    </row>
    <row r="5016" spans="10:10" x14ac:dyDescent="0.2">
      <c r="J5016"/>
    </row>
    <row r="5017" spans="10:10" x14ac:dyDescent="0.2">
      <c r="J5017"/>
    </row>
    <row r="5018" spans="10:10" x14ac:dyDescent="0.2">
      <c r="J5018"/>
    </row>
    <row r="5019" spans="10:10" x14ac:dyDescent="0.2">
      <c r="J5019"/>
    </row>
    <row r="5020" spans="10:10" x14ac:dyDescent="0.2">
      <c r="J5020"/>
    </row>
    <row r="5021" spans="10:10" x14ac:dyDescent="0.2">
      <c r="J5021"/>
    </row>
    <row r="5022" spans="10:10" x14ac:dyDescent="0.2">
      <c r="J5022"/>
    </row>
    <row r="5023" spans="10:10" x14ac:dyDescent="0.2">
      <c r="J5023"/>
    </row>
    <row r="5024" spans="10:10" x14ac:dyDescent="0.2">
      <c r="J5024"/>
    </row>
    <row r="5025" spans="10:10" x14ac:dyDescent="0.2">
      <c r="J5025"/>
    </row>
    <row r="5026" spans="10:10" x14ac:dyDescent="0.2">
      <c r="J5026"/>
    </row>
    <row r="5027" spans="10:10" x14ac:dyDescent="0.2">
      <c r="J5027"/>
    </row>
    <row r="5028" spans="10:10" x14ac:dyDescent="0.2">
      <c r="J5028"/>
    </row>
    <row r="5029" spans="10:10" x14ac:dyDescent="0.2">
      <c r="J5029"/>
    </row>
    <row r="5030" spans="10:10" x14ac:dyDescent="0.2">
      <c r="J5030"/>
    </row>
    <row r="5031" spans="10:10" x14ac:dyDescent="0.2">
      <c r="J5031"/>
    </row>
    <row r="5032" spans="10:10" x14ac:dyDescent="0.2">
      <c r="J5032"/>
    </row>
    <row r="5033" spans="10:10" x14ac:dyDescent="0.2">
      <c r="J5033"/>
    </row>
    <row r="5034" spans="10:10" x14ac:dyDescent="0.2">
      <c r="J5034"/>
    </row>
    <row r="5035" spans="10:10" x14ac:dyDescent="0.2">
      <c r="J5035"/>
    </row>
    <row r="5036" spans="10:10" x14ac:dyDescent="0.2">
      <c r="J5036"/>
    </row>
    <row r="5037" spans="10:10" x14ac:dyDescent="0.2">
      <c r="J5037"/>
    </row>
    <row r="5038" spans="10:10" x14ac:dyDescent="0.2">
      <c r="J5038"/>
    </row>
    <row r="5039" spans="10:10" x14ac:dyDescent="0.2">
      <c r="J5039"/>
    </row>
    <row r="5040" spans="10:10" x14ac:dyDescent="0.2">
      <c r="J5040"/>
    </row>
    <row r="5041" spans="10:10" x14ac:dyDescent="0.2">
      <c r="J5041"/>
    </row>
    <row r="5042" spans="10:10" x14ac:dyDescent="0.2">
      <c r="J5042"/>
    </row>
    <row r="5043" spans="10:10" x14ac:dyDescent="0.2">
      <c r="J5043"/>
    </row>
    <row r="5044" spans="10:10" x14ac:dyDescent="0.2">
      <c r="J5044"/>
    </row>
    <row r="5045" spans="10:10" x14ac:dyDescent="0.2">
      <c r="J5045"/>
    </row>
    <row r="5046" spans="10:10" x14ac:dyDescent="0.2">
      <c r="J5046"/>
    </row>
    <row r="5047" spans="10:10" x14ac:dyDescent="0.2">
      <c r="J5047"/>
    </row>
    <row r="5048" spans="10:10" x14ac:dyDescent="0.2">
      <c r="J5048"/>
    </row>
    <row r="5049" spans="10:10" x14ac:dyDescent="0.2">
      <c r="J5049"/>
    </row>
    <row r="5050" spans="10:10" x14ac:dyDescent="0.2">
      <c r="J5050"/>
    </row>
    <row r="5051" spans="10:10" x14ac:dyDescent="0.2">
      <c r="J5051"/>
    </row>
    <row r="5052" spans="10:10" x14ac:dyDescent="0.2">
      <c r="J5052"/>
    </row>
    <row r="5053" spans="10:10" x14ac:dyDescent="0.2">
      <c r="J5053"/>
    </row>
    <row r="5054" spans="10:10" x14ac:dyDescent="0.2">
      <c r="J5054"/>
    </row>
    <row r="5055" spans="10:10" x14ac:dyDescent="0.2">
      <c r="J5055"/>
    </row>
    <row r="5056" spans="10:10" x14ac:dyDescent="0.2">
      <c r="J5056"/>
    </row>
    <row r="5057" spans="10:10" x14ac:dyDescent="0.2">
      <c r="J5057"/>
    </row>
    <row r="5058" spans="10:10" x14ac:dyDescent="0.2">
      <c r="J5058"/>
    </row>
    <row r="5059" spans="10:10" x14ac:dyDescent="0.2">
      <c r="J5059"/>
    </row>
    <row r="5060" spans="10:10" x14ac:dyDescent="0.2">
      <c r="J5060"/>
    </row>
    <row r="5061" spans="10:10" x14ac:dyDescent="0.2">
      <c r="J5061"/>
    </row>
    <row r="5062" spans="10:10" x14ac:dyDescent="0.2">
      <c r="J5062"/>
    </row>
    <row r="5063" spans="10:10" x14ac:dyDescent="0.2">
      <c r="J5063"/>
    </row>
    <row r="5064" spans="10:10" x14ac:dyDescent="0.2">
      <c r="J5064"/>
    </row>
    <row r="5065" spans="10:10" x14ac:dyDescent="0.2">
      <c r="J5065"/>
    </row>
    <row r="5066" spans="10:10" x14ac:dyDescent="0.2">
      <c r="J5066"/>
    </row>
    <row r="5067" spans="10:10" x14ac:dyDescent="0.2">
      <c r="J5067"/>
    </row>
    <row r="5068" spans="10:10" x14ac:dyDescent="0.2">
      <c r="J5068"/>
    </row>
    <row r="5069" spans="10:10" x14ac:dyDescent="0.2">
      <c r="J5069"/>
    </row>
    <row r="5070" spans="10:10" x14ac:dyDescent="0.2">
      <c r="J5070"/>
    </row>
    <row r="5071" spans="10:10" x14ac:dyDescent="0.2">
      <c r="J5071"/>
    </row>
    <row r="5072" spans="10:10" x14ac:dyDescent="0.2">
      <c r="J5072"/>
    </row>
    <row r="5073" spans="10:10" x14ac:dyDescent="0.2">
      <c r="J5073"/>
    </row>
    <row r="5074" spans="10:10" x14ac:dyDescent="0.2">
      <c r="J5074"/>
    </row>
    <row r="5075" spans="10:10" x14ac:dyDescent="0.2">
      <c r="J5075"/>
    </row>
    <row r="5076" spans="10:10" x14ac:dyDescent="0.2">
      <c r="J5076"/>
    </row>
    <row r="5077" spans="10:10" x14ac:dyDescent="0.2">
      <c r="J5077"/>
    </row>
    <row r="5078" spans="10:10" x14ac:dyDescent="0.2">
      <c r="J5078"/>
    </row>
    <row r="5079" spans="10:10" x14ac:dyDescent="0.2">
      <c r="J5079"/>
    </row>
    <row r="5080" spans="10:10" x14ac:dyDescent="0.2">
      <c r="J5080"/>
    </row>
    <row r="5081" spans="10:10" x14ac:dyDescent="0.2">
      <c r="J5081"/>
    </row>
    <row r="5082" spans="10:10" x14ac:dyDescent="0.2">
      <c r="J5082"/>
    </row>
    <row r="5083" spans="10:10" x14ac:dyDescent="0.2">
      <c r="J5083"/>
    </row>
    <row r="5084" spans="10:10" x14ac:dyDescent="0.2">
      <c r="J5084"/>
    </row>
    <row r="5085" spans="10:10" x14ac:dyDescent="0.2">
      <c r="J5085"/>
    </row>
    <row r="5086" spans="10:10" x14ac:dyDescent="0.2">
      <c r="J5086"/>
    </row>
    <row r="5087" spans="10:10" x14ac:dyDescent="0.2">
      <c r="J5087"/>
    </row>
    <row r="5088" spans="10:10" x14ac:dyDescent="0.2">
      <c r="J5088"/>
    </row>
    <row r="5089" spans="10:10" x14ac:dyDescent="0.2">
      <c r="J5089"/>
    </row>
    <row r="5090" spans="10:10" x14ac:dyDescent="0.2">
      <c r="J5090"/>
    </row>
    <row r="5091" spans="10:10" x14ac:dyDescent="0.2">
      <c r="J5091"/>
    </row>
    <row r="5092" spans="10:10" x14ac:dyDescent="0.2">
      <c r="J5092"/>
    </row>
    <row r="5093" spans="10:10" x14ac:dyDescent="0.2">
      <c r="J5093"/>
    </row>
    <row r="5094" spans="10:10" x14ac:dyDescent="0.2">
      <c r="J5094"/>
    </row>
    <row r="5095" spans="10:10" x14ac:dyDescent="0.2">
      <c r="J5095"/>
    </row>
    <row r="5096" spans="10:10" x14ac:dyDescent="0.2">
      <c r="J5096"/>
    </row>
    <row r="5097" spans="10:10" x14ac:dyDescent="0.2">
      <c r="J5097"/>
    </row>
    <row r="5098" spans="10:10" x14ac:dyDescent="0.2">
      <c r="J5098"/>
    </row>
    <row r="5099" spans="10:10" x14ac:dyDescent="0.2">
      <c r="J5099"/>
    </row>
    <row r="5100" spans="10:10" x14ac:dyDescent="0.2">
      <c r="J5100"/>
    </row>
    <row r="5101" spans="10:10" x14ac:dyDescent="0.2">
      <c r="J5101"/>
    </row>
    <row r="5102" spans="10:10" x14ac:dyDescent="0.2">
      <c r="J5102"/>
    </row>
    <row r="5103" spans="10:10" x14ac:dyDescent="0.2">
      <c r="J5103"/>
    </row>
    <row r="5104" spans="10:10" x14ac:dyDescent="0.2">
      <c r="J5104"/>
    </row>
    <row r="5105" spans="10:10" x14ac:dyDescent="0.2">
      <c r="J5105"/>
    </row>
    <row r="5106" spans="10:10" x14ac:dyDescent="0.2">
      <c r="J5106"/>
    </row>
    <row r="5107" spans="10:10" x14ac:dyDescent="0.2">
      <c r="J5107"/>
    </row>
    <row r="5108" spans="10:10" x14ac:dyDescent="0.2">
      <c r="J5108"/>
    </row>
    <row r="5109" spans="10:10" x14ac:dyDescent="0.2">
      <c r="J5109"/>
    </row>
    <row r="5110" spans="10:10" x14ac:dyDescent="0.2">
      <c r="J5110"/>
    </row>
    <row r="5111" spans="10:10" x14ac:dyDescent="0.2">
      <c r="J5111"/>
    </row>
    <row r="5112" spans="10:10" x14ac:dyDescent="0.2">
      <c r="J5112"/>
    </row>
    <row r="5113" spans="10:10" x14ac:dyDescent="0.2">
      <c r="J5113"/>
    </row>
    <row r="5114" spans="10:10" x14ac:dyDescent="0.2">
      <c r="J5114"/>
    </row>
    <row r="5115" spans="10:10" x14ac:dyDescent="0.2">
      <c r="J5115"/>
    </row>
    <row r="5116" spans="10:10" x14ac:dyDescent="0.2">
      <c r="J5116"/>
    </row>
    <row r="5117" spans="10:10" x14ac:dyDescent="0.2">
      <c r="J5117"/>
    </row>
    <row r="5118" spans="10:10" x14ac:dyDescent="0.2">
      <c r="J5118"/>
    </row>
    <row r="5119" spans="10:10" x14ac:dyDescent="0.2">
      <c r="J5119"/>
    </row>
    <row r="5120" spans="10:10" x14ac:dyDescent="0.2">
      <c r="J5120"/>
    </row>
    <row r="5121" spans="10:10" x14ac:dyDescent="0.2">
      <c r="J5121"/>
    </row>
    <row r="5122" spans="10:10" x14ac:dyDescent="0.2">
      <c r="J5122"/>
    </row>
    <row r="5123" spans="10:10" x14ac:dyDescent="0.2">
      <c r="J5123"/>
    </row>
    <row r="5124" spans="10:10" x14ac:dyDescent="0.2">
      <c r="J5124"/>
    </row>
    <row r="5125" spans="10:10" x14ac:dyDescent="0.2">
      <c r="J5125"/>
    </row>
    <row r="5126" spans="10:10" x14ac:dyDescent="0.2">
      <c r="J5126"/>
    </row>
    <row r="5127" spans="10:10" x14ac:dyDescent="0.2">
      <c r="J5127"/>
    </row>
    <row r="5128" spans="10:10" x14ac:dyDescent="0.2">
      <c r="J5128"/>
    </row>
    <row r="5129" spans="10:10" x14ac:dyDescent="0.2">
      <c r="J5129"/>
    </row>
    <row r="5130" spans="10:10" x14ac:dyDescent="0.2">
      <c r="J5130"/>
    </row>
    <row r="5131" spans="10:10" x14ac:dyDescent="0.2">
      <c r="J5131"/>
    </row>
    <row r="5132" spans="10:10" x14ac:dyDescent="0.2">
      <c r="J5132"/>
    </row>
    <row r="5133" spans="10:10" x14ac:dyDescent="0.2">
      <c r="J5133"/>
    </row>
    <row r="5134" spans="10:10" x14ac:dyDescent="0.2">
      <c r="J5134"/>
    </row>
    <row r="5135" spans="10:10" x14ac:dyDescent="0.2">
      <c r="J5135"/>
    </row>
    <row r="5136" spans="10:10" x14ac:dyDescent="0.2">
      <c r="J5136"/>
    </row>
    <row r="5137" spans="10:10" x14ac:dyDescent="0.2">
      <c r="J5137"/>
    </row>
    <row r="5138" spans="10:10" x14ac:dyDescent="0.2">
      <c r="J5138"/>
    </row>
    <row r="5139" spans="10:10" x14ac:dyDescent="0.2">
      <c r="J5139"/>
    </row>
    <row r="5140" spans="10:10" x14ac:dyDescent="0.2">
      <c r="J5140"/>
    </row>
    <row r="5141" spans="10:10" x14ac:dyDescent="0.2">
      <c r="J5141"/>
    </row>
    <row r="5142" spans="10:10" x14ac:dyDescent="0.2">
      <c r="J5142"/>
    </row>
    <row r="5143" spans="10:10" x14ac:dyDescent="0.2">
      <c r="J5143"/>
    </row>
    <row r="5144" spans="10:10" x14ac:dyDescent="0.2">
      <c r="J5144"/>
    </row>
    <row r="5145" spans="10:10" x14ac:dyDescent="0.2">
      <c r="J5145"/>
    </row>
    <row r="5146" spans="10:10" x14ac:dyDescent="0.2">
      <c r="J5146"/>
    </row>
    <row r="5147" spans="10:10" x14ac:dyDescent="0.2">
      <c r="J5147"/>
    </row>
    <row r="5148" spans="10:10" x14ac:dyDescent="0.2">
      <c r="J5148"/>
    </row>
    <row r="5149" spans="10:10" x14ac:dyDescent="0.2">
      <c r="J5149"/>
    </row>
    <row r="5150" spans="10:10" x14ac:dyDescent="0.2">
      <c r="J5150"/>
    </row>
    <row r="5151" spans="10:10" x14ac:dyDescent="0.2">
      <c r="J5151"/>
    </row>
    <row r="5152" spans="10:10" x14ac:dyDescent="0.2">
      <c r="J5152"/>
    </row>
    <row r="5153" spans="10:10" x14ac:dyDescent="0.2">
      <c r="J5153"/>
    </row>
    <row r="5154" spans="10:10" x14ac:dyDescent="0.2">
      <c r="J5154"/>
    </row>
    <row r="5155" spans="10:10" x14ac:dyDescent="0.2">
      <c r="J5155"/>
    </row>
    <row r="5156" spans="10:10" x14ac:dyDescent="0.2">
      <c r="J5156"/>
    </row>
    <row r="5157" spans="10:10" x14ac:dyDescent="0.2">
      <c r="J5157"/>
    </row>
    <row r="5158" spans="10:10" x14ac:dyDescent="0.2">
      <c r="J5158"/>
    </row>
    <row r="5159" spans="10:10" x14ac:dyDescent="0.2">
      <c r="J5159"/>
    </row>
    <row r="5160" spans="10:10" x14ac:dyDescent="0.2">
      <c r="J5160"/>
    </row>
    <row r="5161" spans="10:10" x14ac:dyDescent="0.2">
      <c r="J5161"/>
    </row>
    <row r="5162" spans="10:10" x14ac:dyDescent="0.2">
      <c r="J5162"/>
    </row>
    <row r="5163" spans="10:10" x14ac:dyDescent="0.2">
      <c r="J5163"/>
    </row>
    <row r="5164" spans="10:10" x14ac:dyDescent="0.2">
      <c r="J5164"/>
    </row>
    <row r="5165" spans="10:10" x14ac:dyDescent="0.2">
      <c r="J5165"/>
    </row>
    <row r="5166" spans="10:10" x14ac:dyDescent="0.2">
      <c r="J5166"/>
    </row>
    <row r="5167" spans="10:10" x14ac:dyDescent="0.2">
      <c r="J5167"/>
    </row>
    <row r="5168" spans="10:10" x14ac:dyDescent="0.2">
      <c r="J5168"/>
    </row>
    <row r="5169" spans="10:10" x14ac:dyDescent="0.2">
      <c r="J5169"/>
    </row>
    <row r="5170" spans="10:10" x14ac:dyDescent="0.2">
      <c r="J5170"/>
    </row>
    <row r="5171" spans="10:10" x14ac:dyDescent="0.2">
      <c r="J5171"/>
    </row>
    <row r="5172" spans="10:10" x14ac:dyDescent="0.2">
      <c r="J5172"/>
    </row>
    <row r="5173" spans="10:10" x14ac:dyDescent="0.2">
      <c r="J5173"/>
    </row>
    <row r="5174" spans="10:10" x14ac:dyDescent="0.2">
      <c r="J5174"/>
    </row>
    <row r="5175" spans="10:10" x14ac:dyDescent="0.2">
      <c r="J5175"/>
    </row>
    <row r="5176" spans="10:10" x14ac:dyDescent="0.2">
      <c r="J5176"/>
    </row>
    <row r="5177" spans="10:10" x14ac:dyDescent="0.2">
      <c r="J5177"/>
    </row>
    <row r="5178" spans="10:10" x14ac:dyDescent="0.2">
      <c r="J5178"/>
    </row>
    <row r="5179" spans="10:10" x14ac:dyDescent="0.2">
      <c r="J5179"/>
    </row>
    <row r="5180" spans="10:10" x14ac:dyDescent="0.2">
      <c r="J5180"/>
    </row>
    <row r="5181" spans="10:10" x14ac:dyDescent="0.2">
      <c r="J5181"/>
    </row>
    <row r="5182" spans="10:10" x14ac:dyDescent="0.2">
      <c r="J5182"/>
    </row>
    <row r="5183" spans="10:10" x14ac:dyDescent="0.2">
      <c r="J5183"/>
    </row>
    <row r="5184" spans="10:10" x14ac:dyDescent="0.2">
      <c r="J5184"/>
    </row>
    <row r="5185" spans="10:10" x14ac:dyDescent="0.2">
      <c r="J5185"/>
    </row>
    <row r="5186" spans="10:10" x14ac:dyDescent="0.2">
      <c r="J5186"/>
    </row>
    <row r="5187" spans="10:10" x14ac:dyDescent="0.2">
      <c r="J5187"/>
    </row>
    <row r="5188" spans="10:10" x14ac:dyDescent="0.2">
      <c r="J5188"/>
    </row>
    <row r="5189" spans="10:10" x14ac:dyDescent="0.2">
      <c r="J5189"/>
    </row>
    <row r="5190" spans="10:10" x14ac:dyDescent="0.2">
      <c r="J5190"/>
    </row>
    <row r="5191" spans="10:10" x14ac:dyDescent="0.2">
      <c r="J5191"/>
    </row>
    <row r="5192" spans="10:10" x14ac:dyDescent="0.2">
      <c r="J5192"/>
    </row>
    <row r="5193" spans="10:10" x14ac:dyDescent="0.2">
      <c r="J5193"/>
    </row>
    <row r="5194" spans="10:10" x14ac:dyDescent="0.2">
      <c r="J5194"/>
    </row>
    <row r="5195" spans="10:10" x14ac:dyDescent="0.2">
      <c r="J5195"/>
    </row>
    <row r="5196" spans="10:10" x14ac:dyDescent="0.2">
      <c r="J5196"/>
    </row>
    <row r="5197" spans="10:10" x14ac:dyDescent="0.2">
      <c r="J5197"/>
    </row>
    <row r="5198" spans="10:10" x14ac:dyDescent="0.2">
      <c r="J5198"/>
    </row>
    <row r="5199" spans="10:10" x14ac:dyDescent="0.2">
      <c r="J5199"/>
    </row>
    <row r="5200" spans="10:10" x14ac:dyDescent="0.2">
      <c r="J5200"/>
    </row>
    <row r="5201" spans="10:10" x14ac:dyDescent="0.2">
      <c r="J5201"/>
    </row>
    <row r="5202" spans="10:10" x14ac:dyDescent="0.2">
      <c r="J5202"/>
    </row>
    <row r="5203" spans="10:10" x14ac:dyDescent="0.2">
      <c r="J5203"/>
    </row>
    <row r="5204" spans="10:10" x14ac:dyDescent="0.2">
      <c r="J5204"/>
    </row>
    <row r="5205" spans="10:10" x14ac:dyDescent="0.2">
      <c r="J5205"/>
    </row>
    <row r="5206" spans="10:10" x14ac:dyDescent="0.2">
      <c r="J5206"/>
    </row>
    <row r="5207" spans="10:10" x14ac:dyDescent="0.2">
      <c r="J5207"/>
    </row>
    <row r="5208" spans="10:10" x14ac:dyDescent="0.2">
      <c r="J5208"/>
    </row>
    <row r="5209" spans="10:10" x14ac:dyDescent="0.2">
      <c r="J5209"/>
    </row>
    <row r="5210" spans="10:10" x14ac:dyDescent="0.2">
      <c r="J5210"/>
    </row>
    <row r="5211" spans="10:10" x14ac:dyDescent="0.2">
      <c r="J5211"/>
    </row>
    <row r="5212" spans="10:10" x14ac:dyDescent="0.2">
      <c r="J5212"/>
    </row>
    <row r="5213" spans="10:10" x14ac:dyDescent="0.2">
      <c r="J5213"/>
    </row>
    <row r="5214" spans="10:10" x14ac:dyDescent="0.2">
      <c r="J5214"/>
    </row>
    <row r="5215" spans="10:10" x14ac:dyDescent="0.2">
      <c r="J5215"/>
    </row>
    <row r="5216" spans="10:10" x14ac:dyDescent="0.2">
      <c r="J5216"/>
    </row>
    <row r="5217" spans="10:10" x14ac:dyDescent="0.2">
      <c r="J5217"/>
    </row>
    <row r="5218" spans="10:10" x14ac:dyDescent="0.2">
      <c r="J5218"/>
    </row>
    <row r="5219" spans="10:10" x14ac:dyDescent="0.2">
      <c r="J5219"/>
    </row>
    <row r="5220" spans="10:10" x14ac:dyDescent="0.2">
      <c r="J5220"/>
    </row>
    <row r="5221" spans="10:10" x14ac:dyDescent="0.2">
      <c r="J5221"/>
    </row>
    <row r="5222" spans="10:10" x14ac:dyDescent="0.2">
      <c r="J5222"/>
    </row>
    <row r="5223" spans="10:10" x14ac:dyDescent="0.2">
      <c r="J5223"/>
    </row>
    <row r="5224" spans="10:10" x14ac:dyDescent="0.2">
      <c r="J5224"/>
    </row>
    <row r="5225" spans="10:10" x14ac:dyDescent="0.2">
      <c r="J5225"/>
    </row>
    <row r="5226" spans="10:10" x14ac:dyDescent="0.2">
      <c r="J5226"/>
    </row>
    <row r="5227" spans="10:10" x14ac:dyDescent="0.2">
      <c r="J5227"/>
    </row>
    <row r="5228" spans="10:10" x14ac:dyDescent="0.2">
      <c r="J5228"/>
    </row>
    <row r="5229" spans="10:10" x14ac:dyDescent="0.2">
      <c r="J5229"/>
    </row>
    <row r="5230" spans="10:10" x14ac:dyDescent="0.2">
      <c r="J5230"/>
    </row>
    <row r="5231" spans="10:10" x14ac:dyDescent="0.2">
      <c r="J5231"/>
    </row>
    <row r="5232" spans="10:10" x14ac:dyDescent="0.2">
      <c r="J5232"/>
    </row>
    <row r="5233" spans="10:10" x14ac:dyDescent="0.2">
      <c r="J5233"/>
    </row>
    <row r="5234" spans="10:10" x14ac:dyDescent="0.2">
      <c r="J5234"/>
    </row>
    <row r="5235" spans="10:10" x14ac:dyDescent="0.2">
      <c r="J5235"/>
    </row>
    <row r="5236" spans="10:10" x14ac:dyDescent="0.2">
      <c r="J5236"/>
    </row>
    <row r="5237" spans="10:10" x14ac:dyDescent="0.2">
      <c r="J5237"/>
    </row>
    <row r="5238" spans="10:10" x14ac:dyDescent="0.2">
      <c r="J5238"/>
    </row>
    <row r="5239" spans="10:10" x14ac:dyDescent="0.2">
      <c r="J5239"/>
    </row>
    <row r="5240" spans="10:10" x14ac:dyDescent="0.2">
      <c r="J5240"/>
    </row>
    <row r="5241" spans="10:10" x14ac:dyDescent="0.2">
      <c r="J5241"/>
    </row>
    <row r="5242" spans="10:10" x14ac:dyDescent="0.2">
      <c r="J5242"/>
    </row>
    <row r="5243" spans="10:10" x14ac:dyDescent="0.2">
      <c r="J5243"/>
    </row>
    <row r="5244" spans="10:10" x14ac:dyDescent="0.2">
      <c r="J5244"/>
    </row>
    <row r="5245" spans="10:10" x14ac:dyDescent="0.2">
      <c r="J5245"/>
    </row>
    <row r="5246" spans="10:10" x14ac:dyDescent="0.2">
      <c r="J5246"/>
    </row>
    <row r="5247" spans="10:10" x14ac:dyDescent="0.2">
      <c r="J5247"/>
    </row>
    <row r="5248" spans="10:10" x14ac:dyDescent="0.2">
      <c r="J5248"/>
    </row>
    <row r="5249" spans="10:10" x14ac:dyDescent="0.2">
      <c r="J5249"/>
    </row>
    <row r="5250" spans="10:10" x14ac:dyDescent="0.2">
      <c r="J5250"/>
    </row>
    <row r="5251" spans="10:10" x14ac:dyDescent="0.2">
      <c r="J5251"/>
    </row>
    <row r="5252" spans="10:10" x14ac:dyDescent="0.2">
      <c r="J5252"/>
    </row>
    <row r="5253" spans="10:10" x14ac:dyDescent="0.2">
      <c r="J5253"/>
    </row>
    <row r="5254" spans="10:10" x14ac:dyDescent="0.2">
      <c r="J5254"/>
    </row>
    <row r="5255" spans="10:10" x14ac:dyDescent="0.2">
      <c r="J5255"/>
    </row>
    <row r="5256" spans="10:10" x14ac:dyDescent="0.2">
      <c r="J5256"/>
    </row>
    <row r="5257" spans="10:10" x14ac:dyDescent="0.2">
      <c r="J5257"/>
    </row>
    <row r="5258" spans="10:10" x14ac:dyDescent="0.2">
      <c r="J5258"/>
    </row>
    <row r="5259" spans="10:10" x14ac:dyDescent="0.2">
      <c r="J5259"/>
    </row>
    <row r="5260" spans="10:10" x14ac:dyDescent="0.2">
      <c r="J5260"/>
    </row>
    <row r="5261" spans="10:10" x14ac:dyDescent="0.2">
      <c r="J5261"/>
    </row>
    <row r="5262" spans="10:10" x14ac:dyDescent="0.2">
      <c r="J5262"/>
    </row>
    <row r="5263" spans="10:10" x14ac:dyDescent="0.2">
      <c r="J5263"/>
    </row>
    <row r="5264" spans="10:10" x14ac:dyDescent="0.2">
      <c r="J5264"/>
    </row>
    <row r="5265" spans="10:10" x14ac:dyDescent="0.2">
      <c r="J5265"/>
    </row>
    <row r="5266" spans="10:10" x14ac:dyDescent="0.2">
      <c r="J5266"/>
    </row>
    <row r="5267" spans="10:10" x14ac:dyDescent="0.2">
      <c r="J5267"/>
    </row>
    <row r="5268" spans="10:10" x14ac:dyDescent="0.2">
      <c r="J5268"/>
    </row>
    <row r="5269" spans="10:10" x14ac:dyDescent="0.2">
      <c r="J5269"/>
    </row>
    <row r="5270" spans="10:10" x14ac:dyDescent="0.2">
      <c r="J5270"/>
    </row>
    <row r="5271" spans="10:10" x14ac:dyDescent="0.2">
      <c r="J5271"/>
    </row>
    <row r="5272" spans="10:10" x14ac:dyDescent="0.2">
      <c r="J5272"/>
    </row>
    <row r="5273" spans="10:10" x14ac:dyDescent="0.2">
      <c r="J5273"/>
    </row>
    <row r="5274" spans="10:10" x14ac:dyDescent="0.2">
      <c r="J5274"/>
    </row>
    <row r="5275" spans="10:10" x14ac:dyDescent="0.2">
      <c r="J5275"/>
    </row>
    <row r="5276" spans="10:10" x14ac:dyDescent="0.2">
      <c r="J5276"/>
    </row>
    <row r="5277" spans="10:10" x14ac:dyDescent="0.2">
      <c r="J5277"/>
    </row>
    <row r="5278" spans="10:10" x14ac:dyDescent="0.2">
      <c r="J5278"/>
    </row>
    <row r="5279" spans="10:10" x14ac:dyDescent="0.2">
      <c r="J5279"/>
    </row>
    <row r="5280" spans="10:10" x14ac:dyDescent="0.2">
      <c r="J5280"/>
    </row>
    <row r="5281" spans="10:10" x14ac:dyDescent="0.2">
      <c r="J5281"/>
    </row>
    <row r="5282" spans="10:10" x14ac:dyDescent="0.2">
      <c r="J5282"/>
    </row>
    <row r="5283" spans="10:10" x14ac:dyDescent="0.2">
      <c r="J5283"/>
    </row>
    <row r="5284" spans="10:10" x14ac:dyDescent="0.2">
      <c r="J5284"/>
    </row>
    <row r="5285" spans="10:10" x14ac:dyDescent="0.2">
      <c r="J5285"/>
    </row>
    <row r="5286" spans="10:10" x14ac:dyDescent="0.2">
      <c r="J5286"/>
    </row>
    <row r="5287" spans="10:10" x14ac:dyDescent="0.2">
      <c r="J5287"/>
    </row>
    <row r="5288" spans="10:10" x14ac:dyDescent="0.2">
      <c r="J5288"/>
    </row>
    <row r="5289" spans="10:10" x14ac:dyDescent="0.2">
      <c r="J5289"/>
    </row>
    <row r="5290" spans="10:10" x14ac:dyDescent="0.2">
      <c r="J5290"/>
    </row>
    <row r="5291" spans="10:10" x14ac:dyDescent="0.2">
      <c r="J5291"/>
    </row>
    <row r="5292" spans="10:10" x14ac:dyDescent="0.2">
      <c r="J5292"/>
    </row>
    <row r="5293" spans="10:10" x14ac:dyDescent="0.2">
      <c r="J5293"/>
    </row>
    <row r="5294" spans="10:10" x14ac:dyDescent="0.2">
      <c r="J5294"/>
    </row>
    <row r="5295" spans="10:10" x14ac:dyDescent="0.2">
      <c r="J5295"/>
    </row>
    <row r="5296" spans="10:10" x14ac:dyDescent="0.2">
      <c r="J5296"/>
    </row>
    <row r="5297" spans="10:10" x14ac:dyDescent="0.2">
      <c r="J5297"/>
    </row>
    <row r="5298" spans="10:10" x14ac:dyDescent="0.2">
      <c r="J5298"/>
    </row>
    <row r="5299" spans="10:10" x14ac:dyDescent="0.2">
      <c r="J5299"/>
    </row>
    <row r="5300" spans="10:10" x14ac:dyDescent="0.2">
      <c r="J5300"/>
    </row>
    <row r="5301" spans="10:10" x14ac:dyDescent="0.2">
      <c r="J5301"/>
    </row>
    <row r="5302" spans="10:10" x14ac:dyDescent="0.2">
      <c r="J5302"/>
    </row>
    <row r="5303" spans="10:10" x14ac:dyDescent="0.2">
      <c r="J5303"/>
    </row>
    <row r="5304" spans="10:10" x14ac:dyDescent="0.2">
      <c r="J5304"/>
    </row>
    <row r="5305" spans="10:10" x14ac:dyDescent="0.2">
      <c r="J5305"/>
    </row>
    <row r="5306" spans="10:10" x14ac:dyDescent="0.2">
      <c r="J5306"/>
    </row>
    <row r="5307" spans="10:10" x14ac:dyDescent="0.2">
      <c r="J5307"/>
    </row>
    <row r="5308" spans="10:10" x14ac:dyDescent="0.2">
      <c r="J5308"/>
    </row>
    <row r="5309" spans="10:10" x14ac:dyDescent="0.2">
      <c r="J5309"/>
    </row>
    <row r="5310" spans="10:10" x14ac:dyDescent="0.2">
      <c r="J5310"/>
    </row>
    <row r="5311" spans="10:10" x14ac:dyDescent="0.2">
      <c r="J5311"/>
    </row>
    <row r="5312" spans="10:10" x14ac:dyDescent="0.2">
      <c r="J5312"/>
    </row>
    <row r="5313" spans="10:10" x14ac:dyDescent="0.2">
      <c r="J5313"/>
    </row>
    <row r="5314" spans="10:10" x14ac:dyDescent="0.2">
      <c r="J5314"/>
    </row>
    <row r="5315" spans="10:10" x14ac:dyDescent="0.2">
      <c r="J5315"/>
    </row>
    <row r="5316" spans="10:10" x14ac:dyDescent="0.2">
      <c r="J5316"/>
    </row>
    <row r="5317" spans="10:10" x14ac:dyDescent="0.2">
      <c r="J5317"/>
    </row>
    <row r="5318" spans="10:10" x14ac:dyDescent="0.2">
      <c r="J5318"/>
    </row>
    <row r="5319" spans="10:10" x14ac:dyDescent="0.2">
      <c r="J5319"/>
    </row>
    <row r="5320" spans="10:10" x14ac:dyDescent="0.2">
      <c r="J5320"/>
    </row>
    <row r="5321" spans="10:10" x14ac:dyDescent="0.2">
      <c r="J5321"/>
    </row>
    <row r="5322" spans="10:10" x14ac:dyDescent="0.2">
      <c r="J5322"/>
    </row>
    <row r="5323" spans="10:10" x14ac:dyDescent="0.2">
      <c r="J5323"/>
    </row>
    <row r="5324" spans="10:10" x14ac:dyDescent="0.2">
      <c r="J5324"/>
    </row>
    <row r="5325" spans="10:10" x14ac:dyDescent="0.2">
      <c r="J5325"/>
    </row>
    <row r="5326" spans="10:10" x14ac:dyDescent="0.2">
      <c r="J5326"/>
    </row>
    <row r="5327" spans="10:10" x14ac:dyDescent="0.2">
      <c r="J5327"/>
    </row>
    <row r="5328" spans="10:10" x14ac:dyDescent="0.2">
      <c r="J5328"/>
    </row>
    <row r="5329" spans="10:10" x14ac:dyDescent="0.2">
      <c r="J5329"/>
    </row>
    <row r="5330" spans="10:10" x14ac:dyDescent="0.2">
      <c r="J5330"/>
    </row>
    <row r="5331" spans="10:10" x14ac:dyDescent="0.2">
      <c r="J5331"/>
    </row>
    <row r="5332" spans="10:10" x14ac:dyDescent="0.2">
      <c r="J5332"/>
    </row>
    <row r="5333" spans="10:10" x14ac:dyDescent="0.2">
      <c r="J5333"/>
    </row>
    <row r="5334" spans="10:10" x14ac:dyDescent="0.2">
      <c r="J5334"/>
    </row>
    <row r="5335" spans="10:10" x14ac:dyDescent="0.2">
      <c r="J5335"/>
    </row>
    <row r="5336" spans="10:10" x14ac:dyDescent="0.2">
      <c r="J5336"/>
    </row>
    <row r="5337" spans="10:10" x14ac:dyDescent="0.2">
      <c r="J5337"/>
    </row>
    <row r="5338" spans="10:10" x14ac:dyDescent="0.2">
      <c r="J5338"/>
    </row>
    <row r="5339" spans="10:10" x14ac:dyDescent="0.2">
      <c r="J5339"/>
    </row>
    <row r="5340" spans="10:10" x14ac:dyDescent="0.2">
      <c r="J5340"/>
    </row>
    <row r="5341" spans="10:10" x14ac:dyDescent="0.2">
      <c r="J5341"/>
    </row>
    <row r="5342" spans="10:10" x14ac:dyDescent="0.2">
      <c r="J5342"/>
    </row>
    <row r="5343" spans="10:10" x14ac:dyDescent="0.2">
      <c r="J5343"/>
    </row>
    <row r="5344" spans="10:10" x14ac:dyDescent="0.2">
      <c r="J5344"/>
    </row>
    <row r="5345" spans="10:10" x14ac:dyDescent="0.2">
      <c r="J5345"/>
    </row>
    <row r="5346" spans="10:10" x14ac:dyDescent="0.2">
      <c r="J5346"/>
    </row>
    <row r="5347" spans="10:10" x14ac:dyDescent="0.2">
      <c r="J5347"/>
    </row>
    <row r="5348" spans="10:10" x14ac:dyDescent="0.2">
      <c r="J5348"/>
    </row>
    <row r="5349" spans="10:10" x14ac:dyDescent="0.2">
      <c r="J5349"/>
    </row>
    <row r="5350" spans="10:10" x14ac:dyDescent="0.2">
      <c r="J5350"/>
    </row>
    <row r="5351" spans="10:10" x14ac:dyDescent="0.2">
      <c r="J5351"/>
    </row>
    <row r="5352" spans="10:10" x14ac:dyDescent="0.2">
      <c r="J5352"/>
    </row>
    <row r="5353" spans="10:10" x14ac:dyDescent="0.2">
      <c r="J5353"/>
    </row>
    <row r="5354" spans="10:10" x14ac:dyDescent="0.2">
      <c r="J5354"/>
    </row>
    <row r="5355" spans="10:10" x14ac:dyDescent="0.2">
      <c r="J5355"/>
    </row>
    <row r="5356" spans="10:10" x14ac:dyDescent="0.2">
      <c r="J5356"/>
    </row>
    <row r="5357" spans="10:10" x14ac:dyDescent="0.2">
      <c r="J5357"/>
    </row>
    <row r="5358" spans="10:10" x14ac:dyDescent="0.2">
      <c r="J5358"/>
    </row>
    <row r="5359" spans="10:10" x14ac:dyDescent="0.2">
      <c r="J5359"/>
    </row>
    <row r="5360" spans="10:10" x14ac:dyDescent="0.2">
      <c r="J5360"/>
    </row>
    <row r="5361" spans="10:10" x14ac:dyDescent="0.2">
      <c r="J5361"/>
    </row>
    <row r="5362" spans="10:10" x14ac:dyDescent="0.2">
      <c r="J5362"/>
    </row>
    <row r="5363" spans="10:10" x14ac:dyDescent="0.2">
      <c r="J5363"/>
    </row>
    <row r="5364" spans="10:10" x14ac:dyDescent="0.2">
      <c r="J5364"/>
    </row>
    <row r="5365" spans="10:10" x14ac:dyDescent="0.2">
      <c r="J5365"/>
    </row>
    <row r="5366" spans="10:10" x14ac:dyDescent="0.2">
      <c r="J5366"/>
    </row>
    <row r="5367" spans="10:10" x14ac:dyDescent="0.2">
      <c r="J5367"/>
    </row>
    <row r="5368" spans="10:10" x14ac:dyDescent="0.2">
      <c r="J5368"/>
    </row>
    <row r="5369" spans="10:10" x14ac:dyDescent="0.2">
      <c r="J5369"/>
    </row>
    <row r="5370" spans="10:10" x14ac:dyDescent="0.2">
      <c r="J5370"/>
    </row>
    <row r="5371" spans="10:10" x14ac:dyDescent="0.2">
      <c r="J5371"/>
    </row>
    <row r="5372" spans="10:10" x14ac:dyDescent="0.2">
      <c r="J5372"/>
    </row>
    <row r="5373" spans="10:10" x14ac:dyDescent="0.2">
      <c r="J5373"/>
    </row>
    <row r="5374" spans="10:10" x14ac:dyDescent="0.2">
      <c r="J5374"/>
    </row>
    <row r="5375" spans="10:10" x14ac:dyDescent="0.2">
      <c r="J5375"/>
    </row>
    <row r="5376" spans="10:10" x14ac:dyDescent="0.2">
      <c r="J5376"/>
    </row>
    <row r="5377" spans="10:10" x14ac:dyDescent="0.2">
      <c r="J5377"/>
    </row>
    <row r="5378" spans="10:10" x14ac:dyDescent="0.2">
      <c r="J5378"/>
    </row>
    <row r="5379" spans="10:10" x14ac:dyDescent="0.2">
      <c r="J5379"/>
    </row>
    <row r="5380" spans="10:10" x14ac:dyDescent="0.2">
      <c r="J5380"/>
    </row>
    <row r="5381" spans="10:10" x14ac:dyDescent="0.2">
      <c r="J5381"/>
    </row>
    <row r="5382" spans="10:10" x14ac:dyDescent="0.2">
      <c r="J5382"/>
    </row>
    <row r="5383" spans="10:10" x14ac:dyDescent="0.2">
      <c r="J5383"/>
    </row>
    <row r="5384" spans="10:10" x14ac:dyDescent="0.2">
      <c r="J5384"/>
    </row>
    <row r="5385" spans="10:10" x14ac:dyDescent="0.2">
      <c r="J5385"/>
    </row>
    <row r="5386" spans="10:10" x14ac:dyDescent="0.2">
      <c r="J5386"/>
    </row>
    <row r="5387" spans="10:10" x14ac:dyDescent="0.2">
      <c r="J5387"/>
    </row>
    <row r="5388" spans="10:10" x14ac:dyDescent="0.2">
      <c r="J5388"/>
    </row>
    <row r="5389" spans="10:10" x14ac:dyDescent="0.2">
      <c r="J5389"/>
    </row>
    <row r="5390" spans="10:10" x14ac:dyDescent="0.2">
      <c r="J5390"/>
    </row>
    <row r="5391" spans="10:10" x14ac:dyDescent="0.2">
      <c r="J5391"/>
    </row>
    <row r="5392" spans="10:10" x14ac:dyDescent="0.2">
      <c r="J5392"/>
    </row>
    <row r="5393" spans="10:10" x14ac:dyDescent="0.2">
      <c r="J5393"/>
    </row>
    <row r="5394" spans="10:10" x14ac:dyDescent="0.2">
      <c r="J5394"/>
    </row>
    <row r="5395" spans="10:10" x14ac:dyDescent="0.2">
      <c r="J5395"/>
    </row>
    <row r="5396" spans="10:10" x14ac:dyDescent="0.2">
      <c r="J5396"/>
    </row>
    <row r="5397" spans="10:10" x14ac:dyDescent="0.2">
      <c r="J5397"/>
    </row>
    <row r="5398" spans="10:10" x14ac:dyDescent="0.2">
      <c r="J5398"/>
    </row>
    <row r="5399" spans="10:10" x14ac:dyDescent="0.2">
      <c r="J5399"/>
    </row>
    <row r="5400" spans="10:10" x14ac:dyDescent="0.2">
      <c r="J5400"/>
    </row>
    <row r="5401" spans="10:10" x14ac:dyDescent="0.2">
      <c r="J5401"/>
    </row>
    <row r="5402" spans="10:10" x14ac:dyDescent="0.2">
      <c r="J5402"/>
    </row>
    <row r="5403" spans="10:10" x14ac:dyDescent="0.2">
      <c r="J5403"/>
    </row>
    <row r="5404" spans="10:10" x14ac:dyDescent="0.2">
      <c r="J5404"/>
    </row>
    <row r="5405" spans="10:10" x14ac:dyDescent="0.2">
      <c r="J5405"/>
    </row>
    <row r="5406" spans="10:10" x14ac:dyDescent="0.2">
      <c r="J5406"/>
    </row>
    <row r="5407" spans="10:10" x14ac:dyDescent="0.2">
      <c r="J5407"/>
    </row>
    <row r="5408" spans="10:10" x14ac:dyDescent="0.2">
      <c r="J5408"/>
    </row>
    <row r="5409" spans="10:10" x14ac:dyDescent="0.2">
      <c r="J5409"/>
    </row>
    <row r="5410" spans="10:10" x14ac:dyDescent="0.2">
      <c r="J5410"/>
    </row>
    <row r="5411" spans="10:10" x14ac:dyDescent="0.2">
      <c r="J5411"/>
    </row>
    <row r="5412" spans="10:10" x14ac:dyDescent="0.2">
      <c r="J5412"/>
    </row>
    <row r="5413" spans="10:10" x14ac:dyDescent="0.2">
      <c r="J5413"/>
    </row>
    <row r="5414" spans="10:10" x14ac:dyDescent="0.2">
      <c r="J5414"/>
    </row>
    <row r="5415" spans="10:10" x14ac:dyDescent="0.2">
      <c r="J5415"/>
    </row>
    <row r="5416" spans="10:10" x14ac:dyDescent="0.2">
      <c r="J5416"/>
    </row>
    <row r="5417" spans="10:10" x14ac:dyDescent="0.2">
      <c r="J5417"/>
    </row>
    <row r="5418" spans="10:10" x14ac:dyDescent="0.2">
      <c r="J5418"/>
    </row>
    <row r="5419" spans="10:10" x14ac:dyDescent="0.2">
      <c r="J5419"/>
    </row>
    <row r="5420" spans="10:10" x14ac:dyDescent="0.2">
      <c r="J5420"/>
    </row>
    <row r="5421" spans="10:10" x14ac:dyDescent="0.2">
      <c r="J5421"/>
    </row>
    <row r="5422" spans="10:10" x14ac:dyDescent="0.2">
      <c r="J5422"/>
    </row>
    <row r="5423" spans="10:10" x14ac:dyDescent="0.2">
      <c r="J5423"/>
    </row>
    <row r="5424" spans="10:10" x14ac:dyDescent="0.2">
      <c r="J5424"/>
    </row>
    <row r="5425" spans="10:10" x14ac:dyDescent="0.2">
      <c r="J5425"/>
    </row>
    <row r="5426" spans="10:10" x14ac:dyDescent="0.2">
      <c r="J5426"/>
    </row>
    <row r="5427" spans="10:10" x14ac:dyDescent="0.2">
      <c r="J5427"/>
    </row>
    <row r="5428" spans="10:10" x14ac:dyDescent="0.2">
      <c r="J5428"/>
    </row>
    <row r="5429" spans="10:10" x14ac:dyDescent="0.2">
      <c r="J5429"/>
    </row>
    <row r="5430" spans="10:10" x14ac:dyDescent="0.2">
      <c r="J5430"/>
    </row>
    <row r="5431" spans="10:10" x14ac:dyDescent="0.2">
      <c r="J5431"/>
    </row>
    <row r="5432" spans="10:10" x14ac:dyDescent="0.2">
      <c r="J5432"/>
    </row>
    <row r="5433" spans="10:10" x14ac:dyDescent="0.2">
      <c r="J5433"/>
    </row>
    <row r="5434" spans="10:10" x14ac:dyDescent="0.2">
      <c r="J5434"/>
    </row>
    <row r="5435" spans="10:10" x14ac:dyDescent="0.2">
      <c r="J5435"/>
    </row>
    <row r="5436" spans="10:10" x14ac:dyDescent="0.2">
      <c r="J5436"/>
    </row>
    <row r="5437" spans="10:10" x14ac:dyDescent="0.2">
      <c r="J5437"/>
    </row>
    <row r="5438" spans="10:10" x14ac:dyDescent="0.2">
      <c r="J5438"/>
    </row>
    <row r="5439" spans="10:10" x14ac:dyDescent="0.2">
      <c r="J5439"/>
    </row>
    <row r="5440" spans="10:10" x14ac:dyDescent="0.2">
      <c r="J5440"/>
    </row>
    <row r="5441" spans="10:10" x14ac:dyDescent="0.2">
      <c r="J5441"/>
    </row>
    <row r="5442" spans="10:10" x14ac:dyDescent="0.2">
      <c r="J5442"/>
    </row>
    <row r="5443" spans="10:10" x14ac:dyDescent="0.2">
      <c r="J5443"/>
    </row>
    <row r="5444" spans="10:10" x14ac:dyDescent="0.2">
      <c r="J5444"/>
    </row>
    <row r="5445" spans="10:10" x14ac:dyDescent="0.2">
      <c r="J5445"/>
    </row>
    <row r="5446" spans="10:10" x14ac:dyDescent="0.2">
      <c r="J5446"/>
    </row>
    <row r="5447" spans="10:10" x14ac:dyDescent="0.2">
      <c r="J5447"/>
    </row>
    <row r="5448" spans="10:10" x14ac:dyDescent="0.2">
      <c r="J5448"/>
    </row>
    <row r="5449" spans="10:10" x14ac:dyDescent="0.2">
      <c r="J5449"/>
    </row>
    <row r="5450" spans="10:10" x14ac:dyDescent="0.2">
      <c r="J5450"/>
    </row>
    <row r="5451" spans="10:10" x14ac:dyDescent="0.2">
      <c r="J5451"/>
    </row>
    <row r="5452" spans="10:10" x14ac:dyDescent="0.2">
      <c r="J5452"/>
    </row>
    <row r="5453" spans="10:10" x14ac:dyDescent="0.2">
      <c r="J5453"/>
    </row>
    <row r="5454" spans="10:10" x14ac:dyDescent="0.2">
      <c r="J5454"/>
    </row>
    <row r="5455" spans="10:10" x14ac:dyDescent="0.2">
      <c r="J5455"/>
    </row>
    <row r="5456" spans="10:10" x14ac:dyDescent="0.2">
      <c r="J5456"/>
    </row>
    <row r="5457" spans="10:10" x14ac:dyDescent="0.2">
      <c r="J5457"/>
    </row>
    <row r="5458" spans="10:10" x14ac:dyDescent="0.2">
      <c r="J5458"/>
    </row>
    <row r="5459" spans="10:10" x14ac:dyDescent="0.2">
      <c r="J5459"/>
    </row>
    <row r="5460" spans="10:10" x14ac:dyDescent="0.2">
      <c r="J5460"/>
    </row>
    <row r="5461" spans="10:10" x14ac:dyDescent="0.2">
      <c r="J5461"/>
    </row>
    <row r="5462" spans="10:10" x14ac:dyDescent="0.2">
      <c r="J5462"/>
    </row>
    <row r="5463" spans="10:10" x14ac:dyDescent="0.2">
      <c r="J5463"/>
    </row>
    <row r="5464" spans="10:10" x14ac:dyDescent="0.2">
      <c r="J5464"/>
    </row>
    <row r="5465" spans="10:10" x14ac:dyDescent="0.2">
      <c r="J5465"/>
    </row>
    <row r="5466" spans="10:10" x14ac:dyDescent="0.2">
      <c r="J5466"/>
    </row>
    <row r="5467" spans="10:10" x14ac:dyDescent="0.2">
      <c r="J5467"/>
    </row>
    <row r="5468" spans="10:10" x14ac:dyDescent="0.2">
      <c r="J5468"/>
    </row>
    <row r="5469" spans="10:10" x14ac:dyDescent="0.2">
      <c r="J5469"/>
    </row>
    <row r="5470" spans="10:10" x14ac:dyDescent="0.2">
      <c r="J5470"/>
    </row>
    <row r="5471" spans="10:10" x14ac:dyDescent="0.2">
      <c r="J5471"/>
    </row>
    <row r="5472" spans="10:10" x14ac:dyDescent="0.2">
      <c r="J5472"/>
    </row>
    <row r="5473" spans="10:10" x14ac:dyDescent="0.2">
      <c r="J5473"/>
    </row>
    <row r="5474" spans="10:10" x14ac:dyDescent="0.2">
      <c r="J5474"/>
    </row>
    <row r="5475" spans="10:10" x14ac:dyDescent="0.2">
      <c r="J5475"/>
    </row>
    <row r="5476" spans="10:10" x14ac:dyDescent="0.2">
      <c r="J5476"/>
    </row>
    <row r="5477" spans="10:10" x14ac:dyDescent="0.2">
      <c r="J5477"/>
    </row>
    <row r="5478" spans="10:10" x14ac:dyDescent="0.2">
      <c r="J5478"/>
    </row>
    <row r="5479" spans="10:10" x14ac:dyDescent="0.2">
      <c r="J5479"/>
    </row>
    <row r="5480" spans="10:10" x14ac:dyDescent="0.2">
      <c r="J5480"/>
    </row>
    <row r="5481" spans="10:10" x14ac:dyDescent="0.2">
      <c r="J5481"/>
    </row>
    <row r="5482" spans="10:10" x14ac:dyDescent="0.2">
      <c r="J5482"/>
    </row>
    <row r="5483" spans="10:10" x14ac:dyDescent="0.2">
      <c r="J5483"/>
    </row>
    <row r="5484" spans="10:10" x14ac:dyDescent="0.2">
      <c r="J5484"/>
    </row>
    <row r="5485" spans="10:10" x14ac:dyDescent="0.2">
      <c r="J5485"/>
    </row>
    <row r="5486" spans="10:10" x14ac:dyDescent="0.2">
      <c r="J5486"/>
    </row>
    <row r="5487" spans="10:10" x14ac:dyDescent="0.2">
      <c r="J5487"/>
    </row>
    <row r="5488" spans="10:10" x14ac:dyDescent="0.2">
      <c r="J5488"/>
    </row>
    <row r="5489" spans="10:10" x14ac:dyDescent="0.2">
      <c r="J5489"/>
    </row>
    <row r="5490" spans="10:10" x14ac:dyDescent="0.2">
      <c r="J5490"/>
    </row>
    <row r="5491" spans="10:10" x14ac:dyDescent="0.2">
      <c r="J5491"/>
    </row>
    <row r="5492" spans="10:10" x14ac:dyDescent="0.2">
      <c r="J5492"/>
    </row>
    <row r="5493" spans="10:10" x14ac:dyDescent="0.2">
      <c r="J5493"/>
    </row>
    <row r="5494" spans="10:10" x14ac:dyDescent="0.2">
      <c r="J5494"/>
    </row>
    <row r="5495" spans="10:10" x14ac:dyDescent="0.2">
      <c r="J5495"/>
    </row>
    <row r="5496" spans="10:10" x14ac:dyDescent="0.2">
      <c r="J5496"/>
    </row>
    <row r="5497" spans="10:10" x14ac:dyDescent="0.2">
      <c r="J5497"/>
    </row>
    <row r="5498" spans="10:10" x14ac:dyDescent="0.2">
      <c r="J5498"/>
    </row>
    <row r="5499" spans="10:10" x14ac:dyDescent="0.2">
      <c r="J5499"/>
    </row>
    <row r="5500" spans="10:10" x14ac:dyDescent="0.2">
      <c r="J5500"/>
    </row>
    <row r="5501" spans="10:10" x14ac:dyDescent="0.2">
      <c r="J5501"/>
    </row>
    <row r="5502" spans="10:10" x14ac:dyDescent="0.2">
      <c r="J5502"/>
    </row>
    <row r="5503" spans="10:10" x14ac:dyDescent="0.2">
      <c r="J5503"/>
    </row>
    <row r="5504" spans="10:10" x14ac:dyDescent="0.2">
      <c r="J5504"/>
    </row>
    <row r="5505" spans="10:10" x14ac:dyDescent="0.2">
      <c r="J5505"/>
    </row>
    <row r="5506" spans="10:10" x14ac:dyDescent="0.2">
      <c r="J5506"/>
    </row>
    <row r="5507" spans="10:10" x14ac:dyDescent="0.2">
      <c r="J5507"/>
    </row>
    <row r="5508" spans="10:10" x14ac:dyDescent="0.2">
      <c r="J5508"/>
    </row>
    <row r="5509" spans="10:10" x14ac:dyDescent="0.2">
      <c r="J5509"/>
    </row>
    <row r="5510" spans="10:10" x14ac:dyDescent="0.2">
      <c r="J5510"/>
    </row>
    <row r="5511" spans="10:10" x14ac:dyDescent="0.2">
      <c r="J5511"/>
    </row>
    <row r="5512" spans="10:10" x14ac:dyDescent="0.2">
      <c r="J5512"/>
    </row>
    <row r="5513" spans="10:10" x14ac:dyDescent="0.2">
      <c r="J5513"/>
    </row>
    <row r="5514" spans="10:10" x14ac:dyDescent="0.2">
      <c r="J5514"/>
    </row>
    <row r="5515" spans="10:10" x14ac:dyDescent="0.2">
      <c r="J5515"/>
    </row>
    <row r="5516" spans="10:10" x14ac:dyDescent="0.2">
      <c r="J5516"/>
    </row>
    <row r="5517" spans="10:10" x14ac:dyDescent="0.2">
      <c r="J5517"/>
    </row>
    <row r="5518" spans="10:10" x14ac:dyDescent="0.2">
      <c r="J5518"/>
    </row>
    <row r="5519" spans="10:10" x14ac:dyDescent="0.2">
      <c r="J5519"/>
    </row>
    <row r="5520" spans="10:10" x14ac:dyDescent="0.2">
      <c r="J5520"/>
    </row>
    <row r="5521" spans="10:10" x14ac:dyDescent="0.2">
      <c r="J5521"/>
    </row>
    <row r="5522" spans="10:10" x14ac:dyDescent="0.2">
      <c r="J5522"/>
    </row>
    <row r="5523" spans="10:10" x14ac:dyDescent="0.2">
      <c r="J5523"/>
    </row>
    <row r="5524" spans="10:10" x14ac:dyDescent="0.2">
      <c r="J5524"/>
    </row>
    <row r="5525" spans="10:10" x14ac:dyDescent="0.2">
      <c r="J5525"/>
    </row>
    <row r="5526" spans="10:10" x14ac:dyDescent="0.2">
      <c r="J5526"/>
    </row>
    <row r="5527" spans="10:10" x14ac:dyDescent="0.2">
      <c r="J5527"/>
    </row>
    <row r="5528" spans="10:10" x14ac:dyDescent="0.2">
      <c r="J5528"/>
    </row>
    <row r="5529" spans="10:10" x14ac:dyDescent="0.2">
      <c r="J5529"/>
    </row>
    <row r="5530" spans="10:10" x14ac:dyDescent="0.2">
      <c r="J5530"/>
    </row>
    <row r="5531" spans="10:10" x14ac:dyDescent="0.2">
      <c r="J5531"/>
    </row>
    <row r="5532" spans="10:10" x14ac:dyDescent="0.2">
      <c r="J5532"/>
    </row>
    <row r="5533" spans="10:10" x14ac:dyDescent="0.2">
      <c r="J5533"/>
    </row>
    <row r="5534" spans="10:10" x14ac:dyDescent="0.2">
      <c r="J5534"/>
    </row>
    <row r="5535" spans="10:10" x14ac:dyDescent="0.2">
      <c r="J5535"/>
    </row>
    <row r="5536" spans="10:10" x14ac:dyDescent="0.2">
      <c r="J5536"/>
    </row>
    <row r="5537" spans="10:10" x14ac:dyDescent="0.2">
      <c r="J5537"/>
    </row>
    <row r="5538" spans="10:10" x14ac:dyDescent="0.2">
      <c r="J5538"/>
    </row>
    <row r="5539" spans="10:10" x14ac:dyDescent="0.2">
      <c r="J5539"/>
    </row>
    <row r="5540" spans="10:10" x14ac:dyDescent="0.2">
      <c r="J5540"/>
    </row>
    <row r="5541" spans="10:10" x14ac:dyDescent="0.2">
      <c r="J5541"/>
    </row>
    <row r="5542" spans="10:10" x14ac:dyDescent="0.2">
      <c r="J5542"/>
    </row>
    <row r="5543" spans="10:10" x14ac:dyDescent="0.2">
      <c r="J5543"/>
    </row>
    <row r="5544" spans="10:10" x14ac:dyDescent="0.2">
      <c r="J5544"/>
    </row>
    <row r="5545" spans="10:10" x14ac:dyDescent="0.2">
      <c r="J5545"/>
    </row>
    <row r="5546" spans="10:10" x14ac:dyDescent="0.2">
      <c r="J5546"/>
    </row>
    <row r="5547" spans="10:10" x14ac:dyDescent="0.2">
      <c r="J5547"/>
    </row>
    <row r="5548" spans="10:10" x14ac:dyDescent="0.2">
      <c r="J5548"/>
    </row>
    <row r="5549" spans="10:10" x14ac:dyDescent="0.2">
      <c r="J5549"/>
    </row>
    <row r="5550" spans="10:10" x14ac:dyDescent="0.2">
      <c r="J5550"/>
    </row>
    <row r="5551" spans="10:10" x14ac:dyDescent="0.2">
      <c r="J5551"/>
    </row>
    <row r="5552" spans="10:10" x14ac:dyDescent="0.2">
      <c r="J5552"/>
    </row>
    <row r="5553" spans="10:10" x14ac:dyDescent="0.2">
      <c r="J5553"/>
    </row>
    <row r="5554" spans="10:10" x14ac:dyDescent="0.2">
      <c r="J5554"/>
    </row>
    <row r="5555" spans="10:10" x14ac:dyDescent="0.2">
      <c r="J5555"/>
    </row>
    <row r="5556" spans="10:10" x14ac:dyDescent="0.2">
      <c r="J5556"/>
    </row>
    <row r="5557" spans="10:10" x14ac:dyDescent="0.2">
      <c r="J5557"/>
    </row>
    <row r="5558" spans="10:10" x14ac:dyDescent="0.2">
      <c r="J5558"/>
    </row>
    <row r="5559" spans="10:10" x14ac:dyDescent="0.2">
      <c r="J5559"/>
    </row>
    <row r="5560" spans="10:10" x14ac:dyDescent="0.2">
      <c r="J5560"/>
    </row>
    <row r="5561" spans="10:10" x14ac:dyDescent="0.2">
      <c r="J5561"/>
    </row>
    <row r="5562" spans="10:10" x14ac:dyDescent="0.2">
      <c r="J5562"/>
    </row>
    <row r="5563" spans="10:10" x14ac:dyDescent="0.2">
      <c r="J5563"/>
    </row>
    <row r="5564" spans="10:10" x14ac:dyDescent="0.2">
      <c r="J5564"/>
    </row>
    <row r="5565" spans="10:10" x14ac:dyDescent="0.2">
      <c r="J5565"/>
    </row>
    <row r="5566" spans="10:10" x14ac:dyDescent="0.2">
      <c r="J5566"/>
    </row>
    <row r="5567" spans="10:10" x14ac:dyDescent="0.2">
      <c r="J5567"/>
    </row>
    <row r="5568" spans="10:10" x14ac:dyDescent="0.2">
      <c r="J5568"/>
    </row>
    <row r="5569" spans="10:10" x14ac:dyDescent="0.2">
      <c r="J5569"/>
    </row>
    <row r="5570" spans="10:10" x14ac:dyDescent="0.2">
      <c r="J5570"/>
    </row>
    <row r="5571" spans="10:10" x14ac:dyDescent="0.2">
      <c r="J5571"/>
    </row>
    <row r="5572" spans="10:10" x14ac:dyDescent="0.2">
      <c r="J5572"/>
    </row>
    <row r="5573" spans="10:10" x14ac:dyDescent="0.2">
      <c r="J5573"/>
    </row>
    <row r="5574" spans="10:10" x14ac:dyDescent="0.2">
      <c r="J5574"/>
    </row>
    <row r="5575" spans="10:10" x14ac:dyDescent="0.2">
      <c r="J5575"/>
    </row>
    <row r="5576" spans="10:10" x14ac:dyDescent="0.2">
      <c r="J5576"/>
    </row>
    <row r="5577" spans="10:10" x14ac:dyDescent="0.2">
      <c r="J5577"/>
    </row>
    <row r="5578" spans="10:10" x14ac:dyDescent="0.2">
      <c r="J5578"/>
    </row>
    <row r="5579" spans="10:10" x14ac:dyDescent="0.2">
      <c r="J5579"/>
    </row>
    <row r="5580" spans="10:10" x14ac:dyDescent="0.2">
      <c r="J5580"/>
    </row>
    <row r="5581" spans="10:10" x14ac:dyDescent="0.2">
      <c r="J5581"/>
    </row>
    <row r="5582" spans="10:10" x14ac:dyDescent="0.2">
      <c r="J5582"/>
    </row>
    <row r="5583" spans="10:10" x14ac:dyDescent="0.2">
      <c r="J5583"/>
    </row>
    <row r="5584" spans="10:10" x14ac:dyDescent="0.2">
      <c r="J5584"/>
    </row>
    <row r="5585" spans="10:10" x14ac:dyDescent="0.2">
      <c r="J5585"/>
    </row>
    <row r="5586" spans="10:10" x14ac:dyDescent="0.2">
      <c r="J5586"/>
    </row>
    <row r="5587" spans="10:10" x14ac:dyDescent="0.2">
      <c r="J5587"/>
    </row>
    <row r="5588" spans="10:10" x14ac:dyDescent="0.2">
      <c r="J5588"/>
    </row>
    <row r="5589" spans="10:10" x14ac:dyDescent="0.2">
      <c r="J5589"/>
    </row>
    <row r="5590" spans="10:10" x14ac:dyDescent="0.2">
      <c r="J5590"/>
    </row>
    <row r="5591" spans="10:10" x14ac:dyDescent="0.2">
      <c r="J5591"/>
    </row>
    <row r="5592" spans="10:10" x14ac:dyDescent="0.2">
      <c r="J5592"/>
    </row>
    <row r="5593" spans="10:10" x14ac:dyDescent="0.2">
      <c r="J5593"/>
    </row>
    <row r="5594" spans="10:10" x14ac:dyDescent="0.2">
      <c r="J5594"/>
    </row>
    <row r="5595" spans="10:10" x14ac:dyDescent="0.2">
      <c r="J5595"/>
    </row>
    <row r="5596" spans="10:10" x14ac:dyDescent="0.2">
      <c r="J5596"/>
    </row>
    <row r="5597" spans="10:10" x14ac:dyDescent="0.2">
      <c r="J5597"/>
    </row>
    <row r="5598" spans="10:10" x14ac:dyDescent="0.2">
      <c r="J5598"/>
    </row>
    <row r="5599" spans="10:10" x14ac:dyDescent="0.2">
      <c r="J5599"/>
    </row>
    <row r="5600" spans="10:10" x14ac:dyDescent="0.2">
      <c r="J5600"/>
    </row>
    <row r="5601" spans="10:10" x14ac:dyDescent="0.2">
      <c r="J5601"/>
    </row>
    <row r="5602" spans="10:10" x14ac:dyDescent="0.2">
      <c r="J5602"/>
    </row>
    <row r="5603" spans="10:10" x14ac:dyDescent="0.2">
      <c r="J5603"/>
    </row>
    <row r="5604" spans="10:10" x14ac:dyDescent="0.2">
      <c r="J5604"/>
    </row>
    <row r="5605" spans="10:10" x14ac:dyDescent="0.2">
      <c r="J5605"/>
    </row>
    <row r="5606" spans="10:10" x14ac:dyDescent="0.2">
      <c r="J5606"/>
    </row>
    <row r="5607" spans="10:10" x14ac:dyDescent="0.2">
      <c r="J5607"/>
    </row>
    <row r="5608" spans="10:10" x14ac:dyDescent="0.2">
      <c r="J5608"/>
    </row>
    <row r="5609" spans="10:10" x14ac:dyDescent="0.2">
      <c r="J5609"/>
    </row>
    <row r="5610" spans="10:10" x14ac:dyDescent="0.2">
      <c r="J5610"/>
    </row>
    <row r="5611" spans="10:10" x14ac:dyDescent="0.2">
      <c r="J5611"/>
    </row>
    <row r="5612" spans="10:10" x14ac:dyDescent="0.2">
      <c r="J5612"/>
    </row>
    <row r="5613" spans="10:10" x14ac:dyDescent="0.2">
      <c r="J5613"/>
    </row>
    <row r="5614" spans="10:10" x14ac:dyDescent="0.2">
      <c r="J5614"/>
    </row>
    <row r="5615" spans="10:10" x14ac:dyDescent="0.2">
      <c r="J5615"/>
    </row>
    <row r="5616" spans="10:10" x14ac:dyDescent="0.2">
      <c r="J5616"/>
    </row>
    <row r="5617" spans="10:10" x14ac:dyDescent="0.2">
      <c r="J5617"/>
    </row>
    <row r="5618" spans="10:10" x14ac:dyDescent="0.2">
      <c r="J5618"/>
    </row>
    <row r="5619" spans="10:10" x14ac:dyDescent="0.2">
      <c r="J5619"/>
    </row>
    <row r="5620" spans="10:10" x14ac:dyDescent="0.2">
      <c r="J5620"/>
    </row>
    <row r="5621" spans="10:10" x14ac:dyDescent="0.2">
      <c r="J5621"/>
    </row>
    <row r="5622" spans="10:10" x14ac:dyDescent="0.2">
      <c r="J5622"/>
    </row>
    <row r="5623" spans="10:10" x14ac:dyDescent="0.2">
      <c r="J5623"/>
    </row>
    <row r="5624" spans="10:10" x14ac:dyDescent="0.2">
      <c r="J5624"/>
    </row>
    <row r="5625" spans="10:10" x14ac:dyDescent="0.2">
      <c r="J5625"/>
    </row>
    <row r="5626" spans="10:10" x14ac:dyDescent="0.2">
      <c r="J5626"/>
    </row>
    <row r="5627" spans="10:10" x14ac:dyDescent="0.2">
      <c r="J5627"/>
    </row>
    <row r="5628" spans="10:10" x14ac:dyDescent="0.2">
      <c r="J5628"/>
    </row>
    <row r="5629" spans="10:10" x14ac:dyDescent="0.2">
      <c r="J5629"/>
    </row>
    <row r="5630" spans="10:10" x14ac:dyDescent="0.2">
      <c r="J5630"/>
    </row>
    <row r="5631" spans="10:10" x14ac:dyDescent="0.2">
      <c r="J5631"/>
    </row>
    <row r="5632" spans="10:10" x14ac:dyDescent="0.2">
      <c r="J5632"/>
    </row>
    <row r="5633" spans="10:10" x14ac:dyDescent="0.2">
      <c r="J5633"/>
    </row>
    <row r="5634" spans="10:10" x14ac:dyDescent="0.2">
      <c r="J5634"/>
    </row>
    <row r="5635" spans="10:10" x14ac:dyDescent="0.2">
      <c r="J5635"/>
    </row>
    <row r="5636" spans="10:10" x14ac:dyDescent="0.2">
      <c r="J5636"/>
    </row>
    <row r="5637" spans="10:10" x14ac:dyDescent="0.2">
      <c r="J5637"/>
    </row>
    <row r="5638" spans="10:10" x14ac:dyDescent="0.2">
      <c r="J5638"/>
    </row>
    <row r="5639" spans="10:10" x14ac:dyDescent="0.2">
      <c r="J5639"/>
    </row>
    <row r="5640" spans="10:10" x14ac:dyDescent="0.2">
      <c r="J5640"/>
    </row>
    <row r="5641" spans="10:10" x14ac:dyDescent="0.2">
      <c r="J5641"/>
    </row>
    <row r="5642" spans="10:10" x14ac:dyDescent="0.2">
      <c r="J5642"/>
    </row>
    <row r="5643" spans="10:10" x14ac:dyDescent="0.2">
      <c r="J5643"/>
    </row>
    <row r="5644" spans="10:10" x14ac:dyDescent="0.2">
      <c r="J5644"/>
    </row>
    <row r="5645" spans="10:10" x14ac:dyDescent="0.2">
      <c r="J5645"/>
    </row>
    <row r="5646" spans="10:10" x14ac:dyDescent="0.2">
      <c r="J5646"/>
    </row>
    <row r="5647" spans="10:10" x14ac:dyDescent="0.2">
      <c r="J5647"/>
    </row>
    <row r="5648" spans="10:10" x14ac:dyDescent="0.2">
      <c r="J5648"/>
    </row>
    <row r="5649" spans="10:10" x14ac:dyDescent="0.2">
      <c r="J5649"/>
    </row>
    <row r="5650" spans="10:10" x14ac:dyDescent="0.2">
      <c r="J5650"/>
    </row>
    <row r="5651" spans="10:10" x14ac:dyDescent="0.2">
      <c r="J5651"/>
    </row>
    <row r="5652" spans="10:10" x14ac:dyDescent="0.2">
      <c r="J5652"/>
    </row>
    <row r="5653" spans="10:10" x14ac:dyDescent="0.2">
      <c r="J5653"/>
    </row>
    <row r="5654" spans="10:10" x14ac:dyDescent="0.2">
      <c r="J5654"/>
    </row>
    <row r="5655" spans="10:10" x14ac:dyDescent="0.2">
      <c r="J5655"/>
    </row>
    <row r="5656" spans="10:10" x14ac:dyDescent="0.2">
      <c r="J5656"/>
    </row>
    <row r="5657" spans="10:10" x14ac:dyDescent="0.2">
      <c r="J5657"/>
    </row>
    <row r="5658" spans="10:10" x14ac:dyDescent="0.2">
      <c r="J5658"/>
    </row>
    <row r="5659" spans="10:10" x14ac:dyDescent="0.2">
      <c r="J5659"/>
    </row>
    <row r="5660" spans="10:10" x14ac:dyDescent="0.2">
      <c r="J5660"/>
    </row>
    <row r="5661" spans="10:10" x14ac:dyDescent="0.2">
      <c r="J5661"/>
    </row>
    <row r="5662" spans="10:10" x14ac:dyDescent="0.2">
      <c r="J5662"/>
    </row>
    <row r="5663" spans="10:10" x14ac:dyDescent="0.2">
      <c r="J5663"/>
    </row>
    <row r="5664" spans="10:10" x14ac:dyDescent="0.2">
      <c r="J5664"/>
    </row>
    <row r="5665" spans="10:10" x14ac:dyDescent="0.2">
      <c r="J5665"/>
    </row>
    <row r="5666" spans="10:10" x14ac:dyDescent="0.2">
      <c r="J5666"/>
    </row>
    <row r="5667" spans="10:10" x14ac:dyDescent="0.2">
      <c r="J5667"/>
    </row>
    <row r="5668" spans="10:10" x14ac:dyDescent="0.2">
      <c r="J5668"/>
    </row>
    <row r="5669" spans="10:10" x14ac:dyDescent="0.2">
      <c r="J5669"/>
    </row>
    <row r="5670" spans="10:10" x14ac:dyDescent="0.2">
      <c r="J5670"/>
    </row>
    <row r="5671" spans="10:10" x14ac:dyDescent="0.2">
      <c r="J5671"/>
    </row>
    <row r="5672" spans="10:10" x14ac:dyDescent="0.2">
      <c r="J5672"/>
    </row>
    <row r="5673" spans="10:10" x14ac:dyDescent="0.2">
      <c r="J5673"/>
    </row>
    <row r="5674" spans="10:10" x14ac:dyDescent="0.2">
      <c r="J5674"/>
    </row>
    <row r="5675" spans="10:10" x14ac:dyDescent="0.2">
      <c r="J5675"/>
    </row>
    <row r="5676" spans="10:10" x14ac:dyDescent="0.2">
      <c r="J5676"/>
    </row>
    <row r="5677" spans="10:10" x14ac:dyDescent="0.2">
      <c r="J5677"/>
    </row>
    <row r="5678" spans="10:10" x14ac:dyDescent="0.2">
      <c r="J5678"/>
    </row>
    <row r="5679" spans="10:10" x14ac:dyDescent="0.2">
      <c r="J5679"/>
    </row>
    <row r="5680" spans="10:10" x14ac:dyDescent="0.2">
      <c r="J5680"/>
    </row>
    <row r="5681" spans="10:10" x14ac:dyDescent="0.2">
      <c r="J5681"/>
    </row>
    <row r="5682" spans="10:10" x14ac:dyDescent="0.2">
      <c r="J5682"/>
    </row>
    <row r="5683" spans="10:10" x14ac:dyDescent="0.2">
      <c r="J5683"/>
    </row>
    <row r="5684" spans="10:10" x14ac:dyDescent="0.2">
      <c r="J5684"/>
    </row>
    <row r="5685" spans="10:10" x14ac:dyDescent="0.2">
      <c r="J5685"/>
    </row>
    <row r="5686" spans="10:10" x14ac:dyDescent="0.2">
      <c r="J5686"/>
    </row>
    <row r="5687" spans="10:10" x14ac:dyDescent="0.2">
      <c r="J5687"/>
    </row>
    <row r="5688" spans="10:10" x14ac:dyDescent="0.2">
      <c r="J5688"/>
    </row>
    <row r="5689" spans="10:10" x14ac:dyDescent="0.2">
      <c r="J5689"/>
    </row>
    <row r="5690" spans="10:10" x14ac:dyDescent="0.2">
      <c r="J5690"/>
    </row>
    <row r="5691" spans="10:10" x14ac:dyDescent="0.2">
      <c r="J5691"/>
    </row>
    <row r="5692" spans="10:10" x14ac:dyDescent="0.2">
      <c r="J5692"/>
    </row>
    <row r="5693" spans="10:10" x14ac:dyDescent="0.2">
      <c r="J5693"/>
    </row>
    <row r="5694" spans="10:10" x14ac:dyDescent="0.2">
      <c r="J5694"/>
    </row>
    <row r="5695" spans="10:10" x14ac:dyDescent="0.2">
      <c r="J5695"/>
    </row>
    <row r="5696" spans="10:10" x14ac:dyDescent="0.2">
      <c r="J5696"/>
    </row>
    <row r="5697" spans="10:10" x14ac:dyDescent="0.2">
      <c r="J5697"/>
    </row>
    <row r="5698" spans="10:10" x14ac:dyDescent="0.2">
      <c r="J5698"/>
    </row>
    <row r="5699" spans="10:10" x14ac:dyDescent="0.2">
      <c r="J5699"/>
    </row>
    <row r="5700" spans="10:10" x14ac:dyDescent="0.2">
      <c r="J5700"/>
    </row>
    <row r="5701" spans="10:10" x14ac:dyDescent="0.2">
      <c r="J5701"/>
    </row>
    <row r="5702" spans="10:10" x14ac:dyDescent="0.2">
      <c r="J5702"/>
    </row>
    <row r="5703" spans="10:10" x14ac:dyDescent="0.2">
      <c r="J5703"/>
    </row>
    <row r="5704" spans="10:10" x14ac:dyDescent="0.2">
      <c r="J5704"/>
    </row>
    <row r="5705" spans="10:10" x14ac:dyDescent="0.2">
      <c r="J5705"/>
    </row>
    <row r="5706" spans="10:10" x14ac:dyDescent="0.2">
      <c r="J5706"/>
    </row>
    <row r="5707" spans="10:10" x14ac:dyDescent="0.2">
      <c r="J5707"/>
    </row>
    <row r="5708" spans="10:10" x14ac:dyDescent="0.2">
      <c r="J5708"/>
    </row>
    <row r="5709" spans="10:10" x14ac:dyDescent="0.2">
      <c r="J5709"/>
    </row>
    <row r="5710" spans="10:10" x14ac:dyDescent="0.2">
      <c r="J5710"/>
    </row>
    <row r="5711" spans="10:10" x14ac:dyDescent="0.2">
      <c r="J5711"/>
    </row>
    <row r="5712" spans="10:10" x14ac:dyDescent="0.2">
      <c r="J5712"/>
    </row>
    <row r="5713" spans="10:10" x14ac:dyDescent="0.2">
      <c r="J5713"/>
    </row>
    <row r="5714" spans="10:10" x14ac:dyDescent="0.2">
      <c r="J5714"/>
    </row>
    <row r="5715" spans="10:10" x14ac:dyDescent="0.2">
      <c r="J5715"/>
    </row>
    <row r="5716" spans="10:10" x14ac:dyDescent="0.2">
      <c r="J5716"/>
    </row>
    <row r="5717" spans="10:10" x14ac:dyDescent="0.2">
      <c r="J5717"/>
    </row>
    <row r="5718" spans="10:10" x14ac:dyDescent="0.2">
      <c r="J5718"/>
    </row>
    <row r="5719" spans="10:10" x14ac:dyDescent="0.2">
      <c r="J5719"/>
    </row>
    <row r="5720" spans="10:10" x14ac:dyDescent="0.2">
      <c r="J5720"/>
    </row>
    <row r="5721" spans="10:10" x14ac:dyDescent="0.2">
      <c r="J5721"/>
    </row>
    <row r="5722" spans="10:10" x14ac:dyDescent="0.2">
      <c r="J5722"/>
    </row>
    <row r="5723" spans="10:10" x14ac:dyDescent="0.2">
      <c r="J5723"/>
    </row>
    <row r="5724" spans="10:10" x14ac:dyDescent="0.2">
      <c r="J5724"/>
    </row>
    <row r="5725" spans="10:10" x14ac:dyDescent="0.2">
      <c r="J5725"/>
    </row>
    <row r="5726" spans="10:10" x14ac:dyDescent="0.2">
      <c r="J5726"/>
    </row>
    <row r="5727" spans="10:10" x14ac:dyDescent="0.2">
      <c r="J5727"/>
    </row>
    <row r="5728" spans="10:10" x14ac:dyDescent="0.2">
      <c r="J5728"/>
    </row>
    <row r="5729" spans="10:10" x14ac:dyDescent="0.2">
      <c r="J5729"/>
    </row>
    <row r="5730" spans="10:10" x14ac:dyDescent="0.2">
      <c r="J5730"/>
    </row>
    <row r="5731" spans="10:10" x14ac:dyDescent="0.2">
      <c r="J5731"/>
    </row>
    <row r="5732" spans="10:10" x14ac:dyDescent="0.2">
      <c r="J5732"/>
    </row>
    <row r="5733" spans="10:10" x14ac:dyDescent="0.2">
      <c r="J5733"/>
    </row>
    <row r="5734" spans="10:10" x14ac:dyDescent="0.2">
      <c r="J5734"/>
    </row>
    <row r="5735" spans="10:10" x14ac:dyDescent="0.2">
      <c r="J5735"/>
    </row>
    <row r="5736" spans="10:10" x14ac:dyDescent="0.2">
      <c r="J5736"/>
    </row>
    <row r="5737" spans="10:10" x14ac:dyDescent="0.2">
      <c r="J5737"/>
    </row>
    <row r="5738" spans="10:10" x14ac:dyDescent="0.2">
      <c r="J5738"/>
    </row>
    <row r="5739" spans="10:10" x14ac:dyDescent="0.2">
      <c r="J5739"/>
    </row>
    <row r="5740" spans="10:10" x14ac:dyDescent="0.2">
      <c r="J5740"/>
    </row>
    <row r="5741" spans="10:10" x14ac:dyDescent="0.2">
      <c r="J5741"/>
    </row>
    <row r="5742" spans="10:10" x14ac:dyDescent="0.2">
      <c r="J5742"/>
    </row>
    <row r="5743" spans="10:10" x14ac:dyDescent="0.2">
      <c r="J5743"/>
    </row>
    <row r="5744" spans="10:10" x14ac:dyDescent="0.2">
      <c r="J5744"/>
    </row>
    <row r="5745" spans="10:10" x14ac:dyDescent="0.2">
      <c r="J5745"/>
    </row>
    <row r="5746" spans="10:10" x14ac:dyDescent="0.2">
      <c r="J5746"/>
    </row>
    <row r="5747" spans="10:10" x14ac:dyDescent="0.2">
      <c r="J5747"/>
    </row>
    <row r="5748" spans="10:10" x14ac:dyDescent="0.2">
      <c r="J5748"/>
    </row>
    <row r="5749" spans="10:10" x14ac:dyDescent="0.2">
      <c r="J5749"/>
    </row>
    <row r="5750" spans="10:10" x14ac:dyDescent="0.2">
      <c r="J5750"/>
    </row>
    <row r="5751" spans="10:10" x14ac:dyDescent="0.2">
      <c r="J5751"/>
    </row>
    <row r="5752" spans="10:10" x14ac:dyDescent="0.2">
      <c r="J5752"/>
    </row>
    <row r="5753" spans="10:10" x14ac:dyDescent="0.2">
      <c r="J5753"/>
    </row>
    <row r="5754" spans="10:10" x14ac:dyDescent="0.2">
      <c r="J5754"/>
    </row>
    <row r="5755" spans="10:10" x14ac:dyDescent="0.2">
      <c r="J5755"/>
    </row>
    <row r="5756" spans="10:10" x14ac:dyDescent="0.2">
      <c r="J5756"/>
    </row>
    <row r="5757" spans="10:10" x14ac:dyDescent="0.2">
      <c r="J5757"/>
    </row>
    <row r="5758" spans="10:10" x14ac:dyDescent="0.2">
      <c r="J5758"/>
    </row>
    <row r="5759" spans="10:10" x14ac:dyDescent="0.2">
      <c r="J5759"/>
    </row>
    <row r="5760" spans="10:10" x14ac:dyDescent="0.2">
      <c r="J5760"/>
    </row>
    <row r="5761" spans="10:10" x14ac:dyDescent="0.2">
      <c r="J5761"/>
    </row>
    <row r="5762" spans="10:10" x14ac:dyDescent="0.2">
      <c r="J5762"/>
    </row>
    <row r="5763" spans="10:10" x14ac:dyDescent="0.2">
      <c r="J5763"/>
    </row>
    <row r="5764" spans="10:10" x14ac:dyDescent="0.2">
      <c r="J5764"/>
    </row>
    <row r="5765" spans="10:10" x14ac:dyDescent="0.2">
      <c r="J5765"/>
    </row>
    <row r="5766" spans="10:10" x14ac:dyDescent="0.2">
      <c r="J5766"/>
    </row>
    <row r="5767" spans="10:10" x14ac:dyDescent="0.2">
      <c r="J5767"/>
    </row>
    <row r="5768" spans="10:10" x14ac:dyDescent="0.2">
      <c r="J5768"/>
    </row>
    <row r="5769" spans="10:10" x14ac:dyDescent="0.2">
      <c r="J5769"/>
    </row>
    <row r="5770" spans="10:10" x14ac:dyDescent="0.2">
      <c r="J5770"/>
    </row>
    <row r="5771" spans="10:10" x14ac:dyDescent="0.2">
      <c r="J5771"/>
    </row>
    <row r="5772" spans="10:10" x14ac:dyDescent="0.2">
      <c r="J5772"/>
    </row>
    <row r="5773" spans="10:10" x14ac:dyDescent="0.2">
      <c r="J5773"/>
    </row>
    <row r="5774" spans="10:10" x14ac:dyDescent="0.2">
      <c r="J5774"/>
    </row>
    <row r="5775" spans="10:10" x14ac:dyDescent="0.2">
      <c r="J5775"/>
    </row>
    <row r="5776" spans="10:10" x14ac:dyDescent="0.2">
      <c r="J5776"/>
    </row>
    <row r="5777" spans="10:10" x14ac:dyDescent="0.2">
      <c r="J5777"/>
    </row>
    <row r="5778" spans="10:10" x14ac:dyDescent="0.2">
      <c r="J5778"/>
    </row>
    <row r="5779" spans="10:10" x14ac:dyDescent="0.2">
      <c r="J5779"/>
    </row>
    <row r="5780" spans="10:10" x14ac:dyDescent="0.2">
      <c r="J5780"/>
    </row>
    <row r="5781" spans="10:10" x14ac:dyDescent="0.2">
      <c r="J5781"/>
    </row>
    <row r="5782" spans="10:10" x14ac:dyDescent="0.2">
      <c r="J5782"/>
    </row>
    <row r="5783" spans="10:10" x14ac:dyDescent="0.2">
      <c r="J5783"/>
    </row>
    <row r="5784" spans="10:10" x14ac:dyDescent="0.2">
      <c r="J5784"/>
    </row>
    <row r="5785" spans="10:10" x14ac:dyDescent="0.2">
      <c r="J5785"/>
    </row>
    <row r="5786" spans="10:10" x14ac:dyDescent="0.2">
      <c r="J5786"/>
    </row>
    <row r="5787" spans="10:10" x14ac:dyDescent="0.2">
      <c r="J5787"/>
    </row>
    <row r="5788" spans="10:10" x14ac:dyDescent="0.2">
      <c r="J5788"/>
    </row>
    <row r="5789" spans="10:10" x14ac:dyDescent="0.2">
      <c r="J5789"/>
    </row>
    <row r="5790" spans="10:10" x14ac:dyDescent="0.2">
      <c r="J5790"/>
    </row>
    <row r="5791" spans="10:10" x14ac:dyDescent="0.2">
      <c r="J5791"/>
    </row>
    <row r="5792" spans="10:10" x14ac:dyDescent="0.2">
      <c r="J5792"/>
    </row>
    <row r="5793" spans="10:10" x14ac:dyDescent="0.2">
      <c r="J5793"/>
    </row>
    <row r="5794" spans="10:10" x14ac:dyDescent="0.2">
      <c r="J5794"/>
    </row>
    <row r="5795" spans="10:10" x14ac:dyDescent="0.2">
      <c r="J5795"/>
    </row>
    <row r="5796" spans="10:10" x14ac:dyDescent="0.2">
      <c r="J5796"/>
    </row>
    <row r="5797" spans="10:10" x14ac:dyDescent="0.2">
      <c r="J5797"/>
    </row>
    <row r="5798" spans="10:10" x14ac:dyDescent="0.2">
      <c r="J5798"/>
    </row>
    <row r="5799" spans="10:10" x14ac:dyDescent="0.2">
      <c r="J5799"/>
    </row>
    <row r="5800" spans="10:10" x14ac:dyDescent="0.2">
      <c r="J5800"/>
    </row>
    <row r="5801" spans="10:10" x14ac:dyDescent="0.2">
      <c r="J5801"/>
    </row>
    <row r="5802" spans="10:10" x14ac:dyDescent="0.2">
      <c r="J5802"/>
    </row>
    <row r="5803" spans="10:10" x14ac:dyDescent="0.2">
      <c r="J5803"/>
    </row>
    <row r="5804" spans="10:10" x14ac:dyDescent="0.2">
      <c r="J5804"/>
    </row>
    <row r="5805" spans="10:10" x14ac:dyDescent="0.2">
      <c r="J5805"/>
    </row>
    <row r="5806" spans="10:10" x14ac:dyDescent="0.2">
      <c r="J5806"/>
    </row>
    <row r="5807" spans="10:10" x14ac:dyDescent="0.2">
      <c r="J5807"/>
    </row>
    <row r="5808" spans="10:10" x14ac:dyDescent="0.2">
      <c r="J5808"/>
    </row>
    <row r="5809" spans="10:10" x14ac:dyDescent="0.2">
      <c r="J5809"/>
    </row>
    <row r="5810" spans="10:10" x14ac:dyDescent="0.2">
      <c r="J5810"/>
    </row>
    <row r="5811" spans="10:10" x14ac:dyDescent="0.2">
      <c r="J5811"/>
    </row>
    <row r="5812" spans="10:10" x14ac:dyDescent="0.2">
      <c r="J5812"/>
    </row>
    <row r="5813" spans="10:10" x14ac:dyDescent="0.2">
      <c r="J5813"/>
    </row>
    <row r="5814" spans="10:10" x14ac:dyDescent="0.2">
      <c r="J5814"/>
    </row>
    <row r="5815" spans="10:10" x14ac:dyDescent="0.2">
      <c r="J5815"/>
    </row>
    <row r="5816" spans="10:10" x14ac:dyDescent="0.2">
      <c r="J5816"/>
    </row>
    <row r="5817" spans="10:10" x14ac:dyDescent="0.2">
      <c r="J5817"/>
    </row>
    <row r="5818" spans="10:10" x14ac:dyDescent="0.2">
      <c r="J5818"/>
    </row>
    <row r="5819" spans="10:10" x14ac:dyDescent="0.2">
      <c r="J5819"/>
    </row>
    <row r="5820" spans="10:10" x14ac:dyDescent="0.2">
      <c r="J5820"/>
    </row>
    <row r="5821" spans="10:10" x14ac:dyDescent="0.2">
      <c r="J5821"/>
    </row>
    <row r="5822" spans="10:10" x14ac:dyDescent="0.2">
      <c r="J5822"/>
    </row>
    <row r="5823" spans="10:10" x14ac:dyDescent="0.2">
      <c r="J5823"/>
    </row>
    <row r="5824" spans="10:10" x14ac:dyDescent="0.2">
      <c r="J5824"/>
    </row>
    <row r="5825" spans="10:10" x14ac:dyDescent="0.2">
      <c r="J5825"/>
    </row>
    <row r="5826" spans="10:10" x14ac:dyDescent="0.2">
      <c r="J5826"/>
    </row>
    <row r="5827" spans="10:10" x14ac:dyDescent="0.2">
      <c r="J5827"/>
    </row>
    <row r="5828" spans="10:10" x14ac:dyDescent="0.2">
      <c r="J5828"/>
    </row>
    <row r="5829" spans="10:10" x14ac:dyDescent="0.2">
      <c r="J5829"/>
    </row>
    <row r="5830" spans="10:10" x14ac:dyDescent="0.2">
      <c r="J5830"/>
    </row>
    <row r="5831" spans="10:10" x14ac:dyDescent="0.2">
      <c r="J5831"/>
    </row>
    <row r="5832" spans="10:10" x14ac:dyDescent="0.2">
      <c r="J5832"/>
    </row>
    <row r="5833" spans="10:10" x14ac:dyDescent="0.2">
      <c r="J5833"/>
    </row>
    <row r="5834" spans="10:10" x14ac:dyDescent="0.2">
      <c r="J5834"/>
    </row>
    <row r="5835" spans="10:10" x14ac:dyDescent="0.2">
      <c r="J5835"/>
    </row>
    <row r="5836" spans="10:10" x14ac:dyDescent="0.2">
      <c r="J5836"/>
    </row>
    <row r="5837" spans="10:10" x14ac:dyDescent="0.2">
      <c r="J5837"/>
    </row>
    <row r="5838" spans="10:10" x14ac:dyDescent="0.2">
      <c r="J5838"/>
    </row>
    <row r="5839" spans="10:10" x14ac:dyDescent="0.2">
      <c r="J5839"/>
    </row>
    <row r="5840" spans="10:10" x14ac:dyDescent="0.2">
      <c r="J5840"/>
    </row>
    <row r="5841" spans="10:10" x14ac:dyDescent="0.2">
      <c r="J5841"/>
    </row>
    <row r="5842" spans="10:10" x14ac:dyDescent="0.2">
      <c r="J5842"/>
    </row>
    <row r="5843" spans="10:10" x14ac:dyDescent="0.2">
      <c r="J5843"/>
    </row>
    <row r="5844" spans="10:10" x14ac:dyDescent="0.2">
      <c r="J5844"/>
    </row>
    <row r="5845" spans="10:10" x14ac:dyDescent="0.2">
      <c r="J5845"/>
    </row>
    <row r="5846" spans="10:10" x14ac:dyDescent="0.2">
      <c r="J5846"/>
    </row>
    <row r="5847" spans="10:10" x14ac:dyDescent="0.2">
      <c r="J5847"/>
    </row>
    <row r="5848" spans="10:10" x14ac:dyDescent="0.2">
      <c r="J5848"/>
    </row>
    <row r="5849" spans="10:10" x14ac:dyDescent="0.2">
      <c r="J5849"/>
    </row>
    <row r="5850" spans="10:10" x14ac:dyDescent="0.2">
      <c r="J5850"/>
    </row>
    <row r="5851" spans="10:10" x14ac:dyDescent="0.2">
      <c r="J5851"/>
    </row>
    <row r="5852" spans="10:10" x14ac:dyDescent="0.2">
      <c r="J5852"/>
    </row>
    <row r="5853" spans="10:10" x14ac:dyDescent="0.2">
      <c r="J5853"/>
    </row>
    <row r="5854" spans="10:10" x14ac:dyDescent="0.2">
      <c r="J5854"/>
    </row>
    <row r="5855" spans="10:10" x14ac:dyDescent="0.2">
      <c r="J5855"/>
    </row>
    <row r="5856" spans="10:10" x14ac:dyDescent="0.2">
      <c r="J5856"/>
    </row>
    <row r="5857" spans="10:10" x14ac:dyDescent="0.2">
      <c r="J5857"/>
    </row>
    <row r="5858" spans="10:10" x14ac:dyDescent="0.2">
      <c r="J5858"/>
    </row>
    <row r="5859" spans="10:10" x14ac:dyDescent="0.2">
      <c r="J5859"/>
    </row>
    <row r="5860" spans="10:10" x14ac:dyDescent="0.2">
      <c r="J5860"/>
    </row>
    <row r="5861" spans="10:10" x14ac:dyDescent="0.2">
      <c r="J5861"/>
    </row>
    <row r="5862" spans="10:10" x14ac:dyDescent="0.2">
      <c r="J5862"/>
    </row>
    <row r="5863" spans="10:10" x14ac:dyDescent="0.2">
      <c r="J5863"/>
    </row>
    <row r="5864" spans="10:10" x14ac:dyDescent="0.2">
      <c r="J5864"/>
    </row>
    <row r="5865" spans="10:10" x14ac:dyDescent="0.2">
      <c r="J5865"/>
    </row>
    <row r="5866" spans="10:10" x14ac:dyDescent="0.2">
      <c r="J5866"/>
    </row>
    <row r="5867" spans="10:10" x14ac:dyDescent="0.2">
      <c r="J5867"/>
    </row>
    <row r="5868" spans="10:10" x14ac:dyDescent="0.2">
      <c r="J5868"/>
    </row>
    <row r="5869" spans="10:10" x14ac:dyDescent="0.2">
      <c r="J5869"/>
    </row>
    <row r="5870" spans="10:10" x14ac:dyDescent="0.2">
      <c r="J5870"/>
    </row>
    <row r="5871" spans="10:10" x14ac:dyDescent="0.2">
      <c r="J5871"/>
    </row>
    <row r="5872" spans="10:10" x14ac:dyDescent="0.2">
      <c r="J5872"/>
    </row>
    <row r="5873" spans="10:10" x14ac:dyDescent="0.2">
      <c r="J5873"/>
    </row>
    <row r="5874" spans="10:10" x14ac:dyDescent="0.2">
      <c r="J5874"/>
    </row>
    <row r="5875" spans="10:10" x14ac:dyDescent="0.2">
      <c r="J5875"/>
    </row>
    <row r="5876" spans="10:10" x14ac:dyDescent="0.2">
      <c r="J5876"/>
    </row>
    <row r="5877" spans="10:10" x14ac:dyDescent="0.2">
      <c r="J5877"/>
    </row>
    <row r="5878" spans="10:10" x14ac:dyDescent="0.2">
      <c r="J5878"/>
    </row>
    <row r="5879" spans="10:10" x14ac:dyDescent="0.2">
      <c r="J5879"/>
    </row>
    <row r="5880" spans="10:10" x14ac:dyDescent="0.2">
      <c r="J5880"/>
    </row>
    <row r="5881" spans="10:10" x14ac:dyDescent="0.2">
      <c r="J5881"/>
    </row>
    <row r="5882" spans="10:10" x14ac:dyDescent="0.2">
      <c r="J5882"/>
    </row>
    <row r="5883" spans="10:10" x14ac:dyDescent="0.2">
      <c r="J5883"/>
    </row>
    <row r="5884" spans="10:10" x14ac:dyDescent="0.2">
      <c r="J5884"/>
    </row>
    <row r="5885" spans="10:10" x14ac:dyDescent="0.2">
      <c r="J5885"/>
    </row>
    <row r="5886" spans="10:10" x14ac:dyDescent="0.2">
      <c r="J5886"/>
    </row>
    <row r="5887" spans="10:10" x14ac:dyDescent="0.2">
      <c r="J5887"/>
    </row>
    <row r="5888" spans="10:10" x14ac:dyDescent="0.2">
      <c r="J5888"/>
    </row>
    <row r="5889" spans="10:10" x14ac:dyDescent="0.2">
      <c r="J5889"/>
    </row>
    <row r="5890" spans="10:10" x14ac:dyDescent="0.2">
      <c r="J5890"/>
    </row>
    <row r="5891" spans="10:10" x14ac:dyDescent="0.2">
      <c r="J5891"/>
    </row>
    <row r="5892" spans="10:10" x14ac:dyDescent="0.2">
      <c r="J5892"/>
    </row>
    <row r="5893" spans="10:10" x14ac:dyDescent="0.2">
      <c r="J5893"/>
    </row>
    <row r="5894" spans="10:10" x14ac:dyDescent="0.2">
      <c r="J5894"/>
    </row>
    <row r="5895" spans="10:10" x14ac:dyDescent="0.2">
      <c r="J5895"/>
    </row>
    <row r="5896" spans="10:10" x14ac:dyDescent="0.2">
      <c r="J5896"/>
    </row>
    <row r="5897" spans="10:10" x14ac:dyDescent="0.2">
      <c r="J5897"/>
    </row>
    <row r="5898" spans="10:10" x14ac:dyDescent="0.2">
      <c r="J5898"/>
    </row>
    <row r="5899" spans="10:10" x14ac:dyDescent="0.2">
      <c r="J5899"/>
    </row>
    <row r="5900" spans="10:10" x14ac:dyDescent="0.2">
      <c r="J5900"/>
    </row>
    <row r="5901" spans="10:10" x14ac:dyDescent="0.2">
      <c r="J5901"/>
    </row>
    <row r="5902" spans="10:10" x14ac:dyDescent="0.2">
      <c r="J5902"/>
    </row>
    <row r="5903" spans="10:10" x14ac:dyDescent="0.2">
      <c r="J5903"/>
    </row>
    <row r="5904" spans="10:10" x14ac:dyDescent="0.2">
      <c r="J5904"/>
    </row>
    <row r="5905" spans="10:10" x14ac:dyDescent="0.2">
      <c r="J5905"/>
    </row>
    <row r="5906" spans="10:10" x14ac:dyDescent="0.2">
      <c r="J5906"/>
    </row>
    <row r="5907" spans="10:10" x14ac:dyDescent="0.2">
      <c r="J5907"/>
    </row>
    <row r="5908" spans="10:10" x14ac:dyDescent="0.2">
      <c r="J5908"/>
    </row>
    <row r="5909" spans="10:10" x14ac:dyDescent="0.2">
      <c r="J5909"/>
    </row>
    <row r="5910" spans="10:10" x14ac:dyDescent="0.2">
      <c r="J5910"/>
    </row>
    <row r="5911" spans="10:10" x14ac:dyDescent="0.2">
      <c r="J5911"/>
    </row>
    <row r="5912" spans="10:10" x14ac:dyDescent="0.2">
      <c r="J5912"/>
    </row>
    <row r="5913" spans="10:10" x14ac:dyDescent="0.2">
      <c r="J5913"/>
    </row>
    <row r="5914" spans="10:10" x14ac:dyDescent="0.2">
      <c r="J5914"/>
    </row>
    <row r="5915" spans="10:10" x14ac:dyDescent="0.2">
      <c r="J5915"/>
    </row>
    <row r="5916" spans="10:10" x14ac:dyDescent="0.2">
      <c r="J5916"/>
    </row>
    <row r="5917" spans="10:10" x14ac:dyDescent="0.2">
      <c r="J5917"/>
    </row>
    <row r="5918" spans="10:10" x14ac:dyDescent="0.2">
      <c r="J5918"/>
    </row>
    <row r="5919" spans="10:10" x14ac:dyDescent="0.2">
      <c r="J5919"/>
    </row>
    <row r="5920" spans="10:10" x14ac:dyDescent="0.2">
      <c r="J5920"/>
    </row>
    <row r="5921" spans="10:10" x14ac:dyDescent="0.2">
      <c r="J5921"/>
    </row>
    <row r="5922" spans="10:10" x14ac:dyDescent="0.2">
      <c r="J5922"/>
    </row>
    <row r="5923" spans="10:10" x14ac:dyDescent="0.2">
      <c r="J5923"/>
    </row>
    <row r="5924" spans="10:10" x14ac:dyDescent="0.2">
      <c r="J5924"/>
    </row>
    <row r="5925" spans="10:10" x14ac:dyDescent="0.2">
      <c r="J5925"/>
    </row>
    <row r="5926" spans="10:10" x14ac:dyDescent="0.2">
      <c r="J5926"/>
    </row>
    <row r="5927" spans="10:10" x14ac:dyDescent="0.2">
      <c r="J5927"/>
    </row>
    <row r="5928" spans="10:10" x14ac:dyDescent="0.2">
      <c r="J5928"/>
    </row>
    <row r="5929" spans="10:10" x14ac:dyDescent="0.2">
      <c r="J5929"/>
    </row>
    <row r="5930" spans="10:10" x14ac:dyDescent="0.2">
      <c r="J5930"/>
    </row>
    <row r="5931" spans="10:10" x14ac:dyDescent="0.2">
      <c r="J5931"/>
    </row>
    <row r="5932" spans="10:10" x14ac:dyDescent="0.2">
      <c r="J5932"/>
    </row>
    <row r="5933" spans="10:10" x14ac:dyDescent="0.2">
      <c r="J5933"/>
    </row>
    <row r="5934" spans="10:10" x14ac:dyDescent="0.2">
      <c r="J5934"/>
    </row>
    <row r="5935" spans="10:10" x14ac:dyDescent="0.2">
      <c r="J5935"/>
    </row>
    <row r="5936" spans="10:10" x14ac:dyDescent="0.2">
      <c r="J5936"/>
    </row>
    <row r="5937" spans="10:10" x14ac:dyDescent="0.2">
      <c r="J5937"/>
    </row>
    <row r="5938" spans="10:10" x14ac:dyDescent="0.2">
      <c r="J5938"/>
    </row>
    <row r="5939" spans="10:10" x14ac:dyDescent="0.2">
      <c r="J5939"/>
    </row>
    <row r="5940" spans="10:10" x14ac:dyDescent="0.2">
      <c r="J5940"/>
    </row>
    <row r="5941" spans="10:10" x14ac:dyDescent="0.2">
      <c r="J5941"/>
    </row>
    <row r="5942" spans="10:10" x14ac:dyDescent="0.2">
      <c r="J5942"/>
    </row>
    <row r="5943" spans="10:10" x14ac:dyDescent="0.2">
      <c r="J5943"/>
    </row>
    <row r="5944" spans="10:10" x14ac:dyDescent="0.2">
      <c r="J5944"/>
    </row>
    <row r="5945" spans="10:10" x14ac:dyDescent="0.2">
      <c r="J5945"/>
    </row>
    <row r="5946" spans="10:10" x14ac:dyDescent="0.2">
      <c r="J5946"/>
    </row>
    <row r="5947" spans="10:10" x14ac:dyDescent="0.2">
      <c r="J5947"/>
    </row>
    <row r="5948" spans="10:10" x14ac:dyDescent="0.2">
      <c r="J5948"/>
    </row>
    <row r="5949" spans="10:10" x14ac:dyDescent="0.2">
      <c r="J5949"/>
    </row>
    <row r="5950" spans="10:10" x14ac:dyDescent="0.2">
      <c r="J5950"/>
    </row>
    <row r="5951" spans="10:10" x14ac:dyDescent="0.2">
      <c r="J5951"/>
    </row>
    <row r="5952" spans="10:10" x14ac:dyDescent="0.2">
      <c r="J5952"/>
    </row>
    <row r="5953" spans="10:10" x14ac:dyDescent="0.2">
      <c r="J5953"/>
    </row>
    <row r="5954" spans="10:10" x14ac:dyDescent="0.2">
      <c r="J5954"/>
    </row>
    <row r="5955" spans="10:10" x14ac:dyDescent="0.2">
      <c r="J5955"/>
    </row>
    <row r="5956" spans="10:10" x14ac:dyDescent="0.2">
      <c r="J5956"/>
    </row>
    <row r="5957" spans="10:10" x14ac:dyDescent="0.2">
      <c r="J5957"/>
    </row>
    <row r="5958" spans="10:10" x14ac:dyDescent="0.2">
      <c r="J5958"/>
    </row>
    <row r="5959" spans="10:10" x14ac:dyDescent="0.2">
      <c r="J5959"/>
    </row>
    <row r="5960" spans="10:10" x14ac:dyDescent="0.2">
      <c r="J5960"/>
    </row>
    <row r="5961" spans="10:10" x14ac:dyDescent="0.2">
      <c r="J5961"/>
    </row>
    <row r="5962" spans="10:10" x14ac:dyDescent="0.2">
      <c r="J5962"/>
    </row>
    <row r="5963" spans="10:10" x14ac:dyDescent="0.2">
      <c r="J5963"/>
    </row>
    <row r="5964" spans="10:10" x14ac:dyDescent="0.2">
      <c r="J5964"/>
    </row>
    <row r="5965" spans="10:10" x14ac:dyDescent="0.2">
      <c r="J5965"/>
    </row>
    <row r="5966" spans="10:10" x14ac:dyDescent="0.2">
      <c r="J5966"/>
    </row>
    <row r="5967" spans="10:10" x14ac:dyDescent="0.2">
      <c r="J5967"/>
    </row>
    <row r="5968" spans="10:10" x14ac:dyDescent="0.2">
      <c r="J5968"/>
    </row>
    <row r="5969" spans="10:10" x14ac:dyDescent="0.2">
      <c r="J5969"/>
    </row>
    <row r="5970" spans="10:10" x14ac:dyDescent="0.2">
      <c r="J5970"/>
    </row>
    <row r="5971" spans="10:10" x14ac:dyDescent="0.2">
      <c r="J5971"/>
    </row>
    <row r="5972" spans="10:10" x14ac:dyDescent="0.2">
      <c r="J5972"/>
    </row>
    <row r="5973" spans="10:10" x14ac:dyDescent="0.2">
      <c r="J5973"/>
    </row>
    <row r="5974" spans="10:10" x14ac:dyDescent="0.2">
      <c r="J5974"/>
    </row>
    <row r="5975" spans="10:10" x14ac:dyDescent="0.2">
      <c r="J5975"/>
    </row>
    <row r="5976" spans="10:10" x14ac:dyDescent="0.2">
      <c r="J5976"/>
    </row>
    <row r="5977" spans="10:10" x14ac:dyDescent="0.2">
      <c r="J5977"/>
    </row>
    <row r="5978" spans="10:10" x14ac:dyDescent="0.2">
      <c r="J5978"/>
    </row>
    <row r="5979" spans="10:10" x14ac:dyDescent="0.2">
      <c r="J5979"/>
    </row>
    <row r="5980" spans="10:10" x14ac:dyDescent="0.2">
      <c r="J5980"/>
    </row>
    <row r="5981" spans="10:10" x14ac:dyDescent="0.2">
      <c r="J5981"/>
    </row>
    <row r="5982" spans="10:10" x14ac:dyDescent="0.2">
      <c r="J5982"/>
    </row>
    <row r="5983" spans="10:10" x14ac:dyDescent="0.2">
      <c r="J5983"/>
    </row>
    <row r="5984" spans="10:10" x14ac:dyDescent="0.2">
      <c r="J5984"/>
    </row>
    <row r="5985" spans="10:10" x14ac:dyDescent="0.2">
      <c r="J5985"/>
    </row>
    <row r="5986" spans="10:10" x14ac:dyDescent="0.2">
      <c r="J5986"/>
    </row>
    <row r="5987" spans="10:10" x14ac:dyDescent="0.2">
      <c r="J5987"/>
    </row>
    <row r="5988" spans="10:10" x14ac:dyDescent="0.2">
      <c r="J5988"/>
    </row>
    <row r="5989" spans="10:10" x14ac:dyDescent="0.2">
      <c r="J5989"/>
    </row>
    <row r="5990" spans="10:10" x14ac:dyDescent="0.2">
      <c r="J5990"/>
    </row>
    <row r="5991" spans="10:10" x14ac:dyDescent="0.2">
      <c r="J5991"/>
    </row>
    <row r="5992" spans="10:10" x14ac:dyDescent="0.2">
      <c r="J5992"/>
    </row>
    <row r="5993" spans="10:10" x14ac:dyDescent="0.2">
      <c r="J5993"/>
    </row>
    <row r="5994" spans="10:10" x14ac:dyDescent="0.2">
      <c r="J5994"/>
    </row>
    <row r="5995" spans="10:10" x14ac:dyDescent="0.2">
      <c r="J5995"/>
    </row>
    <row r="5996" spans="10:10" x14ac:dyDescent="0.2">
      <c r="J5996"/>
    </row>
    <row r="5997" spans="10:10" x14ac:dyDescent="0.2">
      <c r="J5997"/>
    </row>
    <row r="5998" spans="10:10" x14ac:dyDescent="0.2">
      <c r="J5998"/>
    </row>
    <row r="5999" spans="10:10" x14ac:dyDescent="0.2">
      <c r="J5999"/>
    </row>
    <row r="6000" spans="10:10" x14ac:dyDescent="0.2">
      <c r="J6000"/>
    </row>
    <row r="6001" spans="10:10" x14ac:dyDescent="0.2">
      <c r="J6001"/>
    </row>
    <row r="6002" spans="10:10" x14ac:dyDescent="0.2">
      <c r="J6002"/>
    </row>
    <row r="6003" spans="10:10" x14ac:dyDescent="0.2">
      <c r="J6003"/>
    </row>
    <row r="6004" spans="10:10" x14ac:dyDescent="0.2">
      <c r="J6004"/>
    </row>
    <row r="6005" spans="10:10" x14ac:dyDescent="0.2">
      <c r="J6005"/>
    </row>
    <row r="6006" spans="10:10" x14ac:dyDescent="0.2">
      <c r="J6006"/>
    </row>
    <row r="6007" spans="10:10" x14ac:dyDescent="0.2">
      <c r="J6007"/>
    </row>
    <row r="6008" spans="10:10" x14ac:dyDescent="0.2">
      <c r="J6008"/>
    </row>
    <row r="6009" spans="10:10" x14ac:dyDescent="0.2">
      <c r="J6009"/>
    </row>
    <row r="6010" spans="10:10" x14ac:dyDescent="0.2">
      <c r="J6010"/>
    </row>
    <row r="6011" spans="10:10" x14ac:dyDescent="0.2">
      <c r="J6011"/>
    </row>
    <row r="6012" spans="10:10" x14ac:dyDescent="0.2">
      <c r="J6012"/>
    </row>
    <row r="6013" spans="10:10" x14ac:dyDescent="0.2">
      <c r="J6013"/>
    </row>
    <row r="6014" spans="10:10" x14ac:dyDescent="0.2">
      <c r="J6014"/>
    </row>
    <row r="6015" spans="10:10" x14ac:dyDescent="0.2">
      <c r="J6015"/>
    </row>
    <row r="6016" spans="10:10" x14ac:dyDescent="0.2">
      <c r="J6016"/>
    </row>
    <row r="6017" spans="10:10" x14ac:dyDescent="0.2">
      <c r="J6017"/>
    </row>
    <row r="6018" spans="10:10" x14ac:dyDescent="0.2">
      <c r="J6018"/>
    </row>
    <row r="6019" spans="10:10" x14ac:dyDescent="0.2">
      <c r="J6019"/>
    </row>
    <row r="6020" spans="10:10" x14ac:dyDescent="0.2">
      <c r="J6020"/>
    </row>
    <row r="6021" spans="10:10" x14ac:dyDescent="0.2">
      <c r="J6021"/>
    </row>
    <row r="6022" spans="10:10" x14ac:dyDescent="0.2">
      <c r="J6022"/>
    </row>
    <row r="6023" spans="10:10" x14ac:dyDescent="0.2">
      <c r="J6023"/>
    </row>
    <row r="6024" spans="10:10" x14ac:dyDescent="0.2">
      <c r="J6024"/>
    </row>
    <row r="6025" spans="10:10" x14ac:dyDescent="0.2">
      <c r="J6025"/>
    </row>
    <row r="6026" spans="10:10" x14ac:dyDescent="0.2">
      <c r="J6026"/>
    </row>
    <row r="6027" spans="10:10" x14ac:dyDescent="0.2">
      <c r="J6027"/>
    </row>
    <row r="6028" spans="10:10" x14ac:dyDescent="0.2">
      <c r="J6028"/>
    </row>
    <row r="6029" spans="10:10" x14ac:dyDescent="0.2">
      <c r="J6029"/>
    </row>
    <row r="6030" spans="10:10" x14ac:dyDescent="0.2">
      <c r="J6030"/>
    </row>
    <row r="6031" spans="10:10" x14ac:dyDescent="0.2">
      <c r="J6031"/>
    </row>
    <row r="6032" spans="10:10" x14ac:dyDescent="0.2">
      <c r="J6032"/>
    </row>
    <row r="6033" spans="10:10" x14ac:dyDescent="0.2">
      <c r="J6033"/>
    </row>
    <row r="6034" spans="10:10" x14ac:dyDescent="0.2">
      <c r="J6034"/>
    </row>
    <row r="6035" spans="10:10" x14ac:dyDescent="0.2">
      <c r="J6035"/>
    </row>
    <row r="6036" spans="10:10" x14ac:dyDescent="0.2">
      <c r="J6036"/>
    </row>
    <row r="6037" spans="10:10" x14ac:dyDescent="0.2">
      <c r="J6037"/>
    </row>
    <row r="6038" spans="10:10" x14ac:dyDescent="0.2">
      <c r="J6038"/>
    </row>
    <row r="6039" spans="10:10" x14ac:dyDescent="0.2">
      <c r="J6039"/>
    </row>
    <row r="6040" spans="10:10" x14ac:dyDescent="0.2">
      <c r="J6040"/>
    </row>
    <row r="6041" spans="10:10" x14ac:dyDescent="0.2">
      <c r="J6041"/>
    </row>
    <row r="6042" spans="10:10" x14ac:dyDescent="0.2">
      <c r="J6042"/>
    </row>
    <row r="6043" spans="10:10" x14ac:dyDescent="0.2">
      <c r="J6043"/>
    </row>
    <row r="6044" spans="10:10" x14ac:dyDescent="0.2">
      <c r="J6044"/>
    </row>
    <row r="6045" spans="10:10" x14ac:dyDescent="0.2">
      <c r="J6045"/>
    </row>
    <row r="6046" spans="10:10" x14ac:dyDescent="0.2">
      <c r="J6046"/>
    </row>
    <row r="6047" spans="10:10" x14ac:dyDescent="0.2">
      <c r="J6047"/>
    </row>
    <row r="6048" spans="10:10" x14ac:dyDescent="0.2">
      <c r="J6048"/>
    </row>
    <row r="6049" spans="10:10" x14ac:dyDescent="0.2">
      <c r="J6049"/>
    </row>
    <row r="6050" spans="10:10" x14ac:dyDescent="0.2">
      <c r="J6050"/>
    </row>
    <row r="6051" spans="10:10" x14ac:dyDescent="0.2">
      <c r="J6051"/>
    </row>
    <row r="6052" spans="10:10" x14ac:dyDescent="0.2">
      <c r="J6052"/>
    </row>
    <row r="6053" spans="10:10" x14ac:dyDescent="0.2">
      <c r="J6053"/>
    </row>
    <row r="6054" spans="10:10" x14ac:dyDescent="0.2">
      <c r="J6054"/>
    </row>
    <row r="6055" spans="10:10" x14ac:dyDescent="0.2">
      <c r="J6055"/>
    </row>
    <row r="6056" spans="10:10" x14ac:dyDescent="0.2">
      <c r="J6056"/>
    </row>
    <row r="6057" spans="10:10" x14ac:dyDescent="0.2">
      <c r="J6057"/>
    </row>
    <row r="6058" spans="10:10" x14ac:dyDescent="0.2">
      <c r="J6058"/>
    </row>
    <row r="6059" spans="10:10" x14ac:dyDescent="0.2">
      <c r="J6059"/>
    </row>
    <row r="6060" spans="10:10" x14ac:dyDescent="0.2">
      <c r="J6060"/>
    </row>
    <row r="6061" spans="10:10" x14ac:dyDescent="0.2">
      <c r="J6061"/>
    </row>
    <row r="6062" spans="10:10" x14ac:dyDescent="0.2">
      <c r="J6062"/>
    </row>
    <row r="6063" spans="10:10" x14ac:dyDescent="0.2">
      <c r="J6063"/>
    </row>
    <row r="6064" spans="10:10" x14ac:dyDescent="0.2">
      <c r="J6064"/>
    </row>
    <row r="6065" spans="10:10" x14ac:dyDescent="0.2">
      <c r="J6065"/>
    </row>
    <row r="6066" spans="10:10" x14ac:dyDescent="0.2">
      <c r="J6066"/>
    </row>
    <row r="6067" spans="10:10" x14ac:dyDescent="0.2">
      <c r="J6067"/>
    </row>
    <row r="6068" spans="10:10" x14ac:dyDescent="0.2">
      <c r="J6068"/>
    </row>
    <row r="6069" spans="10:10" x14ac:dyDescent="0.2">
      <c r="J6069"/>
    </row>
    <row r="6070" spans="10:10" x14ac:dyDescent="0.2">
      <c r="J6070"/>
    </row>
    <row r="6071" spans="10:10" x14ac:dyDescent="0.2">
      <c r="J6071"/>
    </row>
    <row r="6072" spans="10:10" x14ac:dyDescent="0.2">
      <c r="J6072"/>
    </row>
    <row r="6073" spans="10:10" x14ac:dyDescent="0.2">
      <c r="J6073"/>
    </row>
    <row r="6074" spans="10:10" x14ac:dyDescent="0.2">
      <c r="J6074"/>
    </row>
    <row r="6075" spans="10:10" x14ac:dyDescent="0.2">
      <c r="J6075"/>
    </row>
    <row r="6076" spans="10:10" x14ac:dyDescent="0.2">
      <c r="J6076"/>
    </row>
    <row r="6077" spans="10:10" x14ac:dyDescent="0.2">
      <c r="J6077"/>
    </row>
    <row r="6078" spans="10:10" x14ac:dyDescent="0.2">
      <c r="J6078"/>
    </row>
    <row r="6079" spans="10:10" x14ac:dyDescent="0.2">
      <c r="J6079"/>
    </row>
    <row r="6080" spans="10:10" x14ac:dyDescent="0.2">
      <c r="J6080"/>
    </row>
    <row r="6081" spans="10:10" x14ac:dyDescent="0.2">
      <c r="J6081"/>
    </row>
    <row r="6082" spans="10:10" x14ac:dyDescent="0.2">
      <c r="J6082"/>
    </row>
    <row r="6083" spans="10:10" x14ac:dyDescent="0.2">
      <c r="J6083"/>
    </row>
    <row r="6084" spans="10:10" x14ac:dyDescent="0.2">
      <c r="J6084"/>
    </row>
    <row r="6085" spans="10:10" x14ac:dyDescent="0.2">
      <c r="J6085"/>
    </row>
    <row r="6086" spans="10:10" x14ac:dyDescent="0.2">
      <c r="J6086"/>
    </row>
    <row r="6087" spans="10:10" x14ac:dyDescent="0.2">
      <c r="J6087"/>
    </row>
    <row r="6088" spans="10:10" x14ac:dyDescent="0.2">
      <c r="J6088"/>
    </row>
    <row r="6089" spans="10:10" x14ac:dyDescent="0.2">
      <c r="J6089"/>
    </row>
    <row r="6090" spans="10:10" x14ac:dyDescent="0.2">
      <c r="J6090"/>
    </row>
    <row r="6091" spans="10:10" x14ac:dyDescent="0.2">
      <c r="J6091"/>
    </row>
    <row r="6092" spans="10:10" x14ac:dyDescent="0.2">
      <c r="J6092"/>
    </row>
    <row r="6093" spans="10:10" x14ac:dyDescent="0.2">
      <c r="J6093"/>
    </row>
    <row r="6094" spans="10:10" x14ac:dyDescent="0.2">
      <c r="J6094"/>
    </row>
    <row r="6095" spans="10:10" x14ac:dyDescent="0.2">
      <c r="J6095"/>
    </row>
    <row r="6096" spans="10:10" x14ac:dyDescent="0.2">
      <c r="J6096"/>
    </row>
    <row r="6097" spans="10:10" x14ac:dyDescent="0.2">
      <c r="J6097"/>
    </row>
    <row r="6098" spans="10:10" x14ac:dyDescent="0.2">
      <c r="J6098"/>
    </row>
    <row r="6099" spans="10:10" x14ac:dyDescent="0.2">
      <c r="J6099"/>
    </row>
    <row r="6100" spans="10:10" x14ac:dyDescent="0.2">
      <c r="J6100"/>
    </row>
    <row r="6101" spans="10:10" x14ac:dyDescent="0.2">
      <c r="J6101"/>
    </row>
    <row r="6102" spans="10:10" x14ac:dyDescent="0.2">
      <c r="J6102"/>
    </row>
    <row r="6103" spans="10:10" x14ac:dyDescent="0.2">
      <c r="J6103"/>
    </row>
    <row r="6104" spans="10:10" x14ac:dyDescent="0.2">
      <c r="J6104"/>
    </row>
    <row r="6105" spans="10:10" x14ac:dyDescent="0.2">
      <c r="J6105"/>
    </row>
    <row r="6106" spans="10:10" x14ac:dyDescent="0.2">
      <c r="J6106"/>
    </row>
    <row r="6107" spans="10:10" x14ac:dyDescent="0.2">
      <c r="J6107"/>
    </row>
    <row r="6108" spans="10:10" x14ac:dyDescent="0.2">
      <c r="J6108"/>
    </row>
    <row r="6109" spans="10:10" x14ac:dyDescent="0.2">
      <c r="J6109"/>
    </row>
    <row r="6110" spans="10:10" x14ac:dyDescent="0.2">
      <c r="J6110"/>
    </row>
    <row r="6111" spans="10:10" x14ac:dyDescent="0.2">
      <c r="J6111"/>
    </row>
    <row r="6112" spans="10:10" x14ac:dyDescent="0.2">
      <c r="J6112"/>
    </row>
    <row r="6113" spans="10:10" x14ac:dyDescent="0.2">
      <c r="J6113"/>
    </row>
    <row r="6114" spans="10:10" x14ac:dyDescent="0.2">
      <c r="J6114"/>
    </row>
    <row r="6115" spans="10:10" x14ac:dyDescent="0.2">
      <c r="J6115"/>
    </row>
    <row r="6116" spans="10:10" x14ac:dyDescent="0.2">
      <c r="J6116"/>
    </row>
    <row r="6117" spans="10:10" x14ac:dyDescent="0.2">
      <c r="J6117"/>
    </row>
    <row r="6118" spans="10:10" x14ac:dyDescent="0.2">
      <c r="J6118"/>
    </row>
    <row r="6119" spans="10:10" x14ac:dyDescent="0.2">
      <c r="J6119"/>
    </row>
    <row r="6120" spans="10:10" x14ac:dyDescent="0.2">
      <c r="J6120"/>
    </row>
    <row r="6121" spans="10:10" x14ac:dyDescent="0.2">
      <c r="J6121"/>
    </row>
    <row r="6122" spans="10:10" x14ac:dyDescent="0.2">
      <c r="J6122"/>
    </row>
    <row r="6123" spans="10:10" x14ac:dyDescent="0.2">
      <c r="J6123"/>
    </row>
    <row r="6124" spans="10:10" x14ac:dyDescent="0.2">
      <c r="J6124"/>
    </row>
    <row r="6125" spans="10:10" x14ac:dyDescent="0.2">
      <c r="J6125"/>
    </row>
    <row r="6126" spans="10:10" x14ac:dyDescent="0.2">
      <c r="J6126"/>
    </row>
    <row r="6127" spans="10:10" x14ac:dyDescent="0.2">
      <c r="J6127"/>
    </row>
    <row r="6128" spans="10:10" x14ac:dyDescent="0.2">
      <c r="J6128"/>
    </row>
    <row r="6129" spans="10:10" x14ac:dyDescent="0.2">
      <c r="J6129"/>
    </row>
    <row r="6130" spans="10:10" x14ac:dyDescent="0.2">
      <c r="J6130"/>
    </row>
    <row r="6131" spans="10:10" x14ac:dyDescent="0.2">
      <c r="J6131"/>
    </row>
    <row r="6132" spans="10:10" x14ac:dyDescent="0.2">
      <c r="J6132"/>
    </row>
    <row r="6133" spans="10:10" x14ac:dyDescent="0.2">
      <c r="J6133"/>
    </row>
    <row r="6134" spans="10:10" x14ac:dyDescent="0.2">
      <c r="J6134"/>
    </row>
    <row r="6135" spans="10:10" x14ac:dyDescent="0.2">
      <c r="J6135"/>
    </row>
    <row r="6136" spans="10:10" x14ac:dyDescent="0.2">
      <c r="J6136"/>
    </row>
    <row r="6137" spans="10:10" x14ac:dyDescent="0.2">
      <c r="J6137"/>
    </row>
    <row r="6138" spans="10:10" x14ac:dyDescent="0.2">
      <c r="J6138"/>
    </row>
    <row r="6139" spans="10:10" x14ac:dyDescent="0.2">
      <c r="J6139"/>
    </row>
    <row r="6140" spans="10:10" x14ac:dyDescent="0.2">
      <c r="J6140"/>
    </row>
    <row r="6141" spans="10:10" x14ac:dyDescent="0.2">
      <c r="J6141"/>
    </row>
    <row r="6142" spans="10:10" x14ac:dyDescent="0.2">
      <c r="J6142"/>
    </row>
    <row r="6143" spans="10:10" x14ac:dyDescent="0.2">
      <c r="J6143"/>
    </row>
    <row r="6144" spans="10:10" x14ac:dyDescent="0.2">
      <c r="J6144"/>
    </row>
    <row r="6145" spans="10:10" x14ac:dyDescent="0.2">
      <c r="J6145"/>
    </row>
    <row r="6146" spans="10:10" x14ac:dyDescent="0.2">
      <c r="J6146"/>
    </row>
    <row r="6147" spans="10:10" x14ac:dyDescent="0.2">
      <c r="J6147"/>
    </row>
    <row r="6148" spans="10:10" x14ac:dyDescent="0.2">
      <c r="J6148"/>
    </row>
    <row r="6149" spans="10:10" x14ac:dyDescent="0.2">
      <c r="J6149"/>
    </row>
    <row r="6150" spans="10:10" x14ac:dyDescent="0.2">
      <c r="J6150"/>
    </row>
    <row r="6151" spans="10:10" x14ac:dyDescent="0.2">
      <c r="J6151"/>
    </row>
    <row r="6152" spans="10:10" x14ac:dyDescent="0.2">
      <c r="J6152"/>
    </row>
    <row r="6153" spans="10:10" x14ac:dyDescent="0.2">
      <c r="J6153"/>
    </row>
    <row r="6154" spans="10:10" x14ac:dyDescent="0.2">
      <c r="J6154"/>
    </row>
    <row r="6155" spans="10:10" x14ac:dyDescent="0.2">
      <c r="J6155"/>
    </row>
    <row r="6156" spans="10:10" x14ac:dyDescent="0.2">
      <c r="J6156"/>
    </row>
    <row r="6157" spans="10:10" x14ac:dyDescent="0.2">
      <c r="J6157"/>
    </row>
    <row r="6158" spans="10:10" x14ac:dyDescent="0.2">
      <c r="J6158"/>
    </row>
    <row r="6159" spans="10:10" x14ac:dyDescent="0.2">
      <c r="J6159"/>
    </row>
    <row r="6160" spans="10:10" x14ac:dyDescent="0.2">
      <c r="J6160"/>
    </row>
    <row r="6161" spans="10:10" x14ac:dyDescent="0.2">
      <c r="J6161"/>
    </row>
    <row r="6162" spans="10:10" x14ac:dyDescent="0.2">
      <c r="J6162"/>
    </row>
    <row r="6163" spans="10:10" x14ac:dyDescent="0.2">
      <c r="J6163"/>
    </row>
    <row r="6164" spans="10:10" x14ac:dyDescent="0.2">
      <c r="J6164"/>
    </row>
    <row r="6165" spans="10:10" x14ac:dyDescent="0.2">
      <c r="J6165"/>
    </row>
    <row r="6166" spans="10:10" x14ac:dyDescent="0.2">
      <c r="J6166"/>
    </row>
    <row r="6167" spans="10:10" x14ac:dyDescent="0.2">
      <c r="J6167"/>
    </row>
    <row r="6168" spans="10:10" x14ac:dyDescent="0.2">
      <c r="J6168"/>
    </row>
    <row r="6169" spans="10:10" x14ac:dyDescent="0.2">
      <c r="J6169"/>
    </row>
    <row r="6170" spans="10:10" x14ac:dyDescent="0.2">
      <c r="J6170"/>
    </row>
    <row r="6171" spans="10:10" x14ac:dyDescent="0.2">
      <c r="J6171"/>
    </row>
    <row r="6172" spans="10:10" x14ac:dyDescent="0.2">
      <c r="J6172"/>
    </row>
    <row r="6173" spans="10:10" x14ac:dyDescent="0.2">
      <c r="J6173"/>
    </row>
    <row r="6174" spans="10:10" x14ac:dyDescent="0.2">
      <c r="J6174"/>
    </row>
    <row r="6175" spans="10:10" x14ac:dyDescent="0.2">
      <c r="J6175"/>
    </row>
    <row r="6176" spans="10:10" x14ac:dyDescent="0.2">
      <c r="J6176"/>
    </row>
    <row r="6177" spans="10:10" x14ac:dyDescent="0.2">
      <c r="J6177"/>
    </row>
    <row r="6178" spans="10:10" x14ac:dyDescent="0.2">
      <c r="J6178"/>
    </row>
    <row r="6179" spans="10:10" x14ac:dyDescent="0.2">
      <c r="J6179"/>
    </row>
    <row r="6180" spans="10:10" x14ac:dyDescent="0.2">
      <c r="J6180"/>
    </row>
    <row r="6181" spans="10:10" x14ac:dyDescent="0.2">
      <c r="J6181"/>
    </row>
    <row r="6182" spans="10:10" x14ac:dyDescent="0.2">
      <c r="J6182"/>
    </row>
    <row r="6183" spans="10:10" x14ac:dyDescent="0.2">
      <c r="J6183"/>
    </row>
    <row r="6184" spans="10:10" x14ac:dyDescent="0.2">
      <c r="J6184"/>
    </row>
    <row r="6185" spans="10:10" x14ac:dyDescent="0.2">
      <c r="J6185"/>
    </row>
    <row r="6186" spans="10:10" x14ac:dyDescent="0.2">
      <c r="J6186"/>
    </row>
    <row r="6187" spans="10:10" x14ac:dyDescent="0.2">
      <c r="J6187"/>
    </row>
    <row r="6188" spans="10:10" x14ac:dyDescent="0.2">
      <c r="J6188"/>
    </row>
    <row r="6189" spans="10:10" x14ac:dyDescent="0.2">
      <c r="J6189"/>
    </row>
    <row r="6190" spans="10:10" x14ac:dyDescent="0.2">
      <c r="J6190"/>
    </row>
    <row r="6191" spans="10:10" x14ac:dyDescent="0.2">
      <c r="J6191"/>
    </row>
    <row r="6192" spans="10:10" x14ac:dyDescent="0.2">
      <c r="J6192"/>
    </row>
    <row r="6193" spans="10:10" x14ac:dyDescent="0.2">
      <c r="J6193"/>
    </row>
    <row r="6194" spans="10:10" x14ac:dyDescent="0.2">
      <c r="J6194"/>
    </row>
    <row r="6195" spans="10:10" x14ac:dyDescent="0.2">
      <c r="J6195"/>
    </row>
    <row r="6196" spans="10:10" x14ac:dyDescent="0.2">
      <c r="J6196"/>
    </row>
    <row r="6197" spans="10:10" x14ac:dyDescent="0.2">
      <c r="J6197"/>
    </row>
    <row r="6198" spans="10:10" x14ac:dyDescent="0.2">
      <c r="J6198"/>
    </row>
    <row r="6199" spans="10:10" x14ac:dyDescent="0.2">
      <c r="J6199"/>
    </row>
    <row r="6200" spans="10:10" x14ac:dyDescent="0.2">
      <c r="J6200"/>
    </row>
    <row r="6201" spans="10:10" x14ac:dyDescent="0.2">
      <c r="J6201"/>
    </row>
    <row r="6202" spans="10:10" x14ac:dyDescent="0.2">
      <c r="J6202"/>
    </row>
    <row r="6203" spans="10:10" x14ac:dyDescent="0.2">
      <c r="J6203"/>
    </row>
    <row r="6204" spans="10:10" x14ac:dyDescent="0.2">
      <c r="J6204"/>
    </row>
    <row r="6205" spans="10:10" x14ac:dyDescent="0.2">
      <c r="J6205"/>
    </row>
    <row r="6206" spans="10:10" x14ac:dyDescent="0.2">
      <c r="J6206"/>
    </row>
    <row r="6207" spans="10:10" x14ac:dyDescent="0.2">
      <c r="J6207"/>
    </row>
    <row r="6208" spans="10:10" x14ac:dyDescent="0.2">
      <c r="J6208"/>
    </row>
    <row r="6209" spans="10:10" x14ac:dyDescent="0.2">
      <c r="J6209"/>
    </row>
    <row r="6210" spans="10:10" x14ac:dyDescent="0.2">
      <c r="J6210"/>
    </row>
    <row r="6211" spans="10:10" x14ac:dyDescent="0.2">
      <c r="J6211"/>
    </row>
    <row r="6212" spans="10:10" x14ac:dyDescent="0.2">
      <c r="J6212"/>
    </row>
    <row r="6213" spans="10:10" x14ac:dyDescent="0.2">
      <c r="J6213"/>
    </row>
    <row r="6214" spans="10:10" x14ac:dyDescent="0.2">
      <c r="J6214"/>
    </row>
    <row r="6215" spans="10:10" x14ac:dyDescent="0.2">
      <c r="J6215"/>
    </row>
    <row r="6216" spans="10:10" x14ac:dyDescent="0.2">
      <c r="J6216"/>
    </row>
    <row r="6217" spans="10:10" x14ac:dyDescent="0.2">
      <c r="J6217"/>
    </row>
    <row r="6218" spans="10:10" x14ac:dyDescent="0.2">
      <c r="J6218"/>
    </row>
    <row r="6219" spans="10:10" x14ac:dyDescent="0.2">
      <c r="J6219"/>
    </row>
    <row r="6220" spans="10:10" x14ac:dyDescent="0.2">
      <c r="J6220"/>
    </row>
    <row r="6221" spans="10:10" x14ac:dyDescent="0.2">
      <c r="J6221"/>
    </row>
    <row r="6222" spans="10:10" x14ac:dyDescent="0.2">
      <c r="J6222"/>
    </row>
    <row r="6223" spans="10:10" x14ac:dyDescent="0.2">
      <c r="J6223"/>
    </row>
    <row r="6224" spans="10:10" x14ac:dyDescent="0.2">
      <c r="J6224"/>
    </row>
    <row r="6225" spans="10:10" x14ac:dyDescent="0.2">
      <c r="J6225"/>
    </row>
    <row r="6226" spans="10:10" x14ac:dyDescent="0.2">
      <c r="J6226"/>
    </row>
    <row r="6227" spans="10:10" x14ac:dyDescent="0.2">
      <c r="J6227"/>
    </row>
    <row r="6228" spans="10:10" x14ac:dyDescent="0.2">
      <c r="J6228"/>
    </row>
    <row r="6229" spans="10:10" x14ac:dyDescent="0.2">
      <c r="J6229"/>
    </row>
    <row r="6230" spans="10:10" x14ac:dyDescent="0.2">
      <c r="J6230"/>
    </row>
    <row r="6231" spans="10:10" x14ac:dyDescent="0.2">
      <c r="J6231"/>
    </row>
    <row r="6232" spans="10:10" x14ac:dyDescent="0.2">
      <c r="J6232"/>
    </row>
    <row r="6233" spans="10:10" x14ac:dyDescent="0.2">
      <c r="J6233"/>
    </row>
    <row r="6234" spans="10:10" x14ac:dyDescent="0.2">
      <c r="J6234"/>
    </row>
    <row r="6235" spans="10:10" x14ac:dyDescent="0.2">
      <c r="J6235"/>
    </row>
    <row r="6236" spans="10:10" x14ac:dyDescent="0.2">
      <c r="J6236"/>
    </row>
    <row r="6237" spans="10:10" x14ac:dyDescent="0.2">
      <c r="J6237"/>
    </row>
    <row r="6238" spans="10:10" x14ac:dyDescent="0.2">
      <c r="J6238"/>
    </row>
    <row r="6239" spans="10:10" x14ac:dyDescent="0.2">
      <c r="J6239"/>
    </row>
    <row r="6240" spans="10:10" x14ac:dyDescent="0.2">
      <c r="J6240"/>
    </row>
    <row r="6241" spans="10:10" x14ac:dyDescent="0.2">
      <c r="J6241"/>
    </row>
    <row r="6242" spans="10:10" x14ac:dyDescent="0.2">
      <c r="J6242"/>
    </row>
    <row r="6243" spans="10:10" x14ac:dyDescent="0.2">
      <c r="J6243"/>
    </row>
    <row r="6244" spans="10:10" x14ac:dyDescent="0.2">
      <c r="J6244"/>
    </row>
    <row r="6245" spans="10:10" x14ac:dyDescent="0.2">
      <c r="J6245"/>
    </row>
    <row r="6246" spans="10:10" x14ac:dyDescent="0.2">
      <c r="J6246"/>
    </row>
    <row r="6247" spans="10:10" x14ac:dyDescent="0.2">
      <c r="J6247"/>
    </row>
    <row r="6248" spans="10:10" x14ac:dyDescent="0.2">
      <c r="J6248"/>
    </row>
    <row r="6249" spans="10:10" x14ac:dyDescent="0.2">
      <c r="J6249"/>
    </row>
    <row r="6250" spans="10:10" x14ac:dyDescent="0.2">
      <c r="J6250"/>
    </row>
    <row r="6251" spans="10:10" x14ac:dyDescent="0.2">
      <c r="J6251"/>
    </row>
    <row r="6252" spans="10:10" x14ac:dyDescent="0.2">
      <c r="J6252"/>
    </row>
    <row r="6253" spans="10:10" x14ac:dyDescent="0.2">
      <c r="J6253"/>
    </row>
    <row r="6254" spans="10:10" x14ac:dyDescent="0.2">
      <c r="J6254"/>
    </row>
    <row r="6255" spans="10:10" x14ac:dyDescent="0.2">
      <c r="J6255"/>
    </row>
    <row r="6256" spans="10:10" x14ac:dyDescent="0.2">
      <c r="J6256"/>
    </row>
    <row r="6257" spans="10:10" x14ac:dyDescent="0.2">
      <c r="J6257"/>
    </row>
    <row r="6258" spans="10:10" x14ac:dyDescent="0.2">
      <c r="J6258"/>
    </row>
    <row r="6259" spans="10:10" x14ac:dyDescent="0.2">
      <c r="J6259"/>
    </row>
    <row r="6260" spans="10:10" x14ac:dyDescent="0.2">
      <c r="J6260"/>
    </row>
    <row r="6261" spans="10:10" x14ac:dyDescent="0.2">
      <c r="J6261"/>
    </row>
    <row r="6262" spans="10:10" x14ac:dyDescent="0.2">
      <c r="J6262"/>
    </row>
    <row r="6263" spans="10:10" x14ac:dyDescent="0.2">
      <c r="J6263"/>
    </row>
    <row r="6264" spans="10:10" x14ac:dyDescent="0.2">
      <c r="J6264"/>
    </row>
    <row r="6265" spans="10:10" x14ac:dyDescent="0.2">
      <c r="J6265"/>
    </row>
    <row r="6266" spans="10:10" x14ac:dyDescent="0.2">
      <c r="J6266"/>
    </row>
    <row r="6267" spans="10:10" x14ac:dyDescent="0.2">
      <c r="J6267"/>
    </row>
    <row r="6268" spans="10:10" x14ac:dyDescent="0.2">
      <c r="J6268"/>
    </row>
    <row r="6269" spans="10:10" x14ac:dyDescent="0.2">
      <c r="J6269"/>
    </row>
    <row r="6270" spans="10:10" x14ac:dyDescent="0.2">
      <c r="J6270"/>
    </row>
    <row r="6271" spans="10:10" x14ac:dyDescent="0.2">
      <c r="J6271"/>
    </row>
    <row r="6272" spans="10:10" x14ac:dyDescent="0.2">
      <c r="J6272"/>
    </row>
    <row r="6273" spans="10:10" x14ac:dyDescent="0.2">
      <c r="J6273"/>
    </row>
    <row r="6274" spans="10:10" x14ac:dyDescent="0.2">
      <c r="J6274"/>
    </row>
    <row r="6275" spans="10:10" x14ac:dyDescent="0.2">
      <c r="J6275"/>
    </row>
    <row r="6276" spans="10:10" x14ac:dyDescent="0.2">
      <c r="J6276"/>
    </row>
    <row r="6277" spans="10:10" x14ac:dyDescent="0.2">
      <c r="J6277"/>
    </row>
    <row r="6278" spans="10:10" x14ac:dyDescent="0.2">
      <c r="J6278"/>
    </row>
    <row r="6279" spans="10:10" x14ac:dyDescent="0.2">
      <c r="J6279"/>
    </row>
    <row r="6280" spans="10:10" x14ac:dyDescent="0.2">
      <c r="J6280"/>
    </row>
    <row r="6281" spans="10:10" x14ac:dyDescent="0.2">
      <c r="J6281"/>
    </row>
    <row r="6282" spans="10:10" x14ac:dyDescent="0.2">
      <c r="J6282"/>
    </row>
    <row r="6283" spans="10:10" x14ac:dyDescent="0.2">
      <c r="J6283"/>
    </row>
    <row r="6284" spans="10:10" x14ac:dyDescent="0.2">
      <c r="J6284"/>
    </row>
    <row r="6285" spans="10:10" x14ac:dyDescent="0.2">
      <c r="J6285"/>
    </row>
    <row r="6286" spans="10:10" x14ac:dyDescent="0.2">
      <c r="J6286"/>
    </row>
    <row r="6287" spans="10:10" x14ac:dyDescent="0.2">
      <c r="J6287"/>
    </row>
    <row r="6288" spans="10:10" x14ac:dyDescent="0.2">
      <c r="J6288"/>
    </row>
    <row r="6289" spans="10:10" x14ac:dyDescent="0.2">
      <c r="J6289"/>
    </row>
    <row r="6290" spans="10:10" x14ac:dyDescent="0.2">
      <c r="J6290"/>
    </row>
    <row r="6291" spans="10:10" x14ac:dyDescent="0.2">
      <c r="J6291"/>
    </row>
    <row r="6292" spans="10:10" x14ac:dyDescent="0.2">
      <c r="J6292"/>
    </row>
    <row r="6293" spans="10:10" x14ac:dyDescent="0.2">
      <c r="J6293"/>
    </row>
    <row r="6294" spans="10:10" x14ac:dyDescent="0.2">
      <c r="J6294"/>
    </row>
    <row r="6295" spans="10:10" x14ac:dyDescent="0.2">
      <c r="J6295"/>
    </row>
    <row r="6296" spans="10:10" x14ac:dyDescent="0.2">
      <c r="J6296"/>
    </row>
    <row r="6297" spans="10:10" x14ac:dyDescent="0.2">
      <c r="J6297"/>
    </row>
    <row r="6298" spans="10:10" x14ac:dyDescent="0.2">
      <c r="J6298"/>
    </row>
    <row r="6299" spans="10:10" x14ac:dyDescent="0.2">
      <c r="J6299"/>
    </row>
    <row r="6300" spans="10:10" x14ac:dyDescent="0.2">
      <c r="J6300"/>
    </row>
    <row r="6301" spans="10:10" x14ac:dyDescent="0.2">
      <c r="J6301"/>
    </row>
    <row r="6302" spans="10:10" x14ac:dyDescent="0.2">
      <c r="J6302"/>
    </row>
    <row r="6303" spans="10:10" x14ac:dyDescent="0.2">
      <c r="J6303"/>
    </row>
    <row r="6304" spans="10:10" x14ac:dyDescent="0.2">
      <c r="J6304"/>
    </row>
    <row r="6305" spans="10:10" x14ac:dyDescent="0.2">
      <c r="J6305"/>
    </row>
    <row r="6306" spans="10:10" x14ac:dyDescent="0.2">
      <c r="J6306"/>
    </row>
    <row r="6307" spans="10:10" x14ac:dyDescent="0.2">
      <c r="J6307"/>
    </row>
    <row r="6308" spans="10:10" x14ac:dyDescent="0.2">
      <c r="J6308"/>
    </row>
    <row r="6309" spans="10:10" x14ac:dyDescent="0.2">
      <c r="J6309"/>
    </row>
    <row r="6310" spans="10:10" x14ac:dyDescent="0.2">
      <c r="J6310"/>
    </row>
    <row r="6311" spans="10:10" x14ac:dyDescent="0.2">
      <c r="J6311"/>
    </row>
    <row r="6312" spans="10:10" x14ac:dyDescent="0.2">
      <c r="J6312"/>
    </row>
    <row r="6313" spans="10:10" x14ac:dyDescent="0.2">
      <c r="J6313"/>
    </row>
    <row r="6314" spans="10:10" x14ac:dyDescent="0.2">
      <c r="J6314"/>
    </row>
    <row r="6315" spans="10:10" x14ac:dyDescent="0.2">
      <c r="J6315"/>
    </row>
    <row r="6316" spans="10:10" x14ac:dyDescent="0.2">
      <c r="J6316"/>
    </row>
    <row r="6317" spans="10:10" x14ac:dyDescent="0.2">
      <c r="J6317"/>
    </row>
    <row r="6318" spans="10:10" x14ac:dyDescent="0.2">
      <c r="J6318"/>
    </row>
    <row r="6319" spans="10:10" x14ac:dyDescent="0.2">
      <c r="J6319"/>
    </row>
    <row r="6320" spans="10:10" x14ac:dyDescent="0.2">
      <c r="J6320"/>
    </row>
    <row r="6321" spans="10:10" x14ac:dyDescent="0.2">
      <c r="J6321"/>
    </row>
    <row r="6322" spans="10:10" x14ac:dyDescent="0.2">
      <c r="J6322"/>
    </row>
    <row r="6323" spans="10:10" x14ac:dyDescent="0.2">
      <c r="J6323"/>
    </row>
    <row r="6324" spans="10:10" x14ac:dyDescent="0.2">
      <c r="J6324"/>
    </row>
    <row r="6325" spans="10:10" x14ac:dyDescent="0.2">
      <c r="J6325"/>
    </row>
    <row r="6326" spans="10:10" x14ac:dyDescent="0.2">
      <c r="J6326"/>
    </row>
    <row r="6327" spans="10:10" x14ac:dyDescent="0.2">
      <c r="J6327"/>
    </row>
    <row r="6328" spans="10:10" x14ac:dyDescent="0.2">
      <c r="J6328"/>
    </row>
    <row r="6329" spans="10:10" x14ac:dyDescent="0.2">
      <c r="J6329"/>
    </row>
    <row r="6330" spans="10:10" x14ac:dyDescent="0.2">
      <c r="J6330"/>
    </row>
    <row r="6331" spans="10:10" x14ac:dyDescent="0.2">
      <c r="J6331"/>
    </row>
    <row r="6332" spans="10:10" x14ac:dyDescent="0.2">
      <c r="J6332"/>
    </row>
    <row r="6333" spans="10:10" x14ac:dyDescent="0.2">
      <c r="J6333"/>
    </row>
    <row r="6334" spans="10:10" x14ac:dyDescent="0.2">
      <c r="J6334"/>
    </row>
    <row r="6335" spans="10:10" x14ac:dyDescent="0.2">
      <c r="J6335"/>
    </row>
    <row r="6336" spans="10:10" x14ac:dyDescent="0.2">
      <c r="J6336"/>
    </row>
    <row r="6337" spans="10:10" x14ac:dyDescent="0.2">
      <c r="J6337"/>
    </row>
    <row r="6338" spans="10:10" x14ac:dyDescent="0.2">
      <c r="J6338"/>
    </row>
    <row r="6339" spans="10:10" x14ac:dyDescent="0.2">
      <c r="J6339"/>
    </row>
    <row r="6340" spans="10:10" x14ac:dyDescent="0.2">
      <c r="J6340"/>
    </row>
    <row r="6341" spans="10:10" x14ac:dyDescent="0.2">
      <c r="J6341"/>
    </row>
    <row r="6342" spans="10:10" x14ac:dyDescent="0.2">
      <c r="J6342"/>
    </row>
    <row r="6343" spans="10:10" x14ac:dyDescent="0.2">
      <c r="J6343"/>
    </row>
    <row r="6344" spans="10:10" x14ac:dyDescent="0.2">
      <c r="J6344"/>
    </row>
    <row r="6345" spans="10:10" x14ac:dyDescent="0.2">
      <c r="J6345"/>
    </row>
    <row r="6346" spans="10:10" x14ac:dyDescent="0.2">
      <c r="J6346"/>
    </row>
    <row r="6347" spans="10:10" x14ac:dyDescent="0.2">
      <c r="J6347"/>
    </row>
    <row r="6348" spans="10:10" x14ac:dyDescent="0.2">
      <c r="J6348"/>
    </row>
    <row r="6349" spans="10:10" x14ac:dyDescent="0.2">
      <c r="J6349"/>
    </row>
    <row r="6350" spans="10:10" x14ac:dyDescent="0.2">
      <c r="J6350"/>
    </row>
    <row r="6351" spans="10:10" x14ac:dyDescent="0.2">
      <c r="J6351"/>
    </row>
    <row r="6352" spans="10:10" x14ac:dyDescent="0.2">
      <c r="J6352"/>
    </row>
    <row r="6353" spans="10:10" x14ac:dyDescent="0.2">
      <c r="J6353"/>
    </row>
    <row r="6354" spans="10:10" x14ac:dyDescent="0.2">
      <c r="J6354"/>
    </row>
    <row r="6355" spans="10:10" x14ac:dyDescent="0.2">
      <c r="J6355"/>
    </row>
    <row r="6356" spans="10:10" x14ac:dyDescent="0.2">
      <c r="J6356"/>
    </row>
    <row r="6357" spans="10:10" x14ac:dyDescent="0.2">
      <c r="J6357"/>
    </row>
    <row r="6358" spans="10:10" x14ac:dyDescent="0.2">
      <c r="J6358"/>
    </row>
    <row r="6359" spans="10:10" x14ac:dyDescent="0.2">
      <c r="J6359"/>
    </row>
    <row r="6360" spans="10:10" x14ac:dyDescent="0.2">
      <c r="J6360"/>
    </row>
    <row r="6361" spans="10:10" x14ac:dyDescent="0.2">
      <c r="J6361"/>
    </row>
    <row r="6362" spans="10:10" x14ac:dyDescent="0.2">
      <c r="J6362"/>
    </row>
    <row r="6363" spans="10:10" x14ac:dyDescent="0.2">
      <c r="J6363"/>
    </row>
    <row r="6364" spans="10:10" x14ac:dyDescent="0.2">
      <c r="J6364"/>
    </row>
    <row r="6365" spans="10:10" x14ac:dyDescent="0.2">
      <c r="J6365"/>
    </row>
    <row r="6366" spans="10:10" x14ac:dyDescent="0.2">
      <c r="J6366"/>
    </row>
    <row r="6367" spans="10:10" x14ac:dyDescent="0.2">
      <c r="J6367"/>
    </row>
    <row r="6368" spans="10:10" x14ac:dyDescent="0.2">
      <c r="J6368"/>
    </row>
    <row r="6369" spans="10:10" x14ac:dyDescent="0.2">
      <c r="J6369"/>
    </row>
    <row r="6370" spans="10:10" x14ac:dyDescent="0.2">
      <c r="J6370"/>
    </row>
    <row r="6371" spans="10:10" x14ac:dyDescent="0.2">
      <c r="J6371"/>
    </row>
    <row r="6372" spans="10:10" x14ac:dyDescent="0.2">
      <c r="J6372"/>
    </row>
    <row r="6373" spans="10:10" x14ac:dyDescent="0.2">
      <c r="J6373"/>
    </row>
    <row r="6374" spans="10:10" x14ac:dyDescent="0.2">
      <c r="J6374"/>
    </row>
    <row r="6375" spans="10:10" x14ac:dyDescent="0.2">
      <c r="J6375"/>
    </row>
    <row r="6376" spans="10:10" x14ac:dyDescent="0.2">
      <c r="J6376"/>
    </row>
    <row r="6377" spans="10:10" x14ac:dyDescent="0.2">
      <c r="J6377"/>
    </row>
    <row r="6378" spans="10:10" x14ac:dyDescent="0.2">
      <c r="J6378"/>
    </row>
    <row r="6379" spans="10:10" x14ac:dyDescent="0.2">
      <c r="J6379"/>
    </row>
    <row r="6380" spans="10:10" x14ac:dyDescent="0.2">
      <c r="J6380"/>
    </row>
    <row r="6381" spans="10:10" x14ac:dyDescent="0.2">
      <c r="J6381"/>
    </row>
    <row r="6382" spans="10:10" x14ac:dyDescent="0.2">
      <c r="J6382"/>
    </row>
    <row r="6383" spans="10:10" x14ac:dyDescent="0.2">
      <c r="J6383"/>
    </row>
    <row r="6384" spans="10:10" x14ac:dyDescent="0.2">
      <c r="J6384"/>
    </row>
    <row r="6385" spans="10:10" x14ac:dyDescent="0.2">
      <c r="J6385"/>
    </row>
    <row r="6386" spans="10:10" x14ac:dyDescent="0.2">
      <c r="J6386"/>
    </row>
    <row r="6387" spans="10:10" x14ac:dyDescent="0.2">
      <c r="J6387"/>
    </row>
    <row r="6388" spans="10:10" x14ac:dyDescent="0.2">
      <c r="J6388"/>
    </row>
    <row r="6389" spans="10:10" x14ac:dyDescent="0.2">
      <c r="J6389"/>
    </row>
    <row r="6390" spans="10:10" x14ac:dyDescent="0.2">
      <c r="J6390"/>
    </row>
    <row r="6391" spans="10:10" x14ac:dyDescent="0.2">
      <c r="J6391"/>
    </row>
    <row r="6392" spans="10:10" x14ac:dyDescent="0.2">
      <c r="J6392"/>
    </row>
    <row r="6393" spans="10:10" x14ac:dyDescent="0.2">
      <c r="J6393"/>
    </row>
    <row r="6394" spans="10:10" x14ac:dyDescent="0.2">
      <c r="J6394"/>
    </row>
    <row r="6395" spans="10:10" x14ac:dyDescent="0.2">
      <c r="J6395"/>
    </row>
    <row r="6396" spans="10:10" x14ac:dyDescent="0.2">
      <c r="J6396"/>
    </row>
    <row r="6397" spans="10:10" x14ac:dyDescent="0.2">
      <c r="J6397"/>
    </row>
    <row r="6398" spans="10:10" x14ac:dyDescent="0.2">
      <c r="J6398"/>
    </row>
    <row r="6399" spans="10:10" x14ac:dyDescent="0.2">
      <c r="J6399"/>
    </row>
    <row r="6400" spans="10:10" x14ac:dyDescent="0.2">
      <c r="J6400"/>
    </row>
    <row r="6401" spans="10:10" x14ac:dyDescent="0.2">
      <c r="J6401"/>
    </row>
    <row r="6402" spans="10:10" x14ac:dyDescent="0.2">
      <c r="J6402"/>
    </row>
    <row r="6403" spans="10:10" x14ac:dyDescent="0.2">
      <c r="J6403"/>
    </row>
    <row r="6404" spans="10:10" x14ac:dyDescent="0.2">
      <c r="J6404"/>
    </row>
    <row r="6405" spans="10:10" x14ac:dyDescent="0.2">
      <c r="J6405"/>
    </row>
    <row r="6406" spans="10:10" x14ac:dyDescent="0.2">
      <c r="J6406"/>
    </row>
    <row r="6407" spans="10:10" x14ac:dyDescent="0.2">
      <c r="J6407"/>
    </row>
    <row r="6408" spans="10:10" x14ac:dyDescent="0.2">
      <c r="J6408"/>
    </row>
    <row r="6409" spans="10:10" x14ac:dyDescent="0.2">
      <c r="J6409"/>
    </row>
    <row r="6410" spans="10:10" x14ac:dyDescent="0.2">
      <c r="J6410"/>
    </row>
    <row r="6411" spans="10:10" x14ac:dyDescent="0.2">
      <c r="J6411"/>
    </row>
    <row r="6412" spans="10:10" x14ac:dyDescent="0.2">
      <c r="J6412"/>
    </row>
    <row r="6413" spans="10:10" x14ac:dyDescent="0.2">
      <c r="J6413"/>
    </row>
    <row r="6414" spans="10:10" x14ac:dyDescent="0.2">
      <c r="J6414"/>
    </row>
    <row r="6415" spans="10:10" x14ac:dyDescent="0.2">
      <c r="J6415"/>
    </row>
    <row r="6416" spans="10:10" x14ac:dyDescent="0.2">
      <c r="J6416"/>
    </row>
    <row r="6417" spans="10:10" x14ac:dyDescent="0.2">
      <c r="J6417"/>
    </row>
    <row r="6418" spans="10:10" x14ac:dyDescent="0.2">
      <c r="J6418"/>
    </row>
    <row r="6419" spans="10:10" x14ac:dyDescent="0.2">
      <c r="J6419"/>
    </row>
    <row r="6420" spans="10:10" x14ac:dyDescent="0.2">
      <c r="J6420"/>
    </row>
    <row r="6421" spans="10:10" x14ac:dyDescent="0.2">
      <c r="J6421"/>
    </row>
    <row r="6422" spans="10:10" x14ac:dyDescent="0.2">
      <c r="J6422"/>
    </row>
    <row r="6423" spans="10:10" x14ac:dyDescent="0.2">
      <c r="J6423"/>
    </row>
    <row r="6424" spans="10:10" x14ac:dyDescent="0.2">
      <c r="J6424"/>
    </row>
    <row r="6425" spans="10:10" x14ac:dyDescent="0.2">
      <c r="J6425"/>
    </row>
    <row r="6426" spans="10:10" x14ac:dyDescent="0.2">
      <c r="J6426"/>
    </row>
    <row r="6427" spans="10:10" x14ac:dyDescent="0.2">
      <c r="J6427"/>
    </row>
    <row r="6428" spans="10:10" x14ac:dyDescent="0.2">
      <c r="J6428"/>
    </row>
    <row r="6429" spans="10:10" x14ac:dyDescent="0.2">
      <c r="J6429"/>
    </row>
    <row r="6430" spans="10:10" x14ac:dyDescent="0.2">
      <c r="J6430"/>
    </row>
    <row r="6431" spans="10:10" x14ac:dyDescent="0.2">
      <c r="J6431"/>
    </row>
    <row r="6432" spans="10:10" x14ac:dyDescent="0.2">
      <c r="J6432"/>
    </row>
    <row r="6433" spans="10:10" x14ac:dyDescent="0.2">
      <c r="J6433"/>
    </row>
    <row r="6434" spans="10:10" x14ac:dyDescent="0.2">
      <c r="J6434"/>
    </row>
    <row r="6435" spans="10:10" x14ac:dyDescent="0.2">
      <c r="J6435"/>
    </row>
    <row r="6436" spans="10:10" x14ac:dyDescent="0.2">
      <c r="J6436"/>
    </row>
    <row r="6437" spans="10:10" x14ac:dyDescent="0.2">
      <c r="J6437"/>
    </row>
    <row r="6438" spans="10:10" x14ac:dyDescent="0.2">
      <c r="J6438"/>
    </row>
    <row r="6439" spans="10:10" x14ac:dyDescent="0.2">
      <c r="J6439"/>
    </row>
    <row r="6440" spans="10:10" x14ac:dyDescent="0.2">
      <c r="J6440"/>
    </row>
    <row r="6441" spans="10:10" x14ac:dyDescent="0.2">
      <c r="J6441"/>
    </row>
    <row r="6442" spans="10:10" x14ac:dyDescent="0.2">
      <c r="J6442"/>
    </row>
    <row r="6443" spans="10:10" x14ac:dyDescent="0.2">
      <c r="J6443"/>
    </row>
    <row r="6444" spans="10:10" x14ac:dyDescent="0.2">
      <c r="J6444"/>
    </row>
    <row r="6445" spans="10:10" x14ac:dyDescent="0.2">
      <c r="J6445"/>
    </row>
    <row r="6446" spans="10:10" x14ac:dyDescent="0.2">
      <c r="J6446"/>
    </row>
    <row r="6447" spans="10:10" x14ac:dyDescent="0.2">
      <c r="J6447"/>
    </row>
    <row r="6448" spans="10:10" x14ac:dyDescent="0.2">
      <c r="J6448"/>
    </row>
    <row r="6449" spans="10:10" x14ac:dyDescent="0.2">
      <c r="J6449"/>
    </row>
    <row r="6450" spans="10:10" x14ac:dyDescent="0.2">
      <c r="J6450"/>
    </row>
    <row r="6451" spans="10:10" x14ac:dyDescent="0.2">
      <c r="J6451"/>
    </row>
    <row r="6452" spans="10:10" x14ac:dyDescent="0.2">
      <c r="J6452"/>
    </row>
    <row r="6453" spans="10:10" x14ac:dyDescent="0.2">
      <c r="J6453"/>
    </row>
    <row r="6454" spans="10:10" x14ac:dyDescent="0.2">
      <c r="J6454"/>
    </row>
    <row r="6455" spans="10:10" x14ac:dyDescent="0.2">
      <c r="J6455"/>
    </row>
    <row r="6456" spans="10:10" x14ac:dyDescent="0.2">
      <c r="J6456"/>
    </row>
    <row r="6457" spans="10:10" x14ac:dyDescent="0.2">
      <c r="J6457"/>
    </row>
    <row r="6458" spans="10:10" x14ac:dyDescent="0.2">
      <c r="J6458"/>
    </row>
    <row r="6459" spans="10:10" x14ac:dyDescent="0.2">
      <c r="J6459"/>
    </row>
    <row r="6460" spans="10:10" x14ac:dyDescent="0.2">
      <c r="J6460"/>
    </row>
    <row r="6461" spans="10:10" x14ac:dyDescent="0.2">
      <c r="J6461"/>
    </row>
    <row r="6462" spans="10:10" x14ac:dyDescent="0.2">
      <c r="J6462"/>
    </row>
    <row r="6463" spans="10:10" x14ac:dyDescent="0.2">
      <c r="J6463"/>
    </row>
    <row r="6464" spans="10:10" x14ac:dyDescent="0.2">
      <c r="J6464"/>
    </row>
    <row r="6465" spans="10:10" x14ac:dyDescent="0.2">
      <c r="J6465"/>
    </row>
    <row r="6466" spans="10:10" x14ac:dyDescent="0.2">
      <c r="J6466"/>
    </row>
    <row r="6467" spans="10:10" x14ac:dyDescent="0.2">
      <c r="J6467"/>
    </row>
    <row r="6468" spans="10:10" x14ac:dyDescent="0.2">
      <c r="J6468"/>
    </row>
    <row r="6469" spans="10:10" x14ac:dyDescent="0.2">
      <c r="J6469"/>
    </row>
    <row r="6470" spans="10:10" x14ac:dyDescent="0.2">
      <c r="J6470"/>
    </row>
    <row r="6471" spans="10:10" x14ac:dyDescent="0.2">
      <c r="J6471"/>
    </row>
    <row r="6472" spans="10:10" x14ac:dyDescent="0.2">
      <c r="J6472"/>
    </row>
    <row r="6473" spans="10:10" x14ac:dyDescent="0.2">
      <c r="J6473"/>
    </row>
    <row r="6474" spans="10:10" x14ac:dyDescent="0.2">
      <c r="J6474"/>
    </row>
    <row r="6475" spans="10:10" x14ac:dyDescent="0.2">
      <c r="J6475"/>
    </row>
    <row r="6476" spans="10:10" x14ac:dyDescent="0.2">
      <c r="J6476"/>
    </row>
    <row r="6477" spans="10:10" x14ac:dyDescent="0.2">
      <c r="J6477"/>
    </row>
    <row r="6478" spans="10:10" x14ac:dyDescent="0.2">
      <c r="J6478"/>
    </row>
    <row r="6479" spans="10:10" x14ac:dyDescent="0.2">
      <c r="J6479"/>
    </row>
    <row r="6480" spans="10:10" x14ac:dyDescent="0.2">
      <c r="J6480"/>
    </row>
    <row r="6481" spans="10:10" x14ac:dyDescent="0.2">
      <c r="J6481"/>
    </row>
    <row r="6482" spans="10:10" x14ac:dyDescent="0.2">
      <c r="J6482"/>
    </row>
    <row r="6483" spans="10:10" x14ac:dyDescent="0.2">
      <c r="J6483"/>
    </row>
    <row r="6484" spans="10:10" x14ac:dyDescent="0.2">
      <c r="J6484"/>
    </row>
    <row r="6485" spans="10:10" x14ac:dyDescent="0.2">
      <c r="J6485"/>
    </row>
    <row r="6486" spans="10:10" x14ac:dyDescent="0.2">
      <c r="J6486"/>
    </row>
    <row r="6487" spans="10:10" x14ac:dyDescent="0.2">
      <c r="J6487"/>
    </row>
    <row r="6488" spans="10:10" x14ac:dyDescent="0.2">
      <c r="J6488"/>
    </row>
    <row r="6489" spans="10:10" x14ac:dyDescent="0.2">
      <c r="J6489"/>
    </row>
    <row r="6490" spans="10:10" x14ac:dyDescent="0.2">
      <c r="J6490"/>
    </row>
    <row r="6491" spans="10:10" x14ac:dyDescent="0.2">
      <c r="J6491"/>
    </row>
    <row r="6492" spans="10:10" x14ac:dyDescent="0.2">
      <c r="J6492"/>
    </row>
    <row r="6493" spans="10:10" x14ac:dyDescent="0.2">
      <c r="J6493"/>
    </row>
    <row r="6494" spans="10:10" x14ac:dyDescent="0.2">
      <c r="J6494"/>
    </row>
    <row r="6495" spans="10:10" x14ac:dyDescent="0.2">
      <c r="J6495"/>
    </row>
    <row r="6496" spans="10:10" x14ac:dyDescent="0.2">
      <c r="J6496"/>
    </row>
    <row r="6497" spans="10:10" x14ac:dyDescent="0.2">
      <c r="J6497"/>
    </row>
    <row r="6498" spans="10:10" x14ac:dyDescent="0.2">
      <c r="J6498"/>
    </row>
    <row r="6499" spans="10:10" x14ac:dyDescent="0.2">
      <c r="J6499"/>
    </row>
    <row r="6500" spans="10:10" x14ac:dyDescent="0.2">
      <c r="J6500"/>
    </row>
    <row r="6501" spans="10:10" x14ac:dyDescent="0.2">
      <c r="J6501"/>
    </row>
    <row r="6502" spans="10:10" x14ac:dyDescent="0.2">
      <c r="J6502"/>
    </row>
    <row r="6503" spans="10:10" x14ac:dyDescent="0.2">
      <c r="J6503"/>
    </row>
    <row r="6504" spans="10:10" x14ac:dyDescent="0.2">
      <c r="J6504"/>
    </row>
    <row r="6505" spans="10:10" x14ac:dyDescent="0.2">
      <c r="J6505"/>
    </row>
    <row r="6506" spans="10:10" x14ac:dyDescent="0.2">
      <c r="J6506"/>
    </row>
    <row r="6507" spans="10:10" x14ac:dyDescent="0.2">
      <c r="J6507"/>
    </row>
    <row r="6508" spans="10:10" x14ac:dyDescent="0.2">
      <c r="J6508"/>
    </row>
    <row r="6509" spans="10:10" x14ac:dyDescent="0.2">
      <c r="J6509"/>
    </row>
    <row r="6510" spans="10:10" x14ac:dyDescent="0.2">
      <c r="J6510"/>
    </row>
    <row r="6511" spans="10:10" x14ac:dyDescent="0.2">
      <c r="J6511"/>
    </row>
    <row r="6512" spans="10:10" x14ac:dyDescent="0.2">
      <c r="J6512"/>
    </row>
    <row r="6513" spans="10:10" x14ac:dyDescent="0.2">
      <c r="J6513"/>
    </row>
    <row r="6514" spans="10:10" x14ac:dyDescent="0.2">
      <c r="J6514"/>
    </row>
    <row r="6515" spans="10:10" x14ac:dyDescent="0.2">
      <c r="J6515"/>
    </row>
    <row r="6516" spans="10:10" x14ac:dyDescent="0.2">
      <c r="J6516"/>
    </row>
    <row r="6517" spans="10:10" x14ac:dyDescent="0.2">
      <c r="J6517"/>
    </row>
    <row r="6518" spans="10:10" x14ac:dyDescent="0.2">
      <c r="J6518"/>
    </row>
    <row r="6519" spans="10:10" x14ac:dyDescent="0.2">
      <c r="J6519"/>
    </row>
    <row r="6520" spans="10:10" x14ac:dyDescent="0.2">
      <c r="J6520"/>
    </row>
    <row r="6521" spans="10:10" x14ac:dyDescent="0.2">
      <c r="J6521"/>
    </row>
    <row r="6522" spans="10:10" x14ac:dyDescent="0.2">
      <c r="J6522"/>
    </row>
    <row r="6523" spans="10:10" x14ac:dyDescent="0.2">
      <c r="J6523"/>
    </row>
    <row r="6524" spans="10:10" x14ac:dyDescent="0.2">
      <c r="J6524"/>
    </row>
    <row r="6525" spans="10:10" x14ac:dyDescent="0.2">
      <c r="J6525"/>
    </row>
    <row r="6526" spans="10:10" x14ac:dyDescent="0.2">
      <c r="J6526"/>
    </row>
    <row r="6527" spans="10:10" x14ac:dyDescent="0.2">
      <c r="J6527"/>
    </row>
    <row r="6528" spans="10:10" x14ac:dyDescent="0.2">
      <c r="J6528"/>
    </row>
    <row r="6529" spans="10:10" x14ac:dyDescent="0.2">
      <c r="J6529"/>
    </row>
    <row r="6530" spans="10:10" x14ac:dyDescent="0.2">
      <c r="J6530"/>
    </row>
    <row r="6531" spans="10:10" x14ac:dyDescent="0.2">
      <c r="J6531"/>
    </row>
    <row r="6532" spans="10:10" x14ac:dyDescent="0.2">
      <c r="J6532"/>
    </row>
    <row r="6533" spans="10:10" x14ac:dyDescent="0.2">
      <c r="J6533"/>
    </row>
    <row r="6534" spans="10:10" x14ac:dyDescent="0.2">
      <c r="J6534"/>
    </row>
    <row r="6535" spans="10:10" x14ac:dyDescent="0.2">
      <c r="J6535"/>
    </row>
    <row r="6536" spans="10:10" x14ac:dyDescent="0.2">
      <c r="J6536"/>
    </row>
    <row r="6537" spans="10:10" x14ac:dyDescent="0.2">
      <c r="J6537"/>
    </row>
    <row r="6538" spans="10:10" x14ac:dyDescent="0.2">
      <c r="J6538"/>
    </row>
    <row r="6539" spans="10:10" x14ac:dyDescent="0.2">
      <c r="J6539"/>
    </row>
    <row r="6540" spans="10:10" x14ac:dyDescent="0.2">
      <c r="J6540"/>
    </row>
    <row r="6541" spans="10:10" x14ac:dyDescent="0.2">
      <c r="J6541"/>
    </row>
    <row r="6542" spans="10:10" x14ac:dyDescent="0.2">
      <c r="J6542"/>
    </row>
    <row r="6543" spans="10:10" x14ac:dyDescent="0.2">
      <c r="J6543"/>
    </row>
    <row r="6544" spans="10:10" x14ac:dyDescent="0.2">
      <c r="J6544"/>
    </row>
    <row r="6545" spans="10:10" x14ac:dyDescent="0.2">
      <c r="J6545"/>
    </row>
    <row r="6546" spans="10:10" x14ac:dyDescent="0.2">
      <c r="J6546"/>
    </row>
    <row r="6547" spans="10:10" x14ac:dyDescent="0.2">
      <c r="J6547"/>
    </row>
    <row r="6548" spans="10:10" x14ac:dyDescent="0.2">
      <c r="J6548"/>
    </row>
    <row r="6549" spans="10:10" x14ac:dyDescent="0.2">
      <c r="J6549"/>
    </row>
    <row r="6550" spans="10:10" x14ac:dyDescent="0.2">
      <c r="J6550"/>
    </row>
    <row r="6551" spans="10:10" x14ac:dyDescent="0.2">
      <c r="J6551"/>
    </row>
    <row r="6552" spans="10:10" x14ac:dyDescent="0.2">
      <c r="J6552"/>
    </row>
    <row r="6553" spans="10:10" x14ac:dyDescent="0.2">
      <c r="J6553"/>
    </row>
    <row r="6554" spans="10:10" x14ac:dyDescent="0.2">
      <c r="J6554"/>
    </row>
    <row r="6555" spans="10:10" x14ac:dyDescent="0.2">
      <c r="J6555"/>
    </row>
    <row r="6556" spans="10:10" x14ac:dyDescent="0.2">
      <c r="J6556"/>
    </row>
    <row r="6557" spans="10:10" x14ac:dyDescent="0.2">
      <c r="J6557"/>
    </row>
    <row r="6558" spans="10:10" x14ac:dyDescent="0.2">
      <c r="J6558"/>
    </row>
    <row r="6559" spans="10:10" x14ac:dyDescent="0.2">
      <c r="J6559"/>
    </row>
    <row r="6560" spans="10:10" x14ac:dyDescent="0.2">
      <c r="J6560"/>
    </row>
    <row r="6561" spans="10:10" x14ac:dyDescent="0.2">
      <c r="J6561"/>
    </row>
    <row r="6562" spans="10:10" x14ac:dyDescent="0.2">
      <c r="J6562"/>
    </row>
    <row r="6563" spans="10:10" x14ac:dyDescent="0.2">
      <c r="J6563"/>
    </row>
    <row r="6564" spans="10:10" x14ac:dyDescent="0.2">
      <c r="J6564"/>
    </row>
    <row r="6565" spans="10:10" x14ac:dyDescent="0.2">
      <c r="J6565"/>
    </row>
    <row r="6566" spans="10:10" x14ac:dyDescent="0.2">
      <c r="J6566"/>
    </row>
    <row r="6567" spans="10:10" x14ac:dyDescent="0.2">
      <c r="J6567"/>
    </row>
    <row r="6568" spans="10:10" x14ac:dyDescent="0.2">
      <c r="J6568"/>
    </row>
    <row r="6569" spans="10:10" x14ac:dyDescent="0.2">
      <c r="J6569"/>
    </row>
    <row r="6570" spans="10:10" x14ac:dyDescent="0.2">
      <c r="J6570"/>
    </row>
    <row r="6571" spans="10:10" x14ac:dyDescent="0.2">
      <c r="J6571"/>
    </row>
    <row r="6572" spans="10:10" x14ac:dyDescent="0.2">
      <c r="J6572"/>
    </row>
    <row r="6573" spans="10:10" x14ac:dyDescent="0.2">
      <c r="J6573"/>
    </row>
    <row r="6574" spans="10:10" x14ac:dyDescent="0.2">
      <c r="J6574"/>
    </row>
    <row r="6575" spans="10:10" x14ac:dyDescent="0.2">
      <c r="J6575"/>
    </row>
    <row r="6576" spans="10:10" x14ac:dyDescent="0.2">
      <c r="J6576"/>
    </row>
    <row r="6577" spans="10:10" x14ac:dyDescent="0.2">
      <c r="J6577"/>
    </row>
    <row r="6578" spans="10:10" x14ac:dyDescent="0.2">
      <c r="J6578"/>
    </row>
    <row r="6579" spans="10:10" x14ac:dyDescent="0.2">
      <c r="J6579"/>
    </row>
    <row r="6580" spans="10:10" x14ac:dyDescent="0.2">
      <c r="J6580"/>
    </row>
    <row r="6581" spans="10:10" x14ac:dyDescent="0.2">
      <c r="J6581"/>
    </row>
    <row r="6582" spans="10:10" x14ac:dyDescent="0.2">
      <c r="J6582"/>
    </row>
    <row r="6583" spans="10:10" x14ac:dyDescent="0.2">
      <c r="J6583"/>
    </row>
    <row r="6584" spans="10:10" x14ac:dyDescent="0.2">
      <c r="J6584"/>
    </row>
    <row r="6585" spans="10:10" x14ac:dyDescent="0.2">
      <c r="J6585"/>
    </row>
    <row r="6586" spans="10:10" x14ac:dyDescent="0.2">
      <c r="J6586"/>
    </row>
    <row r="6587" spans="10:10" x14ac:dyDescent="0.2">
      <c r="J6587"/>
    </row>
    <row r="6588" spans="10:10" x14ac:dyDescent="0.2">
      <c r="J6588"/>
    </row>
    <row r="6589" spans="10:10" x14ac:dyDescent="0.2">
      <c r="J6589"/>
    </row>
    <row r="6590" spans="10:10" x14ac:dyDescent="0.2">
      <c r="J6590"/>
    </row>
    <row r="6591" spans="10:10" x14ac:dyDescent="0.2">
      <c r="J6591"/>
    </row>
    <row r="6592" spans="10:10" x14ac:dyDescent="0.2">
      <c r="J6592"/>
    </row>
    <row r="6593" spans="10:10" x14ac:dyDescent="0.2">
      <c r="J6593"/>
    </row>
    <row r="6594" spans="10:10" x14ac:dyDescent="0.2">
      <c r="J6594"/>
    </row>
    <row r="6595" spans="10:10" x14ac:dyDescent="0.2">
      <c r="J6595"/>
    </row>
    <row r="6596" spans="10:10" x14ac:dyDescent="0.2">
      <c r="J6596"/>
    </row>
    <row r="6597" spans="10:10" x14ac:dyDescent="0.2">
      <c r="J6597"/>
    </row>
    <row r="6598" spans="10:10" x14ac:dyDescent="0.2">
      <c r="J6598"/>
    </row>
    <row r="6599" spans="10:10" x14ac:dyDescent="0.2">
      <c r="J6599"/>
    </row>
    <row r="6600" spans="10:10" x14ac:dyDescent="0.2">
      <c r="J6600"/>
    </row>
    <row r="6601" spans="10:10" x14ac:dyDescent="0.2">
      <c r="J6601"/>
    </row>
    <row r="6602" spans="10:10" x14ac:dyDescent="0.2">
      <c r="J6602"/>
    </row>
    <row r="6603" spans="10:10" x14ac:dyDescent="0.2">
      <c r="J6603"/>
    </row>
    <row r="6604" spans="10:10" x14ac:dyDescent="0.2">
      <c r="J6604"/>
    </row>
    <row r="6605" spans="10:10" x14ac:dyDescent="0.2">
      <c r="J6605"/>
    </row>
    <row r="6606" spans="10:10" x14ac:dyDescent="0.2">
      <c r="J6606"/>
    </row>
    <row r="6607" spans="10:10" x14ac:dyDescent="0.2">
      <c r="J6607"/>
    </row>
    <row r="6608" spans="10:10" x14ac:dyDescent="0.2">
      <c r="J6608"/>
    </row>
    <row r="6609" spans="10:10" x14ac:dyDescent="0.2">
      <c r="J6609"/>
    </row>
    <row r="6610" spans="10:10" x14ac:dyDescent="0.2">
      <c r="J6610"/>
    </row>
    <row r="6611" spans="10:10" x14ac:dyDescent="0.2">
      <c r="J6611"/>
    </row>
    <row r="6612" spans="10:10" x14ac:dyDescent="0.2">
      <c r="J6612"/>
    </row>
    <row r="6613" spans="10:10" x14ac:dyDescent="0.2">
      <c r="J6613"/>
    </row>
    <row r="6614" spans="10:10" x14ac:dyDescent="0.2">
      <c r="J6614"/>
    </row>
    <row r="6615" spans="10:10" x14ac:dyDescent="0.2">
      <c r="J6615"/>
    </row>
    <row r="6616" spans="10:10" x14ac:dyDescent="0.2">
      <c r="J6616"/>
    </row>
    <row r="6617" spans="10:10" x14ac:dyDescent="0.2">
      <c r="J6617"/>
    </row>
    <row r="6618" spans="10:10" x14ac:dyDescent="0.2">
      <c r="J6618"/>
    </row>
    <row r="6619" spans="10:10" x14ac:dyDescent="0.2">
      <c r="J6619"/>
    </row>
    <row r="6620" spans="10:10" x14ac:dyDescent="0.2">
      <c r="J6620"/>
    </row>
    <row r="6621" spans="10:10" x14ac:dyDescent="0.2">
      <c r="J6621"/>
    </row>
    <row r="6622" spans="10:10" x14ac:dyDescent="0.2">
      <c r="J6622"/>
    </row>
    <row r="6623" spans="10:10" x14ac:dyDescent="0.2">
      <c r="J6623"/>
    </row>
    <row r="6624" spans="10:10" x14ac:dyDescent="0.2">
      <c r="J6624"/>
    </row>
    <row r="6625" spans="10:10" x14ac:dyDescent="0.2">
      <c r="J6625"/>
    </row>
    <row r="6626" spans="10:10" x14ac:dyDescent="0.2">
      <c r="J6626"/>
    </row>
    <row r="6627" spans="10:10" x14ac:dyDescent="0.2">
      <c r="J6627"/>
    </row>
    <row r="6628" spans="10:10" x14ac:dyDescent="0.2">
      <c r="J6628"/>
    </row>
    <row r="6629" spans="10:10" x14ac:dyDescent="0.2">
      <c r="J6629"/>
    </row>
    <row r="6630" spans="10:10" x14ac:dyDescent="0.2">
      <c r="J6630"/>
    </row>
    <row r="6631" spans="10:10" x14ac:dyDescent="0.2">
      <c r="J6631"/>
    </row>
    <row r="6632" spans="10:10" x14ac:dyDescent="0.2">
      <c r="J6632"/>
    </row>
    <row r="6633" spans="10:10" x14ac:dyDescent="0.2">
      <c r="J6633"/>
    </row>
    <row r="6634" spans="10:10" x14ac:dyDescent="0.2">
      <c r="J6634"/>
    </row>
    <row r="6635" spans="10:10" x14ac:dyDescent="0.2">
      <c r="J6635"/>
    </row>
    <row r="6636" spans="10:10" x14ac:dyDescent="0.2">
      <c r="J6636"/>
    </row>
    <row r="6637" spans="10:10" x14ac:dyDescent="0.2">
      <c r="J6637"/>
    </row>
    <row r="6638" spans="10:10" x14ac:dyDescent="0.2">
      <c r="J6638"/>
    </row>
    <row r="6639" spans="10:10" x14ac:dyDescent="0.2">
      <c r="J6639"/>
    </row>
    <row r="6640" spans="10:10" x14ac:dyDescent="0.2">
      <c r="J6640"/>
    </row>
    <row r="6641" spans="10:10" x14ac:dyDescent="0.2">
      <c r="J6641"/>
    </row>
    <row r="6642" spans="10:10" x14ac:dyDescent="0.2">
      <c r="J6642"/>
    </row>
    <row r="6643" spans="10:10" x14ac:dyDescent="0.2">
      <c r="J6643"/>
    </row>
    <row r="6644" spans="10:10" x14ac:dyDescent="0.2">
      <c r="J6644"/>
    </row>
    <row r="6645" spans="10:10" x14ac:dyDescent="0.2">
      <c r="J6645"/>
    </row>
    <row r="6646" spans="10:10" x14ac:dyDescent="0.2">
      <c r="J6646"/>
    </row>
    <row r="6647" spans="10:10" x14ac:dyDescent="0.2">
      <c r="J6647"/>
    </row>
    <row r="6648" spans="10:10" x14ac:dyDescent="0.2">
      <c r="J6648"/>
    </row>
    <row r="6649" spans="10:10" x14ac:dyDescent="0.2">
      <c r="J6649"/>
    </row>
    <row r="6650" spans="10:10" x14ac:dyDescent="0.2">
      <c r="J6650"/>
    </row>
    <row r="6651" spans="10:10" x14ac:dyDescent="0.2">
      <c r="J6651"/>
    </row>
    <row r="6652" spans="10:10" x14ac:dyDescent="0.2">
      <c r="J6652"/>
    </row>
    <row r="6653" spans="10:10" x14ac:dyDescent="0.2">
      <c r="J6653"/>
    </row>
    <row r="6654" spans="10:10" x14ac:dyDescent="0.2">
      <c r="J6654"/>
    </row>
    <row r="6655" spans="10:10" x14ac:dyDescent="0.2">
      <c r="J6655"/>
    </row>
    <row r="6656" spans="10:10" x14ac:dyDescent="0.2">
      <c r="J6656"/>
    </row>
    <row r="6657" spans="10:10" x14ac:dyDescent="0.2">
      <c r="J6657"/>
    </row>
    <row r="6658" spans="10:10" x14ac:dyDescent="0.2">
      <c r="J6658"/>
    </row>
    <row r="6659" spans="10:10" x14ac:dyDescent="0.2">
      <c r="J6659"/>
    </row>
    <row r="6660" spans="10:10" x14ac:dyDescent="0.2">
      <c r="J6660"/>
    </row>
    <row r="6661" spans="10:10" x14ac:dyDescent="0.2">
      <c r="J6661"/>
    </row>
    <row r="6662" spans="10:10" x14ac:dyDescent="0.2">
      <c r="J6662"/>
    </row>
    <row r="6663" spans="10:10" x14ac:dyDescent="0.2">
      <c r="J6663"/>
    </row>
    <row r="6664" spans="10:10" x14ac:dyDescent="0.2">
      <c r="J6664"/>
    </row>
    <row r="6665" spans="10:10" x14ac:dyDescent="0.2">
      <c r="J6665"/>
    </row>
    <row r="6666" spans="10:10" x14ac:dyDescent="0.2">
      <c r="J6666"/>
    </row>
    <row r="6667" spans="10:10" x14ac:dyDescent="0.2">
      <c r="J6667"/>
    </row>
    <row r="6668" spans="10:10" x14ac:dyDescent="0.2">
      <c r="J6668"/>
    </row>
    <row r="6669" spans="10:10" x14ac:dyDescent="0.2">
      <c r="J6669"/>
    </row>
    <row r="6670" spans="10:10" x14ac:dyDescent="0.2">
      <c r="J6670"/>
    </row>
    <row r="6671" spans="10:10" x14ac:dyDescent="0.2">
      <c r="J6671"/>
    </row>
    <row r="6672" spans="10:10" x14ac:dyDescent="0.2">
      <c r="J6672"/>
    </row>
    <row r="6673" spans="10:10" x14ac:dyDescent="0.2">
      <c r="J6673"/>
    </row>
    <row r="6674" spans="10:10" x14ac:dyDescent="0.2">
      <c r="J6674"/>
    </row>
    <row r="6675" spans="10:10" x14ac:dyDescent="0.2">
      <c r="J6675"/>
    </row>
    <row r="6676" spans="10:10" x14ac:dyDescent="0.2">
      <c r="J6676"/>
    </row>
    <row r="6677" spans="10:10" x14ac:dyDescent="0.2">
      <c r="J6677"/>
    </row>
    <row r="6678" spans="10:10" x14ac:dyDescent="0.2">
      <c r="J6678"/>
    </row>
    <row r="6679" spans="10:10" x14ac:dyDescent="0.2">
      <c r="J6679"/>
    </row>
    <row r="6680" spans="10:10" x14ac:dyDescent="0.2">
      <c r="J6680"/>
    </row>
    <row r="6681" spans="10:10" x14ac:dyDescent="0.2">
      <c r="J6681"/>
    </row>
    <row r="6682" spans="10:10" x14ac:dyDescent="0.2">
      <c r="J6682"/>
    </row>
    <row r="6683" spans="10:10" x14ac:dyDescent="0.2">
      <c r="J6683"/>
    </row>
    <row r="6684" spans="10:10" x14ac:dyDescent="0.2">
      <c r="J6684"/>
    </row>
    <row r="6685" spans="10:10" x14ac:dyDescent="0.2">
      <c r="J6685"/>
    </row>
    <row r="6686" spans="10:10" x14ac:dyDescent="0.2">
      <c r="J6686"/>
    </row>
    <row r="6687" spans="10:10" x14ac:dyDescent="0.2">
      <c r="J6687"/>
    </row>
    <row r="6688" spans="10:10" x14ac:dyDescent="0.2">
      <c r="J6688"/>
    </row>
    <row r="6689" spans="10:10" x14ac:dyDescent="0.2">
      <c r="J6689"/>
    </row>
    <row r="6690" spans="10:10" x14ac:dyDescent="0.2">
      <c r="J6690"/>
    </row>
    <row r="6691" spans="10:10" x14ac:dyDescent="0.2">
      <c r="J6691"/>
    </row>
    <row r="6692" spans="10:10" x14ac:dyDescent="0.2">
      <c r="J6692"/>
    </row>
    <row r="6693" spans="10:10" x14ac:dyDescent="0.2">
      <c r="J6693"/>
    </row>
    <row r="6694" spans="10:10" x14ac:dyDescent="0.2">
      <c r="J6694"/>
    </row>
    <row r="6695" spans="10:10" x14ac:dyDescent="0.2">
      <c r="J6695"/>
    </row>
    <row r="6696" spans="10:10" x14ac:dyDescent="0.2">
      <c r="J6696"/>
    </row>
    <row r="6697" spans="10:10" x14ac:dyDescent="0.2">
      <c r="J6697"/>
    </row>
    <row r="6698" spans="10:10" x14ac:dyDescent="0.2">
      <c r="J6698"/>
    </row>
    <row r="6699" spans="10:10" x14ac:dyDescent="0.2">
      <c r="J6699"/>
    </row>
    <row r="6700" spans="10:10" x14ac:dyDescent="0.2">
      <c r="J6700"/>
    </row>
    <row r="6701" spans="10:10" x14ac:dyDescent="0.2">
      <c r="J6701"/>
    </row>
    <row r="6702" spans="10:10" x14ac:dyDescent="0.2">
      <c r="J6702"/>
    </row>
    <row r="6703" spans="10:10" x14ac:dyDescent="0.2">
      <c r="J6703"/>
    </row>
    <row r="6704" spans="10:10" x14ac:dyDescent="0.2">
      <c r="J6704"/>
    </row>
    <row r="6705" spans="10:10" x14ac:dyDescent="0.2">
      <c r="J6705"/>
    </row>
    <row r="6706" spans="10:10" x14ac:dyDescent="0.2">
      <c r="J6706"/>
    </row>
    <row r="6707" spans="10:10" x14ac:dyDescent="0.2">
      <c r="J6707"/>
    </row>
    <row r="6708" spans="10:10" x14ac:dyDescent="0.2">
      <c r="J6708"/>
    </row>
    <row r="6709" spans="10:10" x14ac:dyDescent="0.2">
      <c r="J6709"/>
    </row>
    <row r="6710" spans="10:10" x14ac:dyDescent="0.2">
      <c r="J6710"/>
    </row>
    <row r="6711" spans="10:10" x14ac:dyDescent="0.2">
      <c r="J6711"/>
    </row>
    <row r="6712" spans="10:10" x14ac:dyDescent="0.2">
      <c r="J6712"/>
    </row>
    <row r="6713" spans="10:10" x14ac:dyDescent="0.2">
      <c r="J6713"/>
    </row>
    <row r="6714" spans="10:10" x14ac:dyDescent="0.2">
      <c r="J6714"/>
    </row>
    <row r="6715" spans="10:10" x14ac:dyDescent="0.2">
      <c r="J6715"/>
    </row>
    <row r="6716" spans="10:10" x14ac:dyDescent="0.2">
      <c r="J6716"/>
    </row>
    <row r="6717" spans="10:10" x14ac:dyDescent="0.2">
      <c r="J6717"/>
    </row>
    <row r="6718" spans="10:10" x14ac:dyDescent="0.2">
      <c r="J6718"/>
    </row>
    <row r="6719" spans="10:10" x14ac:dyDescent="0.2">
      <c r="J6719"/>
    </row>
    <row r="6720" spans="10:10" x14ac:dyDescent="0.2">
      <c r="J6720"/>
    </row>
    <row r="6721" spans="10:10" x14ac:dyDescent="0.2">
      <c r="J6721"/>
    </row>
    <row r="6722" spans="10:10" x14ac:dyDescent="0.2">
      <c r="J6722"/>
    </row>
    <row r="6723" spans="10:10" x14ac:dyDescent="0.2">
      <c r="J6723"/>
    </row>
    <row r="6724" spans="10:10" x14ac:dyDescent="0.2">
      <c r="J6724"/>
    </row>
    <row r="6725" spans="10:10" x14ac:dyDescent="0.2">
      <c r="J6725"/>
    </row>
    <row r="6726" spans="10:10" x14ac:dyDescent="0.2">
      <c r="J6726"/>
    </row>
    <row r="6727" spans="10:10" x14ac:dyDescent="0.2">
      <c r="J6727"/>
    </row>
    <row r="6728" spans="10:10" x14ac:dyDescent="0.2">
      <c r="J6728"/>
    </row>
    <row r="6729" spans="10:10" x14ac:dyDescent="0.2">
      <c r="J6729"/>
    </row>
    <row r="6730" spans="10:10" x14ac:dyDescent="0.2">
      <c r="J6730"/>
    </row>
    <row r="6731" spans="10:10" x14ac:dyDescent="0.2">
      <c r="J6731"/>
    </row>
    <row r="6732" spans="10:10" x14ac:dyDescent="0.2">
      <c r="J6732"/>
    </row>
    <row r="6733" spans="10:10" x14ac:dyDescent="0.2">
      <c r="J6733"/>
    </row>
    <row r="6734" spans="10:10" x14ac:dyDescent="0.2">
      <c r="J6734"/>
    </row>
    <row r="6735" spans="10:10" x14ac:dyDescent="0.2">
      <c r="J6735"/>
    </row>
    <row r="6736" spans="10:10" x14ac:dyDescent="0.2">
      <c r="J6736"/>
    </row>
    <row r="6737" spans="10:10" x14ac:dyDescent="0.2">
      <c r="J6737"/>
    </row>
    <row r="6738" spans="10:10" x14ac:dyDescent="0.2">
      <c r="J6738"/>
    </row>
    <row r="6739" spans="10:10" x14ac:dyDescent="0.2">
      <c r="J6739"/>
    </row>
    <row r="6740" spans="10:10" x14ac:dyDescent="0.2">
      <c r="J6740"/>
    </row>
    <row r="6741" spans="10:10" x14ac:dyDescent="0.2">
      <c r="J6741"/>
    </row>
    <row r="6742" spans="10:10" x14ac:dyDescent="0.2">
      <c r="J6742"/>
    </row>
    <row r="6743" spans="10:10" x14ac:dyDescent="0.2">
      <c r="J6743"/>
    </row>
    <row r="6744" spans="10:10" x14ac:dyDescent="0.2">
      <c r="J6744"/>
    </row>
    <row r="6745" spans="10:10" x14ac:dyDescent="0.2">
      <c r="J6745"/>
    </row>
    <row r="6746" spans="10:10" x14ac:dyDescent="0.2">
      <c r="J6746"/>
    </row>
    <row r="6747" spans="10:10" x14ac:dyDescent="0.2">
      <c r="J6747"/>
    </row>
    <row r="6748" spans="10:10" x14ac:dyDescent="0.2">
      <c r="J6748"/>
    </row>
    <row r="6749" spans="10:10" x14ac:dyDescent="0.2">
      <c r="J6749"/>
    </row>
    <row r="6750" spans="10:10" x14ac:dyDescent="0.2">
      <c r="J6750"/>
    </row>
    <row r="6751" spans="10:10" x14ac:dyDescent="0.2">
      <c r="J6751"/>
    </row>
    <row r="6752" spans="10:10" x14ac:dyDescent="0.2">
      <c r="J6752"/>
    </row>
    <row r="6753" spans="10:10" x14ac:dyDescent="0.2">
      <c r="J6753"/>
    </row>
    <row r="6754" spans="10:10" x14ac:dyDescent="0.2">
      <c r="J6754"/>
    </row>
    <row r="6755" spans="10:10" x14ac:dyDescent="0.2">
      <c r="J6755"/>
    </row>
    <row r="6756" spans="10:10" x14ac:dyDescent="0.2">
      <c r="J6756"/>
    </row>
    <row r="6757" spans="10:10" x14ac:dyDescent="0.2">
      <c r="J6757"/>
    </row>
    <row r="6758" spans="10:10" x14ac:dyDescent="0.2">
      <c r="J6758"/>
    </row>
    <row r="6759" spans="10:10" x14ac:dyDescent="0.2">
      <c r="J6759"/>
    </row>
    <row r="6760" spans="10:10" x14ac:dyDescent="0.2">
      <c r="J6760"/>
    </row>
    <row r="6761" spans="10:10" x14ac:dyDescent="0.2">
      <c r="J6761"/>
    </row>
    <row r="6762" spans="10:10" x14ac:dyDescent="0.2">
      <c r="J6762"/>
    </row>
    <row r="6763" spans="10:10" x14ac:dyDescent="0.2">
      <c r="J6763"/>
    </row>
    <row r="6764" spans="10:10" x14ac:dyDescent="0.2">
      <c r="J6764"/>
    </row>
    <row r="6765" spans="10:10" x14ac:dyDescent="0.2">
      <c r="J6765"/>
    </row>
    <row r="6766" spans="10:10" x14ac:dyDescent="0.2">
      <c r="J6766"/>
    </row>
    <row r="6767" spans="10:10" x14ac:dyDescent="0.2">
      <c r="J6767"/>
    </row>
    <row r="6768" spans="10:10" x14ac:dyDescent="0.2">
      <c r="J6768"/>
    </row>
    <row r="6769" spans="10:10" x14ac:dyDescent="0.2">
      <c r="J6769"/>
    </row>
    <row r="6770" spans="10:10" x14ac:dyDescent="0.2">
      <c r="J6770"/>
    </row>
    <row r="6771" spans="10:10" x14ac:dyDescent="0.2">
      <c r="J6771"/>
    </row>
    <row r="6772" spans="10:10" x14ac:dyDescent="0.2">
      <c r="J6772"/>
    </row>
    <row r="6773" spans="10:10" x14ac:dyDescent="0.2">
      <c r="J6773"/>
    </row>
    <row r="6774" spans="10:10" x14ac:dyDescent="0.2">
      <c r="J6774"/>
    </row>
    <row r="6775" spans="10:10" x14ac:dyDescent="0.2">
      <c r="J6775"/>
    </row>
    <row r="6776" spans="10:10" x14ac:dyDescent="0.2">
      <c r="J6776"/>
    </row>
    <row r="6777" spans="10:10" x14ac:dyDescent="0.2">
      <c r="J6777"/>
    </row>
    <row r="6778" spans="10:10" x14ac:dyDescent="0.2">
      <c r="J6778"/>
    </row>
    <row r="6779" spans="10:10" x14ac:dyDescent="0.2">
      <c r="J6779"/>
    </row>
    <row r="6780" spans="10:10" x14ac:dyDescent="0.2">
      <c r="J6780"/>
    </row>
    <row r="6781" spans="10:10" x14ac:dyDescent="0.2">
      <c r="J6781"/>
    </row>
    <row r="6782" spans="10:10" x14ac:dyDescent="0.2">
      <c r="J6782"/>
    </row>
    <row r="6783" spans="10:10" x14ac:dyDescent="0.2">
      <c r="J6783"/>
    </row>
    <row r="6784" spans="10:10" x14ac:dyDescent="0.2">
      <c r="J6784"/>
    </row>
    <row r="6785" spans="10:10" x14ac:dyDescent="0.2">
      <c r="J6785"/>
    </row>
    <row r="6786" spans="10:10" x14ac:dyDescent="0.2">
      <c r="J6786"/>
    </row>
    <row r="6787" spans="10:10" x14ac:dyDescent="0.2">
      <c r="J6787"/>
    </row>
    <row r="6788" spans="10:10" x14ac:dyDescent="0.2">
      <c r="J6788"/>
    </row>
    <row r="6789" spans="10:10" x14ac:dyDescent="0.2">
      <c r="J6789"/>
    </row>
    <row r="6790" spans="10:10" x14ac:dyDescent="0.2">
      <c r="J6790"/>
    </row>
    <row r="6791" spans="10:10" x14ac:dyDescent="0.2">
      <c r="J6791"/>
    </row>
    <row r="6792" spans="10:10" x14ac:dyDescent="0.2">
      <c r="J6792"/>
    </row>
    <row r="6793" spans="10:10" x14ac:dyDescent="0.2">
      <c r="J6793"/>
    </row>
    <row r="6794" spans="10:10" x14ac:dyDescent="0.2">
      <c r="J6794"/>
    </row>
    <row r="6795" spans="10:10" x14ac:dyDescent="0.2">
      <c r="J6795"/>
    </row>
    <row r="6796" spans="10:10" x14ac:dyDescent="0.2">
      <c r="J6796"/>
    </row>
    <row r="6797" spans="10:10" x14ac:dyDescent="0.2">
      <c r="J6797"/>
    </row>
    <row r="6798" spans="10:10" x14ac:dyDescent="0.2">
      <c r="J6798"/>
    </row>
    <row r="6799" spans="10:10" x14ac:dyDescent="0.2">
      <c r="J6799"/>
    </row>
    <row r="6800" spans="10:10" x14ac:dyDescent="0.2">
      <c r="J6800"/>
    </row>
    <row r="6801" spans="10:10" x14ac:dyDescent="0.2">
      <c r="J6801"/>
    </row>
    <row r="6802" spans="10:10" x14ac:dyDescent="0.2">
      <c r="J6802"/>
    </row>
    <row r="6803" spans="10:10" x14ac:dyDescent="0.2">
      <c r="J6803"/>
    </row>
    <row r="6804" spans="10:10" x14ac:dyDescent="0.2">
      <c r="J6804"/>
    </row>
    <row r="6805" spans="10:10" x14ac:dyDescent="0.2">
      <c r="J6805"/>
    </row>
    <row r="6806" spans="10:10" x14ac:dyDescent="0.2">
      <c r="J6806"/>
    </row>
    <row r="6807" spans="10:10" x14ac:dyDescent="0.2">
      <c r="J6807"/>
    </row>
    <row r="6808" spans="10:10" x14ac:dyDescent="0.2">
      <c r="J6808"/>
    </row>
    <row r="6809" spans="10:10" x14ac:dyDescent="0.2">
      <c r="J6809"/>
    </row>
    <row r="6810" spans="10:10" x14ac:dyDescent="0.2">
      <c r="J6810"/>
    </row>
    <row r="6811" spans="10:10" x14ac:dyDescent="0.2">
      <c r="J6811"/>
    </row>
    <row r="6812" spans="10:10" x14ac:dyDescent="0.2">
      <c r="J6812"/>
    </row>
    <row r="6813" spans="10:10" x14ac:dyDescent="0.2">
      <c r="J6813"/>
    </row>
    <row r="6814" spans="10:10" x14ac:dyDescent="0.2">
      <c r="J6814"/>
    </row>
    <row r="6815" spans="10:10" x14ac:dyDescent="0.2">
      <c r="J6815"/>
    </row>
    <row r="6816" spans="10:10" x14ac:dyDescent="0.2">
      <c r="J6816"/>
    </row>
    <row r="6817" spans="10:10" x14ac:dyDescent="0.2">
      <c r="J6817"/>
    </row>
    <row r="6818" spans="10:10" x14ac:dyDescent="0.2">
      <c r="J6818"/>
    </row>
    <row r="6819" spans="10:10" x14ac:dyDescent="0.2">
      <c r="J6819"/>
    </row>
    <row r="6820" spans="10:10" x14ac:dyDescent="0.2">
      <c r="J6820"/>
    </row>
    <row r="6821" spans="10:10" x14ac:dyDescent="0.2">
      <c r="J6821"/>
    </row>
    <row r="6822" spans="10:10" x14ac:dyDescent="0.2">
      <c r="J6822"/>
    </row>
    <row r="6823" spans="10:10" x14ac:dyDescent="0.2">
      <c r="J6823"/>
    </row>
    <row r="6824" spans="10:10" x14ac:dyDescent="0.2">
      <c r="J6824"/>
    </row>
    <row r="6825" spans="10:10" x14ac:dyDescent="0.2">
      <c r="J6825"/>
    </row>
    <row r="6826" spans="10:10" x14ac:dyDescent="0.2">
      <c r="J6826"/>
    </row>
    <row r="6827" spans="10:10" x14ac:dyDescent="0.2">
      <c r="J6827"/>
    </row>
    <row r="6828" spans="10:10" x14ac:dyDescent="0.2">
      <c r="J6828"/>
    </row>
    <row r="6829" spans="10:10" x14ac:dyDescent="0.2">
      <c r="J6829"/>
    </row>
    <row r="6830" spans="10:10" x14ac:dyDescent="0.2">
      <c r="J6830"/>
    </row>
    <row r="6831" spans="10:10" x14ac:dyDescent="0.2">
      <c r="J6831"/>
    </row>
    <row r="6832" spans="10:10" x14ac:dyDescent="0.2">
      <c r="J6832"/>
    </row>
    <row r="6833" spans="10:10" x14ac:dyDescent="0.2">
      <c r="J6833"/>
    </row>
    <row r="6834" spans="10:10" x14ac:dyDescent="0.2">
      <c r="J6834"/>
    </row>
    <row r="6835" spans="10:10" x14ac:dyDescent="0.2">
      <c r="J6835"/>
    </row>
    <row r="6836" spans="10:10" x14ac:dyDescent="0.2">
      <c r="J6836"/>
    </row>
    <row r="6837" spans="10:10" x14ac:dyDescent="0.2">
      <c r="J6837"/>
    </row>
    <row r="6838" spans="10:10" x14ac:dyDescent="0.2">
      <c r="J6838"/>
    </row>
    <row r="6839" spans="10:10" x14ac:dyDescent="0.2">
      <c r="J6839"/>
    </row>
    <row r="6840" spans="10:10" x14ac:dyDescent="0.2">
      <c r="J6840"/>
    </row>
    <row r="6841" spans="10:10" x14ac:dyDescent="0.2">
      <c r="J6841"/>
    </row>
    <row r="6842" spans="10:10" x14ac:dyDescent="0.2">
      <c r="J6842"/>
    </row>
    <row r="6843" spans="10:10" x14ac:dyDescent="0.2">
      <c r="J6843"/>
    </row>
    <row r="6844" spans="10:10" x14ac:dyDescent="0.2">
      <c r="J6844"/>
    </row>
    <row r="6845" spans="10:10" x14ac:dyDescent="0.2">
      <c r="J6845"/>
    </row>
    <row r="6846" spans="10:10" x14ac:dyDescent="0.2">
      <c r="J6846"/>
    </row>
    <row r="6847" spans="10:10" x14ac:dyDescent="0.2">
      <c r="J6847"/>
    </row>
    <row r="6848" spans="10:10" x14ac:dyDescent="0.2">
      <c r="J6848"/>
    </row>
    <row r="6849" spans="10:10" x14ac:dyDescent="0.2">
      <c r="J6849"/>
    </row>
    <row r="6850" spans="10:10" x14ac:dyDescent="0.2">
      <c r="J6850"/>
    </row>
    <row r="6851" spans="10:10" x14ac:dyDescent="0.2">
      <c r="J6851"/>
    </row>
    <row r="6852" spans="10:10" x14ac:dyDescent="0.2">
      <c r="J6852"/>
    </row>
    <row r="6853" spans="10:10" x14ac:dyDescent="0.2">
      <c r="J6853"/>
    </row>
    <row r="6854" spans="10:10" x14ac:dyDescent="0.2">
      <c r="J6854"/>
    </row>
    <row r="6855" spans="10:10" x14ac:dyDescent="0.2">
      <c r="J6855"/>
    </row>
    <row r="6856" spans="10:10" x14ac:dyDescent="0.2">
      <c r="J6856"/>
    </row>
    <row r="6857" spans="10:10" x14ac:dyDescent="0.2">
      <c r="J6857"/>
    </row>
    <row r="6858" spans="10:10" x14ac:dyDescent="0.2">
      <c r="J6858"/>
    </row>
    <row r="6859" spans="10:10" x14ac:dyDescent="0.2">
      <c r="J6859"/>
    </row>
    <row r="6860" spans="10:10" x14ac:dyDescent="0.2">
      <c r="J6860"/>
    </row>
    <row r="6861" spans="10:10" x14ac:dyDescent="0.2">
      <c r="J6861"/>
    </row>
    <row r="6862" spans="10:10" x14ac:dyDescent="0.2">
      <c r="J6862"/>
    </row>
    <row r="6863" spans="10:10" x14ac:dyDescent="0.2">
      <c r="J6863"/>
    </row>
    <row r="6864" spans="10:10" x14ac:dyDescent="0.2">
      <c r="J6864"/>
    </row>
    <row r="6865" spans="10:10" x14ac:dyDescent="0.2">
      <c r="J6865"/>
    </row>
    <row r="6866" spans="10:10" x14ac:dyDescent="0.2">
      <c r="J6866"/>
    </row>
    <row r="6867" spans="10:10" x14ac:dyDescent="0.2">
      <c r="J6867"/>
    </row>
    <row r="6868" spans="10:10" x14ac:dyDescent="0.2">
      <c r="J6868"/>
    </row>
    <row r="6869" spans="10:10" x14ac:dyDescent="0.2">
      <c r="J6869"/>
    </row>
    <row r="6870" spans="10:10" x14ac:dyDescent="0.2">
      <c r="J6870"/>
    </row>
    <row r="6871" spans="10:10" x14ac:dyDescent="0.2">
      <c r="J6871"/>
    </row>
    <row r="6872" spans="10:10" x14ac:dyDescent="0.2">
      <c r="J6872"/>
    </row>
    <row r="6873" spans="10:10" x14ac:dyDescent="0.2">
      <c r="J6873"/>
    </row>
    <row r="6874" spans="10:10" x14ac:dyDescent="0.2">
      <c r="J6874"/>
    </row>
    <row r="6875" spans="10:10" x14ac:dyDescent="0.2">
      <c r="J6875"/>
    </row>
    <row r="6876" spans="10:10" x14ac:dyDescent="0.2">
      <c r="J6876"/>
    </row>
    <row r="6877" spans="10:10" x14ac:dyDescent="0.2">
      <c r="J6877"/>
    </row>
    <row r="6878" spans="10:10" x14ac:dyDescent="0.2">
      <c r="J6878"/>
    </row>
    <row r="6879" spans="10:10" x14ac:dyDescent="0.2">
      <c r="J6879"/>
    </row>
    <row r="6880" spans="10:10" x14ac:dyDescent="0.2">
      <c r="J6880"/>
    </row>
    <row r="6881" spans="10:10" x14ac:dyDescent="0.2">
      <c r="J6881"/>
    </row>
    <row r="6882" spans="10:10" x14ac:dyDescent="0.2">
      <c r="J6882"/>
    </row>
    <row r="6883" spans="10:10" x14ac:dyDescent="0.2">
      <c r="J6883"/>
    </row>
    <row r="6884" spans="10:10" x14ac:dyDescent="0.2">
      <c r="J6884"/>
    </row>
    <row r="6885" spans="10:10" x14ac:dyDescent="0.2">
      <c r="J6885"/>
    </row>
    <row r="6886" spans="10:10" x14ac:dyDescent="0.2">
      <c r="J6886"/>
    </row>
    <row r="6887" spans="10:10" x14ac:dyDescent="0.2">
      <c r="J6887"/>
    </row>
    <row r="6888" spans="10:10" x14ac:dyDescent="0.2">
      <c r="J6888"/>
    </row>
    <row r="6889" spans="10:10" x14ac:dyDescent="0.2">
      <c r="J6889"/>
    </row>
    <row r="6890" spans="10:10" x14ac:dyDescent="0.2">
      <c r="J6890"/>
    </row>
    <row r="6891" spans="10:10" x14ac:dyDescent="0.2">
      <c r="J6891"/>
    </row>
    <row r="6892" spans="10:10" x14ac:dyDescent="0.2">
      <c r="J6892"/>
    </row>
    <row r="6893" spans="10:10" x14ac:dyDescent="0.2">
      <c r="J6893"/>
    </row>
    <row r="6894" spans="10:10" x14ac:dyDescent="0.2">
      <c r="J6894"/>
    </row>
    <row r="6895" spans="10:10" x14ac:dyDescent="0.2">
      <c r="J6895"/>
    </row>
    <row r="6896" spans="10:10" x14ac:dyDescent="0.2">
      <c r="J6896"/>
    </row>
    <row r="6897" spans="10:10" x14ac:dyDescent="0.2">
      <c r="J6897"/>
    </row>
    <row r="6898" spans="10:10" x14ac:dyDescent="0.2">
      <c r="J6898"/>
    </row>
    <row r="6899" spans="10:10" x14ac:dyDescent="0.2">
      <c r="J6899"/>
    </row>
    <row r="6900" spans="10:10" x14ac:dyDescent="0.2">
      <c r="J6900"/>
    </row>
    <row r="6901" spans="10:10" x14ac:dyDescent="0.2">
      <c r="J6901"/>
    </row>
    <row r="6902" spans="10:10" x14ac:dyDescent="0.2">
      <c r="J6902"/>
    </row>
    <row r="6903" spans="10:10" x14ac:dyDescent="0.2">
      <c r="J6903"/>
    </row>
    <row r="6904" spans="10:10" x14ac:dyDescent="0.2">
      <c r="J6904"/>
    </row>
    <row r="6905" spans="10:10" x14ac:dyDescent="0.2">
      <c r="J6905"/>
    </row>
    <row r="6906" spans="10:10" x14ac:dyDescent="0.2">
      <c r="J6906"/>
    </row>
    <row r="6907" spans="10:10" x14ac:dyDescent="0.2">
      <c r="J6907"/>
    </row>
    <row r="6908" spans="10:10" x14ac:dyDescent="0.2">
      <c r="J6908"/>
    </row>
    <row r="6909" spans="10:10" x14ac:dyDescent="0.2">
      <c r="J6909"/>
    </row>
    <row r="6910" spans="10:10" x14ac:dyDescent="0.2">
      <c r="J6910"/>
    </row>
    <row r="6911" spans="10:10" x14ac:dyDescent="0.2">
      <c r="J6911"/>
    </row>
    <row r="6912" spans="10:10" x14ac:dyDescent="0.2">
      <c r="J6912"/>
    </row>
    <row r="6913" spans="10:10" x14ac:dyDescent="0.2">
      <c r="J6913"/>
    </row>
    <row r="6914" spans="10:10" x14ac:dyDescent="0.2">
      <c r="J6914"/>
    </row>
    <row r="6915" spans="10:10" x14ac:dyDescent="0.2">
      <c r="J6915"/>
    </row>
    <row r="6916" spans="10:10" x14ac:dyDescent="0.2">
      <c r="J6916"/>
    </row>
    <row r="6917" spans="10:10" x14ac:dyDescent="0.2">
      <c r="J6917"/>
    </row>
    <row r="6918" spans="10:10" x14ac:dyDescent="0.2">
      <c r="J6918"/>
    </row>
    <row r="6919" spans="10:10" x14ac:dyDescent="0.2">
      <c r="J6919"/>
    </row>
    <row r="6920" spans="10:10" x14ac:dyDescent="0.2">
      <c r="J6920"/>
    </row>
    <row r="6921" spans="10:10" x14ac:dyDescent="0.2">
      <c r="J6921"/>
    </row>
    <row r="6922" spans="10:10" x14ac:dyDescent="0.2">
      <c r="J6922"/>
    </row>
    <row r="6923" spans="10:10" x14ac:dyDescent="0.2">
      <c r="J6923"/>
    </row>
    <row r="6924" spans="10:10" x14ac:dyDescent="0.2">
      <c r="J6924"/>
    </row>
    <row r="6925" spans="10:10" x14ac:dyDescent="0.2">
      <c r="J6925"/>
    </row>
    <row r="6926" spans="10:10" x14ac:dyDescent="0.2">
      <c r="J6926"/>
    </row>
    <row r="6927" spans="10:10" x14ac:dyDescent="0.2">
      <c r="J6927"/>
    </row>
    <row r="6928" spans="10:10" x14ac:dyDescent="0.2">
      <c r="J6928"/>
    </row>
    <row r="6929" spans="10:10" x14ac:dyDescent="0.2">
      <c r="J6929"/>
    </row>
    <row r="6930" spans="10:10" x14ac:dyDescent="0.2">
      <c r="J6930"/>
    </row>
    <row r="6931" spans="10:10" x14ac:dyDescent="0.2">
      <c r="J6931"/>
    </row>
    <row r="6932" spans="10:10" x14ac:dyDescent="0.2">
      <c r="J6932"/>
    </row>
    <row r="6933" spans="10:10" x14ac:dyDescent="0.2">
      <c r="J6933"/>
    </row>
    <row r="6934" spans="10:10" x14ac:dyDescent="0.2">
      <c r="J6934"/>
    </row>
    <row r="6935" spans="10:10" x14ac:dyDescent="0.2">
      <c r="J6935"/>
    </row>
    <row r="6936" spans="10:10" x14ac:dyDescent="0.2">
      <c r="J6936"/>
    </row>
    <row r="6937" spans="10:10" x14ac:dyDescent="0.2">
      <c r="J6937"/>
    </row>
    <row r="6938" spans="10:10" x14ac:dyDescent="0.2">
      <c r="J6938"/>
    </row>
    <row r="6939" spans="10:10" x14ac:dyDescent="0.2">
      <c r="J6939"/>
    </row>
    <row r="6940" spans="10:10" x14ac:dyDescent="0.2">
      <c r="J6940"/>
    </row>
    <row r="6941" spans="10:10" x14ac:dyDescent="0.2">
      <c r="J6941"/>
    </row>
    <row r="6942" spans="10:10" x14ac:dyDescent="0.2">
      <c r="J6942"/>
    </row>
    <row r="6943" spans="10:10" x14ac:dyDescent="0.2">
      <c r="J6943"/>
    </row>
    <row r="6944" spans="10:10" x14ac:dyDescent="0.2">
      <c r="J6944"/>
    </row>
    <row r="6945" spans="10:10" x14ac:dyDescent="0.2">
      <c r="J6945"/>
    </row>
    <row r="6946" spans="10:10" x14ac:dyDescent="0.2">
      <c r="J6946"/>
    </row>
    <row r="6947" spans="10:10" x14ac:dyDescent="0.2">
      <c r="J6947"/>
    </row>
    <row r="6948" spans="10:10" x14ac:dyDescent="0.2">
      <c r="J6948"/>
    </row>
    <row r="6949" spans="10:10" x14ac:dyDescent="0.2">
      <c r="J6949"/>
    </row>
    <row r="6950" spans="10:10" x14ac:dyDescent="0.2">
      <c r="J6950"/>
    </row>
    <row r="6951" spans="10:10" x14ac:dyDescent="0.2">
      <c r="J6951"/>
    </row>
    <row r="6952" spans="10:10" x14ac:dyDescent="0.2">
      <c r="J6952"/>
    </row>
    <row r="6953" spans="10:10" x14ac:dyDescent="0.2">
      <c r="J6953"/>
    </row>
    <row r="6954" spans="10:10" x14ac:dyDescent="0.2">
      <c r="J6954"/>
    </row>
    <row r="6955" spans="10:10" x14ac:dyDescent="0.2">
      <c r="J6955"/>
    </row>
    <row r="6956" spans="10:10" x14ac:dyDescent="0.2">
      <c r="J6956"/>
    </row>
    <row r="6957" spans="10:10" x14ac:dyDescent="0.2">
      <c r="J6957"/>
    </row>
    <row r="6958" spans="10:10" x14ac:dyDescent="0.2">
      <c r="J6958"/>
    </row>
    <row r="6959" spans="10:10" x14ac:dyDescent="0.2">
      <c r="J6959"/>
    </row>
    <row r="6960" spans="10:10" x14ac:dyDescent="0.2">
      <c r="J6960"/>
    </row>
    <row r="6961" spans="10:10" x14ac:dyDescent="0.2">
      <c r="J6961"/>
    </row>
    <row r="6962" spans="10:10" x14ac:dyDescent="0.2">
      <c r="J6962"/>
    </row>
    <row r="6963" spans="10:10" x14ac:dyDescent="0.2">
      <c r="J6963"/>
    </row>
    <row r="6964" spans="10:10" x14ac:dyDescent="0.2">
      <c r="J6964"/>
    </row>
    <row r="6965" spans="10:10" x14ac:dyDescent="0.2">
      <c r="J6965"/>
    </row>
    <row r="6966" spans="10:10" x14ac:dyDescent="0.2">
      <c r="J6966"/>
    </row>
    <row r="6967" spans="10:10" x14ac:dyDescent="0.2">
      <c r="J6967"/>
    </row>
    <row r="6968" spans="10:10" x14ac:dyDescent="0.2">
      <c r="J6968"/>
    </row>
    <row r="6969" spans="10:10" x14ac:dyDescent="0.2">
      <c r="J6969"/>
    </row>
    <row r="6970" spans="10:10" x14ac:dyDescent="0.2">
      <c r="J6970"/>
    </row>
    <row r="6971" spans="10:10" x14ac:dyDescent="0.2">
      <c r="J6971"/>
    </row>
    <row r="6972" spans="10:10" x14ac:dyDescent="0.2">
      <c r="J6972"/>
    </row>
    <row r="6973" spans="10:10" x14ac:dyDescent="0.2">
      <c r="J6973"/>
    </row>
    <row r="6974" spans="10:10" x14ac:dyDescent="0.2">
      <c r="J6974"/>
    </row>
    <row r="6975" spans="10:10" x14ac:dyDescent="0.2">
      <c r="J6975"/>
    </row>
    <row r="6976" spans="10:10" x14ac:dyDescent="0.2">
      <c r="J6976"/>
    </row>
    <row r="6977" spans="10:10" x14ac:dyDescent="0.2">
      <c r="J6977"/>
    </row>
    <row r="6978" spans="10:10" x14ac:dyDescent="0.2">
      <c r="J6978"/>
    </row>
    <row r="6979" spans="10:10" x14ac:dyDescent="0.2">
      <c r="J6979"/>
    </row>
    <row r="6980" spans="10:10" x14ac:dyDescent="0.2">
      <c r="J6980"/>
    </row>
    <row r="6981" spans="10:10" x14ac:dyDescent="0.2">
      <c r="J6981"/>
    </row>
    <row r="6982" spans="10:10" x14ac:dyDescent="0.2">
      <c r="J6982"/>
    </row>
    <row r="6983" spans="10:10" x14ac:dyDescent="0.2">
      <c r="J6983"/>
    </row>
    <row r="6984" spans="10:10" x14ac:dyDescent="0.2">
      <c r="J6984"/>
    </row>
    <row r="6985" spans="10:10" x14ac:dyDescent="0.2">
      <c r="J6985"/>
    </row>
    <row r="6986" spans="10:10" x14ac:dyDescent="0.2">
      <c r="J6986"/>
    </row>
    <row r="6987" spans="10:10" x14ac:dyDescent="0.2">
      <c r="J6987"/>
    </row>
    <row r="6988" spans="10:10" x14ac:dyDescent="0.2">
      <c r="J6988"/>
    </row>
    <row r="6989" spans="10:10" x14ac:dyDescent="0.2">
      <c r="J6989"/>
    </row>
    <row r="6990" spans="10:10" x14ac:dyDescent="0.2">
      <c r="J6990"/>
    </row>
    <row r="6991" spans="10:10" x14ac:dyDescent="0.2">
      <c r="J6991"/>
    </row>
    <row r="6992" spans="10:10" x14ac:dyDescent="0.2">
      <c r="J6992"/>
    </row>
    <row r="6993" spans="10:10" x14ac:dyDescent="0.2">
      <c r="J6993"/>
    </row>
    <row r="6994" spans="10:10" x14ac:dyDescent="0.2">
      <c r="J6994"/>
    </row>
    <row r="6995" spans="10:10" x14ac:dyDescent="0.2">
      <c r="J6995"/>
    </row>
    <row r="6996" spans="10:10" x14ac:dyDescent="0.2">
      <c r="J6996"/>
    </row>
    <row r="6997" spans="10:10" x14ac:dyDescent="0.2">
      <c r="J6997"/>
    </row>
    <row r="6998" spans="10:10" x14ac:dyDescent="0.2">
      <c r="J6998"/>
    </row>
    <row r="6999" spans="10:10" x14ac:dyDescent="0.2">
      <c r="J6999"/>
    </row>
    <row r="7000" spans="10:10" x14ac:dyDescent="0.2">
      <c r="J7000"/>
    </row>
    <row r="7001" spans="10:10" x14ac:dyDescent="0.2">
      <c r="J7001"/>
    </row>
    <row r="7002" spans="10:10" x14ac:dyDescent="0.2">
      <c r="J7002"/>
    </row>
    <row r="7003" spans="10:10" x14ac:dyDescent="0.2">
      <c r="J7003"/>
    </row>
    <row r="7004" spans="10:10" x14ac:dyDescent="0.2">
      <c r="J7004"/>
    </row>
    <row r="7005" spans="10:10" x14ac:dyDescent="0.2">
      <c r="J7005"/>
    </row>
    <row r="7006" spans="10:10" x14ac:dyDescent="0.2">
      <c r="J7006"/>
    </row>
    <row r="7007" spans="10:10" x14ac:dyDescent="0.2">
      <c r="J7007"/>
    </row>
    <row r="7008" spans="10:10" x14ac:dyDescent="0.2">
      <c r="J7008"/>
    </row>
    <row r="7009" spans="10:10" x14ac:dyDescent="0.2">
      <c r="J7009"/>
    </row>
    <row r="7010" spans="10:10" x14ac:dyDescent="0.2">
      <c r="J7010"/>
    </row>
    <row r="7011" spans="10:10" x14ac:dyDescent="0.2">
      <c r="J7011"/>
    </row>
    <row r="7012" spans="10:10" x14ac:dyDescent="0.2">
      <c r="J7012"/>
    </row>
    <row r="7013" spans="10:10" x14ac:dyDescent="0.2">
      <c r="J7013"/>
    </row>
    <row r="7014" spans="10:10" x14ac:dyDescent="0.2">
      <c r="J7014"/>
    </row>
    <row r="7015" spans="10:10" x14ac:dyDescent="0.2">
      <c r="J7015"/>
    </row>
    <row r="7016" spans="10:10" x14ac:dyDescent="0.2">
      <c r="J7016"/>
    </row>
    <row r="7017" spans="10:10" x14ac:dyDescent="0.2">
      <c r="J7017"/>
    </row>
    <row r="7018" spans="10:10" x14ac:dyDescent="0.2">
      <c r="J7018"/>
    </row>
    <row r="7019" spans="10:10" x14ac:dyDescent="0.2">
      <c r="J7019"/>
    </row>
    <row r="7020" spans="10:10" x14ac:dyDescent="0.2">
      <c r="J7020"/>
    </row>
    <row r="7021" spans="10:10" x14ac:dyDescent="0.2">
      <c r="J7021"/>
    </row>
    <row r="7022" spans="10:10" x14ac:dyDescent="0.2">
      <c r="J7022"/>
    </row>
    <row r="7023" spans="10:10" x14ac:dyDescent="0.2">
      <c r="J7023"/>
    </row>
    <row r="7024" spans="10:10" x14ac:dyDescent="0.2">
      <c r="J7024"/>
    </row>
    <row r="7025" spans="10:10" x14ac:dyDescent="0.2">
      <c r="J7025"/>
    </row>
    <row r="7026" spans="10:10" x14ac:dyDescent="0.2">
      <c r="J7026"/>
    </row>
    <row r="7027" spans="10:10" x14ac:dyDescent="0.2">
      <c r="J7027"/>
    </row>
    <row r="7028" spans="10:10" x14ac:dyDescent="0.2">
      <c r="J7028"/>
    </row>
    <row r="7029" spans="10:10" x14ac:dyDescent="0.2">
      <c r="J7029"/>
    </row>
    <row r="7030" spans="10:10" x14ac:dyDescent="0.2">
      <c r="J7030"/>
    </row>
    <row r="7031" spans="10:10" x14ac:dyDescent="0.2">
      <c r="J7031"/>
    </row>
    <row r="7032" spans="10:10" x14ac:dyDescent="0.2">
      <c r="J7032"/>
    </row>
    <row r="7033" spans="10:10" x14ac:dyDescent="0.2">
      <c r="J7033"/>
    </row>
    <row r="7034" spans="10:10" x14ac:dyDescent="0.2">
      <c r="J7034"/>
    </row>
    <row r="7035" spans="10:10" x14ac:dyDescent="0.2">
      <c r="J7035"/>
    </row>
    <row r="7036" spans="10:10" x14ac:dyDescent="0.2">
      <c r="J7036"/>
    </row>
    <row r="7037" spans="10:10" x14ac:dyDescent="0.2">
      <c r="J7037"/>
    </row>
    <row r="7038" spans="10:10" x14ac:dyDescent="0.2">
      <c r="J7038"/>
    </row>
    <row r="7039" spans="10:10" x14ac:dyDescent="0.2">
      <c r="J7039"/>
    </row>
    <row r="7040" spans="10:10" x14ac:dyDescent="0.2">
      <c r="J7040"/>
    </row>
    <row r="7041" spans="10:10" x14ac:dyDescent="0.2">
      <c r="J7041"/>
    </row>
    <row r="7042" spans="10:10" x14ac:dyDescent="0.2">
      <c r="J7042"/>
    </row>
    <row r="7043" spans="10:10" x14ac:dyDescent="0.2">
      <c r="J7043"/>
    </row>
    <row r="7044" spans="10:10" x14ac:dyDescent="0.2">
      <c r="J7044"/>
    </row>
    <row r="7045" spans="10:10" x14ac:dyDescent="0.2">
      <c r="J7045"/>
    </row>
    <row r="7046" spans="10:10" x14ac:dyDescent="0.2">
      <c r="J7046"/>
    </row>
    <row r="7047" spans="10:10" x14ac:dyDescent="0.2">
      <c r="J7047"/>
    </row>
    <row r="7048" spans="10:10" x14ac:dyDescent="0.2">
      <c r="J7048"/>
    </row>
    <row r="7049" spans="10:10" x14ac:dyDescent="0.2">
      <c r="J7049"/>
    </row>
    <row r="7050" spans="10:10" x14ac:dyDescent="0.2">
      <c r="J7050"/>
    </row>
    <row r="7051" spans="10:10" x14ac:dyDescent="0.2">
      <c r="J7051"/>
    </row>
    <row r="7052" spans="10:10" x14ac:dyDescent="0.2">
      <c r="J7052"/>
    </row>
    <row r="7053" spans="10:10" x14ac:dyDescent="0.2">
      <c r="J7053"/>
    </row>
    <row r="7054" spans="10:10" x14ac:dyDescent="0.2">
      <c r="J7054"/>
    </row>
    <row r="7055" spans="10:10" x14ac:dyDescent="0.2">
      <c r="J7055"/>
    </row>
    <row r="7056" spans="10:10" x14ac:dyDescent="0.2">
      <c r="J7056"/>
    </row>
    <row r="7057" spans="10:10" x14ac:dyDescent="0.2">
      <c r="J7057"/>
    </row>
    <row r="7058" spans="10:10" x14ac:dyDescent="0.2">
      <c r="J7058"/>
    </row>
    <row r="7059" spans="10:10" x14ac:dyDescent="0.2">
      <c r="J7059"/>
    </row>
    <row r="7060" spans="10:10" x14ac:dyDescent="0.2">
      <c r="J7060"/>
    </row>
    <row r="7061" spans="10:10" x14ac:dyDescent="0.2">
      <c r="J7061"/>
    </row>
    <row r="7062" spans="10:10" x14ac:dyDescent="0.2">
      <c r="J7062"/>
    </row>
    <row r="7063" spans="10:10" x14ac:dyDescent="0.2">
      <c r="J7063"/>
    </row>
    <row r="7064" spans="10:10" x14ac:dyDescent="0.2">
      <c r="J7064"/>
    </row>
    <row r="7065" spans="10:10" x14ac:dyDescent="0.2">
      <c r="J7065"/>
    </row>
    <row r="7066" spans="10:10" x14ac:dyDescent="0.2">
      <c r="J7066"/>
    </row>
    <row r="7067" spans="10:10" x14ac:dyDescent="0.2">
      <c r="J7067"/>
    </row>
    <row r="7068" spans="10:10" x14ac:dyDescent="0.2">
      <c r="J7068"/>
    </row>
    <row r="7069" spans="10:10" x14ac:dyDescent="0.2">
      <c r="J7069"/>
    </row>
    <row r="7070" spans="10:10" x14ac:dyDescent="0.2">
      <c r="J7070"/>
    </row>
    <row r="7071" spans="10:10" x14ac:dyDescent="0.2">
      <c r="J7071"/>
    </row>
    <row r="7072" spans="10:10" x14ac:dyDescent="0.2">
      <c r="J7072"/>
    </row>
    <row r="7073" spans="10:10" x14ac:dyDescent="0.2">
      <c r="J7073"/>
    </row>
    <row r="7074" spans="10:10" x14ac:dyDescent="0.2">
      <c r="J7074"/>
    </row>
    <row r="7075" spans="10:10" x14ac:dyDescent="0.2">
      <c r="J7075"/>
    </row>
    <row r="7076" spans="10:10" x14ac:dyDescent="0.2">
      <c r="J7076"/>
    </row>
    <row r="7077" spans="10:10" x14ac:dyDescent="0.2">
      <c r="J7077"/>
    </row>
    <row r="7078" spans="10:10" x14ac:dyDescent="0.2">
      <c r="J7078"/>
    </row>
    <row r="7079" spans="10:10" x14ac:dyDescent="0.2">
      <c r="J7079"/>
    </row>
    <row r="7080" spans="10:10" x14ac:dyDescent="0.2">
      <c r="J7080"/>
    </row>
    <row r="7081" spans="10:10" x14ac:dyDescent="0.2">
      <c r="J7081"/>
    </row>
    <row r="7082" spans="10:10" x14ac:dyDescent="0.2">
      <c r="J7082"/>
    </row>
    <row r="7083" spans="10:10" x14ac:dyDescent="0.2">
      <c r="J7083"/>
    </row>
    <row r="7084" spans="10:10" x14ac:dyDescent="0.2">
      <c r="J7084"/>
    </row>
    <row r="7085" spans="10:10" x14ac:dyDescent="0.2">
      <c r="J7085"/>
    </row>
    <row r="7086" spans="10:10" x14ac:dyDescent="0.2">
      <c r="J7086"/>
    </row>
    <row r="7087" spans="10:10" x14ac:dyDescent="0.2">
      <c r="J7087"/>
    </row>
    <row r="7088" spans="10:10" x14ac:dyDescent="0.2">
      <c r="J7088"/>
    </row>
    <row r="7089" spans="10:10" x14ac:dyDescent="0.2">
      <c r="J7089"/>
    </row>
    <row r="7090" spans="10:10" x14ac:dyDescent="0.2">
      <c r="J7090"/>
    </row>
    <row r="7091" spans="10:10" x14ac:dyDescent="0.2">
      <c r="J7091"/>
    </row>
    <row r="7092" spans="10:10" x14ac:dyDescent="0.2">
      <c r="J7092"/>
    </row>
    <row r="7093" spans="10:10" x14ac:dyDescent="0.2">
      <c r="J7093"/>
    </row>
    <row r="7094" spans="10:10" x14ac:dyDescent="0.2">
      <c r="J7094"/>
    </row>
    <row r="7095" spans="10:10" x14ac:dyDescent="0.2">
      <c r="J7095"/>
    </row>
    <row r="7096" spans="10:10" x14ac:dyDescent="0.2">
      <c r="J7096"/>
    </row>
    <row r="7097" spans="10:10" x14ac:dyDescent="0.2">
      <c r="J7097"/>
    </row>
    <row r="7098" spans="10:10" x14ac:dyDescent="0.2">
      <c r="J7098"/>
    </row>
    <row r="7099" spans="10:10" x14ac:dyDescent="0.2">
      <c r="J7099"/>
    </row>
    <row r="7100" spans="10:10" x14ac:dyDescent="0.2">
      <c r="J7100"/>
    </row>
    <row r="7101" spans="10:10" x14ac:dyDescent="0.2">
      <c r="J7101"/>
    </row>
    <row r="7102" spans="10:10" x14ac:dyDescent="0.2">
      <c r="J7102"/>
    </row>
    <row r="7103" spans="10:10" x14ac:dyDescent="0.2">
      <c r="J7103"/>
    </row>
    <row r="7104" spans="10:10" x14ac:dyDescent="0.2">
      <c r="J7104"/>
    </row>
    <row r="7105" spans="10:10" x14ac:dyDescent="0.2">
      <c r="J7105"/>
    </row>
    <row r="7106" spans="10:10" x14ac:dyDescent="0.2">
      <c r="J7106"/>
    </row>
    <row r="7107" spans="10:10" x14ac:dyDescent="0.2">
      <c r="J7107"/>
    </row>
    <row r="7108" spans="10:10" x14ac:dyDescent="0.2">
      <c r="J7108"/>
    </row>
    <row r="7109" spans="10:10" x14ac:dyDescent="0.2">
      <c r="J7109"/>
    </row>
    <row r="7110" spans="10:10" x14ac:dyDescent="0.2">
      <c r="J7110"/>
    </row>
    <row r="7111" spans="10:10" x14ac:dyDescent="0.2">
      <c r="J7111"/>
    </row>
    <row r="7112" spans="10:10" x14ac:dyDescent="0.2">
      <c r="J7112"/>
    </row>
    <row r="7113" spans="10:10" x14ac:dyDescent="0.2">
      <c r="J7113"/>
    </row>
    <row r="7114" spans="10:10" x14ac:dyDescent="0.2">
      <c r="J7114"/>
    </row>
    <row r="7115" spans="10:10" x14ac:dyDescent="0.2">
      <c r="J7115"/>
    </row>
    <row r="7116" spans="10:10" x14ac:dyDescent="0.2">
      <c r="J7116"/>
    </row>
    <row r="7117" spans="10:10" x14ac:dyDescent="0.2">
      <c r="J7117"/>
    </row>
    <row r="7118" spans="10:10" x14ac:dyDescent="0.2">
      <c r="J7118"/>
    </row>
    <row r="7119" spans="10:10" x14ac:dyDescent="0.2">
      <c r="J7119"/>
    </row>
    <row r="7120" spans="10:10" x14ac:dyDescent="0.2">
      <c r="J7120"/>
    </row>
    <row r="7121" spans="10:10" x14ac:dyDescent="0.2">
      <c r="J7121"/>
    </row>
    <row r="7122" spans="10:10" x14ac:dyDescent="0.2">
      <c r="J7122"/>
    </row>
    <row r="7123" spans="10:10" x14ac:dyDescent="0.2">
      <c r="J7123"/>
    </row>
    <row r="7124" spans="10:10" x14ac:dyDescent="0.2">
      <c r="J7124"/>
    </row>
    <row r="7125" spans="10:10" x14ac:dyDescent="0.2">
      <c r="J7125"/>
    </row>
    <row r="7126" spans="10:10" x14ac:dyDescent="0.2">
      <c r="J7126"/>
    </row>
    <row r="7127" spans="10:10" x14ac:dyDescent="0.2">
      <c r="J7127"/>
    </row>
    <row r="7128" spans="10:10" x14ac:dyDescent="0.2">
      <c r="J7128"/>
    </row>
    <row r="7129" spans="10:10" x14ac:dyDescent="0.2">
      <c r="J7129"/>
    </row>
    <row r="7130" spans="10:10" x14ac:dyDescent="0.2">
      <c r="J7130"/>
    </row>
    <row r="7131" spans="10:10" x14ac:dyDescent="0.2">
      <c r="J7131"/>
    </row>
    <row r="7132" spans="10:10" x14ac:dyDescent="0.2">
      <c r="J7132"/>
    </row>
    <row r="7133" spans="10:10" x14ac:dyDescent="0.2">
      <c r="J7133"/>
    </row>
    <row r="7134" spans="10:10" x14ac:dyDescent="0.2">
      <c r="J7134"/>
    </row>
    <row r="7135" spans="10:10" x14ac:dyDescent="0.2">
      <c r="J7135"/>
    </row>
    <row r="7136" spans="10:10" x14ac:dyDescent="0.2">
      <c r="J7136"/>
    </row>
    <row r="7137" spans="10:10" x14ac:dyDescent="0.2">
      <c r="J7137"/>
    </row>
    <row r="7138" spans="10:10" x14ac:dyDescent="0.2">
      <c r="J7138"/>
    </row>
    <row r="7139" spans="10:10" x14ac:dyDescent="0.2">
      <c r="J7139"/>
    </row>
    <row r="7140" spans="10:10" x14ac:dyDescent="0.2">
      <c r="J7140"/>
    </row>
    <row r="7141" spans="10:10" x14ac:dyDescent="0.2">
      <c r="J7141"/>
    </row>
    <row r="7142" spans="10:10" x14ac:dyDescent="0.2">
      <c r="J7142"/>
    </row>
    <row r="7143" spans="10:10" x14ac:dyDescent="0.2">
      <c r="J7143"/>
    </row>
    <row r="7144" spans="10:10" x14ac:dyDescent="0.2">
      <c r="J7144"/>
    </row>
    <row r="7145" spans="10:10" x14ac:dyDescent="0.2">
      <c r="J7145"/>
    </row>
    <row r="7146" spans="10:10" x14ac:dyDescent="0.2">
      <c r="J7146"/>
    </row>
    <row r="7147" spans="10:10" x14ac:dyDescent="0.2">
      <c r="J7147"/>
    </row>
    <row r="7148" spans="10:10" x14ac:dyDescent="0.2">
      <c r="J7148"/>
    </row>
    <row r="7149" spans="10:10" x14ac:dyDescent="0.2">
      <c r="J7149"/>
    </row>
    <row r="7150" spans="10:10" x14ac:dyDescent="0.2">
      <c r="J7150"/>
    </row>
    <row r="7151" spans="10:10" x14ac:dyDescent="0.2">
      <c r="J7151"/>
    </row>
    <row r="7152" spans="10:10" x14ac:dyDescent="0.2">
      <c r="J7152"/>
    </row>
    <row r="7153" spans="10:10" x14ac:dyDescent="0.2">
      <c r="J7153"/>
    </row>
    <row r="7154" spans="10:10" x14ac:dyDescent="0.2">
      <c r="J7154"/>
    </row>
    <row r="7155" spans="10:10" x14ac:dyDescent="0.2">
      <c r="J7155"/>
    </row>
    <row r="7156" spans="10:10" x14ac:dyDescent="0.2">
      <c r="J7156"/>
    </row>
    <row r="7157" spans="10:10" x14ac:dyDescent="0.2">
      <c r="J7157"/>
    </row>
    <row r="7158" spans="10:10" x14ac:dyDescent="0.2">
      <c r="J7158"/>
    </row>
    <row r="7159" spans="10:10" x14ac:dyDescent="0.2">
      <c r="J7159"/>
    </row>
    <row r="7160" spans="10:10" x14ac:dyDescent="0.2">
      <c r="J7160"/>
    </row>
    <row r="7161" spans="10:10" x14ac:dyDescent="0.2">
      <c r="J7161"/>
    </row>
    <row r="7162" spans="10:10" x14ac:dyDescent="0.2">
      <c r="J7162"/>
    </row>
    <row r="7163" spans="10:10" x14ac:dyDescent="0.2">
      <c r="J7163"/>
    </row>
    <row r="7164" spans="10:10" x14ac:dyDescent="0.2">
      <c r="J7164"/>
    </row>
    <row r="7165" spans="10:10" x14ac:dyDescent="0.2">
      <c r="J7165"/>
    </row>
    <row r="7166" spans="10:10" x14ac:dyDescent="0.2">
      <c r="J7166"/>
    </row>
    <row r="7167" spans="10:10" x14ac:dyDescent="0.2">
      <c r="J7167"/>
    </row>
    <row r="7168" spans="10:10" x14ac:dyDescent="0.2">
      <c r="J7168"/>
    </row>
    <row r="7169" spans="10:10" x14ac:dyDescent="0.2">
      <c r="J7169"/>
    </row>
    <row r="7170" spans="10:10" x14ac:dyDescent="0.2">
      <c r="J7170"/>
    </row>
    <row r="7171" spans="10:10" x14ac:dyDescent="0.2">
      <c r="J7171"/>
    </row>
    <row r="7172" spans="10:10" x14ac:dyDescent="0.2">
      <c r="J7172"/>
    </row>
    <row r="7173" spans="10:10" x14ac:dyDescent="0.2">
      <c r="J7173"/>
    </row>
    <row r="7174" spans="10:10" x14ac:dyDescent="0.2">
      <c r="J7174"/>
    </row>
    <row r="7175" spans="10:10" x14ac:dyDescent="0.2">
      <c r="J7175"/>
    </row>
    <row r="7176" spans="10:10" x14ac:dyDescent="0.2">
      <c r="J7176"/>
    </row>
    <row r="7177" spans="10:10" x14ac:dyDescent="0.2">
      <c r="J7177"/>
    </row>
    <row r="7178" spans="10:10" x14ac:dyDescent="0.2">
      <c r="J7178"/>
    </row>
    <row r="7179" spans="10:10" x14ac:dyDescent="0.2">
      <c r="J7179"/>
    </row>
    <row r="7180" spans="10:10" x14ac:dyDescent="0.2">
      <c r="J7180"/>
    </row>
    <row r="7181" spans="10:10" x14ac:dyDescent="0.2">
      <c r="J7181"/>
    </row>
    <row r="7182" spans="10:10" x14ac:dyDescent="0.2">
      <c r="J7182"/>
    </row>
    <row r="7183" spans="10:10" x14ac:dyDescent="0.2">
      <c r="J7183"/>
    </row>
    <row r="7184" spans="10:10" x14ac:dyDescent="0.2">
      <c r="J7184"/>
    </row>
    <row r="7185" spans="10:10" x14ac:dyDescent="0.2">
      <c r="J7185"/>
    </row>
    <row r="7186" spans="10:10" x14ac:dyDescent="0.2">
      <c r="J7186"/>
    </row>
    <row r="7187" spans="10:10" x14ac:dyDescent="0.2">
      <c r="J7187"/>
    </row>
    <row r="7188" spans="10:10" x14ac:dyDescent="0.2">
      <c r="J7188"/>
    </row>
    <row r="7189" spans="10:10" x14ac:dyDescent="0.2">
      <c r="J7189"/>
    </row>
    <row r="7190" spans="10:10" x14ac:dyDescent="0.2">
      <c r="J7190"/>
    </row>
    <row r="7191" spans="10:10" x14ac:dyDescent="0.2">
      <c r="J7191"/>
    </row>
    <row r="7192" spans="10:10" x14ac:dyDescent="0.2">
      <c r="J7192"/>
    </row>
    <row r="7193" spans="10:10" x14ac:dyDescent="0.2">
      <c r="J7193"/>
    </row>
    <row r="7194" spans="10:10" x14ac:dyDescent="0.2">
      <c r="J7194"/>
    </row>
    <row r="7195" spans="10:10" x14ac:dyDescent="0.2">
      <c r="J7195"/>
    </row>
    <row r="7196" spans="10:10" x14ac:dyDescent="0.2">
      <c r="J7196"/>
    </row>
    <row r="7197" spans="10:10" x14ac:dyDescent="0.2">
      <c r="J7197"/>
    </row>
    <row r="7198" spans="10:10" x14ac:dyDescent="0.2">
      <c r="J7198"/>
    </row>
    <row r="7199" spans="10:10" x14ac:dyDescent="0.2">
      <c r="J7199"/>
    </row>
    <row r="7200" spans="10:10" x14ac:dyDescent="0.2">
      <c r="J7200"/>
    </row>
    <row r="7201" spans="10:10" x14ac:dyDescent="0.2">
      <c r="J7201"/>
    </row>
    <row r="7202" spans="10:10" x14ac:dyDescent="0.2">
      <c r="J7202"/>
    </row>
    <row r="7203" spans="10:10" x14ac:dyDescent="0.2">
      <c r="J7203"/>
    </row>
    <row r="7204" spans="10:10" x14ac:dyDescent="0.2">
      <c r="J7204"/>
    </row>
    <row r="7205" spans="10:10" x14ac:dyDescent="0.2">
      <c r="J7205"/>
    </row>
    <row r="7206" spans="10:10" x14ac:dyDescent="0.2">
      <c r="J7206"/>
    </row>
    <row r="7207" spans="10:10" x14ac:dyDescent="0.2">
      <c r="J7207"/>
    </row>
    <row r="7208" spans="10:10" x14ac:dyDescent="0.2">
      <c r="J7208"/>
    </row>
    <row r="7209" spans="10:10" x14ac:dyDescent="0.2">
      <c r="J7209"/>
    </row>
    <row r="7210" spans="10:10" x14ac:dyDescent="0.2">
      <c r="J7210"/>
    </row>
    <row r="7211" spans="10:10" x14ac:dyDescent="0.2">
      <c r="J7211"/>
    </row>
    <row r="7212" spans="10:10" x14ac:dyDescent="0.2">
      <c r="J7212"/>
    </row>
    <row r="7213" spans="10:10" x14ac:dyDescent="0.2">
      <c r="J7213"/>
    </row>
    <row r="7214" spans="10:10" x14ac:dyDescent="0.2">
      <c r="J7214"/>
    </row>
    <row r="7215" spans="10:10" x14ac:dyDescent="0.2">
      <c r="J7215"/>
    </row>
    <row r="7216" spans="10:10" x14ac:dyDescent="0.2">
      <c r="J7216"/>
    </row>
    <row r="7217" spans="10:10" x14ac:dyDescent="0.2">
      <c r="J7217"/>
    </row>
    <row r="7218" spans="10:10" x14ac:dyDescent="0.2">
      <c r="J7218"/>
    </row>
    <row r="7219" spans="10:10" x14ac:dyDescent="0.2">
      <c r="J7219"/>
    </row>
    <row r="7220" spans="10:10" x14ac:dyDescent="0.2">
      <c r="J7220"/>
    </row>
    <row r="7221" spans="10:10" x14ac:dyDescent="0.2">
      <c r="J7221"/>
    </row>
    <row r="7222" spans="10:10" x14ac:dyDescent="0.2">
      <c r="J7222"/>
    </row>
    <row r="7223" spans="10:10" x14ac:dyDescent="0.2">
      <c r="J7223"/>
    </row>
    <row r="7224" spans="10:10" x14ac:dyDescent="0.2">
      <c r="J7224"/>
    </row>
    <row r="7225" spans="10:10" x14ac:dyDescent="0.2">
      <c r="J7225"/>
    </row>
    <row r="7226" spans="10:10" x14ac:dyDescent="0.2">
      <c r="J7226"/>
    </row>
    <row r="7227" spans="10:10" x14ac:dyDescent="0.2">
      <c r="J7227"/>
    </row>
    <row r="7228" spans="10:10" x14ac:dyDescent="0.2">
      <c r="J7228"/>
    </row>
    <row r="7229" spans="10:10" x14ac:dyDescent="0.2">
      <c r="J7229"/>
    </row>
    <row r="7230" spans="10:10" x14ac:dyDescent="0.2">
      <c r="J7230"/>
    </row>
    <row r="7231" spans="10:10" x14ac:dyDescent="0.2">
      <c r="J7231"/>
    </row>
    <row r="7232" spans="10:10" x14ac:dyDescent="0.2">
      <c r="J7232"/>
    </row>
    <row r="7233" spans="10:10" x14ac:dyDescent="0.2">
      <c r="J7233"/>
    </row>
    <row r="7234" spans="10:10" x14ac:dyDescent="0.2">
      <c r="J7234"/>
    </row>
    <row r="7235" spans="10:10" x14ac:dyDescent="0.2">
      <c r="J7235"/>
    </row>
    <row r="7236" spans="10:10" x14ac:dyDescent="0.2">
      <c r="J7236"/>
    </row>
    <row r="7237" spans="10:10" x14ac:dyDescent="0.2">
      <c r="J7237"/>
    </row>
    <row r="7238" spans="10:10" x14ac:dyDescent="0.2">
      <c r="J7238"/>
    </row>
    <row r="7239" spans="10:10" x14ac:dyDescent="0.2">
      <c r="J7239"/>
    </row>
    <row r="7240" spans="10:10" x14ac:dyDescent="0.2">
      <c r="J7240"/>
    </row>
    <row r="7241" spans="10:10" x14ac:dyDescent="0.2">
      <c r="J7241"/>
    </row>
    <row r="7242" spans="10:10" x14ac:dyDescent="0.2">
      <c r="J7242"/>
    </row>
    <row r="7243" spans="10:10" x14ac:dyDescent="0.2">
      <c r="J7243"/>
    </row>
    <row r="7244" spans="10:10" x14ac:dyDescent="0.2">
      <c r="J7244"/>
    </row>
    <row r="7245" spans="10:10" x14ac:dyDescent="0.2">
      <c r="J7245"/>
    </row>
    <row r="7246" spans="10:10" x14ac:dyDescent="0.2">
      <c r="J7246"/>
    </row>
    <row r="7247" spans="10:10" x14ac:dyDescent="0.2">
      <c r="J7247"/>
    </row>
    <row r="7248" spans="10:10" x14ac:dyDescent="0.2">
      <c r="J7248"/>
    </row>
    <row r="7249" spans="10:10" x14ac:dyDescent="0.2">
      <c r="J7249"/>
    </row>
    <row r="7250" spans="10:10" x14ac:dyDescent="0.2">
      <c r="J7250"/>
    </row>
    <row r="7251" spans="10:10" x14ac:dyDescent="0.2">
      <c r="J7251"/>
    </row>
    <row r="7252" spans="10:10" x14ac:dyDescent="0.2">
      <c r="J7252"/>
    </row>
    <row r="7253" spans="10:10" x14ac:dyDescent="0.2">
      <c r="J7253"/>
    </row>
    <row r="7254" spans="10:10" x14ac:dyDescent="0.2">
      <c r="J7254"/>
    </row>
    <row r="7255" spans="10:10" x14ac:dyDescent="0.2">
      <c r="J7255"/>
    </row>
    <row r="7256" spans="10:10" x14ac:dyDescent="0.2">
      <c r="J7256"/>
    </row>
    <row r="7257" spans="10:10" x14ac:dyDescent="0.2">
      <c r="J7257"/>
    </row>
    <row r="7258" spans="10:10" x14ac:dyDescent="0.2">
      <c r="J7258"/>
    </row>
    <row r="7259" spans="10:10" x14ac:dyDescent="0.2">
      <c r="J7259"/>
    </row>
    <row r="7260" spans="10:10" x14ac:dyDescent="0.2">
      <c r="J7260"/>
    </row>
    <row r="7261" spans="10:10" x14ac:dyDescent="0.2">
      <c r="J7261"/>
    </row>
    <row r="7262" spans="10:10" x14ac:dyDescent="0.2">
      <c r="J7262"/>
    </row>
    <row r="7263" spans="10:10" x14ac:dyDescent="0.2">
      <c r="J7263"/>
    </row>
    <row r="7264" spans="10:10" x14ac:dyDescent="0.2">
      <c r="J7264"/>
    </row>
    <row r="7265" spans="10:10" x14ac:dyDescent="0.2">
      <c r="J7265"/>
    </row>
    <row r="7266" spans="10:10" x14ac:dyDescent="0.2">
      <c r="J7266"/>
    </row>
    <row r="7267" spans="10:10" x14ac:dyDescent="0.2">
      <c r="J7267"/>
    </row>
    <row r="7268" spans="10:10" x14ac:dyDescent="0.2">
      <c r="J7268"/>
    </row>
    <row r="7269" spans="10:10" x14ac:dyDescent="0.2">
      <c r="J7269"/>
    </row>
    <row r="7270" spans="10:10" x14ac:dyDescent="0.2">
      <c r="J7270"/>
    </row>
    <row r="7271" spans="10:10" x14ac:dyDescent="0.2">
      <c r="J7271"/>
    </row>
    <row r="7272" spans="10:10" x14ac:dyDescent="0.2">
      <c r="J7272"/>
    </row>
    <row r="7273" spans="10:10" x14ac:dyDescent="0.2">
      <c r="J7273"/>
    </row>
    <row r="7274" spans="10:10" x14ac:dyDescent="0.2">
      <c r="J7274"/>
    </row>
    <row r="7275" spans="10:10" x14ac:dyDescent="0.2">
      <c r="J7275"/>
    </row>
    <row r="7276" spans="10:10" x14ac:dyDescent="0.2">
      <c r="J7276"/>
    </row>
    <row r="7277" spans="10:10" x14ac:dyDescent="0.2">
      <c r="J7277"/>
    </row>
    <row r="7278" spans="10:10" x14ac:dyDescent="0.2">
      <c r="J7278"/>
    </row>
    <row r="7279" spans="10:10" x14ac:dyDescent="0.2">
      <c r="J7279"/>
    </row>
    <row r="7280" spans="10:10" x14ac:dyDescent="0.2">
      <c r="J7280"/>
    </row>
    <row r="7281" spans="10:10" x14ac:dyDescent="0.2">
      <c r="J7281"/>
    </row>
    <row r="7282" spans="10:10" x14ac:dyDescent="0.2">
      <c r="J7282"/>
    </row>
    <row r="7283" spans="10:10" x14ac:dyDescent="0.2">
      <c r="J7283"/>
    </row>
    <row r="7284" spans="10:10" x14ac:dyDescent="0.2">
      <c r="J7284"/>
    </row>
    <row r="7285" spans="10:10" x14ac:dyDescent="0.2">
      <c r="J7285"/>
    </row>
    <row r="7286" spans="10:10" x14ac:dyDescent="0.2">
      <c r="J7286"/>
    </row>
    <row r="7287" spans="10:10" x14ac:dyDescent="0.2">
      <c r="J7287"/>
    </row>
    <row r="7288" spans="10:10" x14ac:dyDescent="0.2">
      <c r="J7288"/>
    </row>
    <row r="7289" spans="10:10" x14ac:dyDescent="0.2">
      <c r="J7289"/>
    </row>
    <row r="7290" spans="10:10" x14ac:dyDescent="0.2">
      <c r="J7290"/>
    </row>
    <row r="7291" spans="10:10" x14ac:dyDescent="0.2">
      <c r="J7291"/>
    </row>
    <row r="7292" spans="10:10" x14ac:dyDescent="0.2">
      <c r="J7292"/>
    </row>
    <row r="7293" spans="10:10" x14ac:dyDescent="0.2">
      <c r="J7293"/>
    </row>
    <row r="7294" spans="10:10" x14ac:dyDescent="0.2">
      <c r="J7294"/>
    </row>
    <row r="7295" spans="10:10" x14ac:dyDescent="0.2">
      <c r="J7295"/>
    </row>
    <row r="7296" spans="10:10" x14ac:dyDescent="0.2">
      <c r="J7296"/>
    </row>
    <row r="7297" spans="10:10" x14ac:dyDescent="0.2">
      <c r="J7297"/>
    </row>
    <row r="7298" spans="10:10" x14ac:dyDescent="0.2">
      <c r="J7298"/>
    </row>
    <row r="7299" spans="10:10" x14ac:dyDescent="0.2">
      <c r="J7299"/>
    </row>
    <row r="7300" spans="10:10" x14ac:dyDescent="0.2">
      <c r="J7300"/>
    </row>
    <row r="7301" spans="10:10" x14ac:dyDescent="0.2">
      <c r="J7301"/>
    </row>
    <row r="7302" spans="10:10" x14ac:dyDescent="0.2">
      <c r="J7302"/>
    </row>
    <row r="7303" spans="10:10" x14ac:dyDescent="0.2">
      <c r="J7303"/>
    </row>
    <row r="7304" spans="10:10" x14ac:dyDescent="0.2">
      <c r="J7304"/>
    </row>
    <row r="7305" spans="10:10" x14ac:dyDescent="0.2">
      <c r="J7305"/>
    </row>
    <row r="7306" spans="10:10" x14ac:dyDescent="0.2">
      <c r="J7306"/>
    </row>
    <row r="7307" spans="10:10" x14ac:dyDescent="0.2">
      <c r="J7307"/>
    </row>
    <row r="7308" spans="10:10" x14ac:dyDescent="0.2">
      <c r="J7308"/>
    </row>
    <row r="7309" spans="10:10" x14ac:dyDescent="0.2">
      <c r="J7309"/>
    </row>
    <row r="7310" spans="10:10" x14ac:dyDescent="0.2">
      <c r="J7310"/>
    </row>
    <row r="7311" spans="10:10" x14ac:dyDescent="0.2">
      <c r="J7311"/>
    </row>
    <row r="7312" spans="10:10" x14ac:dyDescent="0.2">
      <c r="J7312"/>
    </row>
    <row r="7313" spans="10:10" x14ac:dyDescent="0.2">
      <c r="J7313"/>
    </row>
    <row r="7314" spans="10:10" x14ac:dyDescent="0.2">
      <c r="J7314"/>
    </row>
    <row r="7315" spans="10:10" x14ac:dyDescent="0.2">
      <c r="J7315"/>
    </row>
    <row r="7316" spans="10:10" x14ac:dyDescent="0.2">
      <c r="J7316"/>
    </row>
    <row r="7317" spans="10:10" x14ac:dyDescent="0.2">
      <c r="J7317"/>
    </row>
    <row r="7318" spans="10:10" x14ac:dyDescent="0.2">
      <c r="J7318"/>
    </row>
    <row r="7319" spans="10:10" x14ac:dyDescent="0.2">
      <c r="J7319"/>
    </row>
    <row r="7320" spans="10:10" x14ac:dyDescent="0.2">
      <c r="J7320"/>
    </row>
    <row r="7321" spans="10:10" x14ac:dyDescent="0.2">
      <c r="J7321"/>
    </row>
    <row r="7322" spans="10:10" x14ac:dyDescent="0.2">
      <c r="J7322"/>
    </row>
    <row r="7323" spans="10:10" x14ac:dyDescent="0.2">
      <c r="J7323"/>
    </row>
    <row r="7324" spans="10:10" x14ac:dyDescent="0.2">
      <c r="J7324"/>
    </row>
    <row r="7325" spans="10:10" x14ac:dyDescent="0.2">
      <c r="J7325"/>
    </row>
    <row r="7326" spans="10:10" x14ac:dyDescent="0.2">
      <c r="J7326"/>
    </row>
    <row r="7327" spans="10:10" x14ac:dyDescent="0.2">
      <c r="J7327"/>
    </row>
    <row r="7328" spans="10:10" x14ac:dyDescent="0.2">
      <c r="J7328"/>
    </row>
    <row r="7329" spans="10:10" x14ac:dyDescent="0.2">
      <c r="J7329"/>
    </row>
    <row r="7330" spans="10:10" x14ac:dyDescent="0.2">
      <c r="J7330"/>
    </row>
    <row r="7331" spans="10:10" x14ac:dyDescent="0.2">
      <c r="J7331"/>
    </row>
    <row r="7332" spans="10:10" x14ac:dyDescent="0.2">
      <c r="J7332"/>
    </row>
    <row r="7333" spans="10:10" x14ac:dyDescent="0.2">
      <c r="J7333"/>
    </row>
    <row r="7334" spans="10:10" x14ac:dyDescent="0.2">
      <c r="J7334"/>
    </row>
    <row r="7335" spans="10:10" x14ac:dyDescent="0.2">
      <c r="J7335"/>
    </row>
    <row r="7336" spans="10:10" x14ac:dyDescent="0.2">
      <c r="J7336"/>
    </row>
    <row r="7337" spans="10:10" x14ac:dyDescent="0.2">
      <c r="J7337"/>
    </row>
    <row r="7338" spans="10:10" x14ac:dyDescent="0.2">
      <c r="J7338"/>
    </row>
    <row r="7339" spans="10:10" x14ac:dyDescent="0.2">
      <c r="J7339"/>
    </row>
    <row r="7340" spans="10:10" x14ac:dyDescent="0.2">
      <c r="J7340"/>
    </row>
    <row r="7341" spans="10:10" x14ac:dyDescent="0.2">
      <c r="J7341"/>
    </row>
    <row r="7342" spans="10:10" x14ac:dyDescent="0.2">
      <c r="J7342"/>
    </row>
    <row r="7343" spans="10:10" x14ac:dyDescent="0.2">
      <c r="J7343"/>
    </row>
    <row r="7344" spans="10:10" x14ac:dyDescent="0.2">
      <c r="J7344"/>
    </row>
    <row r="7345" spans="10:10" x14ac:dyDescent="0.2">
      <c r="J7345"/>
    </row>
    <row r="7346" spans="10:10" x14ac:dyDescent="0.2">
      <c r="J7346"/>
    </row>
    <row r="7347" spans="10:10" x14ac:dyDescent="0.2">
      <c r="J7347"/>
    </row>
    <row r="7348" spans="10:10" x14ac:dyDescent="0.2">
      <c r="J7348"/>
    </row>
    <row r="7349" spans="10:10" x14ac:dyDescent="0.2">
      <c r="J7349"/>
    </row>
    <row r="7350" spans="10:10" x14ac:dyDescent="0.2">
      <c r="J7350"/>
    </row>
    <row r="7351" spans="10:10" x14ac:dyDescent="0.2">
      <c r="J7351"/>
    </row>
    <row r="7352" spans="10:10" x14ac:dyDescent="0.2">
      <c r="J7352"/>
    </row>
    <row r="7353" spans="10:10" x14ac:dyDescent="0.2">
      <c r="J7353"/>
    </row>
    <row r="7354" spans="10:10" x14ac:dyDescent="0.2">
      <c r="J7354"/>
    </row>
    <row r="7355" spans="10:10" x14ac:dyDescent="0.2">
      <c r="J7355"/>
    </row>
    <row r="7356" spans="10:10" x14ac:dyDescent="0.2">
      <c r="J7356"/>
    </row>
    <row r="7357" spans="10:10" x14ac:dyDescent="0.2">
      <c r="J7357"/>
    </row>
    <row r="7358" spans="10:10" x14ac:dyDescent="0.2">
      <c r="J7358"/>
    </row>
    <row r="7359" spans="10:10" x14ac:dyDescent="0.2">
      <c r="J7359"/>
    </row>
    <row r="7360" spans="10:10" x14ac:dyDescent="0.2">
      <c r="J7360"/>
    </row>
    <row r="7361" spans="10:10" x14ac:dyDescent="0.2">
      <c r="J7361"/>
    </row>
    <row r="7362" spans="10:10" x14ac:dyDescent="0.2">
      <c r="J7362"/>
    </row>
    <row r="7363" spans="10:10" x14ac:dyDescent="0.2">
      <c r="J7363"/>
    </row>
    <row r="7364" spans="10:10" x14ac:dyDescent="0.2">
      <c r="J7364"/>
    </row>
    <row r="7365" spans="10:10" x14ac:dyDescent="0.2">
      <c r="J7365"/>
    </row>
    <row r="7366" spans="10:10" x14ac:dyDescent="0.2">
      <c r="J7366"/>
    </row>
    <row r="7367" spans="10:10" x14ac:dyDescent="0.2">
      <c r="J7367"/>
    </row>
    <row r="7368" spans="10:10" x14ac:dyDescent="0.2">
      <c r="J7368"/>
    </row>
    <row r="7369" spans="10:10" x14ac:dyDescent="0.2">
      <c r="J7369"/>
    </row>
    <row r="7370" spans="10:10" x14ac:dyDescent="0.2">
      <c r="J7370"/>
    </row>
    <row r="7371" spans="10:10" x14ac:dyDescent="0.2">
      <c r="J7371"/>
    </row>
    <row r="7372" spans="10:10" x14ac:dyDescent="0.2">
      <c r="J7372"/>
    </row>
    <row r="7373" spans="10:10" x14ac:dyDescent="0.2">
      <c r="J7373"/>
    </row>
    <row r="7374" spans="10:10" x14ac:dyDescent="0.2">
      <c r="J7374"/>
    </row>
    <row r="7375" spans="10:10" x14ac:dyDescent="0.2">
      <c r="J7375"/>
    </row>
    <row r="7376" spans="10:10" x14ac:dyDescent="0.2">
      <c r="J7376"/>
    </row>
    <row r="7377" spans="10:10" x14ac:dyDescent="0.2">
      <c r="J7377"/>
    </row>
    <row r="7378" spans="10:10" x14ac:dyDescent="0.2">
      <c r="J7378"/>
    </row>
    <row r="7379" spans="10:10" x14ac:dyDescent="0.2">
      <c r="J7379"/>
    </row>
    <row r="7380" spans="10:10" x14ac:dyDescent="0.2">
      <c r="J7380"/>
    </row>
    <row r="7381" spans="10:10" x14ac:dyDescent="0.2">
      <c r="J7381"/>
    </row>
    <row r="7382" spans="10:10" x14ac:dyDescent="0.2">
      <c r="J7382"/>
    </row>
    <row r="7383" spans="10:10" x14ac:dyDescent="0.2">
      <c r="J7383"/>
    </row>
    <row r="7384" spans="10:10" x14ac:dyDescent="0.2">
      <c r="J7384"/>
    </row>
    <row r="7385" spans="10:10" x14ac:dyDescent="0.2">
      <c r="J7385"/>
    </row>
    <row r="7386" spans="10:10" x14ac:dyDescent="0.2">
      <c r="J7386"/>
    </row>
    <row r="7387" spans="10:10" x14ac:dyDescent="0.2">
      <c r="J7387"/>
    </row>
    <row r="7388" spans="10:10" x14ac:dyDescent="0.2">
      <c r="J7388"/>
    </row>
    <row r="7389" spans="10:10" x14ac:dyDescent="0.2">
      <c r="J7389"/>
    </row>
    <row r="7390" spans="10:10" x14ac:dyDescent="0.2">
      <c r="J7390"/>
    </row>
    <row r="7391" spans="10:10" x14ac:dyDescent="0.2">
      <c r="J7391"/>
    </row>
    <row r="7392" spans="10:10" x14ac:dyDescent="0.2">
      <c r="J7392"/>
    </row>
    <row r="7393" spans="10:10" x14ac:dyDescent="0.2">
      <c r="J7393"/>
    </row>
    <row r="7394" spans="10:10" x14ac:dyDescent="0.2">
      <c r="J7394"/>
    </row>
    <row r="7395" spans="10:10" x14ac:dyDescent="0.2">
      <c r="J7395"/>
    </row>
    <row r="7396" spans="10:10" x14ac:dyDescent="0.2">
      <c r="J7396"/>
    </row>
    <row r="7397" spans="10:10" x14ac:dyDescent="0.2">
      <c r="J7397"/>
    </row>
    <row r="7398" spans="10:10" x14ac:dyDescent="0.2">
      <c r="J7398"/>
    </row>
    <row r="7399" spans="10:10" x14ac:dyDescent="0.2">
      <c r="J7399"/>
    </row>
    <row r="7400" spans="10:10" x14ac:dyDescent="0.2">
      <c r="J7400"/>
    </row>
    <row r="7401" spans="10:10" x14ac:dyDescent="0.2">
      <c r="J7401"/>
    </row>
    <row r="7402" spans="10:10" x14ac:dyDescent="0.2">
      <c r="J7402"/>
    </row>
    <row r="7403" spans="10:10" x14ac:dyDescent="0.2">
      <c r="J7403"/>
    </row>
    <row r="7404" spans="10:10" x14ac:dyDescent="0.2">
      <c r="J7404"/>
    </row>
    <row r="7405" spans="10:10" x14ac:dyDescent="0.2">
      <c r="J7405"/>
    </row>
    <row r="7406" spans="10:10" x14ac:dyDescent="0.2">
      <c r="J7406"/>
    </row>
    <row r="7407" spans="10:10" x14ac:dyDescent="0.2">
      <c r="J7407"/>
    </row>
    <row r="7408" spans="10:10" x14ac:dyDescent="0.2">
      <c r="J7408"/>
    </row>
    <row r="7409" spans="10:10" x14ac:dyDescent="0.2">
      <c r="J7409"/>
    </row>
    <row r="7410" spans="10:10" x14ac:dyDescent="0.2">
      <c r="J7410"/>
    </row>
    <row r="7411" spans="10:10" x14ac:dyDescent="0.2">
      <c r="J7411"/>
    </row>
    <row r="7412" spans="10:10" x14ac:dyDescent="0.2">
      <c r="J7412"/>
    </row>
    <row r="7413" spans="10:10" x14ac:dyDescent="0.2">
      <c r="J7413"/>
    </row>
    <row r="7414" spans="10:10" x14ac:dyDescent="0.2">
      <c r="J7414"/>
    </row>
    <row r="7415" spans="10:10" x14ac:dyDescent="0.2">
      <c r="J7415"/>
    </row>
    <row r="7416" spans="10:10" x14ac:dyDescent="0.2">
      <c r="J7416"/>
    </row>
    <row r="7417" spans="10:10" x14ac:dyDescent="0.2">
      <c r="J7417"/>
    </row>
    <row r="7418" spans="10:10" x14ac:dyDescent="0.2">
      <c r="J7418"/>
    </row>
    <row r="7419" spans="10:10" x14ac:dyDescent="0.2">
      <c r="J7419"/>
    </row>
    <row r="7420" spans="10:10" x14ac:dyDescent="0.2">
      <c r="J7420"/>
    </row>
    <row r="7421" spans="10:10" x14ac:dyDescent="0.2">
      <c r="J7421"/>
    </row>
    <row r="7422" spans="10:10" x14ac:dyDescent="0.2">
      <c r="J7422"/>
    </row>
    <row r="7423" spans="10:10" x14ac:dyDescent="0.2">
      <c r="J7423"/>
    </row>
    <row r="7424" spans="10:10" x14ac:dyDescent="0.2">
      <c r="J7424"/>
    </row>
    <row r="7425" spans="10:10" x14ac:dyDescent="0.2">
      <c r="J7425"/>
    </row>
    <row r="7426" spans="10:10" x14ac:dyDescent="0.2">
      <c r="J7426"/>
    </row>
    <row r="7427" spans="10:10" x14ac:dyDescent="0.2">
      <c r="J7427"/>
    </row>
    <row r="7428" spans="10:10" x14ac:dyDescent="0.2">
      <c r="J7428"/>
    </row>
    <row r="7429" spans="10:10" x14ac:dyDescent="0.2">
      <c r="J7429"/>
    </row>
    <row r="7430" spans="10:10" x14ac:dyDescent="0.2">
      <c r="J7430"/>
    </row>
    <row r="7431" spans="10:10" x14ac:dyDescent="0.2">
      <c r="J7431"/>
    </row>
    <row r="7432" spans="10:10" x14ac:dyDescent="0.2">
      <c r="J7432"/>
    </row>
    <row r="7433" spans="10:10" x14ac:dyDescent="0.2">
      <c r="J7433"/>
    </row>
    <row r="7434" spans="10:10" x14ac:dyDescent="0.2">
      <c r="J7434"/>
    </row>
    <row r="7435" spans="10:10" x14ac:dyDescent="0.2">
      <c r="J7435"/>
    </row>
    <row r="7436" spans="10:10" x14ac:dyDescent="0.2">
      <c r="J7436"/>
    </row>
    <row r="7437" spans="10:10" x14ac:dyDescent="0.2">
      <c r="J7437"/>
    </row>
    <row r="7438" spans="10:10" x14ac:dyDescent="0.2">
      <c r="J7438"/>
    </row>
    <row r="7439" spans="10:10" x14ac:dyDescent="0.2">
      <c r="J7439"/>
    </row>
    <row r="7440" spans="10:10" x14ac:dyDescent="0.2">
      <c r="J7440"/>
    </row>
    <row r="7441" spans="10:10" x14ac:dyDescent="0.2">
      <c r="J7441"/>
    </row>
    <row r="7442" spans="10:10" x14ac:dyDescent="0.2">
      <c r="J7442"/>
    </row>
    <row r="7443" spans="10:10" x14ac:dyDescent="0.2">
      <c r="J7443"/>
    </row>
    <row r="7444" spans="10:10" x14ac:dyDescent="0.2">
      <c r="J7444"/>
    </row>
    <row r="7445" spans="10:10" x14ac:dyDescent="0.2">
      <c r="J7445"/>
    </row>
    <row r="7446" spans="10:10" x14ac:dyDescent="0.2">
      <c r="J7446"/>
    </row>
    <row r="7447" spans="10:10" x14ac:dyDescent="0.2">
      <c r="J7447"/>
    </row>
    <row r="7448" spans="10:10" x14ac:dyDescent="0.2">
      <c r="J7448"/>
    </row>
    <row r="7449" spans="10:10" x14ac:dyDescent="0.2">
      <c r="J7449"/>
    </row>
    <row r="7450" spans="10:10" x14ac:dyDescent="0.2">
      <c r="J7450"/>
    </row>
    <row r="7451" spans="10:10" x14ac:dyDescent="0.2">
      <c r="J7451"/>
    </row>
    <row r="7452" spans="10:10" x14ac:dyDescent="0.2">
      <c r="J7452"/>
    </row>
    <row r="7453" spans="10:10" x14ac:dyDescent="0.2">
      <c r="J7453"/>
    </row>
    <row r="7454" spans="10:10" x14ac:dyDescent="0.2">
      <c r="J7454"/>
    </row>
    <row r="7455" spans="10:10" x14ac:dyDescent="0.2">
      <c r="J7455"/>
    </row>
    <row r="7456" spans="10:10" x14ac:dyDescent="0.2">
      <c r="J7456"/>
    </row>
    <row r="7457" spans="10:10" x14ac:dyDescent="0.2">
      <c r="J7457"/>
    </row>
    <row r="7458" spans="10:10" x14ac:dyDescent="0.2">
      <c r="J7458"/>
    </row>
    <row r="7459" spans="10:10" x14ac:dyDescent="0.2">
      <c r="J7459"/>
    </row>
    <row r="7460" spans="10:10" x14ac:dyDescent="0.2">
      <c r="J7460"/>
    </row>
    <row r="7461" spans="10:10" x14ac:dyDescent="0.2">
      <c r="J7461"/>
    </row>
    <row r="7462" spans="10:10" x14ac:dyDescent="0.2">
      <c r="J7462"/>
    </row>
    <row r="7463" spans="10:10" x14ac:dyDescent="0.2">
      <c r="J7463"/>
    </row>
    <row r="7464" spans="10:10" x14ac:dyDescent="0.2">
      <c r="J7464"/>
    </row>
    <row r="7465" spans="10:10" x14ac:dyDescent="0.2">
      <c r="J7465"/>
    </row>
    <row r="7466" spans="10:10" x14ac:dyDescent="0.2">
      <c r="J7466"/>
    </row>
    <row r="7467" spans="10:10" x14ac:dyDescent="0.2">
      <c r="J7467"/>
    </row>
    <row r="7468" spans="10:10" x14ac:dyDescent="0.2">
      <c r="J7468"/>
    </row>
    <row r="7469" spans="10:10" x14ac:dyDescent="0.2">
      <c r="J7469"/>
    </row>
    <row r="7470" spans="10:10" x14ac:dyDescent="0.2">
      <c r="J7470"/>
    </row>
    <row r="7471" spans="10:10" x14ac:dyDescent="0.2">
      <c r="J7471"/>
    </row>
    <row r="7472" spans="10:10" x14ac:dyDescent="0.2">
      <c r="J7472"/>
    </row>
    <row r="7473" spans="10:10" x14ac:dyDescent="0.2">
      <c r="J7473"/>
    </row>
    <row r="7474" spans="10:10" x14ac:dyDescent="0.2">
      <c r="J7474"/>
    </row>
    <row r="7475" spans="10:10" x14ac:dyDescent="0.2">
      <c r="J7475"/>
    </row>
    <row r="7476" spans="10:10" x14ac:dyDescent="0.2">
      <c r="J7476"/>
    </row>
    <row r="7477" spans="10:10" x14ac:dyDescent="0.2">
      <c r="J7477"/>
    </row>
    <row r="7478" spans="10:10" x14ac:dyDescent="0.2">
      <c r="J7478"/>
    </row>
    <row r="7479" spans="10:10" x14ac:dyDescent="0.2">
      <c r="J7479"/>
    </row>
    <row r="7480" spans="10:10" x14ac:dyDescent="0.2">
      <c r="J7480"/>
    </row>
    <row r="7481" spans="10:10" x14ac:dyDescent="0.2">
      <c r="J7481"/>
    </row>
    <row r="7482" spans="10:10" x14ac:dyDescent="0.2">
      <c r="J7482"/>
    </row>
    <row r="7483" spans="10:10" x14ac:dyDescent="0.2">
      <c r="J7483"/>
    </row>
    <row r="7484" spans="10:10" x14ac:dyDescent="0.2">
      <c r="J7484"/>
    </row>
    <row r="7485" spans="10:10" x14ac:dyDescent="0.2">
      <c r="J7485"/>
    </row>
    <row r="7486" spans="10:10" x14ac:dyDescent="0.2">
      <c r="J7486"/>
    </row>
    <row r="7487" spans="10:10" x14ac:dyDescent="0.2">
      <c r="J7487"/>
    </row>
    <row r="7488" spans="10:10" x14ac:dyDescent="0.2">
      <c r="J7488"/>
    </row>
    <row r="7489" spans="10:10" x14ac:dyDescent="0.2">
      <c r="J7489"/>
    </row>
    <row r="7490" spans="10:10" x14ac:dyDescent="0.2">
      <c r="J7490"/>
    </row>
    <row r="7491" spans="10:10" x14ac:dyDescent="0.2">
      <c r="J7491"/>
    </row>
    <row r="7492" spans="10:10" x14ac:dyDescent="0.2">
      <c r="J7492"/>
    </row>
    <row r="7493" spans="10:10" x14ac:dyDescent="0.2">
      <c r="J7493"/>
    </row>
    <row r="7494" spans="10:10" x14ac:dyDescent="0.2">
      <c r="J7494"/>
    </row>
    <row r="7495" spans="10:10" x14ac:dyDescent="0.2">
      <c r="J7495"/>
    </row>
    <row r="7496" spans="10:10" x14ac:dyDescent="0.2">
      <c r="J7496"/>
    </row>
    <row r="7497" spans="10:10" x14ac:dyDescent="0.2">
      <c r="J7497"/>
    </row>
    <row r="7498" spans="10:10" x14ac:dyDescent="0.2">
      <c r="J7498"/>
    </row>
    <row r="7499" spans="10:10" x14ac:dyDescent="0.2">
      <c r="J7499"/>
    </row>
    <row r="7500" spans="10:10" x14ac:dyDescent="0.2">
      <c r="J7500"/>
    </row>
    <row r="7501" spans="10:10" x14ac:dyDescent="0.2">
      <c r="J7501"/>
    </row>
    <row r="7502" spans="10:10" x14ac:dyDescent="0.2">
      <c r="J7502"/>
    </row>
    <row r="7503" spans="10:10" x14ac:dyDescent="0.2">
      <c r="J7503"/>
    </row>
    <row r="7504" spans="10:10" x14ac:dyDescent="0.2">
      <c r="J7504"/>
    </row>
    <row r="7505" spans="10:10" x14ac:dyDescent="0.2">
      <c r="J7505"/>
    </row>
    <row r="7506" spans="10:10" x14ac:dyDescent="0.2">
      <c r="J7506"/>
    </row>
    <row r="7507" spans="10:10" x14ac:dyDescent="0.2">
      <c r="J7507"/>
    </row>
    <row r="7508" spans="10:10" x14ac:dyDescent="0.2">
      <c r="J7508"/>
    </row>
    <row r="7509" spans="10:10" x14ac:dyDescent="0.2">
      <c r="J7509"/>
    </row>
    <row r="7510" spans="10:10" x14ac:dyDescent="0.2">
      <c r="J7510"/>
    </row>
    <row r="7511" spans="10:10" x14ac:dyDescent="0.2">
      <c r="J7511"/>
    </row>
    <row r="7512" spans="10:10" x14ac:dyDescent="0.2">
      <c r="J7512"/>
    </row>
    <row r="7513" spans="10:10" x14ac:dyDescent="0.2">
      <c r="J7513"/>
    </row>
    <row r="7514" spans="10:10" x14ac:dyDescent="0.2">
      <c r="J7514"/>
    </row>
    <row r="7515" spans="10:10" x14ac:dyDescent="0.2">
      <c r="J7515"/>
    </row>
    <row r="7516" spans="10:10" x14ac:dyDescent="0.2">
      <c r="J7516"/>
    </row>
    <row r="7517" spans="10:10" x14ac:dyDescent="0.2">
      <c r="J7517"/>
    </row>
    <row r="7518" spans="10:10" x14ac:dyDescent="0.2">
      <c r="J7518"/>
    </row>
    <row r="7519" spans="10:10" x14ac:dyDescent="0.2">
      <c r="J7519"/>
    </row>
    <row r="7520" spans="10:10" x14ac:dyDescent="0.2">
      <c r="J7520"/>
    </row>
    <row r="7521" spans="10:10" x14ac:dyDescent="0.2">
      <c r="J7521"/>
    </row>
    <row r="7522" spans="10:10" x14ac:dyDescent="0.2">
      <c r="J7522"/>
    </row>
    <row r="7523" spans="10:10" x14ac:dyDescent="0.2">
      <c r="J7523"/>
    </row>
    <row r="7524" spans="10:10" x14ac:dyDescent="0.2">
      <c r="J7524"/>
    </row>
    <row r="7525" spans="10:10" x14ac:dyDescent="0.2">
      <c r="J7525"/>
    </row>
    <row r="7526" spans="10:10" x14ac:dyDescent="0.2">
      <c r="J7526"/>
    </row>
    <row r="7527" spans="10:10" x14ac:dyDescent="0.2">
      <c r="J7527"/>
    </row>
    <row r="7528" spans="10:10" x14ac:dyDescent="0.2">
      <c r="J7528"/>
    </row>
    <row r="7529" spans="10:10" x14ac:dyDescent="0.2">
      <c r="J7529"/>
    </row>
    <row r="7530" spans="10:10" x14ac:dyDescent="0.2">
      <c r="J7530"/>
    </row>
    <row r="7531" spans="10:10" x14ac:dyDescent="0.2">
      <c r="J7531"/>
    </row>
    <row r="7532" spans="10:10" x14ac:dyDescent="0.2">
      <c r="J7532"/>
    </row>
    <row r="7533" spans="10:10" x14ac:dyDescent="0.2">
      <c r="J7533"/>
    </row>
    <row r="7534" spans="10:10" x14ac:dyDescent="0.2">
      <c r="J7534"/>
    </row>
    <row r="7535" spans="10:10" x14ac:dyDescent="0.2">
      <c r="J7535"/>
    </row>
    <row r="7536" spans="10:10" x14ac:dyDescent="0.2">
      <c r="J7536"/>
    </row>
    <row r="7537" spans="10:10" x14ac:dyDescent="0.2">
      <c r="J7537"/>
    </row>
    <row r="7538" spans="10:10" x14ac:dyDescent="0.2">
      <c r="J7538"/>
    </row>
    <row r="7539" spans="10:10" x14ac:dyDescent="0.2">
      <c r="J7539"/>
    </row>
    <row r="7540" spans="10:10" x14ac:dyDescent="0.2">
      <c r="J7540"/>
    </row>
    <row r="7541" spans="10:10" x14ac:dyDescent="0.2">
      <c r="J7541"/>
    </row>
    <row r="7542" spans="10:10" x14ac:dyDescent="0.2">
      <c r="J7542"/>
    </row>
    <row r="7543" spans="10:10" x14ac:dyDescent="0.2">
      <c r="J7543"/>
    </row>
    <row r="7544" spans="10:10" x14ac:dyDescent="0.2">
      <c r="J7544"/>
    </row>
    <row r="7545" spans="10:10" x14ac:dyDescent="0.2">
      <c r="J7545"/>
    </row>
    <row r="7546" spans="10:10" x14ac:dyDescent="0.2">
      <c r="J7546"/>
    </row>
    <row r="7547" spans="10:10" x14ac:dyDescent="0.2">
      <c r="J7547"/>
    </row>
    <row r="7548" spans="10:10" x14ac:dyDescent="0.2">
      <c r="J7548"/>
    </row>
    <row r="7549" spans="10:10" x14ac:dyDescent="0.2">
      <c r="J7549"/>
    </row>
    <row r="7550" spans="10:10" x14ac:dyDescent="0.2">
      <c r="J7550"/>
    </row>
    <row r="7551" spans="10:10" x14ac:dyDescent="0.2">
      <c r="J7551"/>
    </row>
    <row r="7552" spans="10:10" x14ac:dyDescent="0.2">
      <c r="J7552"/>
    </row>
    <row r="7553" spans="10:10" x14ac:dyDescent="0.2">
      <c r="J7553"/>
    </row>
    <row r="7554" spans="10:10" x14ac:dyDescent="0.2">
      <c r="J7554"/>
    </row>
    <row r="7555" spans="10:10" x14ac:dyDescent="0.2">
      <c r="J7555"/>
    </row>
    <row r="7556" spans="10:10" x14ac:dyDescent="0.2">
      <c r="J7556"/>
    </row>
    <row r="7557" spans="10:10" x14ac:dyDescent="0.2">
      <c r="J7557"/>
    </row>
    <row r="7558" spans="10:10" x14ac:dyDescent="0.2">
      <c r="J7558"/>
    </row>
    <row r="7559" spans="10:10" x14ac:dyDescent="0.2">
      <c r="J7559"/>
    </row>
    <row r="7560" spans="10:10" x14ac:dyDescent="0.2">
      <c r="J7560"/>
    </row>
    <row r="7561" spans="10:10" x14ac:dyDescent="0.2">
      <c r="J7561"/>
    </row>
    <row r="7562" spans="10:10" x14ac:dyDescent="0.2">
      <c r="J7562"/>
    </row>
    <row r="7563" spans="10:10" x14ac:dyDescent="0.2">
      <c r="J7563"/>
    </row>
    <row r="7564" spans="10:10" x14ac:dyDescent="0.2">
      <c r="J7564"/>
    </row>
    <row r="7565" spans="10:10" x14ac:dyDescent="0.2">
      <c r="J7565"/>
    </row>
    <row r="7566" spans="10:10" x14ac:dyDescent="0.2">
      <c r="J7566"/>
    </row>
    <row r="7567" spans="10:10" x14ac:dyDescent="0.2">
      <c r="J7567"/>
    </row>
    <row r="7568" spans="10:10" x14ac:dyDescent="0.2">
      <c r="J7568"/>
    </row>
    <row r="7569" spans="10:10" x14ac:dyDescent="0.2">
      <c r="J7569"/>
    </row>
    <row r="7570" spans="10:10" x14ac:dyDescent="0.2">
      <c r="J7570"/>
    </row>
    <row r="7571" spans="10:10" x14ac:dyDescent="0.2">
      <c r="J7571"/>
    </row>
    <row r="7572" spans="10:10" x14ac:dyDescent="0.2">
      <c r="J7572"/>
    </row>
    <row r="7573" spans="10:10" x14ac:dyDescent="0.2">
      <c r="J7573"/>
    </row>
    <row r="7574" spans="10:10" x14ac:dyDescent="0.2">
      <c r="J7574"/>
    </row>
    <row r="7575" spans="10:10" x14ac:dyDescent="0.2">
      <c r="J7575"/>
    </row>
    <row r="7576" spans="10:10" x14ac:dyDescent="0.2">
      <c r="J7576"/>
    </row>
    <row r="7577" spans="10:10" x14ac:dyDescent="0.2">
      <c r="J7577"/>
    </row>
    <row r="7578" spans="10:10" x14ac:dyDescent="0.2">
      <c r="J7578"/>
    </row>
    <row r="7579" spans="10:10" x14ac:dyDescent="0.2">
      <c r="J7579"/>
    </row>
    <row r="7580" spans="10:10" x14ac:dyDescent="0.2">
      <c r="J7580"/>
    </row>
    <row r="7581" spans="10:10" x14ac:dyDescent="0.2">
      <c r="J7581"/>
    </row>
    <row r="7582" spans="10:10" x14ac:dyDescent="0.2">
      <c r="J7582"/>
    </row>
    <row r="7583" spans="10:10" x14ac:dyDescent="0.2">
      <c r="J7583"/>
    </row>
    <row r="7584" spans="10:10" x14ac:dyDescent="0.2">
      <c r="J7584"/>
    </row>
    <row r="7585" spans="10:10" x14ac:dyDescent="0.2">
      <c r="J7585"/>
    </row>
    <row r="7586" spans="10:10" x14ac:dyDescent="0.2">
      <c r="J7586"/>
    </row>
    <row r="7587" spans="10:10" x14ac:dyDescent="0.2">
      <c r="J7587"/>
    </row>
    <row r="7588" spans="10:10" x14ac:dyDescent="0.2">
      <c r="J7588"/>
    </row>
    <row r="7589" spans="10:10" x14ac:dyDescent="0.2">
      <c r="J7589"/>
    </row>
    <row r="7590" spans="10:10" x14ac:dyDescent="0.2">
      <c r="J7590"/>
    </row>
    <row r="7591" spans="10:10" x14ac:dyDescent="0.2">
      <c r="J7591"/>
    </row>
    <row r="7592" spans="10:10" x14ac:dyDescent="0.2">
      <c r="J7592"/>
    </row>
    <row r="7593" spans="10:10" x14ac:dyDescent="0.2">
      <c r="J7593"/>
    </row>
    <row r="7594" spans="10:10" x14ac:dyDescent="0.2">
      <c r="J7594"/>
    </row>
    <row r="7595" spans="10:10" x14ac:dyDescent="0.2">
      <c r="J7595"/>
    </row>
    <row r="7596" spans="10:10" x14ac:dyDescent="0.2">
      <c r="J7596"/>
    </row>
    <row r="7597" spans="10:10" x14ac:dyDescent="0.2">
      <c r="J7597"/>
    </row>
    <row r="7598" spans="10:10" x14ac:dyDescent="0.2">
      <c r="J7598"/>
    </row>
    <row r="7599" spans="10:10" x14ac:dyDescent="0.2">
      <c r="J7599"/>
    </row>
    <row r="7600" spans="10:10" x14ac:dyDescent="0.2">
      <c r="J7600"/>
    </row>
    <row r="7601" spans="10:10" x14ac:dyDescent="0.2">
      <c r="J7601"/>
    </row>
    <row r="7602" spans="10:10" x14ac:dyDescent="0.2">
      <c r="J7602"/>
    </row>
    <row r="7603" spans="10:10" x14ac:dyDescent="0.2">
      <c r="J7603"/>
    </row>
    <row r="7604" spans="10:10" x14ac:dyDescent="0.2">
      <c r="J7604"/>
    </row>
    <row r="7605" spans="10:10" x14ac:dyDescent="0.2">
      <c r="J7605"/>
    </row>
    <row r="7606" spans="10:10" x14ac:dyDescent="0.2">
      <c r="J7606"/>
    </row>
    <row r="7607" spans="10:10" x14ac:dyDescent="0.2">
      <c r="J7607"/>
    </row>
    <row r="7608" spans="10:10" x14ac:dyDescent="0.2">
      <c r="J7608"/>
    </row>
    <row r="7609" spans="10:10" x14ac:dyDescent="0.2">
      <c r="J7609"/>
    </row>
    <row r="7610" spans="10:10" x14ac:dyDescent="0.2">
      <c r="J7610"/>
    </row>
    <row r="7611" spans="10:10" x14ac:dyDescent="0.2">
      <c r="J7611"/>
    </row>
    <row r="7612" spans="10:10" x14ac:dyDescent="0.2">
      <c r="J7612"/>
    </row>
    <row r="7613" spans="10:10" x14ac:dyDescent="0.2">
      <c r="J7613"/>
    </row>
    <row r="7614" spans="10:10" x14ac:dyDescent="0.2">
      <c r="J7614"/>
    </row>
    <row r="7615" spans="10:10" x14ac:dyDescent="0.2">
      <c r="J7615"/>
    </row>
    <row r="7616" spans="10:10" x14ac:dyDescent="0.2">
      <c r="J7616"/>
    </row>
    <row r="7617" spans="10:10" x14ac:dyDescent="0.2">
      <c r="J7617"/>
    </row>
    <row r="7618" spans="10:10" x14ac:dyDescent="0.2">
      <c r="J7618"/>
    </row>
    <row r="7619" spans="10:10" x14ac:dyDescent="0.2">
      <c r="J7619"/>
    </row>
    <row r="7620" spans="10:10" x14ac:dyDescent="0.2">
      <c r="J7620"/>
    </row>
    <row r="7621" spans="10:10" x14ac:dyDescent="0.2">
      <c r="J7621"/>
    </row>
    <row r="7622" spans="10:10" x14ac:dyDescent="0.2">
      <c r="J7622"/>
    </row>
    <row r="7623" spans="10:10" x14ac:dyDescent="0.2">
      <c r="J7623"/>
    </row>
    <row r="7624" spans="10:10" x14ac:dyDescent="0.2">
      <c r="J7624"/>
    </row>
    <row r="7625" spans="10:10" x14ac:dyDescent="0.2">
      <c r="J7625"/>
    </row>
    <row r="7626" spans="10:10" x14ac:dyDescent="0.2">
      <c r="J7626"/>
    </row>
    <row r="7627" spans="10:10" x14ac:dyDescent="0.2">
      <c r="J7627"/>
    </row>
    <row r="7628" spans="10:10" x14ac:dyDescent="0.2">
      <c r="J7628"/>
    </row>
    <row r="7629" spans="10:10" x14ac:dyDescent="0.2">
      <c r="J7629"/>
    </row>
    <row r="7630" spans="10:10" x14ac:dyDescent="0.2">
      <c r="J7630"/>
    </row>
    <row r="7631" spans="10:10" x14ac:dyDescent="0.2">
      <c r="J7631"/>
    </row>
    <row r="7632" spans="10:10" x14ac:dyDescent="0.2">
      <c r="J7632"/>
    </row>
    <row r="7633" spans="10:10" x14ac:dyDescent="0.2">
      <c r="J7633"/>
    </row>
    <row r="7634" spans="10:10" x14ac:dyDescent="0.2">
      <c r="J7634"/>
    </row>
    <row r="7635" spans="10:10" x14ac:dyDescent="0.2">
      <c r="J7635"/>
    </row>
    <row r="7636" spans="10:10" x14ac:dyDescent="0.2">
      <c r="J7636"/>
    </row>
    <row r="7637" spans="10:10" x14ac:dyDescent="0.2">
      <c r="J7637"/>
    </row>
    <row r="7638" spans="10:10" x14ac:dyDescent="0.2">
      <c r="J7638"/>
    </row>
    <row r="7639" spans="10:10" x14ac:dyDescent="0.2">
      <c r="J7639"/>
    </row>
    <row r="7640" spans="10:10" x14ac:dyDescent="0.2">
      <c r="J7640"/>
    </row>
    <row r="7641" spans="10:10" x14ac:dyDescent="0.2">
      <c r="J7641"/>
    </row>
    <row r="7642" spans="10:10" x14ac:dyDescent="0.2">
      <c r="J7642"/>
    </row>
    <row r="7643" spans="10:10" x14ac:dyDescent="0.2">
      <c r="J7643"/>
    </row>
    <row r="7644" spans="10:10" x14ac:dyDescent="0.2">
      <c r="J7644"/>
    </row>
    <row r="7645" spans="10:10" x14ac:dyDescent="0.2">
      <c r="J7645"/>
    </row>
    <row r="7646" spans="10:10" x14ac:dyDescent="0.2">
      <c r="J7646"/>
    </row>
    <row r="7647" spans="10:10" x14ac:dyDescent="0.2">
      <c r="J7647"/>
    </row>
    <row r="7648" spans="10:10" x14ac:dyDescent="0.2">
      <c r="J7648"/>
    </row>
    <row r="7649" spans="10:10" x14ac:dyDescent="0.2">
      <c r="J7649"/>
    </row>
    <row r="7650" spans="10:10" x14ac:dyDescent="0.2">
      <c r="J7650"/>
    </row>
    <row r="7651" spans="10:10" x14ac:dyDescent="0.2">
      <c r="J7651"/>
    </row>
    <row r="7652" spans="10:10" x14ac:dyDescent="0.2">
      <c r="J7652"/>
    </row>
    <row r="7653" spans="10:10" x14ac:dyDescent="0.2">
      <c r="J7653"/>
    </row>
    <row r="7654" spans="10:10" x14ac:dyDescent="0.2">
      <c r="J7654"/>
    </row>
    <row r="7655" spans="10:10" x14ac:dyDescent="0.2">
      <c r="J7655"/>
    </row>
    <row r="7656" spans="10:10" x14ac:dyDescent="0.2">
      <c r="J7656"/>
    </row>
    <row r="7657" spans="10:10" x14ac:dyDescent="0.2">
      <c r="J7657"/>
    </row>
    <row r="7658" spans="10:10" x14ac:dyDescent="0.2">
      <c r="J7658"/>
    </row>
    <row r="7659" spans="10:10" x14ac:dyDescent="0.2">
      <c r="J7659"/>
    </row>
    <row r="7660" spans="10:10" x14ac:dyDescent="0.2">
      <c r="J7660"/>
    </row>
    <row r="7661" spans="10:10" x14ac:dyDescent="0.2">
      <c r="J7661"/>
    </row>
    <row r="7662" spans="10:10" x14ac:dyDescent="0.2">
      <c r="J7662"/>
    </row>
    <row r="7663" spans="10:10" x14ac:dyDescent="0.2">
      <c r="J7663"/>
    </row>
    <row r="7664" spans="10:10" x14ac:dyDescent="0.2">
      <c r="J7664"/>
    </row>
    <row r="7665" spans="10:10" x14ac:dyDescent="0.2">
      <c r="J7665"/>
    </row>
    <row r="7666" spans="10:10" x14ac:dyDescent="0.2">
      <c r="J7666"/>
    </row>
    <row r="7667" spans="10:10" x14ac:dyDescent="0.2">
      <c r="J7667"/>
    </row>
    <row r="7668" spans="10:10" x14ac:dyDescent="0.2">
      <c r="J7668"/>
    </row>
    <row r="7669" spans="10:10" x14ac:dyDescent="0.2">
      <c r="J7669"/>
    </row>
    <row r="7670" spans="10:10" x14ac:dyDescent="0.2">
      <c r="J7670"/>
    </row>
    <row r="7671" spans="10:10" x14ac:dyDescent="0.2">
      <c r="J7671"/>
    </row>
    <row r="7672" spans="10:10" x14ac:dyDescent="0.2">
      <c r="J7672"/>
    </row>
    <row r="7673" spans="10:10" x14ac:dyDescent="0.2">
      <c r="J7673"/>
    </row>
    <row r="7674" spans="10:10" x14ac:dyDescent="0.2">
      <c r="J7674"/>
    </row>
    <row r="7675" spans="10:10" x14ac:dyDescent="0.2">
      <c r="J7675"/>
    </row>
    <row r="7676" spans="10:10" x14ac:dyDescent="0.2">
      <c r="J7676"/>
    </row>
    <row r="7677" spans="10:10" x14ac:dyDescent="0.2">
      <c r="J7677"/>
    </row>
    <row r="7678" spans="10:10" x14ac:dyDescent="0.2">
      <c r="J7678"/>
    </row>
    <row r="7679" spans="10:10" x14ac:dyDescent="0.2">
      <c r="J7679"/>
    </row>
    <row r="7680" spans="10:10" x14ac:dyDescent="0.2">
      <c r="J7680"/>
    </row>
    <row r="7681" spans="10:10" x14ac:dyDescent="0.2">
      <c r="J7681"/>
    </row>
    <row r="7682" spans="10:10" x14ac:dyDescent="0.2">
      <c r="J7682"/>
    </row>
    <row r="7683" spans="10:10" x14ac:dyDescent="0.2">
      <c r="J7683"/>
    </row>
    <row r="7684" spans="10:10" x14ac:dyDescent="0.2">
      <c r="J7684"/>
    </row>
    <row r="7685" spans="10:10" x14ac:dyDescent="0.2">
      <c r="J7685"/>
    </row>
    <row r="7686" spans="10:10" x14ac:dyDescent="0.2">
      <c r="J7686"/>
    </row>
    <row r="7687" spans="10:10" x14ac:dyDescent="0.2">
      <c r="J7687"/>
    </row>
    <row r="7688" spans="10:10" x14ac:dyDescent="0.2">
      <c r="J7688"/>
    </row>
    <row r="7689" spans="10:10" x14ac:dyDescent="0.2">
      <c r="J7689"/>
    </row>
    <row r="7690" spans="10:10" x14ac:dyDescent="0.2">
      <c r="J7690"/>
    </row>
    <row r="7691" spans="10:10" x14ac:dyDescent="0.2">
      <c r="J7691"/>
    </row>
    <row r="7692" spans="10:10" x14ac:dyDescent="0.2">
      <c r="J7692"/>
    </row>
    <row r="7693" spans="10:10" x14ac:dyDescent="0.2">
      <c r="J7693"/>
    </row>
    <row r="7694" spans="10:10" x14ac:dyDescent="0.2">
      <c r="J7694"/>
    </row>
    <row r="7695" spans="10:10" x14ac:dyDescent="0.2">
      <c r="J7695"/>
    </row>
    <row r="7696" spans="10:10" x14ac:dyDescent="0.2">
      <c r="J7696"/>
    </row>
    <row r="7697" spans="10:10" x14ac:dyDescent="0.2">
      <c r="J7697"/>
    </row>
    <row r="7698" spans="10:10" x14ac:dyDescent="0.2">
      <c r="J7698"/>
    </row>
    <row r="7699" spans="10:10" x14ac:dyDescent="0.2">
      <c r="J7699"/>
    </row>
    <row r="7700" spans="10:10" x14ac:dyDescent="0.2">
      <c r="J7700"/>
    </row>
    <row r="7701" spans="10:10" x14ac:dyDescent="0.2">
      <c r="J7701"/>
    </row>
    <row r="7702" spans="10:10" x14ac:dyDescent="0.2">
      <c r="J7702"/>
    </row>
    <row r="7703" spans="10:10" x14ac:dyDescent="0.2">
      <c r="J7703"/>
    </row>
    <row r="7704" spans="10:10" x14ac:dyDescent="0.2">
      <c r="J7704"/>
    </row>
    <row r="7705" spans="10:10" x14ac:dyDescent="0.2">
      <c r="J7705"/>
    </row>
    <row r="7706" spans="10:10" x14ac:dyDescent="0.2">
      <c r="J7706"/>
    </row>
    <row r="7707" spans="10:10" x14ac:dyDescent="0.2">
      <c r="J7707"/>
    </row>
    <row r="7708" spans="10:10" x14ac:dyDescent="0.2">
      <c r="J7708"/>
    </row>
    <row r="7709" spans="10:10" x14ac:dyDescent="0.2">
      <c r="J7709"/>
    </row>
    <row r="7710" spans="10:10" x14ac:dyDescent="0.2">
      <c r="J7710"/>
    </row>
    <row r="7711" spans="10:10" x14ac:dyDescent="0.2">
      <c r="J7711"/>
    </row>
    <row r="7712" spans="10:10" x14ac:dyDescent="0.2">
      <c r="J7712"/>
    </row>
    <row r="7713" spans="10:10" x14ac:dyDescent="0.2">
      <c r="J7713"/>
    </row>
    <row r="7714" spans="10:10" x14ac:dyDescent="0.2">
      <c r="J7714"/>
    </row>
    <row r="7715" spans="10:10" x14ac:dyDescent="0.2">
      <c r="J7715"/>
    </row>
    <row r="7716" spans="10:10" x14ac:dyDescent="0.2">
      <c r="J7716"/>
    </row>
  </sheetData>
  <customSheetViews>
    <customSheetView guid="{391ED413-B519-42B5-B0F8-A9E49CD8514B}" scale="85" showPageBreaks="1" printArea="1" hiddenRows="1">
      <pane ySplit="75" topLeftCell="A77" activePane="bottomLeft" state="frozen"/>
      <selection pane="bottomLeft" activeCell="G85" sqref="G85"/>
      <pageMargins left="0.31496062992125984" right="0.31496062992125984" top="0.39370078740157483" bottom="0.39370078740157483" header="0.31496062992125984" footer="0.31496062992125984"/>
      <printOptions horizontalCentered="1"/>
      <pageSetup paperSize="9" scale="75" orientation="landscape" r:id="rId1"/>
    </customSheetView>
  </customSheetViews>
  <mergeCells count="11">
    <mergeCell ref="F651:F652"/>
    <mergeCell ref="F641:F642"/>
    <mergeCell ref="F643:F644"/>
    <mergeCell ref="F645:F646"/>
    <mergeCell ref="F647:F648"/>
    <mergeCell ref="F649:F650"/>
    <mergeCell ref="B4:H4"/>
    <mergeCell ref="F633:F634"/>
    <mergeCell ref="F635:F636"/>
    <mergeCell ref="F637:F638"/>
    <mergeCell ref="F639:F640"/>
  </mergeCells>
  <printOptions horizontalCentered="1"/>
  <pageMargins left="0.31496062992125984" right="0.31496062992125984" top="0.39370078740157483" bottom="0.39370078740157483" header="0.31496062992125984" footer="0.31496062992125984"/>
  <pageSetup paperSize="9" scale="79" fitToHeight="0" orientation="landscape" r:id="rId2"/>
  <rowBreaks count="27" manualBreakCount="27">
    <brk id="79" max="16383" man="1"/>
    <brk id="92" max="16383" man="1"/>
    <brk id="124" max="16383" man="1"/>
    <brk id="143" max="8" man="1"/>
    <brk id="161" max="8" man="1"/>
    <brk id="174" max="8" man="1"/>
    <brk id="187" max="8" man="1"/>
    <brk id="201" max="8" man="1"/>
    <brk id="219" max="8" man="1"/>
    <brk id="237" max="8" man="1"/>
    <brk id="254" max="8" man="1"/>
    <brk id="267" max="8" man="1"/>
    <brk id="287" max="8" man="1"/>
    <brk id="314" max="8" man="1"/>
    <brk id="333" max="8" man="1"/>
    <brk id="352" max="8" man="1"/>
    <brk id="425" max="8" man="1"/>
    <brk id="444" max="8" man="1"/>
    <brk id="463" max="8" man="1"/>
    <brk id="482" max="8" man="1"/>
    <brk id="520" max="8" man="1"/>
    <brk id="539" max="8" man="1"/>
    <brk id="558" max="8" man="1"/>
    <brk id="577" max="8" man="1"/>
    <brk id="590" max="8" man="1"/>
    <brk id="603" max="8" man="1"/>
    <brk id="629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>
    <tabColor theme="5" tint="0.39997558519241921"/>
  </sheetPr>
  <dimension ref="B1:N550"/>
  <sheetViews>
    <sheetView zoomScale="85" zoomScaleNormal="85" zoomScaleSheetLayoutView="130" workbookViewId="0">
      <pane ySplit="1" topLeftCell="A2" activePane="bottomLeft" state="frozen"/>
      <selection pane="bottomLeft" activeCell="J41" sqref="J41"/>
    </sheetView>
  </sheetViews>
  <sheetFormatPr baseColWidth="10" defaultRowHeight="12.6" x14ac:dyDescent="0.2"/>
  <cols>
    <col min="1" max="1" width="2.6328125" customWidth="1"/>
    <col min="2" max="2" width="10.6328125" style="4" customWidth="1"/>
    <col min="3" max="3" width="18.7265625" style="15" customWidth="1"/>
    <col min="4" max="4" width="20.36328125" style="15" customWidth="1"/>
    <col min="5" max="5" width="30.6328125" style="31" bestFit="1" customWidth="1"/>
    <col min="6" max="6" width="24.26953125" style="15" customWidth="1"/>
    <col min="7" max="7" width="9.26953125" style="15" hidden="1" customWidth="1"/>
    <col min="8" max="8" width="2.90625" hidden="1" customWidth="1"/>
    <col min="9" max="9" width="16.6328125" style="15" hidden="1" customWidth="1"/>
    <col min="10" max="10" width="10.6328125" style="256" customWidth="1"/>
    <col min="11" max="11" width="0" hidden="1" customWidth="1"/>
    <col min="12" max="12" width="1.26953125" customWidth="1"/>
  </cols>
  <sheetData>
    <row r="1" spans="2:14" s="247" customFormat="1" ht="16.8" thickBot="1" x14ac:dyDescent="0.25">
      <c r="B1" s="282" t="s">
        <v>0</v>
      </c>
      <c r="C1" s="283" t="s">
        <v>1</v>
      </c>
      <c r="D1" s="283" t="s">
        <v>2</v>
      </c>
      <c r="E1" s="283" t="s">
        <v>17</v>
      </c>
      <c r="F1" s="283" t="s">
        <v>108</v>
      </c>
      <c r="G1" s="283" t="s">
        <v>88</v>
      </c>
      <c r="H1" s="283" t="s">
        <v>91</v>
      </c>
      <c r="I1" s="283" t="s">
        <v>53</v>
      </c>
      <c r="J1" s="284" t="s">
        <v>59</v>
      </c>
      <c r="K1" s="280" t="s">
        <v>109</v>
      </c>
      <c r="L1" s="279"/>
      <c r="M1" s="277" t="s">
        <v>110</v>
      </c>
      <c r="N1" s="278" t="e">
        <f>SUM(Tabelle1[Offen])</f>
        <v>#REF!</v>
      </c>
    </row>
    <row r="2" spans="2:14" ht="13.8" x14ac:dyDescent="0.2">
      <c r="B2" s="309">
        <f>'Eingabe Meldungen'!A4</f>
        <v>25</v>
      </c>
      <c r="C2" s="310" t="str">
        <f>'Eingabe Meldungen'!C4</f>
        <v>Sommer</v>
      </c>
      <c r="D2" s="310" t="str">
        <f>'Eingabe Meldungen'!D4</f>
        <v>Christian</v>
      </c>
      <c r="E2" s="311" t="str">
        <f>'Eingabe Meldungen'!J4</f>
        <v>USV TU Dresden</v>
      </c>
      <c r="F2" s="310" t="str">
        <f>VLOOKUP(B2,Ausschreibung!$B$4:$I$35,4,FALSE)</f>
        <v>Masters A-H, männlich</v>
      </c>
      <c r="G2" s="189" t="e">
        <f t="shared" ref="G2:G32" si="0">IF(B2=35,H2-4,H2)</f>
        <v>#REF!</v>
      </c>
      <c r="H2" s="189" t="e">
        <f>IF(#REF!="Ergocup",8,"DHM")</f>
        <v>#REF!</v>
      </c>
      <c r="I2" s="40">
        <f>'Eingabe Meldungen'!K271</f>
        <v>0</v>
      </c>
      <c r="J2" s="258"/>
      <c r="K2" s="281">
        <f>IF(Tabelle1[[#This Row],[Bezahlt]]="JA",#REF!,0)</f>
        <v>0</v>
      </c>
      <c r="L2" s="279"/>
    </row>
    <row r="3" spans="2:14" ht="13.8" x14ac:dyDescent="0.2">
      <c r="B3" s="309">
        <f>'Eingabe Meldungen'!A19</f>
        <v>28</v>
      </c>
      <c r="C3" s="310" t="str">
        <f>'Eingabe Meldungen'!C19</f>
        <v>Kunz</v>
      </c>
      <c r="D3" s="310" t="str">
        <f>'Eingabe Meldungen'!D19</f>
        <v>Gert</v>
      </c>
      <c r="E3" s="311" t="str">
        <f>'Eingabe Meldungen'!J19</f>
        <v>USV TU Dresden</v>
      </c>
      <c r="F3" s="310" t="str">
        <f>VLOOKUP(B3,Ausschreibung!$B$4:$I$35,4,FALSE)</f>
        <v>Masters A-H, weiblich</v>
      </c>
      <c r="G3" s="189" t="e">
        <f t="shared" si="0"/>
        <v>#REF!</v>
      </c>
      <c r="H3" s="189" t="e">
        <f>IF(#REF!="Ergocup",8,"DHM")</f>
        <v>#REF!</v>
      </c>
      <c r="I3" s="40">
        <f>'Eingabe Meldungen'!K354</f>
        <v>0</v>
      </c>
      <c r="J3" s="258"/>
      <c r="K3" s="281">
        <f>IF(Tabelle1[[#This Row],[Bezahlt]]="JA",#REF!,0)</f>
        <v>0</v>
      </c>
      <c r="L3" s="279"/>
    </row>
    <row r="4" spans="2:14" ht="13.8" x14ac:dyDescent="0.2">
      <c r="B4" s="309">
        <f>'Eingabe Meldungen'!A23</f>
        <v>1</v>
      </c>
      <c r="C4" s="310" t="str">
        <f>'Eingabe Meldungen'!C23</f>
        <v>Young</v>
      </c>
      <c r="D4" s="310" t="str">
        <f>'Eingabe Meldungen'!D23</f>
        <v>Susan</v>
      </c>
      <c r="E4" s="311" t="str">
        <f>'Eingabe Meldungen'!J23</f>
        <v>Sub7 IRC</v>
      </c>
      <c r="F4" s="310" t="str">
        <f>VLOOKUP(B4,Ausschreibung!$B$4:$I$35,4,FALSE)</f>
        <v>Masters A-H, weiblich  </v>
      </c>
      <c r="G4" s="189" t="e">
        <f t="shared" si="0"/>
        <v>#REF!</v>
      </c>
      <c r="H4" s="189" t="e">
        <f>IF(#REF!="Ergocup",8,"DHM")</f>
        <v>#REF!</v>
      </c>
      <c r="I4" s="40">
        <f>'Eingabe Meldungen'!K298</f>
        <v>0</v>
      </c>
      <c r="J4" s="258"/>
      <c r="K4" s="281">
        <f>IF(Tabelle1[[#This Row],[Bezahlt]]="JA",#REF!,0)</f>
        <v>0</v>
      </c>
      <c r="L4" s="279"/>
    </row>
    <row r="5" spans="2:14" ht="13.8" x14ac:dyDescent="0.2">
      <c r="B5" s="309">
        <f>'Eingabe Meldungen'!A47</f>
        <v>23</v>
      </c>
      <c r="C5" s="310" t="str">
        <f>'Eingabe Meldungen'!C47</f>
        <v>Bogenschütz</v>
      </c>
      <c r="D5" s="310" t="str">
        <f>'Eingabe Meldungen'!D47</f>
        <v>Benjamin</v>
      </c>
      <c r="E5" s="311" t="str">
        <f>'Eingabe Meldungen'!J47</f>
        <v>Stuttgarter RG</v>
      </c>
      <c r="F5" s="310" t="str">
        <f>VLOOKUP(B5,Ausschreibung!$B$4:$I$35,4,FALSE)</f>
        <v>Senioren A</v>
      </c>
      <c r="G5" s="189" t="e">
        <f t="shared" si="0"/>
        <v>#REF!</v>
      </c>
      <c r="H5" s="189" t="e">
        <f>IF(#REF!="Ergocup",8,"DHM")</f>
        <v>#REF!</v>
      </c>
      <c r="I5" s="40">
        <f>'Eingabe Meldungen'!K328</f>
        <v>0</v>
      </c>
      <c r="J5" s="258"/>
      <c r="K5" s="281">
        <f>IF(Tabelle1[[#This Row],[Bezahlt]]="JA",#REF!,0)</f>
        <v>0</v>
      </c>
      <c r="L5" s="279"/>
    </row>
    <row r="6" spans="2:14" ht="13.8" x14ac:dyDescent="0.2">
      <c r="B6" s="309">
        <f>'Eingabe Meldungen'!A59</f>
        <v>22</v>
      </c>
      <c r="C6" s="310" t="str">
        <f>'Eingabe Meldungen'!C59</f>
        <v>Jendrozek</v>
      </c>
      <c r="D6" s="310" t="str">
        <f>'Eingabe Meldungen'!D59</f>
        <v>Luisa</v>
      </c>
      <c r="E6" s="311" t="str">
        <f>'Eingabe Meldungen'!J59</f>
        <v>Stuttgarter RG</v>
      </c>
      <c r="F6" s="310" t="str">
        <f>VLOOKUP(B6,Ausschreibung!$B$4:$I$35,4,FALSE)</f>
        <v>Seniorinnen A</v>
      </c>
      <c r="G6" s="189" t="e">
        <f t="shared" si="0"/>
        <v>#REF!</v>
      </c>
      <c r="H6" s="189" t="e">
        <f>IF(#REF!="Ergocup",8,"DHM")</f>
        <v>#REF!</v>
      </c>
      <c r="I6" s="40">
        <f>'Eingabe Meldungen'!K348</f>
        <v>0</v>
      </c>
      <c r="J6" s="258"/>
      <c r="K6" s="281">
        <f>IF(Tabelle1[[#This Row],[Bezahlt]]="JA",#REF!,0)</f>
        <v>0</v>
      </c>
      <c r="L6" s="279"/>
    </row>
    <row r="7" spans="2:14" ht="13.8" x14ac:dyDescent="0.2">
      <c r="B7" s="309">
        <f>'Eingabe Meldungen'!A81</f>
        <v>11</v>
      </c>
      <c r="C7" s="310" t="str">
        <f>'Eingabe Meldungen'!C81</f>
        <v>Abendschein</v>
      </c>
      <c r="D7" s="310" t="str">
        <f>'Eingabe Meldungen'!D81</f>
        <v>Amrei</v>
      </c>
      <c r="E7" s="311" t="str">
        <f>'Eingabe Meldungen'!J81</f>
        <v>Stuttgart-Cannstatter RC</v>
      </c>
      <c r="F7" s="310" t="str">
        <f>VLOOKUP(B7,Ausschreibung!$B$4:$I$35,4,FALSE)</f>
        <v>Juniorinnen B U17</v>
      </c>
      <c r="G7" s="189" t="e">
        <f t="shared" si="0"/>
        <v>#REF!</v>
      </c>
      <c r="H7" s="189" t="e">
        <f>IF(#REF!="Ergocup",8,"DHM")</f>
        <v>#REF!</v>
      </c>
      <c r="I7" s="40">
        <f>'Eingabe Meldungen'!K284</f>
        <v>0</v>
      </c>
      <c r="J7" s="258"/>
      <c r="K7" s="281">
        <f>IF(Tabelle1[[#This Row],[Bezahlt]]="JA",#REF!,0)</f>
        <v>0</v>
      </c>
      <c r="L7" s="279"/>
    </row>
    <row r="8" spans="2:14" ht="13.8" x14ac:dyDescent="0.2">
      <c r="B8" s="309">
        <f>'Eingabe Meldungen'!A112</f>
        <v>11</v>
      </c>
      <c r="C8" s="310" t="str">
        <f>'Eingabe Meldungen'!C112</f>
        <v>Guhl</v>
      </c>
      <c r="D8" s="310" t="str">
        <f>'Eingabe Meldungen'!D112</f>
        <v>Mara</v>
      </c>
      <c r="E8" s="311" t="str">
        <f>'Eingabe Meldungen'!J112</f>
        <v>Stuttgart-Cannstatter RC</v>
      </c>
      <c r="F8" s="310" t="str">
        <f>VLOOKUP(B8,Ausschreibung!$B$4:$I$35,4,FALSE)</f>
        <v>Juniorinnen B U17</v>
      </c>
      <c r="G8" s="189" t="e">
        <f t="shared" si="0"/>
        <v>#REF!</v>
      </c>
      <c r="H8" s="189" t="e">
        <f>IF(#REF!="Ergocup",8,"DHM")</f>
        <v>#REF!</v>
      </c>
      <c r="I8" s="40">
        <f>'Eingabe Meldungen'!K377</f>
        <v>0</v>
      </c>
      <c r="J8" s="258"/>
      <c r="K8" s="281">
        <f>IF(Tabelle1[[#This Row],[Bezahlt]]="JA",#REF!,0)</f>
        <v>0</v>
      </c>
      <c r="L8" s="279"/>
    </row>
    <row r="9" spans="2:14" ht="13.8" x14ac:dyDescent="0.2">
      <c r="B9" s="309">
        <f>'Eingabe Meldungen'!A120</f>
        <v>14</v>
      </c>
      <c r="C9" s="310" t="str">
        <f>'Eingabe Meldungen'!C120</f>
        <v>Gathmann</v>
      </c>
      <c r="D9" s="310" t="str">
        <f>'Eingabe Meldungen'!D120</f>
        <v>Tobias</v>
      </c>
      <c r="E9" s="311" t="str">
        <f>'Eingabe Meldungen'!J120</f>
        <v>Stuttgart-Cannstatter RC</v>
      </c>
      <c r="F9" s="310" t="str">
        <f>VLOOKUP(B9,Ausschreibung!$B$4:$I$35,4,FALSE)</f>
        <v>Junioren B U17</v>
      </c>
      <c r="G9" s="189" t="e">
        <f t="shared" si="0"/>
        <v>#REF!</v>
      </c>
      <c r="H9" s="189" t="e">
        <f>IF(#REF!="Ergocup",8,"DHM")</f>
        <v>#REF!</v>
      </c>
      <c r="I9" s="40">
        <f>'Eingabe Meldungen'!K219</f>
        <v>0</v>
      </c>
      <c r="J9" s="258"/>
      <c r="K9" s="281">
        <f>IF(Tabelle1[[#This Row],[Bezahlt]]="JA",#REF!,0)</f>
        <v>0</v>
      </c>
      <c r="L9" s="279"/>
    </row>
    <row r="10" spans="2:14" ht="13.8" x14ac:dyDescent="0.2">
      <c r="B10" s="309">
        <f>'Eingabe Meldungen'!A125</f>
        <v>7</v>
      </c>
      <c r="C10" s="310" t="str">
        <f>'Eingabe Meldungen'!C125</f>
        <v>Wulfkühler</v>
      </c>
      <c r="D10" s="310" t="str">
        <f>'Eingabe Meldungen'!D125</f>
        <v>Anke</v>
      </c>
      <c r="E10" s="311" t="str">
        <f>'Eingabe Meldungen'!J125</f>
        <v>Stuttgart-Cannstatter RC</v>
      </c>
      <c r="F10" s="310" t="str">
        <f>VLOOKUP(B10,Ausschreibung!$B$4:$I$35,4,FALSE)</f>
        <v>Mädchen U15</v>
      </c>
      <c r="G10" s="189" t="e">
        <f t="shared" si="0"/>
        <v>#REF!</v>
      </c>
      <c r="H10" s="189" t="e">
        <f>IF(#REF!="Ergocup",8,"DHM")</f>
        <v>#REF!</v>
      </c>
      <c r="I10" s="40">
        <f>'Eingabe Meldungen'!K194</f>
        <v>0</v>
      </c>
      <c r="J10" s="258"/>
      <c r="K10" s="281">
        <f>IF(Tabelle1[[#This Row],[Bezahlt]]="JA",#REF!,0)</f>
        <v>0</v>
      </c>
      <c r="L10" s="279"/>
    </row>
    <row r="11" spans="2:14" ht="13.8" x14ac:dyDescent="0.2">
      <c r="B11" s="309">
        <f>'Eingabe Meldungen'!A136</f>
        <v>7</v>
      </c>
      <c r="C11" s="310" t="str">
        <f>'Eingabe Meldungen'!C136</f>
        <v>Nagel</v>
      </c>
      <c r="D11" s="310" t="str">
        <f>'Eingabe Meldungen'!D136</f>
        <v>Franziska</v>
      </c>
      <c r="E11" s="311" t="str">
        <f>'Eingabe Meldungen'!J136</f>
        <v>Stuttgart-Cannstatter RC</v>
      </c>
      <c r="F11" s="310" t="str">
        <f>VLOOKUP(B11,Ausschreibung!$B$4:$I$35,4,FALSE)</f>
        <v>Mädchen U15</v>
      </c>
      <c r="G11" s="189" t="e">
        <f t="shared" si="0"/>
        <v>#REF!</v>
      </c>
      <c r="H11" s="189" t="e">
        <f>IF(#REF!="Ergocup",8,"DHM")</f>
        <v>#REF!</v>
      </c>
      <c r="I11" s="40">
        <f>'Eingabe Meldungen'!K291</f>
        <v>0</v>
      </c>
      <c r="J11" s="258"/>
      <c r="K11" s="281">
        <f>IF(Tabelle1[[#This Row],[Bezahlt]]="JA",#REF!,0)</f>
        <v>0</v>
      </c>
      <c r="L11" s="279"/>
    </row>
    <row r="12" spans="2:14" ht="13.8" x14ac:dyDescent="0.2">
      <c r="B12" s="309">
        <f>'Eingabe Meldungen'!A137</f>
        <v>10</v>
      </c>
      <c r="C12" s="310" t="str">
        <f>'Eingabe Meldungen'!C137</f>
        <v>Kalmbach</v>
      </c>
      <c r="D12" s="310" t="str">
        <f>'Eingabe Meldungen'!D137</f>
        <v>Henning</v>
      </c>
      <c r="E12" s="311" t="str">
        <f>'Eingabe Meldungen'!J137</f>
        <v>Stuttgart-Cannstatter RC</v>
      </c>
      <c r="F12" s="310" t="str">
        <f>VLOOKUP(B12,Ausschreibung!$B$4:$I$35,4,FALSE)</f>
        <v>Jungen U15</v>
      </c>
      <c r="G12" s="189" t="e">
        <f t="shared" si="0"/>
        <v>#REF!</v>
      </c>
      <c r="H12" s="189" t="e">
        <f>IF(#REF!="Ergocup",8,"DHM")</f>
        <v>#REF!</v>
      </c>
      <c r="I12" s="40">
        <f>'Eingabe Meldungen'!K292</f>
        <v>0</v>
      </c>
      <c r="J12" s="258"/>
      <c r="K12" s="281">
        <f>IF(Tabelle1[[#This Row],[Bezahlt]]="JA",#REF!,0)</f>
        <v>0</v>
      </c>
      <c r="L12" s="279"/>
    </row>
    <row r="13" spans="2:14" ht="13.8" x14ac:dyDescent="0.2">
      <c r="B13" s="309">
        <f>'Eingabe Meldungen'!A145</f>
        <v>7</v>
      </c>
      <c r="C13" s="310" t="str">
        <f>'Eingabe Meldungen'!C145</f>
        <v>Sauer</v>
      </c>
      <c r="D13" s="310" t="str">
        <f>'Eingabe Meldungen'!D145</f>
        <v>Linda</v>
      </c>
      <c r="E13" s="311" t="str">
        <f>'Eingabe Meldungen'!J145</f>
        <v>Stuttgart-Cannstatter RC</v>
      </c>
      <c r="F13" s="310" t="str">
        <f>VLOOKUP(B13,Ausschreibung!$B$4:$I$35,4,FALSE)</f>
        <v>Mädchen U15</v>
      </c>
      <c r="G13" s="189" t="e">
        <f t="shared" si="0"/>
        <v>#REF!</v>
      </c>
      <c r="H13" s="189" t="e">
        <f>IF(#REF!="Ergocup",8,"DHM")</f>
        <v>#REF!</v>
      </c>
      <c r="I13" s="40">
        <f>'Eingabe Meldungen'!K296</f>
        <v>0</v>
      </c>
      <c r="J13" s="258"/>
      <c r="K13" s="281">
        <f>IF(Tabelle1[[#This Row],[Bezahlt]]="JA",#REF!,0)</f>
        <v>0</v>
      </c>
      <c r="L13" s="279"/>
    </row>
    <row r="14" spans="2:14" ht="13.8" x14ac:dyDescent="0.2">
      <c r="B14" s="309">
        <f>'Eingabe Meldungen'!A146</f>
        <v>8</v>
      </c>
      <c r="C14" s="310" t="str">
        <f>'Eingabe Meldungen'!C146</f>
        <v>Oppold</v>
      </c>
      <c r="D14" s="310" t="str">
        <f>'Eingabe Meldungen'!D146</f>
        <v>Marlene</v>
      </c>
      <c r="E14" s="311" t="str">
        <f>'Eingabe Meldungen'!J146</f>
        <v>Stuttgart-Cannstatter RC</v>
      </c>
      <c r="F14" s="310" t="str">
        <f>VLOOKUP(B14,Ausschreibung!$B$4:$I$35,4,FALSE)</f>
        <v>Mädchen U15</v>
      </c>
      <c r="G14" s="189" t="e">
        <f t="shared" si="0"/>
        <v>#REF!</v>
      </c>
      <c r="H14" s="189" t="e">
        <f>IF(#REF!="Ergocup",8,"DHM")</f>
        <v>#REF!</v>
      </c>
      <c r="I14" s="40">
        <f>'Eingabe Meldungen'!K357</f>
        <v>0</v>
      </c>
      <c r="J14" s="258"/>
      <c r="K14" s="281">
        <f>IF(Tabelle1[[#This Row],[Bezahlt]]="JA",#REF!,0)</f>
        <v>0</v>
      </c>
      <c r="L14" s="279"/>
    </row>
    <row r="15" spans="2:14" ht="13.8" x14ac:dyDescent="0.2">
      <c r="B15" s="309">
        <f>'Eingabe Meldungen'!A169</f>
        <v>6</v>
      </c>
      <c r="C15" s="310" t="str">
        <f>'Eingabe Meldungen'!C169</f>
        <v>Gathmann</v>
      </c>
      <c r="D15" s="310" t="str">
        <f>'Eingabe Meldungen'!D169</f>
        <v>Johanna</v>
      </c>
      <c r="E15" s="311" t="str">
        <f>'Eingabe Meldungen'!J169</f>
        <v>Stuttgart-Cannstatter RC</v>
      </c>
      <c r="F15" s="310" t="str">
        <f>VLOOKUP(B15,Ausschreibung!$B$4:$I$35,4,FALSE)</f>
        <v>Mädchen U14</v>
      </c>
      <c r="G15" s="189" t="e">
        <f t="shared" si="0"/>
        <v>#REF!</v>
      </c>
      <c r="H15" s="189" t="e">
        <f>IF(#REF!="Ergocup",8,"DHM")</f>
        <v>#REF!</v>
      </c>
      <c r="I15" s="40">
        <f>'Eingabe Meldungen'!K214</f>
        <v>0</v>
      </c>
      <c r="J15" s="258"/>
      <c r="K15" s="281">
        <f>IF(Tabelle1[[#This Row],[Bezahlt]]="JA",#REF!,0)</f>
        <v>0</v>
      </c>
      <c r="L15" s="279"/>
    </row>
    <row r="16" spans="2:14" ht="13.8" x14ac:dyDescent="0.2">
      <c r="B16" s="309">
        <f>'Eingabe Meldungen'!A170</f>
        <v>5</v>
      </c>
      <c r="C16" s="310" t="str">
        <f>'Eingabe Meldungen'!C170</f>
        <v>Warning</v>
      </c>
      <c r="D16" s="310" t="str">
        <f>'Eingabe Meldungen'!D170</f>
        <v>Johanna</v>
      </c>
      <c r="E16" s="311" t="str">
        <f>'Eingabe Meldungen'!J170</f>
        <v>Stuttgart-Cannstatter RC</v>
      </c>
      <c r="F16" s="310" t="str">
        <f>VLOOKUP(B16,Ausschreibung!$B$4:$I$35,4,FALSE)</f>
        <v>Mädchen U14</v>
      </c>
      <c r="G16" s="189" t="e">
        <f t="shared" si="0"/>
        <v>#REF!</v>
      </c>
      <c r="H16" s="189" t="e">
        <f>IF(#REF!="Ergocup",8,"DHM")</f>
        <v>#REF!</v>
      </c>
      <c r="I16" s="40">
        <f>'Eingabe Meldungen'!K223</f>
        <v>0</v>
      </c>
      <c r="J16" s="258"/>
      <c r="K16" s="281">
        <f>IF(Tabelle1[[#This Row],[Bezahlt]]="JA",#REF!,0)</f>
        <v>0</v>
      </c>
      <c r="L16" s="279"/>
    </row>
    <row r="17" spans="2:12" ht="13.8" x14ac:dyDescent="0.2">
      <c r="B17" s="309">
        <f>'Eingabe Meldungen'!A175</f>
        <v>4</v>
      </c>
      <c r="C17" s="310" t="str">
        <f>'Eingabe Meldungen'!C175</f>
        <v>Yilmaz</v>
      </c>
      <c r="D17" s="310" t="str">
        <f>'Eingabe Meldungen'!D175</f>
        <v>Leon</v>
      </c>
      <c r="E17" s="311" t="str">
        <f>'Eingabe Meldungen'!J175</f>
        <v>Stuttgart-Cannstatter RC</v>
      </c>
      <c r="F17" s="310" t="str">
        <f>VLOOKUP(B17,Ausschreibung!$B$4:$I$35,4,FALSE)</f>
        <v>Jungen U14</v>
      </c>
      <c r="G17" s="189" t="e">
        <f t="shared" si="0"/>
        <v>#REF!</v>
      </c>
      <c r="H17" s="189" t="e">
        <f>IF(#REF!="Ergocup",8,"DHM")</f>
        <v>#REF!</v>
      </c>
      <c r="I17" s="40">
        <f>'Eingabe Meldungen'!K240</f>
        <v>0</v>
      </c>
      <c r="J17" s="258"/>
      <c r="K17" s="281">
        <f>IF(Tabelle1[[#This Row],[Bezahlt]]="JA",#REF!,0)</f>
        <v>0</v>
      </c>
      <c r="L17" s="279"/>
    </row>
    <row r="18" spans="2:12" ht="13.8" x14ac:dyDescent="0.2">
      <c r="B18" s="309">
        <f>'Eingabe Meldungen'!A12</f>
        <v>2</v>
      </c>
      <c r="C18" s="310" t="str">
        <f>'Eingabe Meldungen'!C12</f>
        <v>Klinge</v>
      </c>
      <c r="D18" s="310" t="str">
        <f>'Eingabe Meldungen'!D12</f>
        <v>Achim</v>
      </c>
      <c r="E18" s="311" t="str">
        <f>'Eingabe Meldungen'!J12</f>
        <v>SSG Bensheim</v>
      </c>
      <c r="F18" s="310" t="str">
        <f>VLOOKUP(B18,Ausschreibung!$B$4:$I$35,4,FALSE)</f>
        <v>Masters A-H, männlich</v>
      </c>
      <c r="G18" s="189" t="e">
        <f t="shared" si="0"/>
        <v>#REF!</v>
      </c>
      <c r="H18" s="189" t="e">
        <f>IF(#REF!="Ergocup",8,"DHM")</f>
        <v>#REF!</v>
      </c>
      <c r="I18" s="40">
        <f>'Eingabe Meldungen'!K269</f>
        <v>0</v>
      </c>
      <c r="J18" s="258"/>
      <c r="K18" s="281">
        <f>IF(Tabelle1[[#This Row],[Bezahlt]]="JA",#REF!,0)</f>
        <v>0</v>
      </c>
      <c r="L18" s="279"/>
    </row>
    <row r="19" spans="2:12" ht="13.8" x14ac:dyDescent="0.2">
      <c r="B19" s="309">
        <f>'Eingabe Meldungen'!A173</f>
        <v>4</v>
      </c>
      <c r="C19" s="310" t="str">
        <f>'Eingabe Meldungen'!C173</f>
        <v>Strahl</v>
      </c>
      <c r="D19" s="310" t="str">
        <f>'Eingabe Meldungen'!D173</f>
        <v>Leander</v>
      </c>
      <c r="E19" s="311" t="str">
        <f>'Eingabe Meldungen'!J173</f>
        <v xml:space="preserve">Schweinfurtrt Ruder-Club Franken </v>
      </c>
      <c r="F19" s="310" t="str">
        <f>VLOOKUP(B19,Ausschreibung!$B$4:$I$35,4,FALSE)</f>
        <v>Jungen U14</v>
      </c>
      <c r="G19" s="189" t="e">
        <f t="shared" si="0"/>
        <v>#REF!</v>
      </c>
      <c r="H19" s="189" t="e">
        <f>IF(#REF!="Ergocup",8,"DHM")</f>
        <v>#REF!</v>
      </c>
      <c r="I19" s="40">
        <f>'Eingabe Meldungen'!K226</f>
        <v>0</v>
      </c>
      <c r="J19" s="258"/>
      <c r="K19" s="281">
        <f>IF(Tabelle1[[#This Row],[Bezahlt]]="JA",#REF!,0)</f>
        <v>0</v>
      </c>
      <c r="L19" s="279"/>
    </row>
    <row r="20" spans="2:12" ht="13.8" x14ac:dyDescent="0.2">
      <c r="B20" s="309">
        <f>'Eingabe Meldungen'!A62</f>
        <v>23</v>
      </c>
      <c r="C20" s="310" t="str">
        <f>'Eingabe Meldungen'!C62</f>
        <v>Remelé</v>
      </c>
      <c r="D20" s="310" t="str">
        <f>'Eingabe Meldungen'!D62</f>
        <v>Friedrich</v>
      </c>
      <c r="E20" s="311" t="str">
        <f>'Eingabe Meldungen'!J62</f>
        <v>Schweinfurter Ruder-Club Franken</v>
      </c>
      <c r="F20" s="310" t="str">
        <f>VLOOKUP(B20,Ausschreibung!$B$4:$I$35,4,FALSE)</f>
        <v>Senioren A</v>
      </c>
      <c r="G20" s="189" t="e">
        <f t="shared" si="0"/>
        <v>#REF!</v>
      </c>
      <c r="H20" s="189" t="e">
        <f>IF(#REF!="Ergocup",8,"DHM")</f>
        <v>#REF!</v>
      </c>
      <c r="I20" s="40">
        <f>'Eingabe Meldungen'!K335</f>
        <v>0</v>
      </c>
      <c r="J20" s="258"/>
      <c r="K20" s="281">
        <f>IF(Tabelle1[[#This Row],[Bezahlt]]="JA",#REF!,0)</f>
        <v>0</v>
      </c>
      <c r="L20" s="279"/>
    </row>
    <row r="21" spans="2:12" ht="13.8" x14ac:dyDescent="0.2">
      <c r="B21" s="309">
        <f>'Eingabe Meldungen'!A84</f>
        <v>12</v>
      </c>
      <c r="C21" s="310" t="str">
        <f>'Eingabe Meldungen'!C84</f>
        <v>Nüchter</v>
      </c>
      <c r="D21" s="310" t="str">
        <f>'Eingabe Meldungen'!D84</f>
        <v>Fine-Marie</v>
      </c>
      <c r="E21" s="311" t="str">
        <f>'Eingabe Meldungen'!J84</f>
        <v>Schweinfurter Ruder-Club Franken</v>
      </c>
      <c r="F21" s="310" t="str">
        <f>VLOOKUP(B21,Ausschreibung!$B$4:$I$35,4,FALSE)</f>
        <v>Juniorinnen B U17</v>
      </c>
      <c r="G21" s="189" t="e">
        <f t="shared" si="0"/>
        <v>#REF!</v>
      </c>
      <c r="H21" s="189" t="e">
        <f>IF(#REF!="Ergocup",8,"DHM")</f>
        <v>#REF!</v>
      </c>
      <c r="I21" s="40">
        <f>'Eingabe Meldungen'!K287</f>
        <v>0</v>
      </c>
      <c r="J21" s="258"/>
      <c r="K21" s="281">
        <f>IF(Tabelle1[[#This Row],[Bezahlt]]="JA",#REF!,0)</f>
        <v>0</v>
      </c>
      <c r="L21" s="279"/>
    </row>
    <row r="22" spans="2:12" ht="13.8" x14ac:dyDescent="0.2">
      <c r="B22" s="309">
        <f>'Eingabe Meldungen'!A106</f>
        <v>13</v>
      </c>
      <c r="C22" s="310" t="str">
        <f>'Eingabe Meldungen'!C106</f>
        <v>Hannig</v>
      </c>
      <c r="D22" s="310" t="str">
        <f>'Eingabe Meldungen'!D106</f>
        <v>Jan</v>
      </c>
      <c r="E22" s="311" t="str">
        <f>'Eingabe Meldungen'!J106</f>
        <v>Schweinfurter Ruder-Club Franken</v>
      </c>
      <c r="F22" s="310" t="str">
        <f>VLOOKUP(B22,Ausschreibung!$B$4:$I$35,4,FALSE)</f>
        <v>Junioren B U17</v>
      </c>
      <c r="G22" s="189" t="e">
        <f t="shared" si="0"/>
        <v>#REF!</v>
      </c>
      <c r="H22" s="189" t="e">
        <f>IF(#REF!="Ergocup",8,"DHM")</f>
        <v>#REF!</v>
      </c>
      <c r="I22" s="40">
        <f>'Eingabe Meldungen'!K371</f>
        <v>0</v>
      </c>
      <c r="J22" s="258"/>
      <c r="K22" s="281">
        <f>IF(Tabelle1[[#This Row],[Bezahlt]]="JA",#REF!,0)</f>
        <v>0</v>
      </c>
      <c r="L22" s="279"/>
    </row>
    <row r="23" spans="2:12" ht="13.8" x14ac:dyDescent="0.2">
      <c r="B23" s="309">
        <f>'Eingabe Meldungen'!A108</f>
        <v>14</v>
      </c>
      <c r="C23" s="310" t="str">
        <f>'Eingabe Meldungen'!C108</f>
        <v>Waller</v>
      </c>
      <c r="D23" s="310" t="str">
        <f>'Eingabe Meldungen'!D108</f>
        <v>Julian</v>
      </c>
      <c r="E23" s="311" t="str">
        <f>'Eingabe Meldungen'!J108</f>
        <v>Schweinfurter Ruder-Club Franken</v>
      </c>
      <c r="F23" s="310" t="str">
        <f>VLOOKUP(B23,Ausschreibung!$B$4:$I$35,4,FALSE)</f>
        <v>Junioren B U17</v>
      </c>
      <c r="G23" s="189" t="e">
        <f t="shared" si="0"/>
        <v>#REF!</v>
      </c>
      <c r="H23" s="189" t="e">
        <f>IF(#REF!="Ergocup",8,"DHM")</f>
        <v>#REF!</v>
      </c>
      <c r="I23" s="40">
        <f>'Eingabe Meldungen'!K373</f>
        <v>0</v>
      </c>
      <c r="J23" s="258"/>
      <c r="K23" s="281">
        <f>IF(Tabelle1[[#This Row],[Bezahlt]]="JA",#REF!,0)</f>
        <v>0</v>
      </c>
      <c r="L23" s="279"/>
    </row>
    <row r="24" spans="2:12" ht="13.8" x14ac:dyDescent="0.2">
      <c r="B24" s="309">
        <f>'Eingabe Meldungen'!A110</f>
        <v>13</v>
      </c>
      <c r="C24" s="310" t="str">
        <f>'Eingabe Meldungen'!C110</f>
        <v>Grimm</v>
      </c>
      <c r="D24" s="310" t="str">
        <f>'Eingabe Meldungen'!D110</f>
        <v>Lorenz</v>
      </c>
      <c r="E24" s="311" t="str">
        <f>'Eingabe Meldungen'!J110</f>
        <v>Schweinfurter Ruder-Club Franken</v>
      </c>
      <c r="F24" s="310" t="str">
        <f>VLOOKUP(B24,Ausschreibung!$B$4:$I$35,4,FALSE)</f>
        <v>Junioren B U17</v>
      </c>
      <c r="G24" s="189" t="e">
        <f t="shared" si="0"/>
        <v>#REF!</v>
      </c>
      <c r="H24" s="189" t="e">
        <f>IF(#REF!="Ergocup",8,"DHM")</f>
        <v>#REF!</v>
      </c>
      <c r="I24" s="40">
        <f>'Eingabe Meldungen'!K375</f>
        <v>0</v>
      </c>
      <c r="J24" s="258"/>
      <c r="K24" s="281">
        <f>IF(Tabelle1[[#This Row],[Bezahlt]]="JA",#REF!,0)</f>
        <v>0</v>
      </c>
      <c r="L24" s="279"/>
    </row>
    <row r="25" spans="2:12" ht="13.8" x14ac:dyDescent="0.2">
      <c r="B25" s="309">
        <f>'Eingabe Meldungen'!A116</f>
        <v>13</v>
      </c>
      <c r="C25" s="310" t="str">
        <f>'Eingabe Meldungen'!C116</f>
        <v>Philipp</v>
      </c>
      <c r="D25" s="310" t="str">
        <f>'Eingabe Meldungen'!D116</f>
        <v>Paul</v>
      </c>
      <c r="E25" s="311" t="str">
        <f>'Eingabe Meldungen'!J116</f>
        <v>Schweinfurter Ruder-Club Franken</v>
      </c>
      <c r="F25" s="310" t="str">
        <f>VLOOKUP(B25,Ausschreibung!$B$4:$I$35,4,FALSE)</f>
        <v>Junioren B U17</v>
      </c>
      <c r="G25" s="189" t="e">
        <f t="shared" si="0"/>
        <v>#REF!</v>
      </c>
      <c r="H25" s="189" t="e">
        <f>IF(#REF!="Ergocup",8,"DHM")</f>
        <v>#REF!</v>
      </c>
      <c r="I25" s="40">
        <f>'Eingabe Meldungen'!K381</f>
        <v>0</v>
      </c>
      <c r="J25" s="258"/>
      <c r="K25" s="281">
        <f>IF(Tabelle1[[#This Row],[Bezahlt]]="JA",#REF!,0)</f>
        <v>0</v>
      </c>
      <c r="L25" s="279"/>
    </row>
    <row r="26" spans="2:12" ht="13.8" x14ac:dyDescent="0.2">
      <c r="B26" s="309">
        <f>'Eingabe Meldungen'!A122</f>
        <v>13</v>
      </c>
      <c r="C26" s="310" t="str">
        <f>'Eingabe Meldungen'!C122</f>
        <v>Weiß</v>
      </c>
      <c r="D26" s="310" t="str">
        <f>'Eingabe Meldungen'!D122</f>
        <v>Vincent</v>
      </c>
      <c r="E26" s="311" t="str">
        <f>'Eingabe Meldungen'!J122</f>
        <v>Schweinfurter Ruder-Club Franken</v>
      </c>
      <c r="F26" s="310" t="str">
        <f>VLOOKUP(B26,Ausschreibung!$B$4:$I$35,4,FALSE)</f>
        <v>Junioren B U17</v>
      </c>
      <c r="G26" s="189" t="e">
        <f t="shared" si="0"/>
        <v>#REF!</v>
      </c>
      <c r="H26" s="189" t="e">
        <f>IF(#REF!="Ergocup",8,"DHM")</f>
        <v>#REF!</v>
      </c>
      <c r="I26" s="40">
        <f>'Eingabe Meldungen'!K216</f>
        <v>0</v>
      </c>
      <c r="J26" s="258"/>
      <c r="K26" s="281">
        <f>IF(Tabelle1[[#This Row],[Bezahlt]]="JA",#REF!,0)</f>
        <v>0</v>
      </c>
      <c r="L26" s="279"/>
    </row>
    <row r="27" spans="2:12" ht="13.8" x14ac:dyDescent="0.2">
      <c r="B27" s="309">
        <f>'Eingabe Meldungen'!A138</f>
        <v>10</v>
      </c>
      <c r="C27" s="310" t="str">
        <f>'Eingabe Meldungen'!C138</f>
        <v>Jarad</v>
      </c>
      <c r="D27" s="310" t="str">
        <f>'Eingabe Meldungen'!D138</f>
        <v>Huzaifa</v>
      </c>
      <c r="E27" s="311" t="str">
        <f>'Eingabe Meldungen'!J138</f>
        <v>Schweinfurter Ruder-Club Franken</v>
      </c>
      <c r="F27" s="310" t="str">
        <f>VLOOKUP(B27,Ausschreibung!$B$4:$I$35,4,FALSE)</f>
        <v>Jungen U15</v>
      </c>
      <c r="G27" s="189" t="e">
        <f t="shared" si="0"/>
        <v>#REF!</v>
      </c>
      <c r="H27" s="189" t="e">
        <f>IF(#REF!="Ergocup",8,"DHM")</f>
        <v>#REF!</v>
      </c>
      <c r="I27" s="40">
        <f>'Eingabe Meldungen'!K293</f>
        <v>0</v>
      </c>
      <c r="J27" s="258"/>
      <c r="K27" s="281">
        <f>IF(Tabelle1[[#This Row],[Bezahlt]]="JA",#REF!,0)</f>
        <v>0</v>
      </c>
      <c r="L27" s="279"/>
    </row>
    <row r="28" spans="2:12" ht="13.8" x14ac:dyDescent="0.2">
      <c r="B28" s="309">
        <f>'Eingabe Meldungen'!A56</f>
        <v>21</v>
      </c>
      <c r="C28" s="310" t="str">
        <f>'Eingabe Meldungen'!C56</f>
        <v>Leuter</v>
      </c>
      <c r="D28" s="310" t="str">
        <f>'Eingabe Meldungen'!D56</f>
        <v>Nadine</v>
      </c>
      <c r="E28" s="311" t="str">
        <f>'Eingabe Meldungen'!J56</f>
        <v>RV Waldsee</v>
      </c>
      <c r="F28" s="310" t="str">
        <f>VLOOKUP(B28,Ausschreibung!$B$4:$I$35,4,FALSE)</f>
        <v>Seniorinnen A</v>
      </c>
      <c r="G28" s="189" t="e">
        <f t="shared" si="0"/>
        <v>#REF!</v>
      </c>
      <c r="H28" s="189" t="e">
        <f>IF(#REF!="Ergocup",8,"DHM")</f>
        <v>#REF!</v>
      </c>
      <c r="I28" s="40">
        <f>'Eingabe Meldungen'!K345</f>
        <v>0</v>
      </c>
      <c r="J28" s="258"/>
      <c r="K28" s="281">
        <f>IF(Tabelle1[[#This Row],[Bezahlt]]="JA",#REF!,0)</f>
        <v>0</v>
      </c>
      <c r="L28" s="279"/>
    </row>
    <row r="29" spans="2:12" ht="13.8" x14ac:dyDescent="0.2">
      <c r="B29" s="309">
        <f>'Eingabe Meldungen'!A61</f>
        <v>21</v>
      </c>
      <c r="C29" s="310" t="str">
        <f>'Eingabe Meldungen'!C61</f>
        <v>Reimer</v>
      </c>
      <c r="D29" s="310" t="str">
        <f>'Eingabe Meldungen'!D61</f>
        <v>Cathrin</v>
      </c>
      <c r="E29" s="311" t="str">
        <f>'Eingabe Meldungen'!J61</f>
        <v>RV Waldsee</v>
      </c>
      <c r="F29" s="310" t="str">
        <f>VLOOKUP(B29,Ausschreibung!$B$4:$I$35,4,FALSE)</f>
        <v>Seniorinnen A</v>
      </c>
      <c r="G29" s="189" t="e">
        <f t="shared" si="0"/>
        <v>#REF!</v>
      </c>
      <c r="H29" s="189" t="e">
        <f>IF(#REF!="Ergocup",8,"DHM")</f>
        <v>#REF!</v>
      </c>
      <c r="I29" s="40">
        <f>'Eingabe Meldungen'!K334</f>
        <v>0</v>
      </c>
      <c r="J29" s="258"/>
      <c r="K29" s="281">
        <f>IF(Tabelle1[[#This Row],[Bezahlt]]="JA",#REF!,0)</f>
        <v>0</v>
      </c>
      <c r="L29" s="279"/>
    </row>
    <row r="30" spans="2:12" ht="13.8" x14ac:dyDescent="0.2">
      <c r="B30" s="309">
        <f>'Eingabe Meldungen'!A96</f>
        <v>11</v>
      </c>
      <c r="C30" s="310" t="str">
        <f>'Eingabe Meldungen'!C96</f>
        <v>Scheffold</v>
      </c>
      <c r="D30" s="310" t="str">
        <f>'Eingabe Meldungen'!D96</f>
        <v>Sina</v>
      </c>
      <c r="E30" s="311" t="str">
        <f>'Eingabe Meldungen'!J96</f>
        <v>RV Waldsee</v>
      </c>
      <c r="F30" s="310" t="str">
        <f>VLOOKUP(B30,Ausschreibung!$B$4:$I$35,4,FALSE)</f>
        <v>Juniorinnen B U17</v>
      </c>
      <c r="G30" s="189" t="e">
        <f t="shared" si="0"/>
        <v>#REF!</v>
      </c>
      <c r="H30" s="189" t="e">
        <f>IF(#REF!="Ergocup",8,"DHM")</f>
        <v>#REF!</v>
      </c>
      <c r="I30" s="40">
        <f>'Eingabe Meldungen'!K321</f>
        <v>0</v>
      </c>
      <c r="J30" s="258"/>
      <c r="K30" s="281">
        <f>IF(Tabelle1[[#This Row],[Bezahlt]]="JA",#REF!,0)</f>
        <v>0</v>
      </c>
      <c r="L30" s="279"/>
    </row>
    <row r="31" spans="2:12" ht="13.8" x14ac:dyDescent="0.2">
      <c r="B31" s="309">
        <f>'Eingabe Meldungen'!A98</f>
        <v>12</v>
      </c>
      <c r="C31" s="310" t="str">
        <f>'Eingabe Meldungen'!C98</f>
        <v>Nothelfer</v>
      </c>
      <c r="D31" s="310" t="str">
        <f>'Eingabe Meldungen'!D98</f>
        <v>Alisa</v>
      </c>
      <c r="E31" s="311" t="str">
        <f>'Eingabe Meldungen'!J98</f>
        <v>RV Waldsee</v>
      </c>
      <c r="F31" s="310" t="str">
        <f>VLOOKUP(B31,Ausschreibung!$B$4:$I$35,4,FALSE)</f>
        <v>Juniorinnen B U17</v>
      </c>
      <c r="G31" s="189" t="e">
        <f t="shared" si="0"/>
        <v>#REF!</v>
      </c>
      <c r="H31" s="189" t="e">
        <f>IF(#REF!="Ergocup",8,"DHM")</f>
        <v>#REF!</v>
      </c>
      <c r="I31" s="40">
        <f>'Eingabe Meldungen'!K323</f>
        <v>0</v>
      </c>
      <c r="J31" s="258"/>
      <c r="K31" s="281">
        <f>IF(Tabelle1[[#This Row],[Bezahlt]]="JA",#REF!,0)</f>
        <v>0</v>
      </c>
      <c r="L31" s="279"/>
    </row>
    <row r="32" spans="2:12" ht="13.8" x14ac:dyDescent="0.2">
      <c r="B32" s="309">
        <f>'Eingabe Meldungen'!A102</f>
        <v>13</v>
      </c>
      <c r="C32" s="310" t="str">
        <f>'Eingabe Meldungen'!C102</f>
        <v>Wiens</v>
      </c>
      <c r="D32" s="310" t="str">
        <f>'Eingabe Meldungen'!D102</f>
        <v>Daniel</v>
      </c>
      <c r="E32" s="311" t="str">
        <f>'Eingabe Meldungen'!J102</f>
        <v>RV Waldsee</v>
      </c>
      <c r="F32" s="310" t="str">
        <f>VLOOKUP(B32,Ausschreibung!$B$4:$I$35,4,FALSE)</f>
        <v>Junioren B U17</v>
      </c>
      <c r="G32" s="189" t="e">
        <f t="shared" si="0"/>
        <v>#REF!</v>
      </c>
      <c r="H32" s="189" t="e">
        <f>IF(#REF!="Ergocup",8,"DHM")</f>
        <v>#REF!</v>
      </c>
      <c r="I32" s="40">
        <f>'Eingabe Meldungen'!K367</f>
        <v>0</v>
      </c>
      <c r="J32" s="258"/>
      <c r="K32" s="281">
        <f>IF(Tabelle1[[#This Row],[Bezahlt]]="JA",#REF!,0)</f>
        <v>0</v>
      </c>
      <c r="L32" s="279"/>
    </row>
    <row r="33" spans="2:12" ht="13.8" x14ac:dyDescent="0.2">
      <c r="B33" s="309">
        <f>'Eingabe Meldungen'!A115</f>
        <v>13</v>
      </c>
      <c r="C33" s="310" t="str">
        <f>'Eingabe Meldungen'!C115</f>
        <v>Tschöke</v>
      </c>
      <c r="D33" s="310" t="str">
        <f>'Eingabe Meldungen'!D115</f>
        <v>Pascal</v>
      </c>
      <c r="E33" s="311" t="str">
        <f>'Eingabe Meldungen'!J115</f>
        <v>RV Waldsee</v>
      </c>
      <c r="F33" s="310" t="str">
        <f>VLOOKUP(B33,Ausschreibung!$B$4:$I$35,4,FALSE)</f>
        <v>Junioren B U17</v>
      </c>
      <c r="G33" s="189" t="e">
        <f t="shared" ref="G33:G64" si="1">IF(B33=35,H33-4,H33)</f>
        <v>#REF!</v>
      </c>
      <c r="H33" s="189" t="e">
        <f>IF(#REF!="Ergocup",8,"DHM")</f>
        <v>#REF!</v>
      </c>
      <c r="I33" s="40">
        <f>'Eingabe Meldungen'!K380</f>
        <v>0</v>
      </c>
      <c r="J33" s="258"/>
      <c r="K33" s="281">
        <f>IF(Tabelle1[[#This Row],[Bezahlt]]="JA",#REF!,0)</f>
        <v>0</v>
      </c>
      <c r="L33" s="279"/>
    </row>
    <row r="34" spans="2:12" ht="13.8" x14ac:dyDescent="0.2">
      <c r="B34" s="309">
        <f>'Eingabe Meldungen'!A118</f>
        <v>13</v>
      </c>
      <c r="C34" s="310" t="str">
        <f>'Eingabe Meldungen'!C118</f>
        <v>Degasperi</v>
      </c>
      <c r="D34" s="310" t="str">
        <f>'Eingabe Meldungen'!D118</f>
        <v>Samuel</v>
      </c>
      <c r="E34" s="311" t="str">
        <f>'Eingabe Meldungen'!J118</f>
        <v>RV Waldsee</v>
      </c>
      <c r="F34" s="310" t="str">
        <f>VLOOKUP(B34,Ausschreibung!$B$4:$I$35,4,FALSE)</f>
        <v>Junioren B U17</v>
      </c>
      <c r="G34" s="189" t="e">
        <f t="shared" si="1"/>
        <v>#REF!</v>
      </c>
      <c r="H34" s="189" t="e">
        <f>IF(#REF!="Ergocup",8,"DHM")</f>
        <v>#REF!</v>
      </c>
      <c r="I34" s="40">
        <f>'Eingabe Meldungen'!K383</f>
        <v>0</v>
      </c>
      <c r="J34" s="258"/>
      <c r="K34" s="281">
        <f>IF(Tabelle1[[#This Row],[Bezahlt]]="JA",#REF!,0)</f>
        <v>0</v>
      </c>
      <c r="L34" s="279"/>
    </row>
    <row r="35" spans="2:12" ht="13.8" x14ac:dyDescent="0.2">
      <c r="B35" s="309">
        <f>'Eingabe Meldungen'!A123</f>
        <v>10</v>
      </c>
      <c r="C35" s="310" t="str">
        <f>'Eingabe Meldungen'!C123</f>
        <v>Herrmann</v>
      </c>
      <c r="D35" s="310" t="str">
        <f>'Eingabe Meldungen'!D123</f>
        <v>Alexander</v>
      </c>
      <c r="E35" s="311" t="str">
        <f>'Eingabe Meldungen'!J123</f>
        <v>RV Waldsee</v>
      </c>
      <c r="F35" s="310" t="str">
        <f>VLOOKUP(B35,Ausschreibung!$B$4:$I$35,4,FALSE)</f>
        <v>Jungen U15</v>
      </c>
      <c r="G35" s="189" t="e">
        <f t="shared" si="1"/>
        <v>#REF!</v>
      </c>
      <c r="H35" s="189" t="e">
        <f>IF(#REF!="Ergocup",8,"DHM")</f>
        <v>#REF!</v>
      </c>
      <c r="I35" s="40">
        <f>'Eingabe Meldungen'!K217</f>
        <v>0</v>
      </c>
      <c r="J35" s="258"/>
      <c r="K35" s="281">
        <f>IF(Tabelle1[[#This Row],[Bezahlt]]="JA",#REF!,0)</f>
        <v>0</v>
      </c>
      <c r="L35" s="279"/>
    </row>
    <row r="36" spans="2:12" ht="13.8" x14ac:dyDescent="0.2">
      <c r="B36" s="309">
        <f>'Eingabe Meldungen'!A124</f>
        <v>9</v>
      </c>
      <c r="C36" s="310" t="str">
        <f>'Eingabe Meldungen'!C124</f>
        <v>Fischer</v>
      </c>
      <c r="D36" s="310" t="str">
        <f>'Eingabe Meldungen'!D124</f>
        <v>Amatus</v>
      </c>
      <c r="E36" s="311" t="str">
        <f>'Eingabe Meldungen'!J124</f>
        <v>RV Waldsee</v>
      </c>
      <c r="F36" s="310" t="str">
        <f>VLOOKUP(B36,Ausschreibung!$B$4:$I$35,4,FALSE)</f>
        <v>Jungen U15</v>
      </c>
      <c r="G36" s="189" t="e">
        <f t="shared" si="1"/>
        <v>#REF!</v>
      </c>
      <c r="H36" s="189" t="e">
        <f>IF(#REF!="Ergocup",8,"DHM")</f>
        <v>#REF!</v>
      </c>
      <c r="I36" s="40">
        <f>'Eingabe Meldungen'!K195</f>
        <v>0</v>
      </c>
      <c r="J36" s="258"/>
      <c r="K36" s="281">
        <f>IF(Tabelle1[[#This Row],[Bezahlt]]="JA",#REF!,0)</f>
        <v>0</v>
      </c>
      <c r="L36" s="279"/>
    </row>
    <row r="37" spans="2:12" ht="13.8" x14ac:dyDescent="0.2">
      <c r="B37" s="309">
        <f>'Eingabe Meldungen'!A153</f>
        <v>10</v>
      </c>
      <c r="C37" s="310" t="str">
        <f>'Eingabe Meldungen'!C153</f>
        <v>Hildebrand</v>
      </c>
      <c r="D37" s="310" t="str">
        <f>'Eingabe Meldungen'!D153</f>
        <v>Nico</v>
      </c>
      <c r="E37" s="311" t="str">
        <f>'Eingabe Meldungen'!J153</f>
        <v>RV Waldsee</v>
      </c>
      <c r="F37" s="310" t="str">
        <f>VLOOKUP(B37,Ausschreibung!$B$4:$I$35,4,FALSE)</f>
        <v>Jungen U15</v>
      </c>
      <c r="G37" s="189" t="e">
        <f t="shared" si="1"/>
        <v>#REF!</v>
      </c>
      <c r="H37" s="189" t="e">
        <f>IF(#REF!="Ergocup",8,"DHM")</f>
        <v>#REF!</v>
      </c>
      <c r="I37" s="40">
        <f>'Eingabe Meldungen'!K397</f>
        <v>0</v>
      </c>
      <c r="J37" s="258"/>
      <c r="K37" s="281">
        <f>IF(Tabelle1[[#This Row],[Bezahlt]]="JA",#REF!,0)</f>
        <v>0</v>
      </c>
      <c r="L37" s="279"/>
    </row>
    <row r="38" spans="2:12" ht="13.8" x14ac:dyDescent="0.2">
      <c r="B38" s="309">
        <f>'Eingabe Meldungen'!A167</f>
        <v>4</v>
      </c>
      <c r="C38" s="310" t="str">
        <f>'Eingabe Meldungen'!C167</f>
        <v>Balke</v>
      </c>
      <c r="D38" s="310" t="str">
        <f>'Eingabe Meldungen'!D167</f>
        <v>Frederik</v>
      </c>
      <c r="E38" s="311" t="str">
        <f>'Eingabe Meldungen'!J167</f>
        <v>RV Waldsee</v>
      </c>
      <c r="F38" s="310" t="str">
        <f>VLOOKUP(B38,Ausschreibung!$B$4:$I$35,4,FALSE)</f>
        <v>Jungen U14</v>
      </c>
      <c r="G38" s="189" t="e">
        <f t="shared" si="1"/>
        <v>#REF!</v>
      </c>
      <c r="H38" s="189" t="e">
        <f>IF(#REF!="Ergocup",8,"DHM")</f>
        <v>#REF!</v>
      </c>
      <c r="I38" s="40">
        <f>'Eingabe Meldungen'!K403</f>
        <v>0</v>
      </c>
      <c r="J38" s="258"/>
      <c r="K38" s="281">
        <f>IF(Tabelle1[[#This Row],[Bezahlt]]="JA",#REF!,0)</f>
        <v>0</v>
      </c>
      <c r="L38" s="279"/>
    </row>
    <row r="39" spans="2:12" ht="13.8" x14ac:dyDescent="0.2">
      <c r="B39" s="309">
        <f>'Eingabe Meldungen'!A174</f>
        <v>3</v>
      </c>
      <c r="C39" s="310" t="str">
        <f>'Eingabe Meldungen'!C174</f>
        <v>Wieland</v>
      </c>
      <c r="D39" s="310" t="str">
        <f>'Eingabe Meldungen'!D174</f>
        <v>Lennart</v>
      </c>
      <c r="E39" s="311" t="str">
        <f>'Eingabe Meldungen'!J174</f>
        <v>RV Waldsee</v>
      </c>
      <c r="F39" s="310" t="str">
        <f>VLOOKUP(B39,Ausschreibung!$B$4:$I$35,4,FALSE)</f>
        <v>Jungen U14</v>
      </c>
      <c r="G39" s="189" t="e">
        <f t="shared" si="1"/>
        <v>#REF!</v>
      </c>
      <c r="H39" s="189" t="e">
        <f>IF(#REF!="Ergocup",8,"DHM")</f>
        <v>#REF!</v>
      </c>
      <c r="I39" s="40">
        <f>'Eingabe Meldungen'!K239</f>
        <v>0</v>
      </c>
      <c r="J39" s="258"/>
      <c r="K39" s="281">
        <f>IF(Tabelle1[[#This Row],[Bezahlt]]="JA",#REF!,0)</f>
        <v>0</v>
      </c>
      <c r="L39" s="279"/>
    </row>
    <row r="40" spans="2:12" ht="13.8" x14ac:dyDescent="0.2">
      <c r="B40" s="309">
        <f>'Eingabe Meldungen'!A179</f>
        <v>6</v>
      </c>
      <c r="C40" s="310" t="str">
        <f>'Eingabe Meldungen'!C179</f>
        <v>Lehmann</v>
      </c>
      <c r="D40" s="310" t="str">
        <f>'Eingabe Meldungen'!D179</f>
        <v>Madeleine</v>
      </c>
      <c r="E40" s="311" t="str">
        <f>'Eingabe Meldungen'!J179</f>
        <v>RV Waldsee</v>
      </c>
      <c r="F40" s="310" t="str">
        <f>VLOOKUP(B40,Ausschreibung!$B$4:$I$35,4,FALSE)</f>
        <v>Mädchen U14</v>
      </c>
      <c r="G40" s="189" t="e">
        <f t="shared" si="1"/>
        <v>#REF!</v>
      </c>
      <c r="H40" s="189" t="e">
        <f>IF(#REF!="Ergocup",8,"DHM")</f>
        <v>#REF!</v>
      </c>
      <c r="I40" s="40">
        <f>'Eingabe Meldungen'!K310</f>
        <v>0</v>
      </c>
      <c r="J40" s="258"/>
      <c r="K40" s="281">
        <f>IF(Tabelle1[[#This Row],[Bezahlt]]="JA",#REF!,0)</f>
        <v>0</v>
      </c>
      <c r="L40" s="279"/>
    </row>
    <row r="41" spans="2:12" ht="13.8" x14ac:dyDescent="0.2">
      <c r="B41" s="309">
        <f>'Eingabe Meldungen'!A189</f>
        <v>3</v>
      </c>
      <c r="C41" s="310" t="str">
        <f>'Eingabe Meldungen'!C189</f>
        <v>Kibele</v>
      </c>
      <c r="D41" s="310" t="str">
        <f>'Eingabe Meldungen'!D189</f>
        <v>Leon</v>
      </c>
      <c r="E41" s="311" t="str">
        <f>'Eingabe Meldungen'!J189</f>
        <v>RV Waldsee</v>
      </c>
      <c r="F41" s="310" t="str">
        <f>VLOOKUP(B41,Ausschreibung!$B$4:$I$35,4,FALSE)</f>
        <v>Jungen U14</v>
      </c>
      <c r="G41" s="189" t="e">
        <f t="shared" si="1"/>
        <v>#REF!</v>
      </c>
      <c r="H41" s="189" t="e">
        <f>IF(#REF!="Ergocup",8,"DHM")</f>
        <v>#REF!</v>
      </c>
      <c r="I41" s="40">
        <f>'Eingabe Meldungen'!K388</f>
        <v>0</v>
      </c>
      <c r="J41" s="258"/>
      <c r="K41" s="281">
        <f>IF(Tabelle1[[#This Row],[Bezahlt]]="JA",#REF!,0)</f>
        <v>0</v>
      </c>
      <c r="L41" s="279"/>
    </row>
    <row r="42" spans="2:12" ht="13.8" x14ac:dyDescent="0.2">
      <c r="B42" s="309">
        <f>'Eingabe Meldungen'!A191</f>
        <v>6</v>
      </c>
      <c r="C42" s="310" t="str">
        <f>'Eingabe Meldungen'!C191</f>
        <v>Zirn</v>
      </c>
      <c r="D42" s="310" t="str">
        <f>'Eingabe Meldungen'!D191</f>
        <v>Maja</v>
      </c>
      <c r="E42" s="311" t="str">
        <f>'Eingabe Meldungen'!J191</f>
        <v>RV Waldsee</v>
      </c>
      <c r="F42" s="310" t="str">
        <f>VLOOKUP(B42,Ausschreibung!$B$4:$I$35,4,FALSE)</f>
        <v>Mädchen U14</v>
      </c>
      <c r="G42" s="189" t="e">
        <f t="shared" si="1"/>
        <v>#REF!</v>
      </c>
      <c r="H42" s="189" t="e">
        <f>IF(#REF!="Ergocup",8,"DHM")</f>
        <v>#REF!</v>
      </c>
      <c r="I42" s="40">
        <f>'Eingabe Meldungen'!K390</f>
        <v>0</v>
      </c>
      <c r="J42" s="258"/>
      <c r="K42" s="281">
        <f>IF(Tabelle1[[#This Row],[Bezahlt]]="JA",#REF!,0)</f>
        <v>0</v>
      </c>
      <c r="L42" s="279"/>
    </row>
    <row r="43" spans="2:12" ht="13.8" x14ac:dyDescent="0.2">
      <c r="B43" s="309">
        <f>'Eingabe Meldungen'!A7</f>
        <v>2</v>
      </c>
      <c r="C43" s="310" t="str">
        <f>'Eingabe Meldungen'!C7</f>
        <v>Schmiedeknecht</v>
      </c>
      <c r="D43" s="310" t="str">
        <f>'Eingabe Meldungen'!D7</f>
        <v>Helmut</v>
      </c>
      <c r="E43" s="311" t="str">
        <f>'Eingabe Meldungen'!J7</f>
        <v>Ruderverein Bad Wimpfen</v>
      </c>
      <c r="F43" s="310" t="str">
        <f>VLOOKUP(B43,Ausschreibung!$B$4:$I$35,4,FALSE)</f>
        <v>Masters A-H, männlich</v>
      </c>
      <c r="G43" s="189" t="e">
        <f t="shared" si="1"/>
        <v>#REF!</v>
      </c>
      <c r="H43" s="189" t="e">
        <f>IF(#REF!="Ergocup",8,"DHM")</f>
        <v>#REF!</v>
      </c>
      <c r="I43" s="40">
        <f>'Eingabe Meldungen'!K274</f>
        <v>0</v>
      </c>
      <c r="J43" s="258"/>
      <c r="K43" s="281">
        <f>IF(Tabelle1[[#This Row],[Bezahlt]]="JA",#REF!,0)</f>
        <v>0</v>
      </c>
      <c r="L43" s="279"/>
    </row>
    <row r="44" spans="2:12" ht="13.8" x14ac:dyDescent="0.2">
      <c r="B44" s="309">
        <f>'Eingabe Meldungen'!A8</f>
        <v>28</v>
      </c>
      <c r="C44" s="310" t="str">
        <f>'Eingabe Meldungen'!C8</f>
        <v>Schmiedeknecht</v>
      </c>
      <c r="D44" s="310" t="str">
        <f>'Eingabe Meldungen'!D8</f>
        <v>Helmut</v>
      </c>
      <c r="E44" s="311" t="str">
        <f>'Eingabe Meldungen'!J8</f>
        <v>Ruderverein Bad Wimpfen</v>
      </c>
      <c r="F44" s="310" t="str">
        <f>VLOOKUP(B44,Ausschreibung!$B$4:$I$35,4,FALSE)</f>
        <v>Masters A-H, weiblich</v>
      </c>
      <c r="G44" s="189" t="e">
        <f t="shared" si="1"/>
        <v>#REF!</v>
      </c>
      <c r="H44" s="189" t="e">
        <f>IF(#REF!="Ergocup",8,"DHM")</f>
        <v>#REF!</v>
      </c>
      <c r="I44" s="40">
        <f>'Eingabe Meldungen'!K301</f>
        <v>0</v>
      </c>
      <c r="J44" s="258"/>
      <c r="K44" s="281">
        <f>IF(Tabelle1[[#This Row],[Bezahlt]]="JA",#REF!,0)</f>
        <v>0</v>
      </c>
      <c r="L44" s="279"/>
    </row>
    <row r="45" spans="2:12" ht="13.8" x14ac:dyDescent="0.2">
      <c r="B45" s="309">
        <f>'Eingabe Meldungen'!A49</f>
        <v>25</v>
      </c>
      <c r="C45" s="310" t="str">
        <f>'Eingabe Meldungen'!C49</f>
        <v>Häfner</v>
      </c>
      <c r="D45" s="310" t="str">
        <f>'Eingabe Meldungen'!D49</f>
        <v>Christian</v>
      </c>
      <c r="E45" s="311" t="str">
        <f>'Eingabe Meldungen'!J49</f>
        <v>Ruderverein Bad Wimpfen</v>
      </c>
      <c r="F45" s="310" t="str">
        <f>VLOOKUP(B45,Ausschreibung!$B$4:$I$35,4,FALSE)</f>
        <v>Masters A-H, männlich</v>
      </c>
      <c r="G45" s="189" t="e">
        <f t="shared" si="1"/>
        <v>#REF!</v>
      </c>
      <c r="H45" s="189" t="e">
        <f>IF(#REF!="Ergocup",8,"DHM")</f>
        <v>#REF!</v>
      </c>
      <c r="I45" s="40">
        <f>'Eingabe Meldungen'!K330</f>
        <v>0</v>
      </c>
      <c r="J45" s="258"/>
      <c r="K45" s="281">
        <f>IF(Tabelle1[[#This Row],[Bezahlt]]="JA",#REF!,0)</f>
        <v>0</v>
      </c>
      <c r="L45" s="279"/>
    </row>
    <row r="46" spans="2:12" ht="13.8" x14ac:dyDescent="0.2">
      <c r="B46" s="309">
        <f>'Eingabe Meldungen'!A55</f>
        <v>22</v>
      </c>
      <c r="C46" s="310" t="str">
        <f>'Eingabe Meldungen'!C55</f>
        <v>Marquardt</v>
      </c>
      <c r="D46" s="310" t="str">
        <f>'Eingabe Meldungen'!D55</f>
        <v>Linda</v>
      </c>
      <c r="E46" s="311" t="str">
        <f>'Eingabe Meldungen'!J55</f>
        <v>Ruderverein Bad Wimpfen</v>
      </c>
      <c r="F46" s="310" t="str">
        <f>VLOOKUP(B46,Ausschreibung!$B$4:$I$35,4,FALSE)</f>
        <v>Seniorinnen A</v>
      </c>
      <c r="G46" s="189" t="e">
        <f t="shared" si="1"/>
        <v>#REF!</v>
      </c>
      <c r="H46" s="189" t="e">
        <f>IF(#REF!="Ergocup",8,"DHM")</f>
        <v>#REF!</v>
      </c>
      <c r="I46" s="40">
        <f>'Eingabe Meldungen'!K344</f>
        <v>0</v>
      </c>
      <c r="J46" s="258"/>
      <c r="K46" s="281">
        <f>IF(Tabelle1[[#This Row],[Bezahlt]]="JA",#REF!,0)</f>
        <v>0</v>
      </c>
      <c r="L46" s="279"/>
    </row>
    <row r="47" spans="2:12" ht="13.8" x14ac:dyDescent="0.2">
      <c r="B47" s="309">
        <f>'Eingabe Meldungen'!A71</f>
        <v>18</v>
      </c>
      <c r="C47" s="310" t="str">
        <f>'Eingabe Meldungen'!C71</f>
        <v>Stephan</v>
      </c>
      <c r="D47" s="310" t="str">
        <f>'Eingabe Meldungen'!D71</f>
        <v>Julia</v>
      </c>
      <c r="E47" s="311" t="str">
        <f>'Eingabe Meldungen'!J71</f>
        <v>Ruderverein Bad Wimpfen</v>
      </c>
      <c r="F47" s="310" t="str">
        <f>VLOOKUP(B47,Ausschreibung!$B$4:$I$35,4,FALSE)</f>
        <v>Juniorinnen A U19</v>
      </c>
      <c r="G47" s="189" t="e">
        <f t="shared" si="1"/>
        <v>#REF!</v>
      </c>
      <c r="H47" s="189" t="e">
        <f>IF(#REF!="Ergocup",8,"DHM")</f>
        <v>#REF!</v>
      </c>
      <c r="I47" s="40">
        <f>'Eingabe Meldungen'!K234</f>
        <v>0</v>
      </c>
      <c r="J47" s="258"/>
      <c r="K47" s="281">
        <f>IF(Tabelle1[[#This Row],[Bezahlt]]="JA",#REF!,0)</f>
        <v>0</v>
      </c>
      <c r="L47" s="279"/>
    </row>
    <row r="48" spans="2:12" ht="13.8" x14ac:dyDescent="0.2">
      <c r="B48" s="309">
        <f>'Eingabe Meldungen'!A105</f>
        <v>13</v>
      </c>
      <c r="C48" s="310" t="str">
        <f>'Eingabe Meldungen'!C105</f>
        <v>Wilke</v>
      </c>
      <c r="D48" s="310" t="str">
        <f>'Eingabe Meldungen'!D105</f>
        <v>Henri</v>
      </c>
      <c r="E48" s="311" t="str">
        <f>'Eingabe Meldungen'!J105</f>
        <v>Rudergesellschaft Heidelberg</v>
      </c>
      <c r="F48" s="310" t="str">
        <f>VLOOKUP(B48,Ausschreibung!$B$4:$I$35,4,FALSE)</f>
        <v>Junioren B U17</v>
      </c>
      <c r="G48" s="189" t="e">
        <f t="shared" si="1"/>
        <v>#REF!</v>
      </c>
      <c r="H48" s="189" t="e">
        <f>IF(#REF!="Ergocup",8,"DHM")</f>
        <v>#REF!</v>
      </c>
      <c r="I48" s="40">
        <f>'Eingabe Meldungen'!K370</f>
        <v>0</v>
      </c>
      <c r="J48" s="258"/>
      <c r="K48" s="281">
        <f>IF(Tabelle1[[#This Row],[Bezahlt]]="JA",#REF!,0)</f>
        <v>0</v>
      </c>
      <c r="L48" s="279"/>
    </row>
    <row r="49" spans="2:12" ht="13.8" x14ac:dyDescent="0.2">
      <c r="B49" s="309">
        <f>'Eingabe Meldungen'!A131</f>
        <v>7</v>
      </c>
      <c r="C49" s="310" t="str">
        <f>'Eingabe Meldungen'!C131</f>
        <v>Passon</v>
      </c>
      <c r="D49" s="310" t="str">
        <f>'Eingabe Meldungen'!D131</f>
        <v>Cosima</v>
      </c>
      <c r="E49" s="311" t="str">
        <f>'Eingabe Meldungen'!J131</f>
        <v>Rudergesellschaft Heidelberg</v>
      </c>
      <c r="F49" s="310" t="str">
        <f>VLOOKUP(B49,Ausschreibung!$B$4:$I$35,4,FALSE)</f>
        <v>Mädchen U15</v>
      </c>
      <c r="G49" s="189" t="e">
        <f t="shared" si="1"/>
        <v>#REF!</v>
      </c>
      <c r="H49" s="189" t="e">
        <f>IF(#REF!="Ergocup",8,"DHM")</f>
        <v>#REF!</v>
      </c>
      <c r="I49" s="40">
        <f>'Eingabe Meldungen'!K238</f>
        <v>0</v>
      </c>
      <c r="J49" s="258"/>
      <c r="K49" s="281">
        <f>IF(Tabelle1[[#This Row],[Bezahlt]]="JA",#REF!,0)</f>
        <v>0</v>
      </c>
      <c r="L49" s="279"/>
    </row>
    <row r="50" spans="2:12" ht="13.8" x14ac:dyDescent="0.2">
      <c r="B50" s="309">
        <f>'Eingabe Meldungen'!A132</f>
        <v>8</v>
      </c>
      <c r="C50" s="310" t="str">
        <f>'Eingabe Meldungen'!C132</f>
        <v>Holländer</v>
      </c>
      <c r="D50" s="310" t="str">
        <f>'Eingabe Meldungen'!D132</f>
        <v>Elisa</v>
      </c>
      <c r="E50" s="311" t="str">
        <f>'Eingabe Meldungen'!J132</f>
        <v>Rudergesellschaft Heidelberg</v>
      </c>
      <c r="F50" s="310" t="str">
        <f>VLOOKUP(B50,Ausschreibung!$B$4:$I$35,4,FALSE)</f>
        <v>Mädchen U15</v>
      </c>
      <c r="G50" s="189" t="e">
        <f t="shared" si="1"/>
        <v>#REF!</v>
      </c>
      <c r="H50" s="189" t="e">
        <f>IF(#REF!="Ergocup",8,"DHM")</f>
        <v>#REF!</v>
      </c>
      <c r="I50" s="40">
        <f>'Eingabe Meldungen'!K255</f>
        <v>0</v>
      </c>
      <c r="J50" s="258"/>
      <c r="K50" s="281">
        <f>IF(Tabelle1[[#This Row],[Bezahlt]]="JA",#REF!,0)</f>
        <v>0</v>
      </c>
      <c r="L50" s="279"/>
    </row>
    <row r="51" spans="2:12" ht="13.8" x14ac:dyDescent="0.2">
      <c r="B51" s="309">
        <f>'Eingabe Meldungen'!A133</f>
        <v>8</v>
      </c>
      <c r="C51" s="310" t="str">
        <f>'Eingabe Meldungen'!C133</f>
        <v>Heterle</v>
      </c>
      <c r="D51" s="310" t="str">
        <f>'Eingabe Meldungen'!D133</f>
        <v>Emilie</v>
      </c>
      <c r="E51" s="311" t="str">
        <f>'Eingabe Meldungen'!J133</f>
        <v>Rudergesellschaft Heidelberg</v>
      </c>
      <c r="F51" s="310" t="str">
        <f>VLOOKUP(B51,Ausschreibung!$B$4:$I$35,4,FALSE)</f>
        <v>Mädchen U15</v>
      </c>
      <c r="G51" s="189" t="e">
        <f t="shared" si="1"/>
        <v>#REF!</v>
      </c>
      <c r="H51" s="189" t="e">
        <f>IF(#REF!="Ergocup",8,"DHM")</f>
        <v>#REF!</v>
      </c>
      <c r="I51" s="40">
        <f>'Eingabe Meldungen'!K256</f>
        <v>0</v>
      </c>
      <c r="J51" s="258"/>
      <c r="K51" s="281">
        <f>IF(Tabelle1[[#This Row],[Bezahlt]]="JA",#REF!,0)</f>
        <v>0</v>
      </c>
      <c r="L51" s="279"/>
    </row>
    <row r="52" spans="2:12" ht="13.8" x14ac:dyDescent="0.2">
      <c r="B52" s="309">
        <f>'Eingabe Meldungen'!A135</f>
        <v>7</v>
      </c>
      <c r="C52" s="310" t="str">
        <f>'Eingabe Meldungen'!C135</f>
        <v>Duwenhoegger</v>
      </c>
      <c r="D52" s="310" t="str">
        <f>'Eingabe Meldungen'!D135</f>
        <v>Filippa</v>
      </c>
      <c r="E52" s="311" t="str">
        <f>'Eingabe Meldungen'!J135</f>
        <v>Rudergesellschaft Heidelberg</v>
      </c>
      <c r="F52" s="310" t="str">
        <f>VLOOKUP(B52,Ausschreibung!$B$4:$I$35,4,FALSE)</f>
        <v>Mädchen U15</v>
      </c>
      <c r="G52" s="189" t="e">
        <f t="shared" si="1"/>
        <v>#REF!</v>
      </c>
      <c r="H52" s="189" t="e">
        <f>IF(#REF!="Ergocup",8,"DHM")</f>
        <v>#REF!</v>
      </c>
      <c r="I52" s="40">
        <f>'Eingabe Meldungen'!K258</f>
        <v>0</v>
      </c>
      <c r="J52" s="258"/>
      <c r="K52" s="281">
        <f>IF(Tabelle1[[#This Row],[Bezahlt]]="JA",#REF!,0)</f>
        <v>0</v>
      </c>
      <c r="L52" s="279"/>
    </row>
    <row r="53" spans="2:12" ht="13.8" x14ac:dyDescent="0.2">
      <c r="B53" s="309">
        <f>'Eingabe Meldungen'!A142</f>
        <v>8</v>
      </c>
      <c r="C53" s="310" t="str">
        <f>'Eingabe Meldungen'!C142</f>
        <v>Michel</v>
      </c>
      <c r="D53" s="310" t="str">
        <f>'Eingabe Meldungen'!D142</f>
        <v>Lene</v>
      </c>
      <c r="E53" s="311" t="str">
        <f>'Eingabe Meldungen'!J142</f>
        <v>Rudergesellschaft Heidelberg</v>
      </c>
      <c r="F53" s="310" t="str">
        <f>VLOOKUP(B53,Ausschreibung!$B$4:$I$35,4,FALSE)</f>
        <v>Mädchen U15</v>
      </c>
      <c r="G53" s="189" t="e">
        <f t="shared" si="1"/>
        <v>#REF!</v>
      </c>
      <c r="H53" s="189" t="e">
        <f>IF(#REF!="Ergocup",8,"DHM")</f>
        <v>#REF!</v>
      </c>
      <c r="I53" s="40">
        <f>'Eingabe Meldungen'!K299</f>
        <v>0</v>
      </c>
      <c r="J53" s="258"/>
      <c r="K53" s="281">
        <f>IF(Tabelle1[[#This Row],[Bezahlt]]="JA",#REF!,0)</f>
        <v>0</v>
      </c>
      <c r="L53" s="279"/>
    </row>
    <row r="54" spans="2:12" ht="13.8" x14ac:dyDescent="0.2">
      <c r="B54" s="309">
        <f>'Eingabe Meldungen'!A152</f>
        <v>8</v>
      </c>
      <c r="C54" s="310" t="str">
        <f>'Eingabe Meldungen'!C152</f>
        <v>Gürth</v>
      </c>
      <c r="D54" s="310" t="str">
        <f>'Eingabe Meldungen'!D152</f>
        <v>Mona</v>
      </c>
      <c r="E54" s="311" t="str">
        <f>'Eingabe Meldungen'!J152</f>
        <v>Rudergesellschaft Heidelberg</v>
      </c>
      <c r="F54" s="310" t="str">
        <f>VLOOKUP(B54,Ausschreibung!$B$4:$I$35,4,FALSE)</f>
        <v>Mädchen U15</v>
      </c>
      <c r="G54" s="189" t="e">
        <f t="shared" si="1"/>
        <v>#REF!</v>
      </c>
      <c r="H54" s="189" t="e">
        <f>IF(#REF!="Ergocup",8,"DHM")</f>
        <v>#REF!</v>
      </c>
      <c r="I54" s="40">
        <f>'Eingabe Meldungen'!K396</f>
        <v>0</v>
      </c>
      <c r="J54" s="258"/>
      <c r="K54" s="281">
        <f>IF(Tabelle1[[#This Row],[Bezahlt]]="JA",#REF!,0)</f>
        <v>0</v>
      </c>
      <c r="L54" s="279"/>
    </row>
    <row r="55" spans="2:12" ht="13.8" x14ac:dyDescent="0.2">
      <c r="B55" s="309">
        <f>'Eingabe Meldungen'!A156</f>
        <v>10</v>
      </c>
      <c r="C55" s="310" t="str">
        <f>'Eingabe Meldungen'!C156</f>
        <v>Gute</v>
      </c>
      <c r="D55" s="310" t="str">
        <f>'Eingabe Meldungen'!D156</f>
        <v>Oskar</v>
      </c>
      <c r="E55" s="311" t="str">
        <f>'Eingabe Meldungen'!J156</f>
        <v>Rudergesellschaft Heidelberg</v>
      </c>
      <c r="F55" s="310" t="str">
        <f>VLOOKUP(B55,Ausschreibung!$B$4:$I$35,4,FALSE)</f>
        <v>Jungen U15</v>
      </c>
      <c r="G55" s="189" t="e">
        <f t="shared" si="1"/>
        <v>#REF!</v>
      </c>
      <c r="H55" s="189" t="e">
        <f>IF(#REF!="Ergocup",8,"DHM")</f>
        <v>#REF!</v>
      </c>
      <c r="I55" s="40">
        <f>'Eingabe Meldungen'!K400</f>
        <v>0</v>
      </c>
      <c r="J55" s="258"/>
      <c r="K55" s="281">
        <f>IF(Tabelle1[[#This Row],[Bezahlt]]="JA",#REF!,0)</f>
        <v>0</v>
      </c>
      <c r="L55" s="279"/>
    </row>
    <row r="56" spans="2:12" ht="13.8" x14ac:dyDescent="0.2">
      <c r="B56" s="309">
        <f>'Eingabe Meldungen'!A164</f>
        <v>4</v>
      </c>
      <c r="C56" s="310" t="str">
        <f>'Eingabe Meldungen'!C164</f>
        <v>Krause</v>
      </c>
      <c r="D56" s="310" t="str">
        <f>'Eingabe Meldungen'!D164</f>
        <v>Carl</v>
      </c>
      <c r="E56" s="311" t="str">
        <f>'Eingabe Meldungen'!J164</f>
        <v>Rudergesellschaft Heidelberg</v>
      </c>
      <c r="F56" s="310" t="str">
        <f>VLOOKUP(B56,Ausschreibung!$B$4:$I$35,4,FALSE)</f>
        <v>Jungen U14</v>
      </c>
      <c r="G56" s="189" t="e">
        <f t="shared" si="1"/>
        <v>#REF!</v>
      </c>
      <c r="H56" s="189" t="e">
        <f>IF(#REF!="Ergocup",8,"DHM")</f>
        <v>#REF!</v>
      </c>
      <c r="I56" s="40">
        <f>'Eingabe Meldungen'!K362</f>
        <v>0</v>
      </c>
      <c r="J56" s="258"/>
      <c r="K56" s="281">
        <f>IF(Tabelle1[[#This Row],[Bezahlt]]="JA",#REF!,0)</f>
        <v>0</v>
      </c>
      <c r="L56" s="279"/>
    </row>
    <row r="57" spans="2:12" ht="13.8" x14ac:dyDescent="0.2">
      <c r="B57" s="309">
        <f>'Eingabe Meldungen'!A171</f>
        <v>4</v>
      </c>
      <c r="C57" s="310" t="str">
        <f>'Eingabe Meldungen'!C171</f>
        <v>Meyer</v>
      </c>
      <c r="D57" s="310" t="str">
        <f>'Eingabe Meldungen'!D171</f>
        <v>Lars</v>
      </c>
      <c r="E57" s="311" t="str">
        <f>'Eingabe Meldungen'!J171</f>
        <v>Rudergesellschaft Heidelberg</v>
      </c>
      <c r="F57" s="310" t="str">
        <f>VLOOKUP(B57,Ausschreibung!$B$4:$I$35,4,FALSE)</f>
        <v>Jungen U14</v>
      </c>
      <c r="G57" s="189" t="e">
        <f t="shared" si="1"/>
        <v>#REF!</v>
      </c>
      <c r="H57" s="189" t="e">
        <f>IF(#REF!="Ergocup",8,"DHM")</f>
        <v>#REF!</v>
      </c>
      <c r="I57" s="40">
        <f>'Eingabe Meldungen'!K224</f>
        <v>0</v>
      </c>
      <c r="J57" s="258"/>
      <c r="K57" s="281">
        <f>IF(Tabelle1[[#This Row],[Bezahlt]]="JA",#REF!,0)</f>
        <v>0</v>
      </c>
      <c r="L57" s="279"/>
    </row>
    <row r="58" spans="2:12" ht="13.8" x14ac:dyDescent="0.2">
      <c r="B58" s="309">
        <f>'Eingabe Meldungen'!A63</f>
        <v>21</v>
      </c>
      <c r="C58" s="310" t="str">
        <f>'Eingabe Meldungen'!C63</f>
        <v>Outojane</v>
      </c>
      <c r="D58" s="310" t="str">
        <f>'Eingabe Meldungen'!D63</f>
        <v>Hanaa</v>
      </c>
      <c r="E58" s="311" t="str">
        <f>'Eingabe Meldungen'!J63</f>
        <v>RG Eberbach</v>
      </c>
      <c r="F58" s="310" t="str">
        <f>VLOOKUP(B58,Ausschreibung!$B$4:$I$35,4,FALSE)</f>
        <v>Seniorinnen A</v>
      </c>
      <c r="G58" s="189" t="e">
        <f t="shared" si="1"/>
        <v>#REF!</v>
      </c>
      <c r="H58" s="189" t="e">
        <f>IF(#REF!="Ergocup",8,"DHM")</f>
        <v>#REF!</v>
      </c>
      <c r="I58" s="40">
        <f>'Eingabe Meldungen'!K336</f>
        <v>0</v>
      </c>
      <c r="J58" s="258"/>
      <c r="K58" s="281">
        <f>IF(Tabelle1[[#This Row],[Bezahlt]]="JA",#REF!,0)</f>
        <v>0</v>
      </c>
      <c r="L58" s="279"/>
    </row>
    <row r="59" spans="2:12" ht="13.8" x14ac:dyDescent="0.2">
      <c r="B59" s="309">
        <f>'Eingabe Meldungen'!A65</f>
        <v>22</v>
      </c>
      <c r="C59" s="310" t="str">
        <f>'Eingabe Meldungen'!C65</f>
        <v>Bergler</v>
      </c>
      <c r="D59" s="310" t="str">
        <f>'Eingabe Meldungen'!D65</f>
        <v>Nils</v>
      </c>
      <c r="E59" s="311" t="str">
        <f>'Eingabe Meldungen'!J65</f>
        <v>RG Eberbach</v>
      </c>
      <c r="F59" s="310" t="str">
        <f>VLOOKUP(B59,Ausschreibung!$B$4:$I$35,4,FALSE)</f>
        <v>Seniorinnen A</v>
      </c>
      <c r="G59" s="189" t="e">
        <f t="shared" si="1"/>
        <v>#REF!</v>
      </c>
      <c r="H59" s="189" t="e">
        <f>IF(#REF!="Ergocup",8,"DHM")</f>
        <v>#REF!</v>
      </c>
      <c r="I59" s="40">
        <f>'Eingabe Meldungen'!K338</f>
        <v>0</v>
      </c>
      <c r="J59" s="258"/>
      <c r="K59" s="281">
        <f>IF(Tabelle1[[#This Row],[Bezahlt]]="JA",#REF!,0)</f>
        <v>0</v>
      </c>
      <c r="L59" s="279"/>
    </row>
    <row r="60" spans="2:12" ht="13.8" x14ac:dyDescent="0.2">
      <c r="B60" s="309">
        <f>'Eingabe Meldungen'!A72</f>
        <v>20</v>
      </c>
      <c r="C60" s="310" t="str">
        <f>'Eingabe Meldungen'!C72</f>
        <v>Hamzaoui</v>
      </c>
      <c r="D60" s="310" t="str">
        <f>'Eingabe Meldungen'!D72</f>
        <v>Latif</v>
      </c>
      <c r="E60" s="311" t="str">
        <f>'Eingabe Meldungen'!J72</f>
        <v>RG Eberbach</v>
      </c>
      <c r="F60" s="310" t="str">
        <f>VLOOKUP(B60,Ausschreibung!$B$4:$I$35,4,FALSE)</f>
        <v>Junioren A U19</v>
      </c>
      <c r="G60" s="189" t="e">
        <f t="shared" si="1"/>
        <v>#REF!</v>
      </c>
      <c r="H60" s="189" t="e">
        <f>IF(#REF!="Ergocup",8,"DHM")</f>
        <v>#REF!</v>
      </c>
      <c r="I60" s="40">
        <f>'Eingabe Meldungen'!K275</f>
        <v>0</v>
      </c>
      <c r="J60" s="258"/>
      <c r="K60" s="281">
        <f>IF(Tabelle1[[#This Row],[Bezahlt]]="JA",#REF!,0)</f>
        <v>0</v>
      </c>
      <c r="L60" s="279"/>
    </row>
    <row r="61" spans="2:12" ht="13.8" x14ac:dyDescent="0.2">
      <c r="B61" s="309">
        <f>'Eingabe Meldungen'!A74</f>
        <v>20</v>
      </c>
      <c r="C61" s="310" t="str">
        <f>'Eingabe Meldungen'!C74</f>
        <v>Walter</v>
      </c>
      <c r="D61" s="310" t="str">
        <f>'Eingabe Meldungen'!D74</f>
        <v>Miron</v>
      </c>
      <c r="E61" s="311" t="str">
        <f>'Eingabe Meldungen'!J74</f>
        <v>RG Eberbach</v>
      </c>
      <c r="F61" s="310" t="str">
        <f>VLOOKUP(B61,Ausschreibung!$B$4:$I$35,4,FALSE)</f>
        <v>Junioren A U19</v>
      </c>
      <c r="G61" s="189" t="e">
        <f t="shared" si="1"/>
        <v>#REF!</v>
      </c>
      <c r="H61" s="189" t="e">
        <f>IF(#REF!="Ergocup",8,"DHM")</f>
        <v>#REF!</v>
      </c>
      <c r="I61" s="40">
        <f>'Eingabe Meldungen'!K277</f>
        <v>0</v>
      </c>
      <c r="J61" s="258"/>
      <c r="K61" s="281">
        <f>IF(Tabelle1[[#This Row],[Bezahlt]]="JA",#REF!,0)</f>
        <v>0</v>
      </c>
      <c r="L61" s="279"/>
    </row>
    <row r="62" spans="2:12" ht="13.8" x14ac:dyDescent="0.2">
      <c r="B62" s="309">
        <f>'Eingabe Meldungen'!A78</f>
        <v>19</v>
      </c>
      <c r="C62" s="310" t="str">
        <f>'Eingabe Meldungen'!C78</f>
        <v>Weber</v>
      </c>
      <c r="D62" s="310" t="str">
        <f>'Eingabe Meldungen'!D78</f>
        <v>Nils</v>
      </c>
      <c r="E62" s="311" t="str">
        <f>'Eingabe Meldungen'!J78</f>
        <v>RG Eberbach</v>
      </c>
      <c r="F62" s="310" t="str">
        <f>VLOOKUP(B62,Ausschreibung!$B$4:$I$35,4,FALSE)</f>
        <v>Junioren A U19</v>
      </c>
      <c r="G62" s="189" t="e">
        <f t="shared" si="1"/>
        <v>#REF!</v>
      </c>
      <c r="H62" s="189" t="e">
        <f>IF(#REF!="Ergocup",8,"DHM")</f>
        <v>#REF!</v>
      </c>
      <c r="I62" s="40">
        <f>'Eingabe Meldungen'!K281</f>
        <v>0</v>
      </c>
      <c r="J62" s="258"/>
      <c r="K62" s="281">
        <f>IF(Tabelle1[[#This Row],[Bezahlt]]="JA",#REF!,0)</f>
        <v>0</v>
      </c>
      <c r="L62" s="279"/>
    </row>
    <row r="63" spans="2:12" ht="13.8" x14ac:dyDescent="0.2">
      <c r="B63" s="309">
        <f>'Eingabe Meldungen'!A79</f>
        <v>17</v>
      </c>
      <c r="C63" s="310" t="str">
        <f>'Eingabe Meldungen'!C79</f>
        <v>Röhling</v>
      </c>
      <c r="D63" s="310" t="str">
        <f>'Eingabe Meldungen'!D79</f>
        <v>Nina</v>
      </c>
      <c r="E63" s="311" t="str">
        <f>'Eingabe Meldungen'!J79</f>
        <v>RG Eberbach</v>
      </c>
      <c r="F63" s="310" t="str">
        <f>VLOOKUP(B63,Ausschreibung!$B$4:$I$35,4,FALSE)</f>
        <v>Juniorinnen A U19</v>
      </c>
      <c r="G63" s="189" t="e">
        <f t="shared" si="1"/>
        <v>#REF!</v>
      </c>
      <c r="H63" s="189" t="e">
        <f>IF(#REF!="Ergocup",8,"DHM")</f>
        <v>#REF!</v>
      </c>
      <c r="I63" s="40">
        <f>'Eingabe Meldungen'!K282</f>
        <v>0</v>
      </c>
      <c r="J63" s="258"/>
      <c r="K63" s="281">
        <f>IF(Tabelle1[[#This Row],[Bezahlt]]="JA",#REF!,0)</f>
        <v>0</v>
      </c>
      <c r="L63" s="279"/>
    </row>
    <row r="64" spans="2:12" ht="13.8" x14ac:dyDescent="0.2">
      <c r="B64" s="309">
        <f>'Eingabe Meldungen'!A87</f>
        <v>12</v>
      </c>
      <c r="C64" s="310" t="str">
        <f>'Eingabe Meldungen'!C87</f>
        <v>Juschka</v>
      </c>
      <c r="D64" s="310" t="str">
        <f>'Eingabe Meldungen'!D87</f>
        <v>Kathrin</v>
      </c>
      <c r="E64" s="311" t="str">
        <f>'Eingabe Meldungen'!J87</f>
        <v>RG Eberbach</v>
      </c>
      <c r="F64" s="310" t="str">
        <f>VLOOKUP(B64,Ausschreibung!$B$4:$I$35,4,FALSE)</f>
        <v>Juniorinnen B U17</v>
      </c>
      <c r="G64" s="189" t="e">
        <f t="shared" si="1"/>
        <v>#REF!</v>
      </c>
      <c r="H64" s="189" t="e">
        <f>IF(#REF!="Ergocup",8,"DHM")</f>
        <v>#REF!</v>
      </c>
      <c r="I64" s="40">
        <f>'Eingabe Meldungen'!K290</f>
        <v>0</v>
      </c>
      <c r="J64" s="258"/>
      <c r="K64" s="281">
        <f>IF(Tabelle1[[#This Row],[Bezahlt]]="JA",#REF!,0)</f>
        <v>0</v>
      </c>
      <c r="L64" s="279"/>
    </row>
    <row r="65" spans="2:12" ht="13.8" x14ac:dyDescent="0.2">
      <c r="B65" s="309">
        <f>'Eingabe Meldungen'!A94</f>
        <v>12</v>
      </c>
      <c r="C65" s="310" t="str">
        <f>'Eingabe Meldungen'!C94</f>
        <v>Berner</v>
      </c>
      <c r="D65" s="310" t="str">
        <f>'Eingabe Meldungen'!D94</f>
        <v>Sandra</v>
      </c>
      <c r="E65" s="311" t="str">
        <f>'Eingabe Meldungen'!J94</f>
        <v>RG Eberbach</v>
      </c>
      <c r="F65" s="310" t="str">
        <f>VLOOKUP(B65,Ausschreibung!$B$4:$I$35,4,FALSE)</f>
        <v>Juniorinnen B U17</v>
      </c>
      <c r="G65" s="189" t="e">
        <f t="shared" ref="G65:G96" si="2">IF(B65=35,H65-4,H65)</f>
        <v>#REF!</v>
      </c>
      <c r="H65" s="189" t="e">
        <f>IF(#REF!="Ergocup",8,"DHM")</f>
        <v>#REF!</v>
      </c>
      <c r="I65" s="40">
        <f>'Eingabe Meldungen'!K319</f>
        <v>0</v>
      </c>
      <c r="J65" s="258"/>
      <c r="K65" s="281">
        <f>IF(Tabelle1[[#This Row],[Bezahlt]]="JA",#REF!,0)</f>
        <v>0</v>
      </c>
      <c r="L65" s="279"/>
    </row>
    <row r="66" spans="2:12" ht="13.8" x14ac:dyDescent="0.2">
      <c r="B66" s="309">
        <f>'Eingabe Meldungen'!A99</f>
        <v>11</v>
      </c>
      <c r="C66" s="310" t="str">
        <f>'Eingabe Meldungen'!C99</f>
        <v>Hamini</v>
      </c>
      <c r="D66" s="310" t="str">
        <f>'Eingabe Meldungen'!D99</f>
        <v>Bilal</v>
      </c>
      <c r="E66" s="311" t="str">
        <f>'Eingabe Meldungen'!J99</f>
        <v>RG Eberbach</v>
      </c>
      <c r="F66" s="310" t="str">
        <f>VLOOKUP(B66,Ausschreibung!$B$4:$I$35,4,FALSE)</f>
        <v>Juniorinnen B U17</v>
      </c>
      <c r="G66" s="189" t="e">
        <f t="shared" si="2"/>
        <v>#REF!</v>
      </c>
      <c r="H66" s="189" t="e">
        <f>IF(#REF!="Ergocup",8,"DHM")</f>
        <v>#REF!</v>
      </c>
      <c r="I66" s="40">
        <f>'Eingabe Meldungen'!K191</f>
        <v>0</v>
      </c>
      <c r="J66" s="258"/>
      <c r="K66" s="281">
        <f>IF(Tabelle1[[#This Row],[Bezahlt]]="JA",#REF!,0)</f>
        <v>0</v>
      </c>
      <c r="L66" s="279"/>
    </row>
    <row r="67" spans="2:12" ht="13.8" x14ac:dyDescent="0.2">
      <c r="B67" s="309">
        <f>'Eingabe Meldungen'!A113</f>
        <v>12</v>
      </c>
      <c r="C67" s="310" t="str">
        <f>'Eingabe Meldungen'!C113</f>
        <v>Snyman</v>
      </c>
      <c r="D67" s="310" t="str">
        <f>'Eingabe Meldungen'!D113</f>
        <v>Meaghan</v>
      </c>
      <c r="E67" s="311" t="str">
        <f>'Eingabe Meldungen'!J113</f>
        <v>RG Eberbach</v>
      </c>
      <c r="F67" s="310" t="str">
        <f>VLOOKUP(B67,Ausschreibung!$B$4:$I$35,4,FALSE)</f>
        <v>Juniorinnen B U17</v>
      </c>
      <c r="G67" s="189" t="e">
        <f t="shared" si="2"/>
        <v>#REF!</v>
      </c>
      <c r="H67" s="189" t="e">
        <f>IF(#REF!="Ergocup",8,"DHM")</f>
        <v>#REF!</v>
      </c>
      <c r="I67" s="40">
        <f>'Eingabe Meldungen'!K378</f>
        <v>0</v>
      </c>
      <c r="J67" s="258"/>
      <c r="K67" s="281">
        <f>IF(Tabelle1[[#This Row],[Bezahlt]]="JA",#REF!,0)</f>
        <v>0</v>
      </c>
      <c r="L67" s="279"/>
    </row>
    <row r="68" spans="2:12" ht="13.8" x14ac:dyDescent="0.2">
      <c r="B68" s="309">
        <f>'Eingabe Meldungen'!A27</f>
        <v>28</v>
      </c>
      <c r="C68" s="310" t="str">
        <f>'Eingabe Meldungen'!C27</f>
        <v>Heszler</v>
      </c>
      <c r="D68" s="310" t="str">
        <f>'Eingabe Meldungen'!D27</f>
        <v>Peter</v>
      </c>
      <c r="E68" s="311" t="str">
        <f>'Eingabe Meldungen'!J27</f>
        <v>RC Nürtingen</v>
      </c>
      <c r="F68" s="310" t="str">
        <f>VLOOKUP(B68,Ausschreibung!$B$4:$I$35,4,FALSE)</f>
        <v>Masters A-H, weiblich</v>
      </c>
      <c r="G68" s="189" t="e">
        <f t="shared" si="2"/>
        <v>#REF!</v>
      </c>
      <c r="H68" s="189" t="e">
        <f>IF(#REF!="Ergocup",8,"DHM")</f>
        <v>#REF!</v>
      </c>
      <c r="I68" s="40">
        <f>'Eingabe Meldungen'!K230</f>
        <v>0</v>
      </c>
      <c r="J68" s="258"/>
      <c r="K68" s="281">
        <f>IF(Tabelle1[[#This Row],[Bezahlt]]="JA",#REF!,0)</f>
        <v>0</v>
      </c>
      <c r="L68" s="279"/>
    </row>
    <row r="69" spans="2:12" ht="13.8" x14ac:dyDescent="0.2">
      <c r="B69" s="309">
        <f>'Eingabe Meldungen'!A37</f>
        <v>2</v>
      </c>
      <c r="C69" s="310" t="str">
        <f>'Eingabe Meldungen'!C37</f>
        <v>Fouque</v>
      </c>
      <c r="D69" s="310" t="str">
        <f>'Eingabe Meldungen'!D37</f>
        <v>Martin</v>
      </c>
      <c r="E69" s="311" t="str">
        <f>'Eingabe Meldungen'!J37</f>
        <v>RC Nürtingen</v>
      </c>
      <c r="F69" s="310" t="str">
        <f>VLOOKUP(B69,Ausschreibung!$B$4:$I$35,4,FALSE)</f>
        <v>Masters A-H, männlich</v>
      </c>
      <c r="G69" s="189" t="e">
        <f t="shared" si="2"/>
        <v>#REF!</v>
      </c>
      <c r="H69" s="189" t="e">
        <f>IF(#REF!="Ergocup",8,"DHM")</f>
        <v>#REF!</v>
      </c>
      <c r="I69" s="40">
        <f>'Eingabe Meldungen'!K260</f>
        <v>0</v>
      </c>
      <c r="J69" s="258"/>
      <c r="K69" s="281">
        <f>IF(Tabelle1[[#This Row],[Bezahlt]]="JA",#REF!,0)</f>
        <v>0</v>
      </c>
      <c r="L69" s="279"/>
    </row>
    <row r="70" spans="2:12" ht="13.8" x14ac:dyDescent="0.2">
      <c r="B70" s="309">
        <f>'Eingabe Meldungen'!A48</f>
        <v>28</v>
      </c>
      <c r="C70" s="310" t="str">
        <f>'Eingabe Meldungen'!C48</f>
        <v>Aydin</v>
      </c>
      <c r="D70" s="310" t="str">
        <f>'Eingabe Meldungen'!D48</f>
        <v>Semih</v>
      </c>
      <c r="E70" s="311" t="str">
        <f>'Eingabe Meldungen'!J48</f>
        <v>RC Nürtingen</v>
      </c>
      <c r="F70" s="310" t="str">
        <f>VLOOKUP(B70,Ausschreibung!$B$4:$I$35,4,FALSE)</f>
        <v>Masters A-H, weiblich</v>
      </c>
      <c r="G70" s="189" t="e">
        <f t="shared" si="2"/>
        <v>#REF!</v>
      </c>
      <c r="H70" s="189" t="e">
        <f>IF(#REF!="Ergocup",8,"DHM")</f>
        <v>#REF!</v>
      </c>
      <c r="I70" s="40">
        <f>'Eingabe Meldungen'!K329</f>
        <v>0</v>
      </c>
      <c r="J70" s="258"/>
      <c r="K70" s="281">
        <f>IF(Tabelle1[[#This Row],[Bezahlt]]="JA",#REF!,0)</f>
        <v>0</v>
      </c>
      <c r="L70" s="279"/>
    </row>
    <row r="71" spans="2:12" ht="13.8" x14ac:dyDescent="0.2">
      <c r="B71" s="309">
        <f>'Eingabe Meldungen'!A60</f>
        <v>23</v>
      </c>
      <c r="C71" s="310" t="str">
        <f>'Eingabe Meldungen'!C60</f>
        <v>Schneckenberger</v>
      </c>
      <c r="D71" s="310" t="str">
        <f>'Eingabe Meldungen'!D60</f>
        <v>Lukas</v>
      </c>
      <c r="E71" s="311" t="str">
        <f>'Eingabe Meldungen'!J60</f>
        <v>RC Nürtingen</v>
      </c>
      <c r="F71" s="310" t="str">
        <f>VLOOKUP(B71,Ausschreibung!$B$4:$I$35,4,FALSE)</f>
        <v>Senioren A</v>
      </c>
      <c r="G71" s="189" t="e">
        <f t="shared" si="2"/>
        <v>#REF!</v>
      </c>
      <c r="H71" s="189" t="e">
        <f>IF(#REF!="Ergocup",8,"DHM")</f>
        <v>#REF!</v>
      </c>
      <c r="I71" s="40">
        <f>'Eingabe Meldungen'!K333</f>
        <v>0</v>
      </c>
      <c r="J71" s="258"/>
      <c r="K71" s="281">
        <f>IF(Tabelle1[[#This Row],[Bezahlt]]="JA",#REF!,0)</f>
        <v>0</v>
      </c>
      <c r="L71" s="279"/>
    </row>
    <row r="72" spans="2:12" ht="13.8" x14ac:dyDescent="0.2">
      <c r="B72" s="309">
        <f>'Eingabe Meldungen'!A69</f>
        <v>18</v>
      </c>
      <c r="C72" s="310" t="str">
        <f>'Eingabe Meldungen'!C69</f>
        <v>Ross</v>
      </c>
      <c r="D72" s="310" t="str">
        <f>'Eingabe Meldungen'!D69</f>
        <v>Charlotte</v>
      </c>
      <c r="E72" s="311" t="str">
        <f>'Eingabe Meldungen'!J69</f>
        <v>RC Nürtingen</v>
      </c>
      <c r="F72" s="310" t="str">
        <f>VLOOKUP(B72,Ausschreibung!$B$4:$I$35,4,FALSE)</f>
        <v>Juniorinnen A U19</v>
      </c>
      <c r="G72" s="189" t="e">
        <f t="shared" si="2"/>
        <v>#REF!</v>
      </c>
      <c r="H72" s="189" t="e">
        <f>IF(#REF!="Ergocup",8,"DHM")</f>
        <v>#REF!</v>
      </c>
      <c r="I72" s="40">
        <f>'Eingabe Meldungen'!K232</f>
        <v>0</v>
      </c>
      <c r="J72" s="258"/>
      <c r="K72" s="281">
        <f>IF(Tabelle1[[#This Row],[Bezahlt]]="JA",#REF!,0)</f>
        <v>0</v>
      </c>
      <c r="L72" s="279"/>
    </row>
    <row r="73" spans="2:12" ht="13.8" x14ac:dyDescent="0.2">
      <c r="B73" s="309">
        <f>'Eingabe Meldungen'!A70</f>
        <v>19</v>
      </c>
      <c r="C73" s="310" t="str">
        <f>'Eingabe Meldungen'!C70</f>
        <v>Walz</v>
      </c>
      <c r="D73" s="310" t="str">
        <f>'Eingabe Meldungen'!D70</f>
        <v>Jona</v>
      </c>
      <c r="E73" s="311" t="str">
        <f>'Eingabe Meldungen'!J70</f>
        <v>RC Nürtingen</v>
      </c>
      <c r="F73" s="310" t="str">
        <f>VLOOKUP(B73,Ausschreibung!$B$4:$I$35,4,FALSE)</f>
        <v>Junioren A U19</v>
      </c>
      <c r="G73" s="189" t="e">
        <f t="shared" si="2"/>
        <v>#REF!</v>
      </c>
      <c r="H73" s="189" t="e">
        <f>IF(#REF!="Ergocup",8,"DHM")</f>
        <v>#REF!</v>
      </c>
      <c r="I73" s="40">
        <f>'Eingabe Meldungen'!K233</f>
        <v>0</v>
      </c>
      <c r="J73" s="258"/>
      <c r="K73" s="281">
        <f>IF(Tabelle1[[#This Row],[Bezahlt]]="JA",#REF!,0)</f>
        <v>0</v>
      </c>
      <c r="L73" s="279"/>
    </row>
    <row r="74" spans="2:12" ht="13.8" x14ac:dyDescent="0.2">
      <c r="B74" s="309">
        <f>'Eingabe Meldungen'!A82</f>
        <v>13</v>
      </c>
      <c r="C74" s="310" t="str">
        <f>'Eingabe Meldungen'!C82</f>
        <v>Friebe</v>
      </c>
      <c r="D74" s="310" t="str">
        <f>'Eingabe Meldungen'!D82</f>
        <v>Bruno</v>
      </c>
      <c r="E74" s="311" t="str">
        <f>'Eingabe Meldungen'!J82</f>
        <v>RC Nürtingen</v>
      </c>
      <c r="F74" s="310" t="str">
        <f>VLOOKUP(B74,Ausschreibung!$B$4:$I$35,4,FALSE)</f>
        <v>Junioren B U17</v>
      </c>
      <c r="G74" s="189" t="e">
        <f t="shared" si="2"/>
        <v>#REF!</v>
      </c>
      <c r="H74" s="189" t="e">
        <f>IF(#REF!="Ergocup",8,"DHM")</f>
        <v>#REF!</v>
      </c>
      <c r="I74" s="40">
        <f>'Eingabe Meldungen'!K285</f>
        <v>0</v>
      </c>
      <c r="J74" s="258"/>
      <c r="K74" s="281">
        <f>IF(Tabelle1[[#This Row],[Bezahlt]]="JA",#REF!,0)</f>
        <v>0</v>
      </c>
      <c r="L74" s="279"/>
    </row>
    <row r="75" spans="2:12" ht="13.8" x14ac:dyDescent="0.2">
      <c r="B75" s="309">
        <f>'Eingabe Meldungen'!A90</f>
        <v>13</v>
      </c>
      <c r="C75" s="310" t="str">
        <f>'Eingabe Meldungen'!C90</f>
        <v>Swoboda</v>
      </c>
      <c r="D75" s="310" t="str">
        <f>'Eingabe Meldungen'!D90</f>
        <v>Luca</v>
      </c>
      <c r="E75" s="311" t="str">
        <f>'Eingabe Meldungen'!J90</f>
        <v>RC Nürtingen</v>
      </c>
      <c r="F75" s="310" t="str">
        <f>VLOOKUP(B75,Ausschreibung!$B$4:$I$35,4,FALSE)</f>
        <v>Junioren B U17</v>
      </c>
      <c r="G75" s="189" t="e">
        <f t="shared" si="2"/>
        <v>#REF!</v>
      </c>
      <c r="H75" s="189" t="e">
        <f>IF(#REF!="Ergocup",8,"DHM")</f>
        <v>#REF!</v>
      </c>
      <c r="I75" s="40">
        <f>'Eingabe Meldungen'!K305</f>
        <v>0</v>
      </c>
      <c r="J75" s="258"/>
      <c r="K75" s="281">
        <f>IF(Tabelle1[[#This Row],[Bezahlt]]="JA",#REF!,0)</f>
        <v>0</v>
      </c>
      <c r="L75" s="279"/>
    </row>
    <row r="76" spans="2:12" ht="13.8" x14ac:dyDescent="0.2">
      <c r="B76" s="309">
        <f>'Eingabe Meldungen'!A91</f>
        <v>13</v>
      </c>
      <c r="C76" s="310" t="str">
        <f>'Eingabe Meldungen'!C91</f>
        <v>Schwarz</v>
      </c>
      <c r="D76" s="310" t="str">
        <f>'Eingabe Meldungen'!D91</f>
        <v>Max</v>
      </c>
      <c r="E76" s="311" t="str">
        <f>'Eingabe Meldungen'!J91</f>
        <v>RC Nürtingen</v>
      </c>
      <c r="F76" s="310" t="str">
        <f>VLOOKUP(B76,Ausschreibung!$B$4:$I$35,4,FALSE)</f>
        <v>Junioren B U17</v>
      </c>
      <c r="G76" s="189" t="e">
        <f t="shared" si="2"/>
        <v>#REF!</v>
      </c>
      <c r="H76" s="189" t="e">
        <f>IF(#REF!="Ergocup",8,"DHM")</f>
        <v>#REF!</v>
      </c>
      <c r="I76" s="40">
        <f>'Eingabe Meldungen'!K306</f>
        <v>0</v>
      </c>
      <c r="J76" s="258"/>
      <c r="K76" s="281">
        <f>IF(Tabelle1[[#This Row],[Bezahlt]]="JA",#REF!,0)</f>
        <v>0</v>
      </c>
      <c r="L76" s="279"/>
    </row>
    <row r="77" spans="2:12" ht="13.8" x14ac:dyDescent="0.2">
      <c r="B77" s="309">
        <f>'Eingabe Meldungen'!A93</f>
        <v>12</v>
      </c>
      <c r="C77" s="310" t="str">
        <f>'Eingabe Meldungen'!C93</f>
        <v>Melin</v>
      </c>
      <c r="D77" s="310" t="str">
        <f>'Eingabe Meldungen'!D93</f>
        <v>Neval</v>
      </c>
      <c r="E77" s="311" t="str">
        <f>'Eingabe Meldungen'!J93</f>
        <v>RC Nürtingen</v>
      </c>
      <c r="F77" s="310" t="str">
        <f>VLOOKUP(B77,Ausschreibung!$B$4:$I$35,4,FALSE)</f>
        <v>Juniorinnen B U17</v>
      </c>
      <c r="G77" s="189" t="e">
        <f t="shared" si="2"/>
        <v>#REF!</v>
      </c>
      <c r="H77" s="189" t="e">
        <f>IF(#REF!="Ergocup",8,"DHM")</f>
        <v>#REF!</v>
      </c>
      <c r="I77" s="40">
        <f>'Eingabe Meldungen'!K318</f>
        <v>0</v>
      </c>
      <c r="J77" s="258"/>
      <c r="K77" s="281">
        <f>IF(Tabelle1[[#This Row],[Bezahlt]]="JA",#REF!,0)</f>
        <v>0</v>
      </c>
      <c r="L77" s="279"/>
    </row>
    <row r="78" spans="2:12" ht="13.8" x14ac:dyDescent="0.2">
      <c r="B78" s="309">
        <f>'Eingabe Meldungen'!A97</f>
        <v>14</v>
      </c>
      <c r="C78" s="310" t="str">
        <f>'Eingabe Meldungen'!C97</f>
        <v>Schmiegelt</v>
      </c>
      <c r="D78" s="310" t="str">
        <f>'Eingabe Meldungen'!D97</f>
        <v>Adrian</v>
      </c>
      <c r="E78" s="311" t="str">
        <f>'Eingabe Meldungen'!J97</f>
        <v>RC Nürtingen</v>
      </c>
      <c r="F78" s="310" t="str">
        <f>VLOOKUP(B78,Ausschreibung!$B$4:$I$35,4,FALSE)</f>
        <v>Junioren B U17</v>
      </c>
      <c r="G78" s="189" t="e">
        <f t="shared" si="2"/>
        <v>#REF!</v>
      </c>
      <c r="H78" s="189" t="e">
        <f>IF(#REF!="Ergocup",8,"DHM")</f>
        <v>#REF!</v>
      </c>
      <c r="I78" s="40">
        <f>'Eingabe Meldungen'!K322</f>
        <v>0</v>
      </c>
      <c r="J78" s="258"/>
      <c r="K78" s="281">
        <f>IF(Tabelle1[[#This Row],[Bezahlt]]="JA",#REF!,0)</f>
        <v>0</v>
      </c>
      <c r="L78" s="279"/>
    </row>
    <row r="79" spans="2:12" ht="13.8" x14ac:dyDescent="0.2">
      <c r="B79" s="309">
        <f>'Eingabe Meldungen'!A100</f>
        <v>13</v>
      </c>
      <c r="C79" s="310" t="str">
        <f>'Eingabe Meldungen'!C100</f>
        <v>Hodapp</v>
      </c>
      <c r="D79" s="310" t="str">
        <f>'Eingabe Meldungen'!D100</f>
        <v>Bjarne</v>
      </c>
      <c r="E79" s="311" t="str">
        <f>'Eingabe Meldungen'!J100</f>
        <v>RC Nürtingen</v>
      </c>
      <c r="F79" s="310" t="str">
        <f>VLOOKUP(B79,Ausschreibung!$B$4:$I$35,4,FALSE)</f>
        <v>Junioren B U17</v>
      </c>
      <c r="G79" s="189" t="e">
        <f t="shared" si="2"/>
        <v>#REF!</v>
      </c>
      <c r="H79" s="189" t="e">
        <f>IF(#REF!="Ergocup",8,"DHM")</f>
        <v>#REF!</v>
      </c>
      <c r="I79" s="40">
        <f>'Eingabe Meldungen'!K221</f>
        <v>0</v>
      </c>
      <c r="J79" s="258"/>
      <c r="K79" s="281">
        <f>IF(Tabelle1[[#This Row],[Bezahlt]]="JA",#REF!,0)</f>
        <v>0</v>
      </c>
      <c r="L79" s="279"/>
    </row>
    <row r="80" spans="2:12" ht="13.8" x14ac:dyDescent="0.2">
      <c r="B80" s="309">
        <f>'Eingabe Meldungen'!A101</f>
        <v>13</v>
      </c>
      <c r="C80" s="310" t="str">
        <f>'Eingabe Meldungen'!C101</f>
        <v>Höring</v>
      </c>
      <c r="D80" s="310" t="str">
        <f>'Eingabe Meldungen'!D101</f>
        <v>Clemens</v>
      </c>
      <c r="E80" s="311" t="str">
        <f>'Eingabe Meldungen'!J101</f>
        <v>RC Nürtingen</v>
      </c>
      <c r="F80" s="310" t="str">
        <f>VLOOKUP(B80,Ausschreibung!$B$4:$I$35,4,FALSE)</f>
        <v>Junioren B U17</v>
      </c>
      <c r="G80" s="189" t="e">
        <f t="shared" si="2"/>
        <v>#REF!</v>
      </c>
      <c r="H80" s="189" t="e">
        <f>IF(#REF!="Ergocup",8,"DHM")</f>
        <v>#REF!</v>
      </c>
      <c r="I80" s="40">
        <f>'Eingabe Meldungen'!K366</f>
        <v>0</v>
      </c>
      <c r="J80" s="258"/>
      <c r="K80" s="281">
        <f>IF(Tabelle1[[#This Row],[Bezahlt]]="JA",#REF!,0)</f>
        <v>0</v>
      </c>
      <c r="L80" s="279"/>
    </row>
    <row r="81" spans="2:12" ht="13.8" x14ac:dyDescent="0.2">
      <c r="B81" s="309">
        <f>'Eingabe Meldungen'!A104</f>
        <v>13</v>
      </c>
      <c r="C81" s="310" t="str">
        <f>'Eingabe Meldungen'!C104</f>
        <v>Fouque</v>
      </c>
      <c r="D81" s="310" t="str">
        <f>'Eingabe Meldungen'!D104</f>
        <v>Finn</v>
      </c>
      <c r="E81" s="311" t="str">
        <f>'Eingabe Meldungen'!J104</f>
        <v>RC Nürtingen</v>
      </c>
      <c r="F81" s="310" t="str">
        <f>VLOOKUP(B81,Ausschreibung!$B$4:$I$35,4,FALSE)</f>
        <v>Junioren B U17</v>
      </c>
      <c r="G81" s="189" t="e">
        <f t="shared" si="2"/>
        <v>#REF!</v>
      </c>
      <c r="H81" s="189" t="e">
        <f>IF(#REF!="Ergocup",8,"DHM")</f>
        <v>#REF!</v>
      </c>
      <c r="I81" s="40">
        <f>'Eingabe Meldungen'!K369</f>
        <v>0</v>
      </c>
      <c r="J81" s="258"/>
      <c r="K81" s="281">
        <f>IF(Tabelle1[[#This Row],[Bezahlt]]="JA",#REF!,0)</f>
        <v>0</v>
      </c>
      <c r="L81" s="279"/>
    </row>
    <row r="82" spans="2:12" ht="13.8" x14ac:dyDescent="0.2">
      <c r="B82" s="309">
        <f>'Eingabe Meldungen'!A107</f>
        <v>11</v>
      </c>
      <c r="C82" s="310" t="str">
        <f>'Eingabe Meldungen'!C107</f>
        <v>Hümpfner</v>
      </c>
      <c r="D82" s="310" t="str">
        <f>'Eingabe Meldungen'!D107</f>
        <v>Jara</v>
      </c>
      <c r="E82" s="311" t="str">
        <f>'Eingabe Meldungen'!J107</f>
        <v>RC Nürtingen</v>
      </c>
      <c r="F82" s="310" t="str">
        <f>VLOOKUP(B82,Ausschreibung!$B$4:$I$35,4,FALSE)</f>
        <v>Juniorinnen B U17</v>
      </c>
      <c r="G82" s="189" t="e">
        <f t="shared" si="2"/>
        <v>#REF!</v>
      </c>
      <c r="H82" s="189" t="e">
        <f>IF(#REF!="Ergocup",8,"DHM")</f>
        <v>#REF!</v>
      </c>
      <c r="I82" s="40">
        <f>'Eingabe Meldungen'!K372</f>
        <v>0</v>
      </c>
      <c r="J82" s="258"/>
      <c r="K82" s="281">
        <f>IF(Tabelle1[[#This Row],[Bezahlt]]="JA",#REF!,0)</f>
        <v>0</v>
      </c>
      <c r="L82" s="279"/>
    </row>
    <row r="83" spans="2:12" ht="13.8" x14ac:dyDescent="0.2">
      <c r="B83" s="309">
        <f>'Eingabe Meldungen'!A109</f>
        <v>14</v>
      </c>
      <c r="C83" s="310" t="str">
        <f>'Eingabe Meldungen'!C109</f>
        <v>Burkhart</v>
      </c>
      <c r="D83" s="310" t="str">
        <f>'Eingabe Meldungen'!D109</f>
        <v>Levin</v>
      </c>
      <c r="E83" s="311" t="str">
        <f>'Eingabe Meldungen'!J109</f>
        <v>RC Nürtingen</v>
      </c>
      <c r="F83" s="310" t="str">
        <f>VLOOKUP(B83,Ausschreibung!$B$4:$I$35,4,FALSE)</f>
        <v>Junioren B U17</v>
      </c>
      <c r="G83" s="189" t="e">
        <f t="shared" si="2"/>
        <v>#REF!</v>
      </c>
      <c r="H83" s="189" t="e">
        <f>IF(#REF!="Ergocup",8,"DHM")</f>
        <v>#REF!</v>
      </c>
      <c r="I83" s="40">
        <f>'Eingabe Meldungen'!K374</f>
        <v>0</v>
      </c>
      <c r="J83" s="258"/>
      <c r="K83" s="281">
        <f>IF(Tabelle1[[#This Row],[Bezahlt]]="JA",#REF!,0)</f>
        <v>0</v>
      </c>
      <c r="L83" s="279"/>
    </row>
    <row r="84" spans="2:12" ht="13.8" x14ac:dyDescent="0.2">
      <c r="B84" s="309">
        <f>'Eingabe Meldungen'!A111</f>
        <v>13</v>
      </c>
      <c r="C84" s="310" t="str">
        <f>'Eingabe Meldungen'!C111</f>
        <v>Schnaidt</v>
      </c>
      <c r="D84" s="310" t="str">
        <f>'Eingabe Meldungen'!D111</f>
        <v>Manuel</v>
      </c>
      <c r="E84" s="311" t="str">
        <f>'Eingabe Meldungen'!J111</f>
        <v>RC Nürtingen</v>
      </c>
      <c r="F84" s="310" t="str">
        <f>VLOOKUP(B84,Ausschreibung!$B$4:$I$35,4,FALSE)</f>
        <v>Junioren B U17</v>
      </c>
      <c r="G84" s="189" t="e">
        <f t="shared" si="2"/>
        <v>#REF!</v>
      </c>
      <c r="H84" s="189" t="e">
        <f>IF(#REF!="Ergocup",8,"DHM")</f>
        <v>#REF!</v>
      </c>
      <c r="I84" s="40">
        <f>'Eingabe Meldungen'!K376</f>
        <v>0</v>
      </c>
      <c r="J84" s="258"/>
      <c r="K84" s="281">
        <f>IF(Tabelle1[[#This Row],[Bezahlt]]="JA",#REF!,0)</f>
        <v>0</v>
      </c>
      <c r="L84" s="279"/>
    </row>
    <row r="85" spans="2:12" ht="13.8" x14ac:dyDescent="0.2">
      <c r="B85" s="309">
        <f>'Eingabe Meldungen'!A117</f>
        <v>13</v>
      </c>
      <c r="C85" s="310" t="str">
        <f>'Eingabe Meldungen'!C117</f>
        <v>Weckenmann</v>
      </c>
      <c r="D85" s="310" t="str">
        <f>'Eingabe Meldungen'!D117</f>
        <v>Phil Ole</v>
      </c>
      <c r="E85" s="311" t="str">
        <f>'Eingabe Meldungen'!J117</f>
        <v>RC Nürtingen</v>
      </c>
      <c r="F85" s="310" t="str">
        <f>VLOOKUP(B85,Ausschreibung!$B$4:$I$35,4,FALSE)</f>
        <v>Junioren B U17</v>
      </c>
      <c r="G85" s="189" t="e">
        <f t="shared" si="2"/>
        <v>#REF!</v>
      </c>
      <c r="H85" s="189" t="e">
        <f>IF(#REF!="Ergocup",8,"DHM")</f>
        <v>#REF!</v>
      </c>
      <c r="I85" s="40">
        <f>'Eingabe Meldungen'!K382</f>
        <v>0</v>
      </c>
      <c r="J85" s="258"/>
      <c r="K85" s="281">
        <f>IF(Tabelle1[[#This Row],[Bezahlt]]="JA",#REF!,0)</f>
        <v>0</v>
      </c>
      <c r="L85" s="279"/>
    </row>
    <row r="86" spans="2:12" ht="13.8" x14ac:dyDescent="0.2">
      <c r="B86" s="309">
        <f>'Eingabe Meldungen'!A121</f>
        <v>13</v>
      </c>
      <c r="C86" s="310" t="str">
        <f>'Eingabe Meldungen'!C121</f>
        <v>Strohmann</v>
      </c>
      <c r="D86" s="310" t="str">
        <f>'Eingabe Meldungen'!D121</f>
        <v>Urs</v>
      </c>
      <c r="E86" s="311" t="str">
        <f>'Eingabe Meldungen'!J121</f>
        <v>RC Nürtingen</v>
      </c>
      <c r="F86" s="310" t="str">
        <f>VLOOKUP(B86,Ausschreibung!$B$4:$I$35,4,FALSE)</f>
        <v>Junioren B U17</v>
      </c>
      <c r="G86" s="189" t="e">
        <f t="shared" si="2"/>
        <v>#REF!</v>
      </c>
      <c r="H86" s="189" t="e">
        <f>IF(#REF!="Ergocup",8,"DHM")</f>
        <v>#REF!</v>
      </c>
      <c r="I86" s="40">
        <f>'Eingabe Meldungen'!K220</f>
        <v>0</v>
      </c>
      <c r="J86" s="258"/>
      <c r="K86" s="281">
        <f>IF(Tabelle1[[#This Row],[Bezahlt]]="JA",#REF!,0)</f>
        <v>0</v>
      </c>
      <c r="L86" s="279"/>
    </row>
    <row r="87" spans="2:12" ht="13.8" x14ac:dyDescent="0.2">
      <c r="B87" s="309">
        <f>'Eingabe Meldungen'!A126</f>
        <v>8</v>
      </c>
      <c r="C87" s="310" t="str">
        <f>'Eingabe Meldungen'!C126</f>
        <v>Weiß</v>
      </c>
      <c r="D87" s="310" t="str">
        <f>'Eingabe Meldungen'!D126</f>
        <v>Annika</v>
      </c>
      <c r="E87" s="311" t="str">
        <f>'Eingabe Meldungen'!J126</f>
        <v>RC Nürtingen</v>
      </c>
      <c r="F87" s="310" t="str">
        <f>VLOOKUP(B87,Ausschreibung!$B$4:$I$35,4,FALSE)</f>
        <v>Mädchen U15</v>
      </c>
      <c r="G87" s="189" t="e">
        <f t="shared" si="2"/>
        <v>#REF!</v>
      </c>
      <c r="H87" s="189" t="e">
        <f>IF(#REF!="Ergocup",8,"DHM")</f>
        <v>#REF!</v>
      </c>
      <c r="I87" s="40">
        <f>'Eingabe Meldungen'!K212</f>
        <v>0</v>
      </c>
      <c r="J87" s="258"/>
      <c r="K87" s="281">
        <f>IF(Tabelle1[[#This Row],[Bezahlt]]="JA",#REF!,0)</f>
        <v>0</v>
      </c>
      <c r="L87" s="279"/>
    </row>
    <row r="88" spans="2:12" ht="13.8" x14ac:dyDescent="0.2">
      <c r="B88" s="309">
        <f>'Eingabe Meldungen'!A139</f>
        <v>7</v>
      </c>
      <c r="C88" s="310" t="str">
        <f>'Eingabe Meldungen'!C139</f>
        <v>Liebrich</v>
      </c>
      <c r="D88" s="310" t="str">
        <f>'Eingabe Meldungen'!D139</f>
        <v>Ina</v>
      </c>
      <c r="E88" s="311" t="str">
        <f>'Eingabe Meldungen'!J139</f>
        <v>RC Nürtingen</v>
      </c>
      <c r="F88" s="310" t="str">
        <f>VLOOKUP(B88,Ausschreibung!$B$4:$I$35,4,FALSE)</f>
        <v>Mädchen U15</v>
      </c>
      <c r="G88" s="189" t="e">
        <f t="shared" si="2"/>
        <v>#REF!</v>
      </c>
      <c r="H88" s="189" t="e">
        <f>IF(#REF!="Ergocup",8,"DHM")</f>
        <v>#REF!</v>
      </c>
      <c r="I88" s="40">
        <f>'Eingabe Meldungen'!K294</f>
        <v>0</v>
      </c>
      <c r="J88" s="258"/>
      <c r="K88" s="281">
        <f>IF(Tabelle1[[#This Row],[Bezahlt]]="JA",#REF!,0)</f>
        <v>0</v>
      </c>
      <c r="L88" s="279"/>
    </row>
    <row r="89" spans="2:12" ht="13.8" x14ac:dyDescent="0.2">
      <c r="B89" s="309">
        <f>'Eingabe Meldungen'!A141</f>
        <v>10</v>
      </c>
      <c r="C89" s="310" t="str">
        <f>'Eingabe Meldungen'!C141</f>
        <v>Engel</v>
      </c>
      <c r="D89" s="310" t="str">
        <f>'Eingabe Meldungen'!D141</f>
        <v>Julian</v>
      </c>
      <c r="E89" s="311" t="str">
        <f>'Eingabe Meldungen'!J141</f>
        <v>RC Nürtingen</v>
      </c>
      <c r="F89" s="310" t="str">
        <f>VLOOKUP(B89,Ausschreibung!$B$4:$I$35,4,FALSE)</f>
        <v>Jungen U15</v>
      </c>
      <c r="G89" s="189" t="e">
        <f t="shared" si="2"/>
        <v>#REF!</v>
      </c>
      <c r="H89" s="189" t="e">
        <f>IF(#REF!="Ergocup",8,"DHM")</f>
        <v>#REF!</v>
      </c>
      <c r="I89" s="40">
        <f>'Eingabe Meldungen'!K308</f>
        <v>0</v>
      </c>
      <c r="J89" s="258"/>
      <c r="K89" s="281">
        <f>IF(Tabelle1[[#This Row],[Bezahlt]]="JA",#REF!,0)</f>
        <v>0</v>
      </c>
      <c r="L89" s="279"/>
    </row>
    <row r="90" spans="2:12" ht="13.8" x14ac:dyDescent="0.2">
      <c r="B90" s="309">
        <f>'Eingabe Meldungen'!A143</f>
        <v>9</v>
      </c>
      <c r="C90" s="310" t="str">
        <f>'Eingabe Meldungen'!C143</f>
        <v>Walz</v>
      </c>
      <c r="D90" s="310" t="str">
        <f>'Eingabe Meldungen'!D143</f>
        <v>Levi</v>
      </c>
      <c r="E90" s="311" t="str">
        <f>'Eingabe Meldungen'!J143</f>
        <v>RC Nürtingen</v>
      </c>
      <c r="F90" s="310" t="str">
        <f>VLOOKUP(B90,Ausschreibung!$B$4:$I$35,4,FALSE)</f>
        <v>Jungen U15</v>
      </c>
      <c r="G90" s="189" t="e">
        <f t="shared" si="2"/>
        <v>#REF!</v>
      </c>
      <c r="H90" s="189" t="e">
        <f>IF(#REF!="Ergocup",8,"DHM")</f>
        <v>#REF!</v>
      </c>
      <c r="I90" s="40">
        <f>'Eingabe Meldungen'!K300</f>
        <v>0</v>
      </c>
      <c r="J90" s="258"/>
      <c r="K90" s="281">
        <f>IF(Tabelle1[[#This Row],[Bezahlt]]="JA",#REF!,0)</f>
        <v>0</v>
      </c>
      <c r="L90" s="279"/>
    </row>
    <row r="91" spans="2:12" ht="13.8" x14ac:dyDescent="0.2">
      <c r="B91" s="309">
        <f>'Eingabe Meldungen'!A144</f>
        <v>8</v>
      </c>
      <c r="C91" s="310" t="str">
        <f>'Eingabe Meldungen'!C144</f>
        <v>Mayer</v>
      </c>
      <c r="D91" s="310" t="str">
        <f>'Eingabe Meldungen'!D144</f>
        <v>Lilly</v>
      </c>
      <c r="E91" s="311" t="str">
        <f>'Eingabe Meldungen'!J144</f>
        <v>RC Nürtingen</v>
      </c>
      <c r="F91" s="310" t="str">
        <f>VLOOKUP(B91,Ausschreibung!$B$4:$I$35,4,FALSE)</f>
        <v>Mädchen U15</v>
      </c>
      <c r="G91" s="189" t="e">
        <f t="shared" si="2"/>
        <v>#REF!</v>
      </c>
      <c r="H91" s="189" t="e">
        <f>IF(#REF!="Ergocup",8,"DHM")</f>
        <v>#REF!</v>
      </c>
      <c r="I91" s="40">
        <f>'Eingabe Meldungen'!K295</f>
        <v>0</v>
      </c>
      <c r="J91" s="258"/>
      <c r="K91" s="281">
        <f>IF(Tabelle1[[#This Row],[Bezahlt]]="JA",#REF!,0)</f>
        <v>0</v>
      </c>
      <c r="L91" s="279"/>
    </row>
    <row r="92" spans="2:12" ht="13.8" x14ac:dyDescent="0.2">
      <c r="B92" s="309">
        <f>'Eingabe Meldungen'!A149</f>
        <v>10</v>
      </c>
      <c r="C92" s="310" t="str">
        <f>'Eingabe Meldungen'!C149</f>
        <v>Melcher</v>
      </c>
      <c r="D92" s="310" t="str">
        <f>'Eingabe Meldungen'!D149</f>
        <v>Max</v>
      </c>
      <c r="E92" s="311" t="str">
        <f>'Eingabe Meldungen'!J149</f>
        <v>RC Nürtingen</v>
      </c>
      <c r="F92" s="310" t="str">
        <f>VLOOKUP(B92,Ausschreibung!$B$4:$I$35,4,FALSE)</f>
        <v>Jungen U15</v>
      </c>
      <c r="G92" s="189" t="e">
        <f t="shared" si="2"/>
        <v>#REF!</v>
      </c>
      <c r="H92" s="189" t="e">
        <f>IF(#REF!="Ergocup",8,"DHM")</f>
        <v>#REF!</v>
      </c>
      <c r="I92" s="40">
        <f>'Eingabe Meldungen'!K363</f>
        <v>0</v>
      </c>
      <c r="J92" s="258"/>
      <c r="K92" s="281">
        <f>IF(Tabelle1[[#This Row],[Bezahlt]]="JA",#REF!,0)</f>
        <v>0</v>
      </c>
      <c r="L92" s="279"/>
    </row>
    <row r="93" spans="2:12" ht="13.8" x14ac:dyDescent="0.2">
      <c r="B93" s="309">
        <f>'Eingabe Meldungen'!A155</f>
        <v>9</v>
      </c>
      <c r="C93" s="310" t="str">
        <f>'Eingabe Meldungen'!C155</f>
        <v>Knott</v>
      </c>
      <c r="D93" s="310" t="str">
        <f>'Eingabe Meldungen'!D155</f>
        <v>Nils</v>
      </c>
      <c r="E93" s="311" t="str">
        <f>'Eingabe Meldungen'!J155</f>
        <v>RC Nürtingen</v>
      </c>
      <c r="F93" s="310" t="str">
        <f>VLOOKUP(B93,Ausschreibung!$B$4:$I$35,4,FALSE)</f>
        <v>Jungen U15</v>
      </c>
      <c r="G93" s="189" t="e">
        <f t="shared" si="2"/>
        <v>#REF!</v>
      </c>
      <c r="H93" s="189" t="e">
        <f>IF(#REF!="Ergocup",8,"DHM")</f>
        <v>#REF!</v>
      </c>
      <c r="I93" s="40">
        <f>'Eingabe Meldungen'!K399</f>
        <v>0</v>
      </c>
      <c r="J93" s="258"/>
      <c r="K93" s="281">
        <f>IF(Tabelle1[[#This Row],[Bezahlt]]="JA",#REF!,0)</f>
        <v>0</v>
      </c>
      <c r="L93" s="279"/>
    </row>
    <row r="94" spans="2:12" ht="13.8" x14ac:dyDescent="0.2">
      <c r="B94" s="309">
        <f>'Eingabe Meldungen'!A157</f>
        <v>9</v>
      </c>
      <c r="C94" s="310" t="str">
        <f>'Eingabe Meldungen'!C157</f>
        <v>Heß</v>
      </c>
      <c r="D94" s="310" t="str">
        <f>'Eingabe Meldungen'!D157</f>
        <v>Philipp</v>
      </c>
      <c r="E94" s="311" t="str">
        <f>'Eingabe Meldungen'!J157</f>
        <v>RC Nürtingen</v>
      </c>
      <c r="F94" s="310" t="str">
        <f>VLOOKUP(B94,Ausschreibung!$B$4:$I$35,4,FALSE)</f>
        <v>Jungen U15</v>
      </c>
      <c r="G94" s="189" t="e">
        <f t="shared" si="2"/>
        <v>#REF!</v>
      </c>
      <c r="H94" s="189" t="e">
        <f>IF(#REF!="Ergocup",8,"DHM")</f>
        <v>#REF!</v>
      </c>
      <c r="I94" s="40">
        <f>'Eingabe Meldungen'!K401</f>
        <v>0</v>
      </c>
      <c r="J94" s="258"/>
      <c r="K94" s="281">
        <f>IF(Tabelle1[[#This Row],[Bezahlt]]="JA",#REF!,0)</f>
        <v>0</v>
      </c>
      <c r="L94" s="279"/>
    </row>
    <row r="95" spans="2:12" ht="13.8" x14ac:dyDescent="0.2">
      <c r="B95" s="309">
        <f>'Eingabe Meldungen'!A162</f>
        <v>5</v>
      </c>
      <c r="C95" s="310" t="str">
        <f>'Eingabe Meldungen'!C162</f>
        <v>Schilling</v>
      </c>
      <c r="D95" s="310" t="str">
        <f>'Eingabe Meldungen'!D162</f>
        <v>Amelie</v>
      </c>
      <c r="E95" s="311" t="str">
        <f>'Eingabe Meldungen'!J162</f>
        <v>RC Nürtingen</v>
      </c>
      <c r="F95" s="310" t="str">
        <f>VLOOKUP(B95,Ausschreibung!$B$4:$I$35,4,FALSE)</f>
        <v>Mädchen U14</v>
      </c>
      <c r="G95" s="189" t="e">
        <f t="shared" si="2"/>
        <v>#REF!</v>
      </c>
      <c r="H95" s="189" t="e">
        <f>IF(#REF!="Ergocup",8,"DHM")</f>
        <v>#REF!</v>
      </c>
      <c r="I95" s="40">
        <f>'Eingabe Meldungen'!K360</f>
        <v>0</v>
      </c>
      <c r="J95" s="258"/>
      <c r="K95" s="281">
        <f>IF(Tabelle1[[#This Row],[Bezahlt]]="JA",#REF!,0)</f>
        <v>0</v>
      </c>
      <c r="L95" s="279"/>
    </row>
    <row r="96" spans="2:12" ht="13.8" x14ac:dyDescent="0.2">
      <c r="B96" s="309">
        <f>'Eingabe Meldungen'!A190</f>
        <v>3</v>
      </c>
      <c r="C96" s="310" t="str">
        <f>'Eingabe Meldungen'!C190</f>
        <v>Dorfschmid</v>
      </c>
      <c r="D96" s="310" t="str">
        <f>'Eingabe Meldungen'!D190</f>
        <v>Lukas</v>
      </c>
      <c r="E96" s="311" t="str">
        <f>'Eingabe Meldungen'!J190</f>
        <v>RC Nürtingen</v>
      </c>
      <c r="F96" s="310" t="str">
        <f>VLOOKUP(B96,Ausschreibung!$B$4:$I$35,4,FALSE)</f>
        <v>Jungen U14</v>
      </c>
      <c r="G96" s="189" t="e">
        <f t="shared" si="2"/>
        <v>#REF!</v>
      </c>
      <c r="H96" s="189" t="e">
        <f>IF(#REF!="Ergocup",8,"DHM")</f>
        <v>#REF!</v>
      </c>
      <c r="I96" s="40">
        <f>'Eingabe Meldungen'!K389</f>
        <v>0</v>
      </c>
      <c r="J96" s="258"/>
      <c r="K96" s="281">
        <f>IF(Tabelle1[[#This Row],[Bezahlt]]="JA",#REF!,0)</f>
        <v>0</v>
      </c>
      <c r="L96" s="279"/>
    </row>
    <row r="97" spans="2:12" ht="13.8" x14ac:dyDescent="0.2">
      <c r="B97" s="309">
        <f>'Eingabe Meldungen'!A192</f>
        <v>3</v>
      </c>
      <c r="C97" s="310" t="str">
        <f>'Eingabe Meldungen'!C192</f>
        <v>Hammer</v>
      </c>
      <c r="D97" s="310" t="str">
        <f>'Eingabe Meldungen'!D192</f>
        <v>Maximilian</v>
      </c>
      <c r="E97" s="311" t="str">
        <f>'Eingabe Meldungen'!J192</f>
        <v>RC Nürtingen</v>
      </c>
      <c r="F97" s="310" t="str">
        <f>VLOOKUP(B97,Ausschreibung!$B$4:$I$35,4,FALSE)</f>
        <v>Jungen U14</v>
      </c>
      <c r="G97" s="189" t="e">
        <f t="shared" ref="G97" si="3">IF(B97=35,H97-4,H97)</f>
        <v>#REF!</v>
      </c>
      <c r="H97" s="189" t="e">
        <f>IF(#REF!="Ergocup",8,"DHM")</f>
        <v>#REF!</v>
      </c>
      <c r="I97" s="40">
        <f>'Eingabe Meldungen'!K391</f>
        <v>0</v>
      </c>
      <c r="J97" s="258"/>
      <c r="K97" s="281">
        <f>IF(Tabelle1[[#This Row],[Bezahlt]]="JA",#REF!,0)</f>
        <v>0</v>
      </c>
      <c r="L97" s="279"/>
    </row>
    <row r="98" spans="2:12" ht="13.8" x14ac:dyDescent="0.2">
      <c r="B98" s="309">
        <f>'Eingabe Meldungen'!A2</f>
        <v>2</v>
      </c>
      <c r="C98" s="310" t="str">
        <f>'Eingabe Meldungen'!C2</f>
        <v>Gocke</v>
      </c>
      <c r="D98" s="310" t="str">
        <f>'Eingabe Meldungen'!D2</f>
        <v>Eberhard</v>
      </c>
      <c r="E98" s="311" t="str">
        <f>'Eingabe Meldungen'!J2</f>
        <v>RC Neptun Neckarelz</v>
      </c>
      <c r="F98" s="310" t="str">
        <f>VLOOKUP(B98,Ausschreibung!$B$4:$I$35,4,FALSE)</f>
        <v>Masters A-H, männlich</v>
      </c>
      <c r="G98" s="189" t="e">
        <f>IF(#REF!=35,H98-4,H98)</f>
        <v>#REF!</v>
      </c>
      <c r="H98" s="189" t="e">
        <f>IF(#REF!="Ergocup",8,"DHM")</f>
        <v>#REF!</v>
      </c>
      <c r="I98" s="40">
        <f>'Eingabe Meldungen'!K178</f>
        <v>0</v>
      </c>
      <c r="J98" s="269" t="s">
        <v>151</v>
      </c>
      <c r="K98" s="281">
        <f>IF(Tabelle1[[#This Row],[Bezahlt]]="JA",#REF!,0)</f>
        <v>0</v>
      </c>
      <c r="L98" s="279"/>
    </row>
    <row r="99" spans="2:12" ht="13.8" x14ac:dyDescent="0.2">
      <c r="B99" s="309">
        <f>'Eingabe Meldungen'!A3</f>
        <v>28</v>
      </c>
      <c r="C99" s="310" t="str">
        <f>'Eingabe Meldungen'!C3</f>
        <v>Gocke</v>
      </c>
      <c r="D99" s="310" t="str">
        <f>'Eingabe Meldungen'!D3</f>
        <v>Eberhard</v>
      </c>
      <c r="E99" s="311" t="str">
        <f>'Eingabe Meldungen'!J3</f>
        <v>RC Neptun Neckarelz</v>
      </c>
      <c r="F99" s="310" t="str">
        <f>VLOOKUP(B99,Ausschreibung!$B$4:$I$35,4,FALSE)</f>
        <v>Masters A-H, weiblich</v>
      </c>
      <c r="G99" s="189" t="e">
        <f t="shared" ref="G99:G130" si="4">IF(B99=35,H99-4,H99)</f>
        <v>#REF!</v>
      </c>
      <c r="H99" s="189" t="e">
        <f>IF(#REF!="Ergocup",8,"DHM")</f>
        <v>#REF!</v>
      </c>
      <c r="I99" s="40">
        <f>'Eingabe Meldungen'!K179</f>
        <v>0</v>
      </c>
      <c r="J99" s="269" t="s">
        <v>151</v>
      </c>
      <c r="K99" s="281">
        <f>IF(Tabelle1[[#This Row],[Bezahlt]]="JA",#REF!,0)</f>
        <v>0</v>
      </c>
      <c r="L99" s="279"/>
    </row>
    <row r="100" spans="2:12" ht="13.8" x14ac:dyDescent="0.2">
      <c r="B100" s="309">
        <f>'Eingabe Meldungen'!A5</f>
        <v>2</v>
      </c>
      <c r="C100" s="310" t="str">
        <f>'Eingabe Meldungen'!C5</f>
        <v>Schultheiß</v>
      </c>
      <c r="D100" s="310" t="str">
        <f>'Eingabe Meldungen'!D5</f>
        <v>Günther</v>
      </c>
      <c r="E100" s="311" t="str">
        <f>'Eingabe Meldungen'!J5</f>
        <v>RC Neptun Neckarelz</v>
      </c>
      <c r="F100" s="310" t="str">
        <f>VLOOKUP(B100,Ausschreibung!$B$4:$I$35,4,FALSE)</f>
        <v>Masters A-H, männlich</v>
      </c>
      <c r="G100" s="189" t="e">
        <f t="shared" si="4"/>
        <v>#REF!</v>
      </c>
      <c r="H100" s="189" t="e">
        <f>IF(#REF!="Ergocup",8,"DHM")</f>
        <v>#REF!</v>
      </c>
      <c r="I100" s="40">
        <f>'Eingabe Meldungen'!K272</f>
        <v>0</v>
      </c>
      <c r="J100" s="269" t="s">
        <v>151</v>
      </c>
      <c r="K100" s="281">
        <f>IF(Tabelle1[[#This Row],[Bezahlt]]="JA",#REF!,0)</f>
        <v>0</v>
      </c>
      <c r="L100" s="279"/>
    </row>
    <row r="101" spans="2:12" ht="13.8" x14ac:dyDescent="0.2">
      <c r="B101" s="309">
        <f>'Eingabe Meldungen'!A6</f>
        <v>2</v>
      </c>
      <c r="C101" s="310" t="str">
        <f>'Eingabe Meldungen'!C6</f>
        <v>Diem</v>
      </c>
      <c r="D101" s="310" t="str">
        <f>'Eingabe Meldungen'!D6</f>
        <v>Werner</v>
      </c>
      <c r="E101" s="311" t="str">
        <f>'Eingabe Meldungen'!J6</f>
        <v>RC Neptun Neckarelz</v>
      </c>
      <c r="F101" s="310" t="str">
        <f>VLOOKUP(B101,Ausschreibung!$B$4:$I$35,4,FALSE)</f>
        <v>Masters A-H, männlich</v>
      </c>
      <c r="G101" s="189" t="e">
        <f t="shared" si="4"/>
        <v>#REF!</v>
      </c>
      <c r="H101" s="189" t="e">
        <f>IF(#REF!="Ergocup",8,"DHM")</f>
        <v>#REF!</v>
      </c>
      <c r="I101" s="40">
        <f>'Eingabe Meldungen'!K273</f>
        <v>0</v>
      </c>
      <c r="J101" s="269" t="s">
        <v>151</v>
      </c>
      <c r="K101" s="281">
        <f>IF(Tabelle1[[#This Row],[Bezahlt]]="JA",#REF!,0)</f>
        <v>0</v>
      </c>
      <c r="L101" s="279"/>
    </row>
    <row r="102" spans="2:12" ht="13.8" x14ac:dyDescent="0.2">
      <c r="B102" s="309">
        <f>'Eingabe Meldungen'!A20</f>
        <v>2</v>
      </c>
      <c r="C102" s="310" t="str">
        <f>'Eingabe Meldungen'!C20</f>
        <v>Marx</v>
      </c>
      <c r="D102" s="310" t="str">
        <f>'Eingabe Meldungen'!D20</f>
        <v>Johannes</v>
      </c>
      <c r="E102" s="311" t="str">
        <f>'Eingabe Meldungen'!J20</f>
        <v>RC Neptun Neckarelz</v>
      </c>
      <c r="F102" s="310" t="str">
        <f>VLOOKUP(B102,Ausschreibung!$B$4:$I$35,4,FALSE)</f>
        <v>Masters A-H, männlich</v>
      </c>
      <c r="G102" s="189" t="e">
        <f t="shared" si="4"/>
        <v>#REF!</v>
      </c>
      <c r="H102" s="189" t="e">
        <f>IF(#REF!="Ergocup",8,"DHM")</f>
        <v>#REF!</v>
      </c>
      <c r="I102" s="40">
        <f>'Eingabe Meldungen'!K355</f>
        <v>0</v>
      </c>
      <c r="J102" s="269" t="s">
        <v>150</v>
      </c>
      <c r="K102" s="281">
        <f>IF(Tabelle1[[#This Row],[Bezahlt]]="JA",#REF!,0)</f>
        <v>0</v>
      </c>
      <c r="L102" s="279"/>
    </row>
    <row r="103" spans="2:12" ht="13.8" x14ac:dyDescent="0.2">
      <c r="B103" s="309">
        <f>'Eingabe Meldungen'!A44</f>
        <v>25</v>
      </c>
      <c r="C103" s="310" t="str">
        <f>'Eingabe Meldungen'!C44</f>
        <v>Marx</v>
      </c>
      <c r="D103" s="310" t="str">
        <f>'Eingabe Meldungen'!D44</f>
        <v>Johannes</v>
      </c>
      <c r="E103" s="311" t="str">
        <f>'Eingabe Meldungen'!J44</f>
        <v>RC Neptun Neckarelz</v>
      </c>
      <c r="F103" s="310" t="str">
        <f>VLOOKUP(B103,Ausschreibung!$B$4:$I$35,4,FALSE)</f>
        <v>Masters A-H, männlich</v>
      </c>
      <c r="G103" s="189" t="e">
        <f t="shared" si="4"/>
        <v>#REF!</v>
      </c>
      <c r="H103" s="189" t="e">
        <f>IF(#REF!="Ergocup",8,"DHM")</f>
        <v>#REF!</v>
      </c>
      <c r="I103" s="40">
        <f>'Eingabe Meldungen'!K325</f>
        <v>0</v>
      </c>
      <c r="J103" s="269" t="s">
        <v>150</v>
      </c>
      <c r="K103" s="281">
        <f>IF(Tabelle1[[#This Row],[Bezahlt]]="JA",#REF!,0)</f>
        <v>0</v>
      </c>
      <c r="L103" s="279"/>
    </row>
    <row r="104" spans="2:12" ht="13.8" x14ac:dyDescent="0.2">
      <c r="B104" s="309">
        <f>'Eingabe Meldungen'!A45</f>
        <v>2</v>
      </c>
      <c r="C104" s="310" t="str">
        <f>'Eingabe Meldungen'!C45</f>
        <v>Schönmann Fink</v>
      </c>
      <c r="D104" s="310" t="str">
        <f>'Eingabe Meldungen'!D45</f>
        <v>Matthias</v>
      </c>
      <c r="E104" s="311" t="str">
        <f>'Eingabe Meldungen'!J45</f>
        <v>RC Neptun Neckarelz</v>
      </c>
      <c r="F104" s="310" t="str">
        <f>VLOOKUP(B104,Ausschreibung!$B$4:$I$35,4,FALSE)</f>
        <v>Masters A-H, männlich</v>
      </c>
      <c r="G104" s="189" t="e">
        <f t="shared" si="4"/>
        <v>#REF!</v>
      </c>
      <c r="H104" s="189" t="e">
        <f>IF(#REF!="Ergocup",8,"DHM")</f>
        <v>#REF!</v>
      </c>
      <c r="I104" s="40">
        <f>'Eingabe Meldungen'!K326</f>
        <v>0</v>
      </c>
      <c r="J104" s="269" t="s">
        <v>150</v>
      </c>
      <c r="K104" s="281">
        <f>IF(Tabelle1[[#This Row],[Bezahlt]]="JA",#REF!,0)</f>
        <v>0</v>
      </c>
      <c r="L104" s="279"/>
    </row>
    <row r="105" spans="2:12" ht="13.8" x14ac:dyDescent="0.2">
      <c r="B105" s="309">
        <f>'Eingabe Meldungen'!A46</f>
        <v>25</v>
      </c>
      <c r="C105" s="310" t="str">
        <f>'Eingabe Meldungen'!C46</f>
        <v>Schönmann Fink</v>
      </c>
      <c r="D105" s="310" t="str">
        <f>'Eingabe Meldungen'!D46</f>
        <v>Matthias</v>
      </c>
      <c r="E105" s="311" t="str">
        <f>'Eingabe Meldungen'!J46</f>
        <v>RC Neptun Neckarelz</v>
      </c>
      <c r="F105" s="310" t="str">
        <f>VLOOKUP(B105,Ausschreibung!$B$4:$I$35,4,FALSE)</f>
        <v>Masters A-H, männlich</v>
      </c>
      <c r="G105" s="189" t="e">
        <f t="shared" si="4"/>
        <v>#REF!</v>
      </c>
      <c r="H105" s="189" t="e">
        <f>IF(#REF!="Ergocup",8,"DHM")</f>
        <v>#REF!</v>
      </c>
      <c r="I105" s="40">
        <f>'Eingabe Meldungen'!K327</f>
        <v>0</v>
      </c>
      <c r="J105" s="269" t="s">
        <v>150</v>
      </c>
      <c r="K105" s="281">
        <f>IF(Tabelle1[[#This Row],[Bezahlt]]="JA",#REF!,0)</f>
        <v>0</v>
      </c>
      <c r="L105" s="279"/>
    </row>
    <row r="106" spans="2:12" ht="13.8" x14ac:dyDescent="0.2">
      <c r="B106" s="309">
        <f>'Eingabe Meldungen'!A10</f>
        <v>2</v>
      </c>
      <c r="C106" s="310" t="str">
        <f>'Eingabe Meldungen'!C10</f>
        <v>Schmidt</v>
      </c>
      <c r="D106" s="310" t="str">
        <f>'Eingabe Meldungen'!D10</f>
        <v>Rolf</v>
      </c>
      <c r="E106" s="311" t="str">
        <f>'Eingabe Meldungen'!J10</f>
        <v>Marbacher Ruderverein</v>
      </c>
      <c r="F106" s="310" t="str">
        <f>VLOOKUP(B106,Ausschreibung!$B$4:$I$35,4,FALSE)</f>
        <v>Masters A-H, männlich</v>
      </c>
      <c r="G106" s="189" t="e">
        <f t="shared" si="4"/>
        <v>#REF!</v>
      </c>
      <c r="H106" s="189" t="e">
        <f>IF(#REF!="Ergocup",8,"DHM")</f>
        <v>#REF!</v>
      </c>
      <c r="I106" s="40">
        <f>'Eingabe Meldungen'!K267</f>
        <v>0</v>
      </c>
      <c r="J106" s="258"/>
      <c r="K106" s="281">
        <f>IF(Tabelle1[[#This Row],[Bezahlt]]="JA",#REF!,0)</f>
        <v>0</v>
      </c>
      <c r="L106" s="279"/>
    </row>
    <row r="107" spans="2:12" ht="13.8" x14ac:dyDescent="0.2">
      <c r="B107" s="309">
        <f>'Eingabe Meldungen'!A11</f>
        <v>2</v>
      </c>
      <c r="C107" s="310" t="str">
        <f>'Eingabe Meldungen'!C11</f>
        <v>Rentz</v>
      </c>
      <c r="D107" s="310" t="str">
        <f>'Eingabe Meldungen'!D11</f>
        <v>Jürgen</v>
      </c>
      <c r="E107" s="311" t="str">
        <f>'Eingabe Meldungen'!J11</f>
        <v>Marbacher Ruderverein</v>
      </c>
      <c r="F107" s="310" t="str">
        <f>VLOOKUP(B107,Ausschreibung!$B$4:$I$35,4,FALSE)</f>
        <v>Masters A-H, männlich</v>
      </c>
      <c r="G107" s="189" t="e">
        <f t="shared" si="4"/>
        <v>#REF!</v>
      </c>
      <c r="H107" s="189" t="e">
        <f>IF(#REF!="Ergocup",8,"DHM")</f>
        <v>#REF!</v>
      </c>
      <c r="I107" s="40">
        <f>'Eingabe Meldungen'!K268</f>
        <v>0</v>
      </c>
      <c r="J107" s="258"/>
      <c r="K107" s="281">
        <f>IF(Tabelle1[[#This Row],[Bezahlt]]="JA",#REF!,0)</f>
        <v>0</v>
      </c>
      <c r="L107" s="279"/>
    </row>
    <row r="108" spans="2:12" ht="13.8" x14ac:dyDescent="0.2">
      <c r="B108" s="309">
        <f>'Eingabe Meldungen'!A22</f>
        <v>1</v>
      </c>
      <c r="C108" s="310" t="str">
        <f>'Eingabe Meldungen'!C22</f>
        <v>Schmidt</v>
      </c>
      <c r="D108" s="310" t="str">
        <f>'Eingabe Meldungen'!D22</f>
        <v>Henriette</v>
      </c>
      <c r="E108" s="311" t="str">
        <f>'Eingabe Meldungen'!J22</f>
        <v>Marbacher Ruderverein</v>
      </c>
      <c r="F108" s="310" t="str">
        <f>VLOOKUP(B108,Ausschreibung!$B$4:$I$35,4,FALSE)</f>
        <v>Masters A-H, weiblich  </v>
      </c>
      <c r="G108" s="189" t="e">
        <f t="shared" si="4"/>
        <v>#REF!</v>
      </c>
      <c r="H108" s="189" t="e">
        <f>IF(#REF!="Ergocup",8,"DHM")</f>
        <v>#REF!</v>
      </c>
      <c r="I108" s="40">
        <f>'Eingabe Meldungen'!K297</f>
        <v>0</v>
      </c>
      <c r="J108" s="258"/>
      <c r="K108" s="281">
        <f>IF(Tabelle1[[#This Row],[Bezahlt]]="JA",#REF!,0)</f>
        <v>0</v>
      </c>
      <c r="L108" s="279"/>
    </row>
    <row r="109" spans="2:12" ht="13.8" x14ac:dyDescent="0.2">
      <c r="B109" s="309">
        <f>'Eingabe Meldungen'!A25</f>
        <v>1</v>
      </c>
      <c r="C109" s="310" t="str">
        <f>'Eingabe Meldungen'!C25</f>
        <v>Breitenbücher</v>
      </c>
      <c r="D109" s="310" t="str">
        <f>'Eingabe Meldungen'!D25</f>
        <v>Heike</v>
      </c>
      <c r="E109" s="311" t="str">
        <f>'Eingabe Meldungen'!J25</f>
        <v>Marbacher Ruderverein</v>
      </c>
      <c r="F109" s="310" t="str">
        <f>VLOOKUP(B109,Ausschreibung!$B$4:$I$35,4,FALSE)</f>
        <v>Masters A-H, weiblich  </v>
      </c>
      <c r="G109" s="189" t="e">
        <f t="shared" si="4"/>
        <v>#REF!</v>
      </c>
      <c r="H109" s="189" t="e">
        <f>IF(#REF!="Ergocup",8,"DHM")</f>
        <v>#REF!</v>
      </c>
      <c r="I109" s="40">
        <f>'Eingabe Meldungen'!K228</f>
        <v>0</v>
      </c>
      <c r="J109" s="258"/>
      <c r="K109" s="281">
        <f>IF(Tabelle1[[#This Row],[Bezahlt]]="JA",#REF!,0)</f>
        <v>0</v>
      </c>
      <c r="L109" s="279"/>
    </row>
    <row r="110" spans="2:12" ht="13.8" x14ac:dyDescent="0.2">
      <c r="B110" s="309">
        <f>'Eingabe Meldungen'!A28</f>
        <v>2</v>
      </c>
      <c r="C110" s="310" t="str">
        <f>'Eingabe Meldungen'!C28</f>
        <v>Grünewald</v>
      </c>
      <c r="D110" s="310" t="str">
        <f>'Eingabe Meldungen'!D28</f>
        <v>Christoph</v>
      </c>
      <c r="E110" s="311" t="str">
        <f>'Eingabe Meldungen'!J28</f>
        <v>Marbacher Ruderverein</v>
      </c>
      <c r="F110" s="310" t="str">
        <f>VLOOKUP(B110,Ausschreibung!$B$4:$I$35,4,FALSE)</f>
        <v>Masters A-H, männlich</v>
      </c>
      <c r="G110" s="189" t="e">
        <f t="shared" si="4"/>
        <v>#REF!</v>
      </c>
      <c r="H110" s="189" t="e">
        <f>IF(#REF!="Ergocup",8,"DHM")</f>
        <v>#REF!</v>
      </c>
      <c r="I110" s="40">
        <f>'Eingabe Meldungen'!K243</f>
        <v>0</v>
      </c>
      <c r="J110" s="258"/>
      <c r="K110" s="281">
        <f>IF(Tabelle1[[#This Row],[Bezahlt]]="JA",#REF!,0)</f>
        <v>0</v>
      </c>
      <c r="L110" s="279"/>
    </row>
    <row r="111" spans="2:12" ht="13.8" x14ac:dyDescent="0.2">
      <c r="B111" s="309">
        <f>'Eingabe Meldungen'!A34</f>
        <v>2</v>
      </c>
      <c r="C111" s="310" t="str">
        <f>'Eingabe Meldungen'!C34</f>
        <v>Veigel</v>
      </c>
      <c r="D111" s="310" t="str">
        <f>'Eingabe Meldungen'!D34</f>
        <v>Wolfram</v>
      </c>
      <c r="E111" s="311" t="str">
        <f>'Eingabe Meldungen'!J34</f>
        <v>Marbacher Ruderverein</v>
      </c>
      <c r="F111" s="310" t="str">
        <f>VLOOKUP(B111,Ausschreibung!$B$4:$I$35,4,FALSE)</f>
        <v>Masters A-H, männlich</v>
      </c>
      <c r="G111" s="189" t="e">
        <f t="shared" si="4"/>
        <v>#REF!</v>
      </c>
      <c r="H111" s="189" t="e">
        <f>IF(#REF!="Ergocup",8,"DHM")</f>
        <v>#REF!</v>
      </c>
      <c r="I111" s="40">
        <f>'Eingabe Meldungen'!K253</f>
        <v>0</v>
      </c>
      <c r="J111" s="258"/>
      <c r="K111" s="281">
        <f>IF(Tabelle1[[#This Row],[Bezahlt]]="JA",#REF!,0)</f>
        <v>0</v>
      </c>
      <c r="L111" s="279"/>
    </row>
    <row r="112" spans="2:12" ht="13.8" x14ac:dyDescent="0.2">
      <c r="B112" s="309">
        <f>'Eingabe Meldungen'!A35</f>
        <v>25</v>
      </c>
      <c r="C112" s="310" t="str">
        <f>'Eingabe Meldungen'!C35</f>
        <v>Angelakov</v>
      </c>
      <c r="D112" s="310" t="str">
        <f>'Eingabe Meldungen'!D35</f>
        <v>David</v>
      </c>
      <c r="E112" s="311" t="str">
        <f>'Eingabe Meldungen'!J35</f>
        <v>Marbacher Ruderverein</v>
      </c>
      <c r="F112" s="310" t="str">
        <f>VLOOKUP(B112,Ausschreibung!$B$4:$I$35,4,FALSE)</f>
        <v>Masters A-H, männlich</v>
      </c>
      <c r="G112" s="189" t="e">
        <f t="shared" si="4"/>
        <v>#REF!</v>
      </c>
      <c r="H112" s="189" t="e">
        <f>IF(#REF!="Ergocup",8,"DHM")</f>
        <v>#REF!</v>
      </c>
      <c r="I112" s="40">
        <f>'Eingabe Meldungen'!K254</f>
        <v>0</v>
      </c>
      <c r="J112" s="258"/>
      <c r="K112" s="281">
        <f>IF(Tabelle1[[#This Row],[Bezahlt]]="JA",#REF!,0)</f>
        <v>0</v>
      </c>
      <c r="L112" s="279"/>
    </row>
    <row r="113" spans="2:12" ht="13.8" x14ac:dyDescent="0.2">
      <c r="B113" s="309">
        <f>'Eingabe Meldungen'!A38</f>
        <v>1</v>
      </c>
      <c r="C113" s="310" t="str">
        <f>'Eingabe Meldungen'!C38</f>
        <v>Schmidt</v>
      </c>
      <c r="D113" s="310" t="str">
        <f>'Eingabe Meldungen'!D38</f>
        <v>Uta</v>
      </c>
      <c r="E113" s="311" t="str">
        <f>'Eingabe Meldungen'!J38</f>
        <v>Marbacher Ruderverein</v>
      </c>
      <c r="F113" s="310" t="str">
        <f>VLOOKUP(B113,Ausschreibung!$B$4:$I$35,4,FALSE)</f>
        <v>Masters A-H, weiblich  </v>
      </c>
      <c r="G113" s="189" t="e">
        <f t="shared" si="4"/>
        <v>#REF!</v>
      </c>
      <c r="H113" s="189" t="e">
        <f>IF(#REF!="Ergocup",8,"DHM")</f>
        <v>#REF!</v>
      </c>
      <c r="I113" s="40">
        <f>'Eingabe Meldungen'!K261</f>
        <v>0</v>
      </c>
      <c r="J113" s="258"/>
      <c r="K113" s="281">
        <f>IF(Tabelle1[[#This Row],[Bezahlt]]="JA",#REF!,0)</f>
        <v>0</v>
      </c>
      <c r="L113" s="279"/>
    </row>
    <row r="114" spans="2:12" ht="13.8" x14ac:dyDescent="0.2">
      <c r="B114" s="309">
        <f>'Eingabe Meldungen'!A42</f>
        <v>16</v>
      </c>
      <c r="C114" s="310" t="str">
        <f>'Eingabe Meldungen'!C42</f>
        <v>Rebmann</v>
      </c>
      <c r="D114" s="310" t="str">
        <f>'Eingabe Meldungen'!D42</f>
        <v>Sebastian</v>
      </c>
      <c r="E114" s="311" t="str">
        <f>'Eingabe Meldungen'!J42</f>
        <v>Marbacher Ruderverein</v>
      </c>
      <c r="F114" s="310" t="str">
        <f>VLOOKUP(B114,Ausschreibung!$B$4:$I$35,4,FALSE)</f>
        <v>Sprint männlich</v>
      </c>
      <c r="G114" s="189" t="e">
        <f t="shared" si="4"/>
        <v>#REF!</v>
      </c>
      <c r="H114" s="189" t="e">
        <f>IF(#REF!="Ergocup",8,"DHM")</f>
        <v>#REF!</v>
      </c>
      <c r="I114" s="40">
        <f>'Eingabe Meldungen'!K265</f>
        <v>0</v>
      </c>
      <c r="J114" s="258"/>
      <c r="K114" s="281">
        <f>IF(Tabelle1[[#This Row],[Bezahlt]]="JA",#REF!,0)</f>
        <v>0</v>
      </c>
      <c r="L114" s="279"/>
    </row>
    <row r="115" spans="2:12" ht="13.8" x14ac:dyDescent="0.2">
      <c r="B115" s="309">
        <f>'Eingabe Meldungen'!A43</f>
        <v>28</v>
      </c>
      <c r="C115" s="310" t="str">
        <f>'Eingabe Meldungen'!C43</f>
        <v>Rebmann</v>
      </c>
      <c r="D115" s="310" t="str">
        <f>'Eingabe Meldungen'!D43</f>
        <v>Sebastian</v>
      </c>
      <c r="E115" s="311" t="str">
        <f>'Eingabe Meldungen'!J43</f>
        <v>Marbacher Ruderverein</v>
      </c>
      <c r="F115" s="310" t="str">
        <f>VLOOKUP(B115,Ausschreibung!$B$4:$I$35,4,FALSE)</f>
        <v>Masters A-H, weiblich</v>
      </c>
      <c r="G115" s="189" t="e">
        <f t="shared" si="4"/>
        <v>#REF!</v>
      </c>
      <c r="H115" s="189" t="e">
        <f>IF(#REF!="Ergocup",8,"DHM")</f>
        <v>#REF!</v>
      </c>
      <c r="I115" s="40">
        <f>'Eingabe Meldungen'!K266</f>
        <v>0</v>
      </c>
      <c r="J115" s="258"/>
      <c r="K115" s="281">
        <f>IF(Tabelle1[[#This Row],[Bezahlt]]="JA",#REF!,0)</f>
        <v>0</v>
      </c>
      <c r="L115" s="279"/>
    </row>
    <row r="116" spans="2:12" ht="13.8" x14ac:dyDescent="0.2">
      <c r="B116" s="309">
        <f>'Eingabe Meldungen'!A51</f>
        <v>24</v>
      </c>
      <c r="C116" s="310" t="str">
        <f>'Eingabe Meldungen'!C51</f>
        <v>Killinger</v>
      </c>
      <c r="D116" s="310" t="str">
        <f>'Eingabe Meldungen'!D51</f>
        <v>Cornelius</v>
      </c>
      <c r="E116" s="311" t="str">
        <f>'Eingabe Meldungen'!J51</f>
        <v>Marbacher Ruderverein</v>
      </c>
      <c r="F116" s="310" t="str">
        <f>VLOOKUP(B116,Ausschreibung!$B$4:$I$35,4,FALSE)</f>
        <v>Senioren A</v>
      </c>
      <c r="G116" s="189" t="e">
        <f t="shared" si="4"/>
        <v>#REF!</v>
      </c>
      <c r="H116" s="189" t="e">
        <f>IF(#REF!="Ergocup",8,"DHM")</f>
        <v>#REF!</v>
      </c>
      <c r="I116" s="40">
        <f>'Eingabe Meldungen'!K332</f>
        <v>0</v>
      </c>
      <c r="J116" s="258"/>
      <c r="K116" s="281">
        <f>IF(Tabelle1[[#This Row],[Bezahlt]]="JA",#REF!,0)</f>
        <v>0</v>
      </c>
      <c r="L116" s="279"/>
    </row>
    <row r="117" spans="2:12" ht="13.8" x14ac:dyDescent="0.2">
      <c r="B117" s="309">
        <f>'Eingabe Meldungen'!A52</f>
        <v>29</v>
      </c>
      <c r="C117" s="310" t="str">
        <f>'Eingabe Meldungen'!C52</f>
        <v>Killinger</v>
      </c>
      <c r="D117" s="310" t="str">
        <f>'Eingabe Meldungen'!D52</f>
        <v>Cornelius/</v>
      </c>
      <c r="E117" s="311" t="str">
        <f>'Eingabe Meldungen'!J52</f>
        <v>Marbacher Ruderverein</v>
      </c>
      <c r="F117" s="310" t="str">
        <f>VLOOKUP(B117,Ausschreibung!$B$4:$I$35,4,FALSE)</f>
        <v>Mannschaft offen - 2 Personen</v>
      </c>
      <c r="G117" s="189" t="e">
        <f t="shared" si="4"/>
        <v>#REF!</v>
      </c>
      <c r="H117" s="189" t="e">
        <f>IF(#REF!="Ergocup",8,"DHM")</f>
        <v>#REF!</v>
      </c>
      <c r="I117" s="40">
        <f>'Eingabe Meldungen'!K341</f>
        <v>0</v>
      </c>
      <c r="J117" s="258"/>
      <c r="K117" s="281">
        <f>IF(Tabelle1[[#This Row],[Bezahlt]]="JA",#REF!,0)</f>
        <v>0</v>
      </c>
      <c r="L117" s="279"/>
    </row>
    <row r="118" spans="2:12" ht="13.8" x14ac:dyDescent="0.2">
      <c r="B118" s="309">
        <f>'Eingabe Meldungen'!A57</f>
        <v>29</v>
      </c>
      <c r="C118" s="310" t="str">
        <f>'Eingabe Meldungen'!C57</f>
        <v>Breitenbücher</v>
      </c>
      <c r="D118" s="310" t="str">
        <f>'Eingabe Meldungen'!D57</f>
        <v>Michael</v>
      </c>
      <c r="E118" s="311" t="str">
        <f>'Eingabe Meldungen'!J57</f>
        <v>Marbacher Ruderverein</v>
      </c>
      <c r="F118" s="310" t="str">
        <f>VLOOKUP(B118,Ausschreibung!$B$4:$I$35,4,FALSE)</f>
        <v>Mannschaft offen - 2 Personen</v>
      </c>
      <c r="G118" s="189" t="e">
        <f t="shared" si="4"/>
        <v>#REF!</v>
      </c>
      <c r="H118" s="189" t="e">
        <f>IF(#REF!="Ergocup",8,"DHM")</f>
        <v>#REF!</v>
      </c>
      <c r="I118" s="40">
        <f>'Eingabe Meldungen'!K346</f>
        <v>0</v>
      </c>
      <c r="J118" s="258"/>
      <c r="K118" s="281">
        <f>IF(Tabelle1[[#This Row],[Bezahlt]]="JA",#REF!,0)</f>
        <v>0</v>
      </c>
      <c r="L118" s="279"/>
    </row>
    <row r="119" spans="2:12" ht="13.8" x14ac:dyDescent="0.2">
      <c r="B119" s="309">
        <f>'Eingabe Meldungen'!A58</f>
        <v>24</v>
      </c>
      <c r="C119" s="310" t="str">
        <f>'Eingabe Meldungen'!C58</f>
        <v>Schmidt</v>
      </c>
      <c r="D119" s="310" t="str">
        <f>'Eingabe Meldungen'!D58</f>
        <v>Jonas</v>
      </c>
      <c r="E119" s="311" t="str">
        <f>'Eingabe Meldungen'!J58</f>
        <v>Marbacher Ruderverein</v>
      </c>
      <c r="F119" s="310" t="str">
        <f>VLOOKUP(B119,Ausschreibung!$B$4:$I$35,4,FALSE)</f>
        <v>Senioren A</v>
      </c>
      <c r="G119" s="189" t="e">
        <f t="shared" si="4"/>
        <v>#REF!</v>
      </c>
      <c r="H119" s="189" t="e">
        <f>IF(#REF!="Ergocup",8,"DHM")</f>
        <v>#REF!</v>
      </c>
      <c r="I119" s="40">
        <f>'Eingabe Meldungen'!K347</f>
        <v>0</v>
      </c>
      <c r="J119" s="258"/>
      <c r="K119" s="281">
        <f>IF(Tabelle1[[#This Row],[Bezahlt]]="JA",#REF!,0)</f>
        <v>0</v>
      </c>
      <c r="L119" s="279"/>
    </row>
    <row r="120" spans="2:12" ht="13.8" x14ac:dyDescent="0.2">
      <c r="B120" s="309">
        <f>'Eingabe Meldungen'!A64</f>
        <v>23</v>
      </c>
      <c r="C120" s="310" t="str">
        <f>'Eingabe Meldungen'!C64</f>
        <v>Stein</v>
      </c>
      <c r="D120" s="310" t="str">
        <f>'Eingabe Meldungen'!D64</f>
        <v>Jonas</v>
      </c>
      <c r="E120" s="311" t="str">
        <f>'Eingabe Meldungen'!J64</f>
        <v>Marbacher Ruderverein</v>
      </c>
      <c r="F120" s="310" t="str">
        <f>VLOOKUP(B120,Ausschreibung!$B$4:$I$35,4,FALSE)</f>
        <v>Senioren A</v>
      </c>
      <c r="G120" s="189" t="e">
        <f t="shared" si="4"/>
        <v>#REF!</v>
      </c>
      <c r="H120" s="189" t="e">
        <f>IF(#REF!="Ergocup",8,"DHM")</f>
        <v>#REF!</v>
      </c>
      <c r="I120" s="40">
        <f>'Eingabe Meldungen'!K337</f>
        <v>0</v>
      </c>
      <c r="J120" s="258"/>
      <c r="K120" s="281">
        <f>IF(Tabelle1[[#This Row],[Bezahlt]]="JA",#REF!,0)</f>
        <v>0</v>
      </c>
      <c r="L120" s="279"/>
    </row>
    <row r="121" spans="2:12" ht="13.8" x14ac:dyDescent="0.2">
      <c r="B121" s="309">
        <f>'Eingabe Meldungen'!A67</f>
        <v>18</v>
      </c>
      <c r="C121" s="310" t="str">
        <f>'Eingabe Meldungen'!C67</f>
        <v>Löwer</v>
      </c>
      <c r="D121" s="310" t="str">
        <f>'Eingabe Meldungen'!D67</f>
        <v>Kim</v>
      </c>
      <c r="E121" s="311" t="str">
        <f>'Eingabe Meldungen'!J67</f>
        <v>Marbacher Ruderverein</v>
      </c>
      <c r="F121" s="310" t="str">
        <f>VLOOKUP(B121,Ausschreibung!$B$4:$I$35,4,FALSE)</f>
        <v>Juniorinnen A U19</v>
      </c>
      <c r="G121" s="189" t="e">
        <f t="shared" si="4"/>
        <v>#REF!</v>
      </c>
      <c r="H121" s="189" t="e">
        <f>IF(#REF!="Ergocup",8,"DHM")</f>
        <v>#REF!</v>
      </c>
      <c r="I121" s="40">
        <f>'Eingabe Meldungen'!K340</f>
        <v>0</v>
      </c>
      <c r="J121" s="258"/>
      <c r="K121" s="281">
        <f>IF(Tabelle1[[#This Row],[Bezahlt]]="JA",#REF!,0)</f>
        <v>0</v>
      </c>
      <c r="L121" s="279"/>
    </row>
    <row r="122" spans="2:12" ht="13.8" x14ac:dyDescent="0.2">
      <c r="B122" s="309">
        <f>'Eingabe Meldungen'!A68</f>
        <v>18</v>
      </c>
      <c r="C122" s="310" t="str">
        <f>'Eingabe Meldungen'!C68</f>
        <v>Groß</v>
      </c>
      <c r="D122" s="310" t="str">
        <f>'Eingabe Meldungen'!D68</f>
        <v>Amelie</v>
      </c>
      <c r="E122" s="311" t="str">
        <f>'Eingabe Meldungen'!J68</f>
        <v>Marbacher Ruderverein</v>
      </c>
      <c r="F122" s="310" t="str">
        <f>VLOOKUP(B122,Ausschreibung!$B$4:$I$35,4,FALSE)</f>
        <v>Juniorinnen A U19</v>
      </c>
      <c r="G122" s="189" t="e">
        <f t="shared" si="4"/>
        <v>#REF!</v>
      </c>
      <c r="H122" s="189" t="e">
        <f>IF(#REF!="Ergocup",8,"DHM")</f>
        <v>#REF!</v>
      </c>
      <c r="I122" s="40">
        <f>'Eingabe Meldungen'!K231</f>
        <v>0</v>
      </c>
      <c r="J122" s="258"/>
      <c r="K122" s="281">
        <f>IF(Tabelle1[[#This Row],[Bezahlt]]="JA",#REF!,0)</f>
        <v>0</v>
      </c>
      <c r="L122" s="279"/>
    </row>
    <row r="123" spans="2:12" ht="13.8" x14ac:dyDescent="0.2">
      <c r="B123" s="309">
        <f>'Eingabe Meldungen'!A73</f>
        <v>20</v>
      </c>
      <c r="C123" s="310" t="str">
        <f>'Eingabe Meldungen'!C73</f>
        <v>Spandel</v>
      </c>
      <c r="D123" s="310" t="str">
        <f>'Eingabe Meldungen'!D73</f>
        <v>Maximilian</v>
      </c>
      <c r="E123" s="311" t="str">
        <f>'Eingabe Meldungen'!J73</f>
        <v>Marbacher Ruderverein</v>
      </c>
      <c r="F123" s="310" t="str">
        <f>VLOOKUP(B123,Ausschreibung!$B$4:$I$35,4,FALSE)</f>
        <v>Junioren A U19</v>
      </c>
      <c r="G123" s="189" t="e">
        <f t="shared" si="4"/>
        <v>#REF!</v>
      </c>
      <c r="H123" s="189" t="e">
        <f>IF(#REF!="Ergocup",8,"DHM")</f>
        <v>#REF!</v>
      </c>
      <c r="I123" s="40">
        <f>'Eingabe Meldungen'!K276</f>
        <v>0</v>
      </c>
      <c r="J123" s="258"/>
      <c r="K123" s="281">
        <f>IF(Tabelle1[[#This Row],[Bezahlt]]="JA",#REF!,0)</f>
        <v>0</v>
      </c>
      <c r="L123" s="279"/>
    </row>
    <row r="124" spans="2:12" ht="13.8" x14ac:dyDescent="0.2">
      <c r="B124" s="309">
        <f>'Eingabe Meldungen'!A75</f>
        <v>20</v>
      </c>
      <c r="C124" s="310" t="str">
        <f>'Eingabe Meldungen'!C75</f>
        <v>Tafelmaier</v>
      </c>
      <c r="D124" s="310" t="str">
        <f>'Eingabe Meldungen'!D75</f>
        <v>Moritz</v>
      </c>
      <c r="E124" s="311" t="str">
        <f>'Eingabe Meldungen'!J75</f>
        <v>Marbacher Ruderverein</v>
      </c>
      <c r="F124" s="310" t="str">
        <f>VLOOKUP(B124,Ausschreibung!$B$4:$I$35,4,FALSE)</f>
        <v>Junioren A U19</v>
      </c>
      <c r="G124" s="189" t="e">
        <f t="shared" si="4"/>
        <v>#REF!</v>
      </c>
      <c r="H124" s="189" t="e">
        <f>IF(#REF!="Ergocup",8,"DHM")</f>
        <v>#REF!</v>
      </c>
      <c r="I124" s="40">
        <f>'Eingabe Meldungen'!K278</f>
        <v>0</v>
      </c>
      <c r="J124" s="258"/>
      <c r="K124" s="281">
        <f>IF(Tabelle1[[#This Row],[Bezahlt]]="JA",#REF!,0)</f>
        <v>0</v>
      </c>
      <c r="L124" s="279"/>
    </row>
    <row r="125" spans="2:12" ht="13.8" x14ac:dyDescent="0.2">
      <c r="B125" s="309">
        <f>'Eingabe Meldungen'!A76</f>
        <v>20</v>
      </c>
      <c r="C125" s="310" t="str">
        <f>'Eingabe Meldungen'!C76</f>
        <v>Keefer</v>
      </c>
      <c r="D125" s="310" t="str">
        <f>'Eingabe Meldungen'!D76</f>
        <v>Nicolai</v>
      </c>
      <c r="E125" s="311" t="str">
        <f>'Eingabe Meldungen'!J76</f>
        <v>Marbacher Ruderverein</v>
      </c>
      <c r="F125" s="310" t="str">
        <f>VLOOKUP(B125,Ausschreibung!$B$4:$I$35,4,FALSE)</f>
        <v>Junioren A U19</v>
      </c>
      <c r="G125" s="189" t="e">
        <f t="shared" si="4"/>
        <v>#REF!</v>
      </c>
      <c r="H125" s="189" t="e">
        <f>IF(#REF!="Ergocup",8,"DHM")</f>
        <v>#REF!</v>
      </c>
      <c r="I125" s="40">
        <f>'Eingabe Meldungen'!K279</f>
        <v>0</v>
      </c>
      <c r="J125" s="258"/>
      <c r="K125" s="281">
        <f>IF(Tabelle1[[#This Row],[Bezahlt]]="JA",#REF!,0)</f>
        <v>0</v>
      </c>
      <c r="L125" s="279"/>
    </row>
    <row r="126" spans="2:12" ht="13.8" x14ac:dyDescent="0.2">
      <c r="B126" s="309">
        <f>'Eingabe Meldungen'!A77</f>
        <v>20</v>
      </c>
      <c r="C126" s="310" t="str">
        <f>'Eingabe Meldungen'!C77</f>
        <v>Burkert</v>
      </c>
      <c r="D126" s="310" t="str">
        <f>'Eingabe Meldungen'!D77</f>
        <v>Niklas</v>
      </c>
      <c r="E126" s="311" t="str">
        <f>'Eingabe Meldungen'!J77</f>
        <v>Marbacher Ruderverein</v>
      </c>
      <c r="F126" s="310" t="str">
        <f>VLOOKUP(B126,Ausschreibung!$B$4:$I$35,4,FALSE)</f>
        <v>Junioren A U19</v>
      </c>
      <c r="G126" s="189" t="e">
        <f t="shared" si="4"/>
        <v>#REF!</v>
      </c>
      <c r="H126" s="189" t="e">
        <f>IF(#REF!="Ergocup",8,"DHM")</f>
        <v>#REF!</v>
      </c>
      <c r="I126" s="40">
        <f>'Eingabe Meldungen'!K280</f>
        <v>0</v>
      </c>
      <c r="J126" s="258"/>
      <c r="K126" s="281">
        <f>IF(Tabelle1[[#This Row],[Bezahlt]]="JA",#REF!,0)</f>
        <v>0</v>
      </c>
      <c r="L126" s="279"/>
    </row>
    <row r="127" spans="2:12" ht="13.8" x14ac:dyDescent="0.2">
      <c r="B127" s="309">
        <f>'Eingabe Meldungen'!A80</f>
        <v>12</v>
      </c>
      <c r="C127" s="310" t="str">
        <f>'Eingabe Meldungen'!C80</f>
        <v>Bitz</v>
      </c>
      <c r="D127" s="310" t="str">
        <f>'Eingabe Meldungen'!D80</f>
        <v>Amelie</v>
      </c>
      <c r="E127" s="311" t="str">
        <f>'Eingabe Meldungen'!J80</f>
        <v>Marbacher Ruderverein</v>
      </c>
      <c r="F127" s="310" t="str">
        <f>VLOOKUP(B127,Ausschreibung!$B$4:$I$35,4,FALSE)</f>
        <v>Juniorinnen B U17</v>
      </c>
      <c r="G127" s="189" t="e">
        <f t="shared" si="4"/>
        <v>#REF!</v>
      </c>
      <c r="H127" s="189" t="e">
        <f>IF(#REF!="Ergocup",8,"DHM")</f>
        <v>#REF!</v>
      </c>
      <c r="I127" s="40">
        <f>'Eingabe Meldungen'!K283</f>
        <v>0</v>
      </c>
      <c r="J127" s="258"/>
      <c r="K127" s="281">
        <f>IF(Tabelle1[[#This Row],[Bezahlt]]="JA",#REF!,0)</f>
        <v>0</v>
      </c>
      <c r="L127" s="279"/>
    </row>
    <row r="128" spans="2:12" ht="13.8" x14ac:dyDescent="0.2">
      <c r="B128" s="309">
        <f>'Eingabe Meldungen'!A85</f>
        <v>13</v>
      </c>
      <c r="C128" s="310" t="str">
        <f>'Eingabe Meldungen'!C85</f>
        <v>Grünewald</v>
      </c>
      <c r="D128" s="310" t="str">
        <f>'Eingabe Meldungen'!D85</f>
        <v>Florian</v>
      </c>
      <c r="E128" s="311" t="str">
        <f>'Eingabe Meldungen'!J85</f>
        <v>Marbacher Ruderverein</v>
      </c>
      <c r="F128" s="310" t="str">
        <f>VLOOKUP(B128,Ausschreibung!$B$4:$I$35,4,FALSE)</f>
        <v>Junioren B U17</v>
      </c>
      <c r="G128" s="189" t="e">
        <f t="shared" si="4"/>
        <v>#REF!</v>
      </c>
      <c r="H128" s="189" t="e">
        <f>IF(#REF!="Ergocup",8,"DHM")</f>
        <v>#REF!</v>
      </c>
      <c r="I128" s="40">
        <f>'Eingabe Meldungen'!K288</f>
        <v>0</v>
      </c>
      <c r="J128" s="258"/>
      <c r="K128" s="281">
        <f>IF(Tabelle1[[#This Row],[Bezahlt]]="JA",#REF!,0)</f>
        <v>0</v>
      </c>
      <c r="L128" s="279"/>
    </row>
    <row r="129" spans="2:12" ht="13.8" x14ac:dyDescent="0.2">
      <c r="B129" s="309">
        <f>'Eingabe Meldungen'!A86</f>
        <v>12</v>
      </c>
      <c r="C129" s="310" t="str">
        <f>'Eingabe Meldungen'!C86</f>
        <v>Schmidt</v>
      </c>
      <c r="D129" s="310" t="str">
        <f>'Eingabe Meldungen'!D86</f>
        <v>Johanna</v>
      </c>
      <c r="E129" s="311" t="str">
        <f>'Eingabe Meldungen'!J86</f>
        <v>Marbacher Ruderverein</v>
      </c>
      <c r="F129" s="310" t="str">
        <f>VLOOKUP(B129,Ausschreibung!$B$4:$I$35,4,FALSE)</f>
        <v>Juniorinnen B U17</v>
      </c>
      <c r="G129" s="189" t="e">
        <f t="shared" si="4"/>
        <v>#REF!</v>
      </c>
      <c r="H129" s="189" t="e">
        <f>IF(#REF!="Ergocup",8,"DHM")</f>
        <v>#REF!</v>
      </c>
      <c r="I129" s="40">
        <f>'Eingabe Meldungen'!K289</f>
        <v>0</v>
      </c>
      <c r="J129" s="258"/>
      <c r="K129" s="281">
        <f>IF(Tabelle1[[#This Row],[Bezahlt]]="JA",#REF!,0)</f>
        <v>0</v>
      </c>
      <c r="L129" s="279"/>
    </row>
    <row r="130" spans="2:12" ht="13.8" x14ac:dyDescent="0.2">
      <c r="B130" s="309">
        <f>'Eingabe Meldungen'!A88</f>
        <v>11</v>
      </c>
      <c r="C130" s="310" t="str">
        <f>'Eingabe Meldungen'!C88</f>
        <v>Basilowski</v>
      </c>
      <c r="D130" s="310" t="str">
        <f>'Eingabe Meldungen'!D88</f>
        <v>Lea</v>
      </c>
      <c r="E130" s="311" t="str">
        <f>'Eingabe Meldungen'!J88</f>
        <v>Marbacher Ruderverein</v>
      </c>
      <c r="F130" s="310" t="str">
        <f>VLOOKUP(B130,Ausschreibung!$B$4:$I$35,4,FALSE)</f>
        <v>Juniorinnen B U17</v>
      </c>
      <c r="G130" s="189" t="e">
        <f t="shared" si="4"/>
        <v>#REF!</v>
      </c>
      <c r="H130" s="189" t="e">
        <f>IF(#REF!="Ergocup",8,"DHM")</f>
        <v>#REF!</v>
      </c>
      <c r="I130" s="40">
        <f>'Eingabe Meldungen'!K303</f>
        <v>0</v>
      </c>
      <c r="J130" s="258"/>
      <c r="K130" s="281">
        <f>IF(Tabelle1[[#This Row],[Bezahlt]]="JA",#REF!,0)</f>
        <v>0</v>
      </c>
      <c r="L130" s="279"/>
    </row>
    <row r="131" spans="2:12" ht="13.8" x14ac:dyDescent="0.2">
      <c r="B131" s="309">
        <f>'Eingabe Meldungen'!A89</f>
        <v>12</v>
      </c>
      <c r="C131" s="310" t="str">
        <f>'Eingabe Meldungen'!C89</f>
        <v>Hentschel</v>
      </c>
      <c r="D131" s="310" t="str">
        <f>'Eingabe Meldungen'!D89</f>
        <v>Lina</v>
      </c>
      <c r="E131" s="311" t="str">
        <f>'Eingabe Meldungen'!J89</f>
        <v>Marbacher Ruderverein</v>
      </c>
      <c r="F131" s="310" t="str">
        <f>VLOOKUP(B131,Ausschreibung!$B$4:$I$35,4,FALSE)</f>
        <v>Juniorinnen B U17</v>
      </c>
      <c r="G131" s="189" t="e">
        <f t="shared" ref="G131:G162" si="5">IF(B131=35,H131-4,H131)</f>
        <v>#REF!</v>
      </c>
      <c r="H131" s="189" t="e">
        <f>IF(#REF!="Ergocup",8,"DHM")</f>
        <v>#REF!</v>
      </c>
      <c r="I131" s="40">
        <f>'Eingabe Meldungen'!K304</f>
        <v>0</v>
      </c>
      <c r="J131" s="258"/>
      <c r="K131" s="281">
        <f>IF(Tabelle1[[#This Row],[Bezahlt]]="JA",#REF!,0)</f>
        <v>0</v>
      </c>
      <c r="L131" s="279"/>
    </row>
    <row r="132" spans="2:12" ht="13.8" x14ac:dyDescent="0.2">
      <c r="B132" s="309">
        <f>'Eingabe Meldungen'!A95</f>
        <v>13</v>
      </c>
      <c r="C132" s="310" t="str">
        <f>'Eingabe Meldungen'!C95</f>
        <v>Zahn</v>
      </c>
      <c r="D132" s="310" t="str">
        <f>'Eingabe Meldungen'!D95</f>
        <v>Simon</v>
      </c>
      <c r="E132" s="311" t="str">
        <f>'Eingabe Meldungen'!J95</f>
        <v>Marbacher Ruderverein</v>
      </c>
      <c r="F132" s="310" t="str">
        <f>VLOOKUP(B132,Ausschreibung!$B$4:$I$35,4,FALSE)</f>
        <v>Junioren B U17</v>
      </c>
      <c r="G132" s="189" t="e">
        <f t="shared" si="5"/>
        <v>#REF!</v>
      </c>
      <c r="H132" s="189" t="e">
        <f>IF(#REF!="Ergocup",8,"DHM")</f>
        <v>#REF!</v>
      </c>
      <c r="I132" s="40">
        <f>'Eingabe Meldungen'!K320</f>
        <v>0</v>
      </c>
      <c r="J132" s="258"/>
      <c r="K132" s="281">
        <f>IF(Tabelle1[[#This Row],[Bezahlt]]="JA",#REF!,0)</f>
        <v>0</v>
      </c>
      <c r="L132" s="279"/>
    </row>
    <row r="133" spans="2:12" ht="13.8" x14ac:dyDescent="0.2">
      <c r="B133" s="309">
        <f>'Eingabe Meldungen'!A114</f>
        <v>12</v>
      </c>
      <c r="C133" s="310" t="str">
        <f>'Eingabe Meldungen'!C114</f>
        <v>Gerbershagen</v>
      </c>
      <c r="D133" s="310" t="str">
        <f>'Eingabe Meldungen'!D114</f>
        <v>Mira</v>
      </c>
      <c r="E133" s="311" t="str">
        <f>'Eingabe Meldungen'!J114</f>
        <v>Marbacher Ruderverein</v>
      </c>
      <c r="F133" s="310" t="str">
        <f>VLOOKUP(B133,Ausschreibung!$B$4:$I$35,4,FALSE)</f>
        <v>Juniorinnen B U17</v>
      </c>
      <c r="G133" s="189" t="e">
        <f t="shared" si="5"/>
        <v>#REF!</v>
      </c>
      <c r="H133" s="189" t="e">
        <f>IF(#REF!="Ergocup",8,"DHM")</f>
        <v>#REF!</v>
      </c>
      <c r="I133" s="40">
        <f>'Eingabe Meldungen'!K379</f>
        <v>0</v>
      </c>
      <c r="J133" s="258"/>
      <c r="K133" s="281">
        <f>IF(Tabelle1[[#This Row],[Bezahlt]]="JA",#REF!,0)</f>
        <v>0</v>
      </c>
      <c r="L133" s="279"/>
    </row>
    <row r="134" spans="2:12" ht="13.8" x14ac:dyDescent="0.2">
      <c r="B134" s="309">
        <f>'Eingabe Meldungen'!A134</f>
        <v>8</v>
      </c>
      <c r="C134" s="310" t="str">
        <f>'Eingabe Meldungen'!C134</f>
        <v>Stirner</v>
      </c>
      <c r="D134" s="310" t="str">
        <f>'Eingabe Meldungen'!D134</f>
        <v>Emilie</v>
      </c>
      <c r="E134" s="311" t="str">
        <f>'Eingabe Meldungen'!J134</f>
        <v>Marbacher Ruderverein</v>
      </c>
      <c r="F134" s="310" t="str">
        <f>VLOOKUP(B134,Ausschreibung!$B$4:$I$35,4,FALSE)</f>
        <v>Mädchen U15</v>
      </c>
      <c r="G134" s="189" t="e">
        <f t="shared" si="5"/>
        <v>#REF!</v>
      </c>
      <c r="H134" s="189" t="e">
        <f>IF(#REF!="Ergocup",8,"DHM")</f>
        <v>#REF!</v>
      </c>
      <c r="I134" s="40">
        <f>'Eingabe Meldungen'!K257</f>
        <v>0</v>
      </c>
      <c r="J134" s="258"/>
      <c r="K134" s="281">
        <f>IF(Tabelle1[[#This Row],[Bezahlt]]="JA",#REF!,0)</f>
        <v>0</v>
      </c>
      <c r="L134" s="279"/>
    </row>
    <row r="135" spans="2:12" ht="13.8" x14ac:dyDescent="0.2">
      <c r="B135" s="309">
        <f>'Eingabe Meldungen'!A158</f>
        <v>10</v>
      </c>
      <c r="C135" s="310" t="str">
        <f>'Eingabe Meldungen'!C158</f>
        <v>Gering</v>
      </c>
      <c r="D135" s="310" t="str">
        <f>'Eingabe Meldungen'!D158</f>
        <v>Simon</v>
      </c>
      <c r="E135" s="311" t="str">
        <f>'Eingabe Meldungen'!J158</f>
        <v>Marbacher Ruderverein</v>
      </c>
      <c r="F135" s="310" t="str">
        <f>VLOOKUP(B135,Ausschreibung!$B$4:$I$35,4,FALSE)</f>
        <v>Jungen U15</v>
      </c>
      <c r="G135" s="189" t="e">
        <f t="shared" si="5"/>
        <v>#REF!</v>
      </c>
      <c r="H135" s="189" t="e">
        <f>IF(#REF!="Ergocup",8,"DHM")</f>
        <v>#REF!</v>
      </c>
      <c r="I135" s="40">
        <f>'Eingabe Meldungen'!K406</f>
        <v>0</v>
      </c>
      <c r="J135" s="258"/>
      <c r="K135" s="281">
        <f>IF(Tabelle1[[#This Row],[Bezahlt]]="JA",#REF!,0)</f>
        <v>0</v>
      </c>
      <c r="L135" s="279"/>
    </row>
    <row r="136" spans="2:12" ht="13.8" x14ac:dyDescent="0.2">
      <c r="B136" s="309">
        <f>'Eingabe Meldungen'!A161</f>
        <v>4</v>
      </c>
      <c r="C136" s="310" t="str">
        <f>'Eingabe Meldungen'!C161</f>
        <v>Bittermann</v>
      </c>
      <c r="D136" s="310" t="str">
        <f>'Eingabe Meldungen'!D161</f>
        <v>Alfons</v>
      </c>
      <c r="E136" s="311" t="str">
        <f>'Eingabe Meldungen'!J161</f>
        <v>Marbacher Ruderverein</v>
      </c>
      <c r="F136" s="310" t="str">
        <f>VLOOKUP(B136,Ausschreibung!$B$4:$I$35,4,FALSE)</f>
        <v>Jungen U14</v>
      </c>
      <c r="G136" s="189" t="e">
        <f t="shared" si="5"/>
        <v>#REF!</v>
      </c>
      <c r="H136" s="189" t="e">
        <f>IF(#REF!="Ergocup",8,"DHM")</f>
        <v>#REF!</v>
      </c>
      <c r="I136" s="40">
        <f>'Eingabe Meldungen'!K405</f>
        <v>0</v>
      </c>
      <c r="J136" s="258"/>
      <c r="K136" s="281">
        <f>IF(Tabelle1[[#This Row],[Bezahlt]]="JA",#REF!,0)</f>
        <v>0</v>
      </c>
      <c r="L136" s="279"/>
    </row>
    <row r="137" spans="2:12" ht="13.8" x14ac:dyDescent="0.2">
      <c r="B137" s="309">
        <f>'Eingabe Meldungen'!A181</f>
        <v>4</v>
      </c>
      <c r="C137" s="310" t="str">
        <f>'Eingabe Meldungen'!C181</f>
        <v>Bitz</v>
      </c>
      <c r="D137" s="310" t="str">
        <f>'Eingabe Meldungen'!D181</f>
        <v>Moritz</v>
      </c>
      <c r="E137" s="311" t="str">
        <f>'Eingabe Meldungen'!J181</f>
        <v>Marbacher Ruderverein</v>
      </c>
      <c r="F137" s="310" t="str">
        <f>VLOOKUP(B137,Ausschreibung!$B$4:$I$35,4,FALSE)</f>
        <v>Jungen U14</v>
      </c>
      <c r="G137" s="189" t="e">
        <f t="shared" si="5"/>
        <v>#REF!</v>
      </c>
      <c r="H137" s="189" t="e">
        <f>IF(#REF!="Ergocup",8,"DHM")</f>
        <v>#REF!</v>
      </c>
      <c r="I137" s="40">
        <f>'Eingabe Meldungen'!K312</f>
        <v>0</v>
      </c>
      <c r="J137" s="258"/>
      <c r="K137" s="281">
        <f>IF(Tabelle1[[#This Row],[Bezahlt]]="JA",#REF!,0)</f>
        <v>0</v>
      </c>
      <c r="L137" s="279"/>
    </row>
    <row r="138" spans="2:12" ht="13.8" x14ac:dyDescent="0.2">
      <c r="B138" s="309">
        <f>'Eingabe Meldungen'!A184</f>
        <v>4</v>
      </c>
      <c r="C138" s="310" t="str">
        <f>'Eingabe Meldungen'!C184</f>
        <v>Calovini</v>
      </c>
      <c r="D138" s="310" t="str">
        <f>'Eingabe Meldungen'!D184</f>
        <v>Samuel</v>
      </c>
      <c r="E138" s="311" t="str">
        <f>'Eingabe Meldungen'!J184</f>
        <v>Marbacher Ruderverein</v>
      </c>
      <c r="F138" s="310" t="str">
        <f>VLOOKUP(B138,Ausschreibung!$B$4:$I$35,4,FALSE)</f>
        <v>Jungen U14</v>
      </c>
      <c r="G138" s="189" t="e">
        <f t="shared" si="5"/>
        <v>#REF!</v>
      </c>
      <c r="H138" s="189" t="e">
        <f>IF(#REF!="Ergocup",8,"DHM")</f>
        <v>#REF!</v>
      </c>
      <c r="I138" s="40">
        <f>'Eingabe Meldungen'!K315</f>
        <v>0</v>
      </c>
      <c r="J138" s="258"/>
      <c r="K138" s="281">
        <f>IF(Tabelle1[[#This Row],[Bezahlt]]="JA",#REF!,0)</f>
        <v>0</v>
      </c>
      <c r="L138" s="279"/>
    </row>
    <row r="139" spans="2:12" ht="13.8" x14ac:dyDescent="0.2">
      <c r="B139" s="309">
        <f>'Eingabe Meldungen'!A187</f>
        <v>5</v>
      </c>
      <c r="C139" s="310" t="str">
        <f>'Eingabe Meldungen'!C187</f>
        <v>Grünewald</v>
      </c>
      <c r="D139" s="310" t="str">
        <f>'Eingabe Meldungen'!D187</f>
        <v>Julika</v>
      </c>
      <c r="E139" s="311" t="str">
        <f>'Eingabe Meldungen'!J187</f>
        <v>Marbacher Ruderverein</v>
      </c>
      <c r="F139" s="310" t="str">
        <f>VLOOKUP(B139,Ausschreibung!$B$4:$I$35,4,FALSE)</f>
        <v>Mädchen U14</v>
      </c>
      <c r="G139" s="189" t="e">
        <f t="shared" si="5"/>
        <v>#REF!</v>
      </c>
      <c r="H139" s="189" t="e">
        <f>IF(#REF!="Ergocup",8,"DHM")</f>
        <v>#REF!</v>
      </c>
      <c r="I139" s="40">
        <f>'Eingabe Meldungen'!K386</f>
        <v>0</v>
      </c>
      <c r="J139" s="258"/>
      <c r="K139" s="281">
        <f>IF(Tabelle1[[#This Row],[Bezahlt]]="JA",#REF!,0)</f>
        <v>0</v>
      </c>
      <c r="L139" s="279"/>
    </row>
    <row r="140" spans="2:12" ht="13.8" x14ac:dyDescent="0.2">
      <c r="B140" s="309">
        <f>'Eingabe Meldungen'!A193</f>
        <v>3</v>
      </c>
      <c r="C140" s="310" t="str">
        <f>'Eingabe Meldungen'!C193</f>
        <v>Rebmann</v>
      </c>
      <c r="D140" s="310" t="str">
        <f>'Eingabe Meldungen'!D193</f>
        <v>Morino</v>
      </c>
      <c r="E140" s="311" t="str">
        <f>'Eingabe Meldungen'!J193</f>
        <v>Marbacher Ruderverein</v>
      </c>
      <c r="F140" s="310" t="str">
        <f>VLOOKUP(B140,Ausschreibung!$B$4:$I$35,4,FALSE)</f>
        <v>Jungen U14</v>
      </c>
      <c r="G140" s="189" t="e">
        <f t="shared" si="5"/>
        <v>#REF!</v>
      </c>
      <c r="H140" s="189" t="e">
        <f>IF(#REF!="Ergocup",8,"DHM")</f>
        <v>#REF!</v>
      </c>
      <c r="I140" s="40">
        <f>'Eingabe Meldungen'!K392</f>
        <v>0</v>
      </c>
      <c r="J140" s="258"/>
      <c r="K140" s="281">
        <f>IF(Tabelle1[[#This Row],[Bezahlt]]="JA",#REF!,0)</f>
        <v>0</v>
      </c>
      <c r="L140" s="279"/>
    </row>
    <row r="141" spans="2:12" ht="13.8" x14ac:dyDescent="0.2">
      <c r="B141" s="309">
        <f>'Eingabe Meldungen'!A194</f>
        <v>3</v>
      </c>
      <c r="C141" s="310" t="str">
        <f>'Eingabe Meldungen'!C194</f>
        <v>Rebmann</v>
      </c>
      <c r="D141" s="310" t="str">
        <f>'Eingabe Meldungen'!D194</f>
        <v>Florentin</v>
      </c>
      <c r="E141" s="311" t="str">
        <f>'Eingabe Meldungen'!J194</f>
        <v>Marbacher Ruderverein</v>
      </c>
      <c r="F141" s="310" t="str">
        <f>VLOOKUP(B141,Ausschreibung!$B$4:$I$35,4,FALSE)</f>
        <v>Jungen U14</v>
      </c>
      <c r="G141" s="189" t="e">
        <f t="shared" si="5"/>
        <v>#REF!</v>
      </c>
      <c r="H141" s="189" t="e">
        <f>IF(#REF!="Ergocup",8,"DHM")</f>
        <v>#REF!</v>
      </c>
      <c r="I141" s="40">
        <f>'Eingabe Meldungen'!K393</f>
        <v>0</v>
      </c>
      <c r="J141" s="258"/>
      <c r="K141" s="281">
        <f>IF(Tabelle1[[#This Row],[Bezahlt]]="JA",#REF!,0)</f>
        <v>0</v>
      </c>
      <c r="L141" s="279"/>
    </row>
    <row r="142" spans="2:12" ht="13.8" x14ac:dyDescent="0.2">
      <c r="B142" s="309">
        <f>'Eingabe Meldungen'!A128</f>
        <v>9</v>
      </c>
      <c r="C142" s="310" t="str">
        <f>'Eingabe Meldungen'!C128</f>
        <v>Podbicanin</v>
      </c>
      <c r="D142" s="310" t="str">
        <f>'Eingabe Meldungen'!D128</f>
        <v>Ben</v>
      </c>
      <c r="E142" s="311" t="str">
        <f>'Eingabe Meldungen'!J128</f>
        <v>Mannheimer RV "Amicitia"</v>
      </c>
      <c r="F142" s="310" t="str">
        <f>VLOOKUP(B142,Ausschreibung!$B$4:$I$35,4,FALSE)</f>
        <v>Jungen U15</v>
      </c>
      <c r="G142" s="189" t="e">
        <f t="shared" si="5"/>
        <v>#REF!</v>
      </c>
      <c r="H142" s="189" t="e">
        <f>IF(#REF!="Ergocup",8,"DHM")</f>
        <v>#REF!</v>
      </c>
      <c r="I142" s="40">
        <f>'Eingabe Meldungen'!K235</f>
        <v>0</v>
      </c>
      <c r="J142" s="258"/>
      <c r="K142" s="281">
        <f>IF(Tabelle1[[#This Row],[Bezahlt]]="JA",#REF!,0)</f>
        <v>0</v>
      </c>
      <c r="L142" s="279"/>
    </row>
    <row r="143" spans="2:12" ht="13.8" x14ac:dyDescent="0.2">
      <c r="B143" s="309">
        <f>'Eingabe Meldungen'!A129</f>
        <v>10</v>
      </c>
      <c r="C143" s="310" t="str">
        <f>'Eingabe Meldungen'!C129</f>
        <v>von Watzdorf</v>
      </c>
      <c r="D143" s="310" t="str">
        <f>'Eingabe Meldungen'!D129</f>
        <v>Carl</v>
      </c>
      <c r="E143" s="311" t="str">
        <f>'Eingabe Meldungen'!J129</f>
        <v>Mannheimer RV "Amicitia"</v>
      </c>
      <c r="F143" s="310" t="str">
        <f>VLOOKUP(B143,Ausschreibung!$B$4:$I$35,4,FALSE)</f>
        <v>Jungen U15</v>
      </c>
      <c r="G143" s="189" t="e">
        <f t="shared" si="5"/>
        <v>#REF!</v>
      </c>
      <c r="H143" s="189" t="e">
        <f>IF(#REF!="Ergocup",8,"DHM")</f>
        <v>#REF!</v>
      </c>
      <c r="I143" s="40">
        <f>'Eingabe Meldungen'!K236</f>
        <v>0</v>
      </c>
      <c r="J143" s="258"/>
      <c r="K143" s="281">
        <f>IF(Tabelle1[[#This Row],[Bezahlt]]="JA",#REF!,0)</f>
        <v>0</v>
      </c>
      <c r="L143" s="279"/>
    </row>
    <row r="144" spans="2:12" ht="13.8" x14ac:dyDescent="0.2">
      <c r="B144" s="309">
        <f>'Eingabe Meldungen'!A130</f>
        <v>7</v>
      </c>
      <c r="C144" s="310" t="str">
        <f>'Eingabe Meldungen'!C130</f>
        <v>Schweneke</v>
      </c>
      <c r="D144" s="310" t="str">
        <f>'Eingabe Meldungen'!D130</f>
        <v>Charlotte</v>
      </c>
      <c r="E144" s="311" t="str">
        <f>'Eingabe Meldungen'!J130</f>
        <v>Mannheimer RV "Amicitia"</v>
      </c>
      <c r="F144" s="310" t="str">
        <f>VLOOKUP(B144,Ausschreibung!$B$4:$I$35,4,FALSE)</f>
        <v>Mädchen U15</v>
      </c>
      <c r="G144" s="189" t="e">
        <f t="shared" si="5"/>
        <v>#REF!</v>
      </c>
      <c r="H144" s="189" t="e">
        <f>IF(#REF!="Ergocup",8,"DHM")</f>
        <v>#REF!</v>
      </c>
      <c r="I144" s="40">
        <f>'Eingabe Meldungen'!K237</f>
        <v>0</v>
      </c>
      <c r="J144" s="258"/>
      <c r="K144" s="281">
        <f>IF(Tabelle1[[#This Row],[Bezahlt]]="JA",#REF!,0)</f>
        <v>0</v>
      </c>
      <c r="L144" s="279"/>
    </row>
    <row r="145" spans="2:12" ht="13.8" x14ac:dyDescent="0.2">
      <c r="B145" s="309">
        <f>'Eingabe Meldungen'!A147</f>
        <v>9</v>
      </c>
      <c r="C145" s="310" t="str">
        <f>'Eingabe Meldungen'!C147</f>
        <v>Gehring</v>
      </c>
      <c r="D145" s="310" t="str">
        <f>'Eingabe Meldungen'!D147</f>
        <v>Max</v>
      </c>
      <c r="E145" s="311" t="str">
        <f>'Eingabe Meldungen'!J147</f>
        <v>Mannheimer RV "Amicitia"</v>
      </c>
      <c r="F145" s="310" t="str">
        <f>VLOOKUP(B145,Ausschreibung!$B$4:$I$35,4,FALSE)</f>
        <v>Jungen U15</v>
      </c>
      <c r="G145" s="189" t="e">
        <f t="shared" si="5"/>
        <v>#REF!</v>
      </c>
      <c r="H145" s="189" t="e">
        <f>IF(#REF!="Ergocup",8,"DHM")</f>
        <v>#REF!</v>
      </c>
      <c r="I145" s="40">
        <f>'Eingabe Meldungen'!K358</f>
        <v>0</v>
      </c>
      <c r="J145" s="258"/>
      <c r="K145" s="281">
        <f>IF(Tabelle1[[#This Row],[Bezahlt]]="JA",#REF!,0)</f>
        <v>0</v>
      </c>
      <c r="L145" s="279"/>
    </row>
    <row r="146" spans="2:12" ht="13.8" x14ac:dyDescent="0.2">
      <c r="B146" s="309">
        <f>'Eingabe Meldungen'!A148</f>
        <v>9</v>
      </c>
      <c r="C146" s="310" t="str">
        <f>'Eingabe Meldungen'!C148</f>
        <v>Kappler</v>
      </c>
      <c r="D146" s="310" t="str">
        <f>'Eingabe Meldungen'!D148</f>
        <v>Max</v>
      </c>
      <c r="E146" s="311" t="str">
        <f>'Eingabe Meldungen'!J148</f>
        <v>Mannheimer RV "Amicitia"</v>
      </c>
      <c r="F146" s="310" t="str">
        <f>VLOOKUP(B146,Ausschreibung!$B$4:$I$35,4,FALSE)</f>
        <v>Jungen U15</v>
      </c>
      <c r="G146" s="189" t="e">
        <f t="shared" si="5"/>
        <v>#REF!</v>
      </c>
      <c r="H146" s="189" t="e">
        <f>IF(#REF!="Ergocup",8,"DHM")</f>
        <v>#REF!</v>
      </c>
      <c r="I146" s="40">
        <f>'Eingabe Meldungen'!K215</f>
        <v>0</v>
      </c>
      <c r="J146" s="258"/>
      <c r="K146" s="281">
        <f>IF(Tabelle1[[#This Row],[Bezahlt]]="JA",#REF!,0)</f>
        <v>0</v>
      </c>
      <c r="L146" s="279"/>
    </row>
    <row r="147" spans="2:12" ht="13.8" x14ac:dyDescent="0.2">
      <c r="B147" s="309">
        <f>'Eingabe Meldungen'!A151</f>
        <v>8</v>
      </c>
      <c r="C147" s="310" t="str">
        <f>'Eingabe Meldungen'!C151</f>
        <v>Sammler</v>
      </c>
      <c r="D147" s="310" t="str">
        <f>'Eingabe Meldungen'!D151</f>
        <v>Melisande</v>
      </c>
      <c r="E147" s="311" t="str">
        <f>'Eingabe Meldungen'!J151</f>
        <v>Mannheimer RV "Amicitia"</v>
      </c>
      <c r="F147" s="310" t="str">
        <f>VLOOKUP(B147,Ausschreibung!$B$4:$I$35,4,FALSE)</f>
        <v>Mädchen U15</v>
      </c>
      <c r="G147" s="189" t="e">
        <f t="shared" si="5"/>
        <v>#REF!</v>
      </c>
      <c r="H147" s="189" t="e">
        <f>IF(#REF!="Ergocup",8,"DHM")</f>
        <v>#REF!</v>
      </c>
      <c r="I147" s="40">
        <f>'Eingabe Meldungen'!K395</f>
        <v>0</v>
      </c>
      <c r="J147" s="258"/>
      <c r="K147" s="281">
        <f>IF(Tabelle1[[#This Row],[Bezahlt]]="JA",#REF!,0)</f>
        <v>0</v>
      </c>
      <c r="L147" s="279"/>
    </row>
    <row r="148" spans="2:12" ht="13.8" x14ac:dyDescent="0.2">
      <c r="B148" s="309">
        <f>'Eingabe Meldungen'!A159</f>
        <v>10</v>
      </c>
      <c r="C148" s="310" t="str">
        <f>'Eingabe Meldungen'!C159</f>
        <v>Gläser</v>
      </c>
      <c r="D148" s="310" t="str">
        <f>'Eingabe Meldungen'!D159</f>
        <v>Simon</v>
      </c>
      <c r="E148" s="311" t="str">
        <f>'Eingabe Meldungen'!J159</f>
        <v>Mannheimer RV "Amicitia"</v>
      </c>
      <c r="F148" s="310" t="str">
        <f>VLOOKUP(B148,Ausschreibung!$B$4:$I$35,4,FALSE)</f>
        <v>Jungen U15</v>
      </c>
      <c r="G148" s="189" t="e">
        <f t="shared" si="5"/>
        <v>#REF!</v>
      </c>
      <c r="H148" s="189" t="e">
        <f>IF(#REF!="Ergocup",8,"DHM")</f>
        <v>#REF!</v>
      </c>
      <c r="I148" s="40">
        <f>'Eingabe Meldungen'!K407</f>
        <v>0</v>
      </c>
      <c r="J148" s="258"/>
      <c r="K148" s="281">
        <f>IF(Tabelle1[[#This Row],[Bezahlt]]="JA",#REF!,0)</f>
        <v>0</v>
      </c>
      <c r="L148" s="279"/>
    </row>
    <row r="149" spans="2:12" ht="13.8" x14ac:dyDescent="0.2">
      <c r="B149" s="309">
        <f>'Eingabe Meldungen'!A165</f>
        <v>4</v>
      </c>
      <c r="C149" s="310" t="str">
        <f>'Eingabe Meldungen'!C165</f>
        <v>Nestor</v>
      </c>
      <c r="D149" s="310" t="str">
        <f>'Eingabe Meldungen'!D165</f>
        <v>David</v>
      </c>
      <c r="E149" s="311" t="str">
        <f>'Eingabe Meldungen'!J165</f>
        <v>Mannheimer RV "Amicitia"</v>
      </c>
      <c r="F149" s="310" t="str">
        <f>VLOOKUP(B149,Ausschreibung!$B$4:$I$35,4,FALSE)</f>
        <v>Jungen U14</v>
      </c>
      <c r="G149" s="189" t="e">
        <f t="shared" si="5"/>
        <v>#REF!</v>
      </c>
      <c r="H149" s="189" t="e">
        <f>IF(#REF!="Ergocup",8,"DHM")</f>
        <v>#REF!</v>
      </c>
      <c r="I149" s="40">
        <f>'Eingabe Meldungen'!K408</f>
        <v>0</v>
      </c>
      <c r="J149" s="258"/>
      <c r="K149" s="281">
        <f>IF(Tabelle1[[#This Row],[Bezahlt]]="JA",#REF!,0)</f>
        <v>0</v>
      </c>
      <c r="L149" s="279"/>
    </row>
    <row r="150" spans="2:12" ht="13.8" x14ac:dyDescent="0.2">
      <c r="B150" s="309">
        <f>'Eingabe Meldungen'!A168</f>
        <v>5</v>
      </c>
      <c r="C150" s="310" t="str">
        <f>'Eingabe Meldungen'!C168</f>
        <v>Deimel</v>
      </c>
      <c r="D150" s="310" t="str">
        <f>'Eingabe Meldungen'!D168</f>
        <v>Johanna</v>
      </c>
      <c r="E150" s="311" t="str">
        <f>'Eingabe Meldungen'!J168</f>
        <v>Mannheimer RV "Amicitia"</v>
      </c>
      <c r="F150" s="310" t="str">
        <f>VLOOKUP(B150,Ausschreibung!$B$4:$I$35,4,FALSE)</f>
        <v>Mädchen U14</v>
      </c>
      <c r="G150" s="189" t="e">
        <f t="shared" si="5"/>
        <v>#REF!</v>
      </c>
      <c r="H150" s="189" t="e">
        <f>IF(#REF!="Ergocup",8,"DHM")</f>
        <v>#REF!</v>
      </c>
      <c r="I150" s="40">
        <f>'Eingabe Meldungen'!K384</f>
        <v>0</v>
      </c>
      <c r="J150" s="258"/>
      <c r="K150" s="281">
        <f>IF(Tabelle1[[#This Row],[Bezahlt]]="JA",#REF!,0)</f>
        <v>0</v>
      </c>
      <c r="L150" s="279"/>
    </row>
    <row r="151" spans="2:12" ht="13.8" x14ac:dyDescent="0.2">
      <c r="B151" s="309">
        <f>'Eingabe Meldungen'!A176</f>
        <v>3</v>
      </c>
      <c r="C151" s="310" t="str">
        <f>'Eingabe Meldungen'!C176</f>
        <v>Sprauer</v>
      </c>
      <c r="D151" s="310" t="str">
        <f>'Eingabe Meldungen'!D176</f>
        <v>Levin</v>
      </c>
      <c r="E151" s="311" t="str">
        <f>'Eingabe Meldungen'!J176</f>
        <v>Mannheimer RV "Amicitia"</v>
      </c>
      <c r="F151" s="310" t="str">
        <f>VLOOKUP(B151,Ausschreibung!$B$4:$I$35,4,FALSE)</f>
        <v>Jungen U14</v>
      </c>
      <c r="G151" s="189" t="e">
        <f t="shared" si="5"/>
        <v>#REF!</v>
      </c>
      <c r="H151" s="189" t="e">
        <f>IF(#REF!="Ergocup",8,"DHM")</f>
        <v>#REF!</v>
      </c>
      <c r="I151" s="40">
        <f>'Eingabe Meldungen'!K241</f>
        <v>0</v>
      </c>
      <c r="J151" s="258"/>
      <c r="K151" s="281">
        <f>IF(Tabelle1[[#This Row],[Bezahlt]]="JA",#REF!,0)</f>
        <v>0</v>
      </c>
      <c r="L151" s="279"/>
    </row>
    <row r="152" spans="2:12" ht="13.8" x14ac:dyDescent="0.2">
      <c r="B152" s="309">
        <f>'Eingabe Meldungen'!A177</f>
        <v>6</v>
      </c>
      <c r="C152" s="310" t="str">
        <f>'Eingabe Meldungen'!C177</f>
        <v>Schulze</v>
      </c>
      <c r="D152" s="310" t="str">
        <f>'Eingabe Meldungen'!D177</f>
        <v>Lisann</v>
      </c>
      <c r="E152" s="311" t="str">
        <f>'Eingabe Meldungen'!J177</f>
        <v>Mannheimer RV "Amicitia"</v>
      </c>
      <c r="F152" s="310" t="str">
        <f>VLOOKUP(B152,Ausschreibung!$B$4:$I$35,4,FALSE)</f>
        <v>Mädchen U14</v>
      </c>
      <c r="G152" s="189" t="e">
        <f t="shared" si="5"/>
        <v>#REF!</v>
      </c>
      <c r="H152" s="189" t="e">
        <f>IF(#REF!="Ergocup",8,"DHM")</f>
        <v>#REF!</v>
      </c>
      <c r="I152" s="40">
        <f>'Eingabe Meldungen'!K242</f>
        <v>0</v>
      </c>
      <c r="J152" s="258"/>
      <c r="K152" s="281">
        <f>IF(Tabelle1[[#This Row],[Bezahlt]]="JA",#REF!,0)</f>
        <v>0</v>
      </c>
      <c r="L152" s="279"/>
    </row>
    <row r="153" spans="2:12" ht="13.8" x14ac:dyDescent="0.2">
      <c r="B153" s="309">
        <f>'Eingabe Meldungen'!A178</f>
        <v>3</v>
      </c>
      <c r="C153" s="310" t="str">
        <f>'Eingabe Meldungen'!C178</f>
        <v>Deuter</v>
      </c>
      <c r="D153" s="310" t="str">
        <f>'Eingabe Meldungen'!D178</f>
        <v>Lucius</v>
      </c>
      <c r="E153" s="311" t="str">
        <f>'Eingabe Meldungen'!J178</f>
        <v>Mannheimer RV "Amicitia"</v>
      </c>
      <c r="F153" s="310" t="str">
        <f>VLOOKUP(B153,Ausschreibung!$B$4:$I$35,4,FALSE)</f>
        <v>Jungen U14</v>
      </c>
      <c r="G153" s="189" t="e">
        <f t="shared" si="5"/>
        <v>#REF!</v>
      </c>
      <c r="H153" s="189" t="e">
        <f>IF(#REF!="Ergocup",8,"DHM")</f>
        <v>#REF!</v>
      </c>
      <c r="I153" s="40">
        <f>'Eingabe Meldungen'!K309</f>
        <v>0</v>
      </c>
      <c r="J153" s="258"/>
      <c r="K153" s="281">
        <f>IF(Tabelle1[[#This Row],[Bezahlt]]="JA",#REF!,0)</f>
        <v>0</v>
      </c>
      <c r="L153" s="279"/>
    </row>
    <row r="154" spans="2:12" ht="13.8" x14ac:dyDescent="0.2">
      <c r="B154" s="309">
        <f>'Eingabe Meldungen'!A180</f>
        <v>3</v>
      </c>
      <c r="C154" s="310" t="str">
        <f>'Eingabe Meldungen'!C180</f>
        <v>Roob</v>
      </c>
      <c r="D154" s="310" t="str">
        <f>'Eingabe Meldungen'!D180</f>
        <v>Milo</v>
      </c>
      <c r="E154" s="311" t="str">
        <f>'Eingabe Meldungen'!J180</f>
        <v>Mannheimer RV "Amicitia"</v>
      </c>
      <c r="F154" s="310" t="str">
        <f>VLOOKUP(B154,Ausschreibung!$B$4:$I$35,4,FALSE)</f>
        <v>Jungen U14</v>
      </c>
      <c r="G154" s="189" t="e">
        <f t="shared" si="5"/>
        <v>#REF!</v>
      </c>
      <c r="H154" s="189" t="e">
        <f>IF(#REF!="Ergocup",8,"DHM")</f>
        <v>#REF!</v>
      </c>
      <c r="I154" s="40">
        <f>'Eingabe Meldungen'!K311</f>
        <v>0</v>
      </c>
      <c r="J154" s="258"/>
      <c r="K154" s="281">
        <f>IF(Tabelle1[[#This Row],[Bezahlt]]="JA",#REF!,0)</f>
        <v>0</v>
      </c>
      <c r="L154" s="279"/>
    </row>
    <row r="155" spans="2:12" ht="13.8" x14ac:dyDescent="0.2">
      <c r="B155" s="309">
        <f>'Eingabe Meldungen'!A185</f>
        <v>6</v>
      </c>
      <c r="C155" s="310" t="str">
        <f>'Eingabe Meldungen'!C185</f>
        <v>Vurdu</v>
      </c>
      <c r="D155" s="310" t="str">
        <f>'Eingabe Meldungen'!D185</f>
        <v>Zehra</v>
      </c>
      <c r="E155" s="311" t="str">
        <f>'Eingabe Meldungen'!J185</f>
        <v>Mannheimer RV "Amicitia"</v>
      </c>
      <c r="F155" s="310" t="str">
        <f>VLOOKUP(B155,Ausschreibung!$B$4:$I$35,4,FALSE)</f>
        <v>Mädchen U14</v>
      </c>
      <c r="G155" s="189" t="e">
        <f t="shared" si="5"/>
        <v>#REF!</v>
      </c>
      <c r="H155" s="189" t="e">
        <f>IF(#REF!="Ergocup",8,"DHM")</f>
        <v>#REF!</v>
      </c>
      <c r="I155" s="40">
        <f>'Eingabe Meldungen'!K316</f>
        <v>0</v>
      </c>
      <c r="J155" s="258"/>
      <c r="K155" s="281">
        <f>IF(Tabelle1[[#This Row],[Bezahlt]]="JA",#REF!,0)</f>
        <v>0</v>
      </c>
      <c r="L155" s="279"/>
    </row>
    <row r="156" spans="2:12" ht="13.8" x14ac:dyDescent="0.2">
      <c r="B156" s="309">
        <f>'Eingabe Meldungen'!A186</f>
        <v>5</v>
      </c>
      <c r="C156" s="310" t="str">
        <f>'Eingabe Meldungen'!C186</f>
        <v>Jonescheit</v>
      </c>
      <c r="D156" s="310" t="str">
        <f>'Eingabe Meldungen'!D186</f>
        <v>Zoë</v>
      </c>
      <c r="E156" s="311" t="str">
        <f>'Eingabe Meldungen'!J186</f>
        <v>Mannheimer RV "Amicitia"</v>
      </c>
      <c r="F156" s="310" t="str">
        <f>VLOOKUP(B156,Ausschreibung!$B$4:$I$35,4,FALSE)</f>
        <v>Mädchen U14</v>
      </c>
      <c r="G156" s="189" t="e">
        <f t="shared" si="5"/>
        <v>#REF!</v>
      </c>
      <c r="H156" s="189" t="e">
        <f>IF(#REF!="Ergocup",8,"DHM")</f>
        <v>#REF!</v>
      </c>
      <c r="I156" s="40">
        <f>'Eingabe Meldungen'!K385</f>
        <v>0</v>
      </c>
      <c r="J156" s="258"/>
      <c r="K156" s="281">
        <f>IF(Tabelle1[[#This Row],[Bezahlt]]="JA",#REF!,0)</f>
        <v>0</v>
      </c>
      <c r="L156" s="279"/>
    </row>
    <row r="157" spans="2:12" ht="13.8" x14ac:dyDescent="0.2">
      <c r="B157" s="309">
        <f>'Eingabe Meldungen'!A188</f>
        <v>3</v>
      </c>
      <c r="C157" s="310" t="str">
        <f>'Eingabe Meldungen'!C188</f>
        <v>Klisch</v>
      </c>
      <c r="D157" s="310" t="str">
        <f>'Eingabe Meldungen'!D188</f>
        <v>Lars</v>
      </c>
      <c r="E157" s="311" t="str">
        <f>'Eingabe Meldungen'!J188</f>
        <v>Mannheimer RV "Amicitia"</v>
      </c>
      <c r="F157" s="310" t="str">
        <f>VLOOKUP(B157,Ausschreibung!$B$4:$I$35,4,FALSE)</f>
        <v>Jungen U14</v>
      </c>
      <c r="G157" s="189" t="e">
        <f t="shared" si="5"/>
        <v>#REF!</v>
      </c>
      <c r="H157" s="189" t="e">
        <f>IF(#REF!="Ergocup",8,"DHM")</f>
        <v>#REF!</v>
      </c>
      <c r="I157" s="40">
        <f>'Eingabe Meldungen'!K387</f>
        <v>0</v>
      </c>
      <c r="J157" s="258"/>
      <c r="K157" s="281">
        <f>IF(Tabelle1[[#This Row],[Bezahlt]]="JA",#REF!,0)</f>
        <v>0</v>
      </c>
      <c r="L157" s="279"/>
    </row>
    <row r="158" spans="2:12" ht="13.8" x14ac:dyDescent="0.2">
      <c r="B158" s="309">
        <f>'Eingabe Meldungen'!A36</f>
        <v>2</v>
      </c>
      <c r="C158" s="310" t="str">
        <f>'Eingabe Meldungen'!C36</f>
        <v>Blank</v>
      </c>
      <c r="D158" s="310" t="str">
        <f>'Eingabe Meldungen'!D36</f>
        <v>Hannes</v>
      </c>
      <c r="E158" s="311" t="str">
        <f>'Eingabe Meldungen'!J36</f>
        <v>Karlsruher Ruder-Verein Wiking</v>
      </c>
      <c r="F158" s="310" t="str">
        <f>VLOOKUP(B158,Ausschreibung!$B$4:$I$35,4,FALSE)</f>
        <v>Masters A-H, männlich</v>
      </c>
      <c r="G158" s="189" t="e">
        <f t="shared" si="5"/>
        <v>#REF!</v>
      </c>
      <c r="H158" s="189" t="e">
        <f>IF(#REF!="Ergocup",8,"DHM")</f>
        <v>#REF!</v>
      </c>
      <c r="I158" s="40">
        <f>'Eingabe Meldungen'!K259</f>
        <v>0</v>
      </c>
      <c r="J158" s="258"/>
      <c r="K158" s="281">
        <f>IF(Tabelle1[[#This Row],[Bezahlt]]="JA",#REF!,0)</f>
        <v>0</v>
      </c>
      <c r="L158" s="279"/>
    </row>
    <row r="159" spans="2:12" ht="13.8" x14ac:dyDescent="0.2">
      <c r="B159" s="309">
        <f>'Eingabe Meldungen'!A9</f>
        <v>2</v>
      </c>
      <c r="C159" s="310" t="str">
        <f>'Eingabe Meldungen'!C9</f>
        <v>Vollmer</v>
      </c>
      <c r="D159" s="310" t="str">
        <f>'Eingabe Meldungen'!D9</f>
        <v>Gerhard</v>
      </c>
      <c r="E159" s="311" t="str">
        <f>'Eingabe Meldungen'!J9</f>
        <v>HRG Schwaben</v>
      </c>
      <c r="F159" s="310" t="str">
        <f>VLOOKUP(B159,Ausschreibung!$B$4:$I$35,4,FALSE)</f>
        <v>Masters A-H, männlich</v>
      </c>
      <c r="G159" s="189" t="e">
        <f t="shared" si="5"/>
        <v>#REF!</v>
      </c>
      <c r="H159" s="189" t="e">
        <f>IF(#REF!="Ergocup",8,"DHM")</f>
        <v>#REF!</v>
      </c>
      <c r="I159" s="40">
        <f>'Eingabe Meldungen'!K302</f>
        <v>0</v>
      </c>
      <c r="J159" s="258"/>
      <c r="K159" s="281">
        <f>IF(Tabelle1[[#This Row],[Bezahlt]]="JA",#REF!,0)</f>
        <v>0</v>
      </c>
      <c r="L159" s="279"/>
    </row>
    <row r="160" spans="2:12" ht="13.8" x14ac:dyDescent="0.2">
      <c r="B160" s="309">
        <f>'Eingabe Meldungen'!A17</f>
        <v>28</v>
      </c>
      <c r="C160" s="310" t="e">
        <f>'Eingabe Meldungen'!#REF!</f>
        <v>#REF!</v>
      </c>
      <c r="D160" s="310" t="str">
        <f>'Eingabe Meldungen'!C17</f>
        <v>Münzing</v>
      </c>
      <c r="E160" s="311" t="str">
        <f>'Eingabe Meldungen'!J17</f>
        <v>HRG Schwaben</v>
      </c>
      <c r="F160" s="310" t="str">
        <f>VLOOKUP(B160,Ausschreibung!$B$4:$I$35,4,FALSE)</f>
        <v>Masters A-H, weiblich</v>
      </c>
      <c r="G160" s="189" t="e">
        <f t="shared" si="5"/>
        <v>#REF!</v>
      </c>
      <c r="H160" s="189" t="e">
        <f>IF(#REF!="Ergocup",8,"DHM")</f>
        <v>#REF!</v>
      </c>
      <c r="I160" s="40">
        <f>'Eingabe Meldungen'!K352</f>
        <v>0</v>
      </c>
      <c r="J160" s="258"/>
      <c r="K160" s="281">
        <f>IF(Tabelle1[[#This Row],[Bezahlt]]="JA",#REF!,0)</f>
        <v>0</v>
      </c>
      <c r="L160" s="279"/>
    </row>
    <row r="161" spans="2:12" ht="13.8" x14ac:dyDescent="0.2">
      <c r="B161" s="309">
        <f>'Eingabe Meldungen'!A18</f>
        <v>1</v>
      </c>
      <c r="C161" s="310" t="str">
        <f>'Eingabe Meldungen'!C18</f>
        <v>Reinert</v>
      </c>
      <c r="D161" s="310" t="str">
        <f>'Eingabe Meldungen'!D18</f>
        <v>Ingrid</v>
      </c>
      <c r="E161" s="311" t="str">
        <f>'Eingabe Meldungen'!J18</f>
        <v>HRG Schwaben</v>
      </c>
      <c r="F161" s="310" t="str">
        <f>VLOOKUP(B161,Ausschreibung!$B$4:$I$35,4,FALSE)</f>
        <v>Masters A-H, weiblich  </v>
      </c>
      <c r="G161" s="189" t="e">
        <f t="shared" si="5"/>
        <v>#REF!</v>
      </c>
      <c r="H161" s="189" t="e">
        <f>IF(#REF!="Ergocup",8,"DHM")</f>
        <v>#REF!</v>
      </c>
      <c r="I161" s="40">
        <f>'Eingabe Meldungen'!K353</f>
        <v>0</v>
      </c>
      <c r="J161" s="258"/>
      <c r="K161" s="281">
        <f>IF(Tabelle1[[#This Row],[Bezahlt]]="JA",#REF!,0)</f>
        <v>0</v>
      </c>
      <c r="L161" s="279"/>
    </row>
    <row r="162" spans="2:12" ht="13.8" x14ac:dyDescent="0.2">
      <c r="B162" s="309">
        <f>'Eingabe Meldungen'!A21</f>
        <v>2</v>
      </c>
      <c r="C162" s="310" t="str">
        <f>'Eingabe Meldungen'!C21</f>
        <v>Reinert</v>
      </c>
      <c r="D162" s="310" t="str">
        <f>'Eingabe Meldungen'!D21</f>
        <v>Gerhard</v>
      </c>
      <c r="E162" s="311" t="str">
        <f>'Eingabe Meldungen'!J21</f>
        <v>HRG Schwaben</v>
      </c>
      <c r="F162" s="310" t="str">
        <f>VLOOKUP(B162,Ausschreibung!$B$4:$I$35,4,FALSE)</f>
        <v>Masters A-H, männlich</v>
      </c>
      <c r="G162" s="189" t="e">
        <f t="shared" si="5"/>
        <v>#REF!</v>
      </c>
      <c r="H162" s="189" t="e">
        <f>IF(#REF!="Ergocup",8,"DHM")</f>
        <v>#REF!</v>
      </c>
      <c r="I162" s="40">
        <f>'Eingabe Meldungen'!K356</f>
        <v>0</v>
      </c>
      <c r="J162" s="258"/>
      <c r="K162" s="281">
        <f>IF(Tabelle1[[#This Row],[Bezahlt]]="JA",#REF!,0)</f>
        <v>0</v>
      </c>
      <c r="L162" s="279"/>
    </row>
    <row r="163" spans="2:12" ht="13.8" x14ac:dyDescent="0.2">
      <c r="B163" s="309">
        <f>'Eingabe Meldungen'!A26</f>
        <v>28</v>
      </c>
      <c r="C163" s="310" t="str">
        <f>'Eingabe Meldungen'!C26</f>
        <v>Öynhausen</v>
      </c>
      <c r="D163" s="310" t="str">
        <f>'Eingabe Meldungen'!D26</f>
        <v>Jörg</v>
      </c>
      <c r="E163" s="311" t="str">
        <f>'Eingabe Meldungen'!J26</f>
        <v>HRG Schwaben</v>
      </c>
      <c r="F163" s="310" t="str">
        <f>VLOOKUP(B163,Ausschreibung!$B$4:$I$35,4,FALSE)</f>
        <v>Masters A-H, weiblich</v>
      </c>
      <c r="G163" s="189" t="e">
        <f t="shared" ref="G163:G196" si="6">IF(B163=35,H163-4,H163)</f>
        <v>#REF!</v>
      </c>
      <c r="H163" s="189" t="e">
        <f>IF(#REF!="Ergocup",8,"DHM")</f>
        <v>#REF!</v>
      </c>
      <c r="I163" s="40">
        <f>'Eingabe Meldungen'!K229</f>
        <v>0</v>
      </c>
      <c r="J163" s="258"/>
      <c r="K163" s="281">
        <f>IF(Tabelle1[[#This Row],[Bezahlt]]="JA",#REF!,0)</f>
        <v>0</v>
      </c>
      <c r="L163" s="279"/>
    </row>
    <row r="164" spans="2:12" ht="13.8" x14ac:dyDescent="0.2">
      <c r="B164" s="309">
        <f>'Eingabe Meldungen'!A29</f>
        <v>2</v>
      </c>
      <c r="C164" s="310" t="str">
        <f>'Eingabe Meldungen'!C29</f>
        <v>Rottler</v>
      </c>
      <c r="D164" s="310" t="str">
        <f>'Eingabe Meldungen'!D29</f>
        <v>Christoph</v>
      </c>
      <c r="E164" s="311" t="str">
        <f>'Eingabe Meldungen'!J29</f>
        <v>HRG Schwaben</v>
      </c>
      <c r="F164" s="310" t="str">
        <f>VLOOKUP(B164,Ausschreibung!$B$4:$I$35,4,FALSE)</f>
        <v>Masters A-H, männlich</v>
      </c>
      <c r="G164" s="189" t="e">
        <f t="shared" si="6"/>
        <v>#REF!</v>
      </c>
      <c r="H164" s="189" t="e">
        <f>IF(#REF!="Ergocup",8,"DHM")</f>
        <v>#REF!</v>
      </c>
      <c r="I164" s="40">
        <f>'Eingabe Meldungen'!K244</f>
        <v>0</v>
      </c>
      <c r="J164" s="258"/>
      <c r="K164" s="281">
        <f>IF(Tabelle1[[#This Row],[Bezahlt]]="JA",#REF!,0)</f>
        <v>0</v>
      </c>
      <c r="L164" s="279"/>
    </row>
    <row r="165" spans="2:12" ht="13.8" x14ac:dyDescent="0.2">
      <c r="B165" s="309">
        <f>'Eingabe Meldungen'!A30</f>
        <v>2</v>
      </c>
      <c r="C165" s="310" t="str">
        <f>'Eingabe Meldungen'!C30</f>
        <v>Grün</v>
      </c>
      <c r="D165" s="310" t="str">
        <f>'Eingabe Meldungen'!D30</f>
        <v>Michael</v>
      </c>
      <c r="E165" s="311" t="str">
        <f>'Eingabe Meldungen'!J30</f>
        <v>HRG Schwaben</v>
      </c>
      <c r="F165" s="310" t="str">
        <f>VLOOKUP(B165,Ausschreibung!$B$4:$I$35,4,FALSE)</f>
        <v>Masters A-H, männlich</v>
      </c>
      <c r="G165" s="189" t="e">
        <f t="shared" si="6"/>
        <v>#REF!</v>
      </c>
      <c r="H165" s="189" t="e">
        <f>IF(#REF!="Ergocup",8,"DHM")</f>
        <v>#REF!</v>
      </c>
      <c r="I165" s="40">
        <f>'Eingabe Meldungen'!K245</f>
        <v>0</v>
      </c>
      <c r="J165" s="258"/>
      <c r="K165" s="281">
        <f>IF(Tabelle1[[#This Row],[Bezahlt]]="JA",#REF!,0)</f>
        <v>0</v>
      </c>
      <c r="L165" s="279"/>
    </row>
    <row r="166" spans="2:12" ht="13.8" x14ac:dyDescent="0.2">
      <c r="B166" s="309">
        <f>'Eingabe Meldungen'!A31</f>
        <v>25</v>
      </c>
      <c r="C166" s="310" t="str">
        <f>'Eingabe Meldungen'!C31</f>
        <v>Grün</v>
      </c>
      <c r="D166" s="310" t="str">
        <f>'Eingabe Meldungen'!D31</f>
        <v>Michael</v>
      </c>
      <c r="E166" s="311" t="str">
        <f>'Eingabe Meldungen'!J31</f>
        <v>HRG Schwaben</v>
      </c>
      <c r="F166" s="310" t="str">
        <f>VLOOKUP(B166,Ausschreibung!$B$4:$I$35,4,FALSE)</f>
        <v>Masters A-H, männlich</v>
      </c>
      <c r="G166" s="189" t="e">
        <f t="shared" si="6"/>
        <v>#REF!</v>
      </c>
      <c r="H166" s="189" t="e">
        <f>IF(#REF!="Ergocup",8,"DHM")</f>
        <v>#REF!</v>
      </c>
      <c r="I166" s="40">
        <f>'Eingabe Meldungen'!K246</f>
        <v>0</v>
      </c>
      <c r="J166" s="258"/>
      <c r="K166" s="281">
        <f>IF(Tabelle1[[#This Row],[Bezahlt]]="JA",#REF!,0)</f>
        <v>0</v>
      </c>
      <c r="L166" s="279"/>
    </row>
    <row r="167" spans="2:12" ht="13.8" x14ac:dyDescent="0.2">
      <c r="B167" s="309">
        <f>'Eingabe Meldungen'!A32</f>
        <v>2</v>
      </c>
      <c r="C167" s="310" t="str">
        <f>'Eingabe Meldungen'!C32</f>
        <v>Demmer</v>
      </c>
      <c r="D167" s="310" t="str">
        <f>'Eingabe Meldungen'!D32</f>
        <v>Patrick</v>
      </c>
      <c r="E167" s="311" t="str">
        <f>'Eingabe Meldungen'!J32</f>
        <v>HRG Schwaben</v>
      </c>
      <c r="F167" s="310" t="str">
        <f>VLOOKUP(B167,Ausschreibung!$B$4:$I$35,4,FALSE)</f>
        <v>Masters A-H, männlich</v>
      </c>
      <c r="G167" s="189" t="e">
        <f t="shared" si="6"/>
        <v>#REF!</v>
      </c>
      <c r="H167" s="189" t="e">
        <f>IF(#REF!="Ergocup",8,"DHM")</f>
        <v>#REF!</v>
      </c>
      <c r="I167" s="40">
        <f>'Eingabe Meldungen'!K251</f>
        <v>0</v>
      </c>
      <c r="J167" s="258"/>
      <c r="K167" s="281">
        <f>IF(Tabelle1[[#This Row],[Bezahlt]]="JA",#REF!,0)</f>
        <v>0</v>
      </c>
      <c r="L167" s="279"/>
    </row>
    <row r="168" spans="2:12" ht="13.8" x14ac:dyDescent="0.2">
      <c r="B168" s="309">
        <f>'Eingabe Meldungen'!A33</f>
        <v>2</v>
      </c>
      <c r="C168" s="310" t="str">
        <f>'Eingabe Meldungen'!C33</f>
        <v>Bischoff</v>
      </c>
      <c r="D168" s="310" t="str">
        <f>'Eingabe Meldungen'!D33</f>
        <v>Rene´</v>
      </c>
      <c r="E168" s="311" t="str">
        <f>'Eingabe Meldungen'!J33</f>
        <v>HRG Schwaben</v>
      </c>
      <c r="F168" s="310" t="str">
        <f>VLOOKUP(B168,Ausschreibung!$B$4:$I$35,4,FALSE)</f>
        <v>Masters A-H, männlich</v>
      </c>
      <c r="G168" s="189" t="e">
        <f t="shared" si="6"/>
        <v>#REF!</v>
      </c>
      <c r="H168" s="189" t="e">
        <f>IF(#REF!="Ergocup",8,"DHM")</f>
        <v>#REF!</v>
      </c>
      <c r="I168" s="40">
        <f>'Eingabe Meldungen'!K252</f>
        <v>0</v>
      </c>
      <c r="J168" s="258"/>
      <c r="K168" s="281">
        <f>IF(Tabelle1[[#This Row],[Bezahlt]]="JA",#REF!,0)</f>
        <v>0</v>
      </c>
      <c r="L168" s="279"/>
    </row>
    <row r="169" spans="2:12" ht="13.8" x14ac:dyDescent="0.2">
      <c r="B169" s="309">
        <f>'Eingabe Meldungen'!A40</f>
        <v>1</v>
      </c>
      <c r="C169" s="310" t="str">
        <f>'Eingabe Meldungen'!C40</f>
        <v>Vogt</v>
      </c>
      <c r="D169" s="310" t="str">
        <f>'Eingabe Meldungen'!D40</f>
        <v>Antje</v>
      </c>
      <c r="E169" s="311" t="str">
        <f>'Eingabe Meldungen'!J40</f>
        <v>HRG Schwaben</v>
      </c>
      <c r="F169" s="310" t="str">
        <f>VLOOKUP(B169,Ausschreibung!$B$4:$I$35,4,FALSE)</f>
        <v>Masters A-H, weiblich  </v>
      </c>
      <c r="G169" s="189" t="e">
        <f t="shared" si="6"/>
        <v>#REF!</v>
      </c>
      <c r="H169" s="189" t="e">
        <f>IF(#REF!="Ergocup",8,"DHM")</f>
        <v>#REF!</v>
      </c>
      <c r="I169" s="40">
        <f>'Eingabe Meldungen'!K263</f>
        <v>0</v>
      </c>
      <c r="J169" s="258"/>
      <c r="K169" s="281">
        <f>IF(Tabelle1[[#This Row],[Bezahlt]]="JA",#REF!,0)</f>
        <v>0</v>
      </c>
      <c r="L169" s="279"/>
    </row>
    <row r="170" spans="2:12" ht="13.8" x14ac:dyDescent="0.2">
      <c r="B170" s="309">
        <f>'Eingabe Meldungen'!A50</f>
        <v>16</v>
      </c>
      <c r="C170" s="310" t="str">
        <f>'Eingabe Meldungen'!C50</f>
        <v>Klinge</v>
      </c>
      <c r="D170" s="310" t="str">
        <f>'Eingabe Meldungen'!D50</f>
        <v>Jens</v>
      </c>
      <c r="E170" s="311" t="str">
        <f>'Eingabe Meldungen'!J50</f>
        <v>HRG Schwaben</v>
      </c>
      <c r="F170" s="310" t="str">
        <f>VLOOKUP(B170,Ausschreibung!$B$4:$I$35,4,FALSE)</f>
        <v>Sprint männlich</v>
      </c>
      <c r="G170" s="189" t="e">
        <f t="shared" si="6"/>
        <v>#REF!</v>
      </c>
      <c r="H170" s="189" t="e">
        <f>IF(#REF!="Ergocup",8,"DHM")</f>
        <v>#REF!</v>
      </c>
      <c r="I170" s="40">
        <f>'Eingabe Meldungen'!K331</f>
        <v>0</v>
      </c>
      <c r="J170" s="258"/>
      <c r="K170" s="281">
        <f>IF(Tabelle1[[#This Row],[Bezahlt]]="JA",#REF!,0)</f>
        <v>0</v>
      </c>
      <c r="L170" s="279"/>
    </row>
    <row r="171" spans="2:12" ht="13.8" x14ac:dyDescent="0.2">
      <c r="B171" s="309">
        <f>'Eingabe Meldungen'!A209</f>
        <v>29</v>
      </c>
      <c r="C171" s="310" t="str">
        <f>'Eingabe Meldungen'!C209</f>
        <v>Grün</v>
      </c>
      <c r="D171" s="310" t="str">
        <f>'Eingabe Meldungen'!D209</f>
        <v>Michael</v>
      </c>
      <c r="E171" s="311" t="str">
        <f>'Eingabe Meldungen'!J209</f>
        <v>HRG Schwaben</v>
      </c>
      <c r="F171" s="310" t="str">
        <f>VLOOKUP(B171,Ausschreibung!$B$4:$I$35,4,FALSE)</f>
        <v>Mannschaft offen - 2 Personen</v>
      </c>
      <c r="G171" s="189" t="e">
        <f>IF(B171=35,H171-4,H171)</f>
        <v>#REF!</v>
      </c>
      <c r="H171" s="189" t="e">
        <f>IF(#REF!="Ergocup",8,"DHM")</f>
        <v>#REF!</v>
      </c>
      <c r="I171" s="40">
        <f>'Eingabe Meldungen'!K415</f>
        <v>0</v>
      </c>
      <c r="J171" s="269" t="s">
        <v>503</v>
      </c>
      <c r="K171" s="281" t="e">
        <f>IF(Tabelle1[[#This Row],[Bezahlt]]="JA",#REF!,0)</f>
        <v>#REF!</v>
      </c>
      <c r="L171" s="279"/>
    </row>
    <row r="172" spans="2:12" ht="13.8" x14ac:dyDescent="0.2">
      <c r="B172" s="309">
        <f>'Eingabe Meldungen'!A210</f>
        <v>29</v>
      </c>
      <c r="C172" s="310" t="str">
        <f>'Eingabe Meldungen'!C210</f>
        <v>Kern</v>
      </c>
      <c r="D172" s="310" t="str">
        <f>'Eingabe Meldungen'!D210</f>
        <v>Maximilian</v>
      </c>
      <c r="E172" s="311" t="str">
        <f>'Eingabe Meldungen'!J210</f>
        <v>HRG Schwaben</v>
      </c>
      <c r="F172" s="310" t="str">
        <f>VLOOKUP(B172,Ausschreibung!$B$4:$I$35,4,FALSE)</f>
        <v>Mannschaft offen - 2 Personen</v>
      </c>
      <c r="G172" s="189" t="e">
        <f>IF(B172=35,H172-4,H172)</f>
        <v>#REF!</v>
      </c>
      <c r="H172" s="189" t="e">
        <f>IF(#REF!="Ergocup",8,"DHM")</f>
        <v>#REF!</v>
      </c>
      <c r="I172" s="40">
        <f>'Eingabe Meldungen'!K416</f>
        <v>0</v>
      </c>
      <c r="J172" s="269" t="s">
        <v>503</v>
      </c>
      <c r="K172" s="281" t="e">
        <f>IF(Tabelle1[[#This Row],[Bezahlt]]="JA",#REF!,0)</f>
        <v>#REF!</v>
      </c>
      <c r="L172" s="279"/>
    </row>
    <row r="173" spans="2:12" ht="13.8" x14ac:dyDescent="0.2">
      <c r="B173" s="309">
        <f>'Eingabe Meldungen'!A53</f>
        <v>16</v>
      </c>
      <c r="C173" s="310" t="str">
        <f>'Eingabe Meldungen'!C53</f>
        <v>Weiß</v>
      </c>
      <c r="D173" s="310" t="str">
        <f>'Eingabe Meldungen'!D53</f>
        <v>Fabian</v>
      </c>
      <c r="E173" s="311" t="str">
        <f>'Eingabe Meldungen'!J53</f>
        <v>HRG Schwaben</v>
      </c>
      <c r="F173" s="310" t="str">
        <f>VLOOKUP(B173,Ausschreibung!$B$4:$I$35,4,FALSE)</f>
        <v>Sprint männlich</v>
      </c>
      <c r="G173" s="189" t="e">
        <f t="shared" si="6"/>
        <v>#REF!</v>
      </c>
      <c r="H173" s="189" t="e">
        <f>IF(#REF!="Ergocup",8,"DHM")</f>
        <v>#REF!</v>
      </c>
      <c r="I173" s="40">
        <f>'Eingabe Meldungen'!K342</f>
        <v>0</v>
      </c>
      <c r="J173" s="258"/>
      <c r="K173" s="281">
        <f>IF(Tabelle1[[#This Row],[Bezahlt]]="JA",#REF!,0)</f>
        <v>0</v>
      </c>
      <c r="L173" s="279"/>
    </row>
    <row r="174" spans="2:12" ht="13.8" x14ac:dyDescent="0.2">
      <c r="B174" s="309">
        <f>'Eingabe Meldungen'!A54</f>
        <v>25</v>
      </c>
      <c r="C174" s="310" t="str">
        <f>'Eingabe Meldungen'!C54</f>
        <v>Weiß</v>
      </c>
      <c r="D174" s="310" t="str">
        <f>'Eingabe Meldungen'!D54</f>
        <v>Fabian</v>
      </c>
      <c r="E174" s="311" t="str">
        <f>'Eingabe Meldungen'!J54</f>
        <v>HRG Schwaben</v>
      </c>
      <c r="F174" s="310" t="str">
        <f>VLOOKUP(B174,Ausschreibung!$B$4:$I$35,4,FALSE)</f>
        <v>Masters A-H, männlich</v>
      </c>
      <c r="G174" s="189" t="e">
        <f t="shared" si="6"/>
        <v>#REF!</v>
      </c>
      <c r="H174" s="189" t="e">
        <f>IF(#REF!="Ergocup",8,"DHM")</f>
        <v>#REF!</v>
      </c>
      <c r="I174" s="40">
        <f>'Eingabe Meldungen'!K343</f>
        <v>0</v>
      </c>
      <c r="J174" s="258"/>
      <c r="K174" s="281">
        <f>IF(Tabelle1[[#This Row],[Bezahlt]]="JA",#REF!,0)</f>
        <v>0</v>
      </c>
      <c r="L174" s="279"/>
    </row>
    <row r="175" spans="2:12" ht="13.8" x14ac:dyDescent="0.2">
      <c r="B175" s="309">
        <f>'Eingabe Meldungen'!A66</f>
        <v>20</v>
      </c>
      <c r="C175" s="310" t="str">
        <f>'Eingabe Meldungen'!C66</f>
        <v>Bachmann</v>
      </c>
      <c r="D175" s="310" t="str">
        <f>'Eingabe Meldungen'!D66</f>
        <v>Julius</v>
      </c>
      <c r="E175" s="311" t="str">
        <f>'Eingabe Meldungen'!J66</f>
        <v>HRG Schwaben</v>
      </c>
      <c r="F175" s="310" t="str">
        <f>VLOOKUP(B175,Ausschreibung!$B$4:$I$35,4,FALSE)</f>
        <v>Junioren A U19</v>
      </c>
      <c r="G175" s="189" t="e">
        <f t="shared" si="6"/>
        <v>#REF!</v>
      </c>
      <c r="H175" s="189" t="e">
        <f>IF(#REF!="Ergocup",8,"DHM")</f>
        <v>#REF!</v>
      </c>
      <c r="I175" s="40">
        <f>'Eingabe Meldungen'!K339</f>
        <v>0</v>
      </c>
      <c r="J175" s="258"/>
      <c r="K175" s="281">
        <f>IF(Tabelle1[[#This Row],[Bezahlt]]="JA",#REF!,0)</f>
        <v>0</v>
      </c>
      <c r="L175" s="279"/>
    </row>
    <row r="176" spans="2:12" ht="13.8" x14ac:dyDescent="0.2">
      <c r="B176" s="309">
        <f>'Eingabe Meldungen'!A83</f>
        <v>11</v>
      </c>
      <c r="C176" s="310" t="str">
        <f>'Eingabe Meldungen'!C83</f>
        <v>Heinle</v>
      </c>
      <c r="D176" s="310" t="str">
        <f>'Eingabe Meldungen'!D83</f>
        <v>Christina</v>
      </c>
      <c r="E176" s="311" t="str">
        <f>'Eingabe Meldungen'!J83</f>
        <v>HRG Schwaben</v>
      </c>
      <c r="F176" s="310" t="str">
        <f>VLOOKUP(B176,Ausschreibung!$B$4:$I$35,4,FALSE)</f>
        <v>Juniorinnen B U17</v>
      </c>
      <c r="G176" s="189" t="e">
        <f t="shared" si="6"/>
        <v>#REF!</v>
      </c>
      <c r="H176" s="189" t="e">
        <f>IF(#REF!="Ergocup",8,"DHM")</f>
        <v>#REF!</v>
      </c>
      <c r="I176" s="40">
        <f>'Eingabe Meldungen'!K286</f>
        <v>0</v>
      </c>
      <c r="J176" s="258"/>
      <c r="K176" s="281">
        <f>IF(Tabelle1[[#This Row],[Bezahlt]]="JA",#REF!,0)</f>
        <v>0</v>
      </c>
      <c r="L176" s="279"/>
    </row>
    <row r="177" spans="2:12" ht="13.8" x14ac:dyDescent="0.2">
      <c r="B177" s="309">
        <f>'Eingabe Meldungen'!A92</f>
        <v>12</v>
      </c>
      <c r="C177" s="310" t="str">
        <f>'Eingabe Meldungen'!C92</f>
        <v>Grün</v>
      </c>
      <c r="D177" s="310" t="str">
        <f>'Eingabe Meldungen'!D92</f>
        <v>Maya</v>
      </c>
      <c r="E177" s="311" t="str">
        <f>'Eingabe Meldungen'!J92</f>
        <v>HRG Schwaben</v>
      </c>
      <c r="F177" s="310" t="str">
        <f>VLOOKUP(B177,Ausschreibung!$B$4:$I$35,4,FALSE)</f>
        <v>Juniorinnen B U17</v>
      </c>
      <c r="G177" s="189" t="e">
        <f t="shared" si="6"/>
        <v>#REF!</v>
      </c>
      <c r="H177" s="189" t="e">
        <f>IF(#REF!="Ergocup",8,"DHM")</f>
        <v>#REF!</v>
      </c>
      <c r="I177" s="40">
        <f>'Eingabe Meldungen'!K317</f>
        <v>0</v>
      </c>
      <c r="J177" s="258"/>
      <c r="K177" s="281">
        <f>IF(Tabelle1[[#This Row],[Bezahlt]]="JA",#REF!,0)</f>
        <v>0</v>
      </c>
      <c r="L177" s="279"/>
    </row>
    <row r="178" spans="2:12" ht="13.8" x14ac:dyDescent="0.2">
      <c r="B178" s="309">
        <f>'Eingabe Meldungen'!A103</f>
        <v>13</v>
      </c>
      <c r="C178" s="310" t="str">
        <f>'Eingabe Meldungen'!C103</f>
        <v>Wolf</v>
      </c>
      <c r="D178" s="310" t="str">
        <f>'Eingabe Meldungen'!D103</f>
        <v>Enno</v>
      </c>
      <c r="E178" s="311" t="str">
        <f>'Eingabe Meldungen'!J103</f>
        <v>HRG Schwaben</v>
      </c>
      <c r="F178" s="310" t="str">
        <f>VLOOKUP(B178,Ausschreibung!$B$4:$I$35,4,FALSE)</f>
        <v>Junioren B U17</v>
      </c>
      <c r="G178" s="189" t="e">
        <f t="shared" si="6"/>
        <v>#REF!</v>
      </c>
      <c r="H178" s="189" t="e">
        <f>IF(#REF!="Ergocup",8,"DHM")</f>
        <v>#REF!</v>
      </c>
      <c r="I178" s="40">
        <f>'Eingabe Meldungen'!K368</f>
        <v>0</v>
      </c>
      <c r="J178" s="258"/>
      <c r="K178" s="281">
        <f>IF(Tabelle1[[#This Row],[Bezahlt]]="JA",#REF!,0)</f>
        <v>0</v>
      </c>
      <c r="L178" s="279"/>
    </row>
    <row r="179" spans="2:12" ht="13.8" x14ac:dyDescent="0.2">
      <c r="B179" s="309">
        <f>'Eingabe Meldungen'!A119</f>
        <v>11</v>
      </c>
      <c r="C179" s="310" t="str">
        <f>'Eingabe Meldungen'!C119</f>
        <v>Vogt</v>
      </c>
      <c r="D179" s="310" t="str">
        <f>'Eingabe Meldungen'!D119</f>
        <v>Thea</v>
      </c>
      <c r="E179" s="311" t="str">
        <f>'Eingabe Meldungen'!J119</f>
        <v>HRG Schwaben</v>
      </c>
      <c r="F179" s="310" t="str">
        <f>VLOOKUP(B179,Ausschreibung!$B$4:$I$35,4,FALSE)</f>
        <v>Juniorinnen B U17</v>
      </c>
      <c r="G179" s="189" t="e">
        <f t="shared" si="6"/>
        <v>#REF!</v>
      </c>
      <c r="H179" s="189" t="e">
        <f>IF(#REF!="Ergocup",8,"DHM")</f>
        <v>#REF!</v>
      </c>
      <c r="I179" s="40">
        <f>'Eingabe Meldungen'!K218</f>
        <v>0</v>
      </c>
      <c r="J179" s="258"/>
      <c r="K179" s="281">
        <f>IF(Tabelle1[[#This Row],[Bezahlt]]="JA",#REF!,0)</f>
        <v>0</v>
      </c>
      <c r="L179" s="279"/>
    </row>
    <row r="180" spans="2:12" ht="13.8" x14ac:dyDescent="0.2">
      <c r="B180" s="309">
        <f>'Eingabe Meldungen'!A154</f>
        <v>9</v>
      </c>
      <c r="C180" s="310" t="str">
        <f>'Eingabe Meldungen'!C154</f>
        <v>Kontusch</v>
      </c>
      <c r="D180" s="310" t="str">
        <f>'Eingabe Meldungen'!D154</f>
        <v>Niklas</v>
      </c>
      <c r="E180" s="311" t="str">
        <f>'Eingabe Meldungen'!J154</f>
        <v>HRG Schwaben</v>
      </c>
      <c r="F180" s="310" t="str">
        <f>VLOOKUP(B180,Ausschreibung!$B$4:$I$35,4,FALSE)</f>
        <v>Jungen U15</v>
      </c>
      <c r="G180" s="189" t="e">
        <f t="shared" si="6"/>
        <v>#REF!</v>
      </c>
      <c r="H180" s="189" t="e">
        <f>IF(#REF!="Ergocup",8,"DHM")</f>
        <v>#REF!</v>
      </c>
      <c r="I180" s="40">
        <f>'Eingabe Meldungen'!K398</f>
        <v>0</v>
      </c>
      <c r="J180" s="258"/>
      <c r="K180" s="281">
        <f>IF(Tabelle1[[#This Row],[Bezahlt]]="JA",#REF!,0)</f>
        <v>0</v>
      </c>
      <c r="L180" s="279"/>
    </row>
    <row r="181" spans="2:12" ht="13.8" x14ac:dyDescent="0.2">
      <c r="B181" s="309">
        <f>'Eingabe Meldungen'!A41</f>
        <v>2</v>
      </c>
      <c r="C181" s="310" t="str">
        <f>'Eingabe Meldungen'!C41</f>
        <v>Burger</v>
      </c>
      <c r="D181" s="310" t="str">
        <f>'Eingabe Meldungen'!D41</f>
        <v>Max</v>
      </c>
      <c r="E181" s="311" t="str">
        <f>'Eingabe Meldungen'!J41</f>
        <v>Heidelberger Ruderklub</v>
      </c>
      <c r="F181" s="310" t="str">
        <f>VLOOKUP(B181,Ausschreibung!$B$4:$I$35,4,FALSE)</f>
        <v>Masters A-H, männlich</v>
      </c>
      <c r="G181" s="189" t="e">
        <f t="shared" si="6"/>
        <v>#REF!</v>
      </c>
      <c r="H181" s="189" t="e">
        <f>IF(#REF!="Ergocup",8,"DHM")</f>
        <v>#REF!</v>
      </c>
      <c r="I181" s="40">
        <f>'Eingabe Meldungen'!K264</f>
        <v>0</v>
      </c>
      <c r="J181" s="258"/>
      <c r="K181" s="281">
        <f>IF(Tabelle1[[#This Row],[Bezahlt]]="JA",#REF!,0)</f>
        <v>0</v>
      </c>
      <c r="L181" s="279"/>
    </row>
    <row r="182" spans="2:12" ht="13.8" x14ac:dyDescent="0.2">
      <c r="B182" s="309">
        <f>'Eingabe Meldungen'!A127</f>
        <v>8</v>
      </c>
      <c r="C182" s="310" t="str">
        <f>'Eingabe Meldungen'!C127</f>
        <v>Nake</v>
      </c>
      <c r="D182" s="310" t="str">
        <f>'Eingabe Meldungen'!D127</f>
        <v>Antonia</v>
      </c>
      <c r="E182" s="311" t="str">
        <f>'Eingabe Meldungen'!J127</f>
        <v>Heidelberger Ruderklub</v>
      </c>
      <c r="F182" s="310" t="str">
        <f>VLOOKUP(B182,Ausschreibung!$B$4:$I$35,4,FALSE)</f>
        <v>Mädchen U15</v>
      </c>
      <c r="G182" s="189" t="e">
        <f t="shared" si="6"/>
        <v>#REF!</v>
      </c>
      <c r="H182" s="189" t="e">
        <f>IF(#REF!="Ergocup",8,"DHM")</f>
        <v>#REF!</v>
      </c>
      <c r="I182" s="40">
        <f>'Eingabe Meldungen'!K213</f>
        <v>0</v>
      </c>
      <c r="J182" s="258"/>
      <c r="K182" s="281">
        <f>IF(Tabelle1[[#This Row],[Bezahlt]]="JA",#REF!,0)</f>
        <v>0</v>
      </c>
      <c r="L182" s="279"/>
    </row>
    <row r="183" spans="2:12" ht="13.8" x14ac:dyDescent="0.2">
      <c r="B183" s="309">
        <f>'Eingabe Meldungen'!A140</f>
        <v>9</v>
      </c>
      <c r="C183" s="310" t="str">
        <f>'Eingabe Meldungen'!C140</f>
        <v>Zeppenfeld</v>
      </c>
      <c r="D183" s="310" t="str">
        <f>'Eingabe Meldungen'!D140</f>
        <v>Janne</v>
      </c>
      <c r="E183" s="311" t="str">
        <f>'Eingabe Meldungen'!J140</f>
        <v>Heidelberger Ruderklub</v>
      </c>
      <c r="F183" s="310" t="str">
        <f>VLOOKUP(B183,Ausschreibung!$B$4:$I$35,4,FALSE)</f>
        <v>Jungen U15</v>
      </c>
      <c r="G183" s="189" t="e">
        <f t="shared" si="6"/>
        <v>#REF!</v>
      </c>
      <c r="H183" s="189" t="e">
        <f>IF(#REF!="Ergocup",8,"DHM")</f>
        <v>#REF!</v>
      </c>
      <c r="I183" s="40">
        <f>'Eingabe Meldungen'!K307</f>
        <v>0</v>
      </c>
      <c r="J183" s="258"/>
      <c r="K183" s="281">
        <f>IF(Tabelle1[[#This Row],[Bezahlt]]="JA",#REF!,0)</f>
        <v>0</v>
      </c>
      <c r="L183" s="279"/>
    </row>
    <row r="184" spans="2:12" ht="13.8" x14ac:dyDescent="0.2">
      <c r="B184" s="309">
        <f>'Eingabe Meldungen'!A150</f>
        <v>9</v>
      </c>
      <c r="C184" s="310" t="str">
        <f>'Eingabe Meldungen'!C150</f>
        <v>Dankov</v>
      </c>
      <c r="D184" s="310" t="str">
        <f>'Eingabe Meldungen'!D150</f>
        <v>Maximilian</v>
      </c>
      <c r="E184" s="311" t="str">
        <f>'Eingabe Meldungen'!J150</f>
        <v>Heidelberger Ruderklub</v>
      </c>
      <c r="F184" s="310" t="str">
        <f>VLOOKUP(B184,Ausschreibung!$B$4:$I$35,4,FALSE)</f>
        <v>Jungen U15</v>
      </c>
      <c r="G184" s="189" t="e">
        <f t="shared" si="6"/>
        <v>#REF!</v>
      </c>
      <c r="H184" s="189" t="e">
        <f>IF(#REF!="Ergocup",8,"DHM")</f>
        <v>#REF!</v>
      </c>
      <c r="I184" s="40">
        <f>'Eingabe Meldungen'!K364</f>
        <v>0</v>
      </c>
      <c r="J184" s="258"/>
      <c r="K184" s="281">
        <f>IF(Tabelle1[[#This Row],[Bezahlt]]="JA",#REF!,0)</f>
        <v>0</v>
      </c>
      <c r="L184" s="279"/>
    </row>
    <row r="185" spans="2:12" ht="13.8" x14ac:dyDescent="0.2">
      <c r="B185" s="309">
        <f>'Eingabe Meldungen'!A160</f>
        <v>10</v>
      </c>
      <c r="C185" s="310" t="str">
        <f>'Eingabe Meldungen'!C160</f>
        <v>Kokes</v>
      </c>
      <c r="D185" s="310" t="str">
        <f>'Eingabe Meldungen'!D160</f>
        <v>Tim</v>
      </c>
      <c r="E185" s="311" t="str">
        <f>'Eingabe Meldungen'!J160</f>
        <v>Heidelberger Ruderklub</v>
      </c>
      <c r="F185" s="310" t="str">
        <f>VLOOKUP(B185,Ausschreibung!$B$4:$I$35,4,FALSE)</f>
        <v>Jungen U15</v>
      </c>
      <c r="G185" s="189" t="e">
        <f t="shared" si="6"/>
        <v>#REF!</v>
      </c>
      <c r="H185" s="189" t="e">
        <f>IF(#REF!="Ergocup",8,"DHM")</f>
        <v>#REF!</v>
      </c>
      <c r="I185" s="40">
        <f>'Eingabe Meldungen'!K404</f>
        <v>0</v>
      </c>
      <c r="J185" s="258"/>
      <c r="K185" s="281">
        <f>IF(Tabelle1[[#This Row],[Bezahlt]]="JA",#REF!,0)</f>
        <v>0</v>
      </c>
      <c r="L185" s="279"/>
    </row>
    <row r="186" spans="2:12" ht="13.8" x14ac:dyDescent="0.2">
      <c r="B186" s="309">
        <f>'Eingabe Meldungen'!A163</f>
        <v>3</v>
      </c>
      <c r="C186" s="310" t="str">
        <f>'Eingabe Meldungen'!C163</f>
        <v>Hartig</v>
      </c>
      <c r="D186" s="310" t="str">
        <f>'Eingabe Meldungen'!D163</f>
        <v>Ben</v>
      </c>
      <c r="E186" s="311" t="str">
        <f>'Eingabe Meldungen'!J163</f>
        <v>Heidelberger Ruderklub</v>
      </c>
      <c r="F186" s="310" t="str">
        <f>VLOOKUP(B186,Ausschreibung!$B$4:$I$35,4,FALSE)</f>
        <v>Jungen U14</v>
      </c>
      <c r="G186" s="189" t="e">
        <f t="shared" si="6"/>
        <v>#REF!</v>
      </c>
      <c r="H186" s="189" t="e">
        <f>IF(#REF!="Ergocup",8,"DHM")</f>
        <v>#REF!</v>
      </c>
      <c r="I186" s="40">
        <f>'Eingabe Meldungen'!K361</f>
        <v>0</v>
      </c>
      <c r="J186" s="258"/>
      <c r="K186" s="281">
        <f>IF(Tabelle1[[#This Row],[Bezahlt]]="JA",#REF!,0)</f>
        <v>0</v>
      </c>
      <c r="L186" s="279"/>
    </row>
    <row r="187" spans="2:12" ht="13.8" x14ac:dyDescent="0.2">
      <c r="B187" s="309">
        <f>'Eingabe Meldungen'!A166</f>
        <v>4</v>
      </c>
      <c r="C187" s="310" t="str">
        <f>'Eingabe Meldungen'!C166</f>
        <v>Schilling</v>
      </c>
      <c r="D187" s="310" t="str">
        <f>'Eingabe Meldungen'!D166</f>
        <v>Felix</v>
      </c>
      <c r="E187" s="311" t="str">
        <f>'Eingabe Meldungen'!J166</f>
        <v>Heidelberger Ruderklub</v>
      </c>
      <c r="F187" s="310" t="str">
        <f>VLOOKUP(B187,Ausschreibung!$B$4:$I$35,4,FALSE)</f>
        <v>Jungen U14</v>
      </c>
      <c r="G187" s="189" t="e">
        <f t="shared" si="6"/>
        <v>#REF!</v>
      </c>
      <c r="H187" s="189" t="e">
        <f>IF(#REF!="Ergocup",8,"DHM")</f>
        <v>#REF!</v>
      </c>
      <c r="I187" s="40">
        <f>'Eingabe Meldungen'!K402</f>
        <v>0</v>
      </c>
      <c r="J187" s="258"/>
      <c r="K187" s="281">
        <f>IF(Tabelle1[[#This Row],[Bezahlt]]="JA",#REF!,0)</f>
        <v>0</v>
      </c>
      <c r="L187" s="279"/>
    </row>
    <row r="188" spans="2:12" ht="13.8" x14ac:dyDescent="0.2">
      <c r="B188" s="309">
        <f>'Eingabe Meldungen'!A182</f>
        <v>4</v>
      </c>
      <c r="C188" s="310" t="str">
        <f>'Eingabe Meldungen'!C182</f>
        <v>Krausch</v>
      </c>
      <c r="D188" s="310" t="str">
        <f>'Eingabe Meldungen'!D182</f>
        <v>Philipp</v>
      </c>
      <c r="E188" s="311" t="str">
        <f>'Eingabe Meldungen'!J182</f>
        <v>Heidelberger Ruderklub</v>
      </c>
      <c r="F188" s="310" t="str">
        <f>VLOOKUP(B188,Ausschreibung!$B$4:$I$35,4,FALSE)</f>
        <v>Jungen U14</v>
      </c>
      <c r="G188" s="189" t="e">
        <f t="shared" si="6"/>
        <v>#REF!</v>
      </c>
      <c r="H188" s="189" t="e">
        <f>IF(#REF!="Ergocup",8,"DHM")</f>
        <v>#REF!</v>
      </c>
      <c r="I188" s="40">
        <f>'Eingabe Meldungen'!K313</f>
        <v>0</v>
      </c>
      <c r="J188" s="258"/>
      <c r="K188" s="281">
        <f>IF(Tabelle1[[#This Row],[Bezahlt]]="JA",#REF!,0)</f>
        <v>0</v>
      </c>
      <c r="L188" s="279"/>
    </row>
    <row r="189" spans="2:12" ht="13.8" x14ac:dyDescent="0.2">
      <c r="B189" s="309">
        <f>'Eingabe Meldungen'!A183</f>
        <v>4</v>
      </c>
      <c r="C189" s="310" t="str">
        <f>'Eingabe Meldungen'!C183</f>
        <v>Schilling</v>
      </c>
      <c r="D189" s="310" t="str">
        <f>'Eingabe Meldungen'!D183</f>
        <v>Philipp</v>
      </c>
      <c r="E189" s="311" t="str">
        <f>'Eingabe Meldungen'!J183</f>
        <v>Heidelberger Ruderklub</v>
      </c>
      <c r="F189" s="310" t="str">
        <f>VLOOKUP(B189,Ausschreibung!$B$4:$I$35,4,FALSE)</f>
        <v>Jungen U14</v>
      </c>
      <c r="G189" s="189" t="e">
        <f t="shared" si="6"/>
        <v>#REF!</v>
      </c>
      <c r="H189" s="189" t="e">
        <f>IF(#REF!="Ergocup",8,"DHM")</f>
        <v>#REF!</v>
      </c>
      <c r="I189" s="40">
        <f>'Eingabe Meldungen'!K314</f>
        <v>0</v>
      </c>
      <c r="J189" s="258"/>
      <c r="K189" s="281">
        <f>IF(Tabelle1[[#This Row],[Bezahlt]]="JA",#REF!,0)</f>
        <v>0</v>
      </c>
      <c r="L189" s="279"/>
    </row>
    <row r="190" spans="2:12" ht="13.8" x14ac:dyDescent="0.2">
      <c r="B190" s="309">
        <f>'Eingabe Meldungen'!A39</f>
        <v>28</v>
      </c>
      <c r="C190" s="310" t="str">
        <f>'Eingabe Meldungen'!C39</f>
        <v>Arnold</v>
      </c>
      <c r="D190" s="310" t="str">
        <f>'Eingabe Meldungen'!D39</f>
        <v>Frank</v>
      </c>
      <c r="E190" s="311" t="str">
        <f>'Eingabe Meldungen'!J39</f>
        <v>Hanauer Rudergesellschaft 1879</v>
      </c>
      <c r="F190" s="310" t="str">
        <f>VLOOKUP(B190,Ausschreibung!$B$4:$I$35,4,FALSE)</f>
        <v>Masters A-H, weiblich</v>
      </c>
      <c r="G190" s="189" t="e">
        <f t="shared" si="6"/>
        <v>#REF!</v>
      </c>
      <c r="H190" s="189" t="e">
        <f>IF(#REF!="Ergocup",8,"DHM")</f>
        <v>#REF!</v>
      </c>
      <c r="I190" s="40">
        <f>'Eingabe Meldungen'!K262</f>
        <v>0</v>
      </c>
      <c r="J190" s="258"/>
      <c r="K190" s="281">
        <f>IF(Tabelle1[[#This Row],[Bezahlt]]="JA",#REF!,0)</f>
        <v>0</v>
      </c>
      <c r="L190" s="279"/>
    </row>
    <row r="191" spans="2:12" ht="13.8" x14ac:dyDescent="0.2">
      <c r="B191" s="309">
        <f>'Eingabe Meldungen'!A13</f>
        <v>2</v>
      </c>
      <c r="C191" s="310" t="str">
        <f>'Eingabe Meldungen'!C13</f>
        <v>Köhler</v>
      </c>
      <c r="D191" s="310" t="str">
        <f>'Eingabe Meldungen'!D13</f>
        <v>Bernhard</v>
      </c>
      <c r="E191" s="311" t="str">
        <f>'Eingabe Meldungen'!J13</f>
        <v>Fitness Oase in Regen</v>
      </c>
      <c r="F191" s="310" t="str">
        <f>VLOOKUP(B191,Ausschreibung!$B$4:$I$35,4,FALSE)</f>
        <v>Masters A-H, männlich</v>
      </c>
      <c r="G191" s="189" t="e">
        <f t="shared" si="6"/>
        <v>#REF!</v>
      </c>
      <c r="H191" s="189" t="e">
        <f>IF(#REF!="Ergocup",8,"DHM")</f>
        <v>#REF!</v>
      </c>
      <c r="I191" s="40">
        <f>'Eingabe Meldungen'!K270</f>
        <v>0</v>
      </c>
      <c r="J191" s="258"/>
      <c r="K191" s="281">
        <f>IF(Tabelle1[[#This Row],[Bezahlt]]="JA",#REF!,0)</f>
        <v>0</v>
      </c>
      <c r="L191" s="279"/>
    </row>
    <row r="192" spans="2:12" ht="13.8" x14ac:dyDescent="0.2">
      <c r="B192" s="309">
        <f>'Eingabe Meldungen'!A14</f>
        <v>25</v>
      </c>
      <c r="C192" s="310" t="str">
        <f>'Eingabe Meldungen'!C14</f>
        <v>Köhler</v>
      </c>
      <c r="D192" s="310" t="str">
        <f>'Eingabe Meldungen'!D14</f>
        <v>Bernhard</v>
      </c>
      <c r="E192" s="311" t="str">
        <f>'Eingabe Meldungen'!J14</f>
        <v>Fitness Oase in Regen</v>
      </c>
      <c r="F192" s="310" t="str">
        <f>VLOOKUP(B192,Ausschreibung!$B$4:$I$35,4,FALSE)</f>
        <v>Masters A-H, männlich</v>
      </c>
      <c r="G192" s="189" t="e">
        <f t="shared" si="6"/>
        <v>#REF!</v>
      </c>
      <c r="H192" s="189" t="e">
        <f>IF(#REF!="Ergocup",8,"DHM")</f>
        <v>#REF!</v>
      </c>
      <c r="I192" s="40">
        <f>'Eingabe Meldungen'!K349</f>
        <v>0</v>
      </c>
      <c r="J192" s="258"/>
      <c r="K192" s="281">
        <f>IF(Tabelle1[[#This Row],[Bezahlt]]="JA",#REF!,0)</f>
        <v>0</v>
      </c>
      <c r="L192" s="279"/>
    </row>
    <row r="193" spans="2:12" ht="13.8" x14ac:dyDescent="0.2">
      <c r="B193" s="309">
        <f>'Eingabe Meldungen'!A15</f>
        <v>27</v>
      </c>
      <c r="C193" s="310" t="str">
        <f>'Eingabe Meldungen'!C15</f>
        <v>Köhler</v>
      </c>
      <c r="D193" s="310" t="str">
        <f>'Eingabe Meldungen'!D15</f>
        <v>Bernhard</v>
      </c>
      <c r="E193" s="311" t="str">
        <f>'Eingabe Meldungen'!J15</f>
        <v>Fitness Oase in Regen</v>
      </c>
      <c r="F193" s="310" t="str">
        <f>VLOOKUP(B193,Ausschreibung!$B$4:$I$35,4,FALSE)</f>
        <v>Masters A-H, männlich</v>
      </c>
      <c r="G193" s="189" t="e">
        <f t="shared" si="6"/>
        <v>#REF!</v>
      </c>
      <c r="H193" s="189" t="e">
        <f>IF(#REF!="Ergocup",8,"DHM")</f>
        <v>#REF!</v>
      </c>
      <c r="I193" s="40">
        <f>'Eingabe Meldungen'!K350</f>
        <v>0</v>
      </c>
      <c r="J193" s="258"/>
      <c r="K193" s="281">
        <f>IF(Tabelle1[[#This Row],[Bezahlt]]="JA",#REF!,0)</f>
        <v>0</v>
      </c>
      <c r="L193" s="279"/>
    </row>
    <row r="194" spans="2:12" ht="13.8" x14ac:dyDescent="0.2">
      <c r="B194" s="309">
        <f>'Eingabe Meldungen'!A16</f>
        <v>2</v>
      </c>
      <c r="C194" s="310" t="e">
        <f>'Eingabe Meldungen'!#REF!</f>
        <v>#REF!</v>
      </c>
      <c r="D194" s="310" t="str">
        <f>'Eingabe Meldungen'!C16</f>
        <v>Schuhn</v>
      </c>
      <c r="E194" s="311" t="str">
        <f>'Eingabe Meldungen'!J16</f>
        <v>ErgoRudern Saarlouis</v>
      </c>
      <c r="F194" s="310" t="str">
        <f>VLOOKUP(B194,Ausschreibung!$B$4:$I$35,4,FALSE)</f>
        <v>Masters A-H, männlich</v>
      </c>
      <c r="G194" s="189" t="e">
        <f t="shared" si="6"/>
        <v>#REF!</v>
      </c>
      <c r="H194" s="189" t="e">
        <f>IF(#REF!="Ergocup",8,"DHM")</f>
        <v>#REF!</v>
      </c>
      <c r="I194" s="40">
        <f>'Eingabe Meldungen'!K351</f>
        <v>0</v>
      </c>
      <c r="J194" s="258"/>
      <c r="K194" s="281">
        <f>IF(Tabelle1[[#This Row],[Bezahlt]]="JA",#REF!,0)</f>
        <v>0</v>
      </c>
      <c r="L194" s="279"/>
    </row>
    <row r="195" spans="2:12" ht="13.8" x14ac:dyDescent="0.2">
      <c r="B195" s="309">
        <f>'Eingabe Meldungen'!A24</f>
        <v>2</v>
      </c>
      <c r="C195" s="310" t="str">
        <f>'Eingabe Meldungen'!C24</f>
        <v>Marion</v>
      </c>
      <c r="D195" s="310" t="str">
        <f>'Eingabe Meldungen'!D24</f>
        <v>Markus</v>
      </c>
      <c r="E195" s="311" t="str">
        <f>'Eingabe Meldungen'!J24</f>
        <v>ErgoRudern Saarlouis</v>
      </c>
      <c r="F195" s="310" t="str">
        <f>VLOOKUP(B195,Ausschreibung!$B$4:$I$35,4,FALSE)</f>
        <v>Masters A-H, männlich</v>
      </c>
      <c r="G195" s="189" t="e">
        <f t="shared" si="6"/>
        <v>#REF!</v>
      </c>
      <c r="H195" s="189" t="e">
        <f>IF(#REF!="Ergocup",8,"DHM")</f>
        <v>#REF!</v>
      </c>
      <c r="I195" s="40">
        <f>'Eingabe Meldungen'!K227</f>
        <v>0</v>
      </c>
      <c r="J195" s="258"/>
      <c r="K195" s="281">
        <f>IF(Tabelle1[[#This Row],[Bezahlt]]="JA",#REF!,0)</f>
        <v>0</v>
      </c>
      <c r="L195" s="279"/>
    </row>
    <row r="196" spans="2:12" ht="13.8" x14ac:dyDescent="0.2">
      <c r="B196" s="309">
        <f>'Eingabe Meldungen'!A195</f>
        <v>1</v>
      </c>
      <c r="C196" s="310" t="str">
        <f>'Eingabe Meldungen'!C195</f>
        <v>Munke</v>
      </c>
      <c r="D196" s="310" t="str">
        <f>'Eingabe Meldungen'!D195</f>
        <v>Steffi</v>
      </c>
      <c r="E196" s="311" t="str">
        <f>'Eingabe Meldungen'!J195</f>
        <v xml:space="preserve">WSV Schifferclub Neckarrems </v>
      </c>
      <c r="F196" s="310" t="str">
        <f>VLOOKUP(B196,Ausschreibung!$B$4:$I$35,4,FALSE)</f>
        <v>Masters A-H, weiblich  </v>
      </c>
      <c r="G196" s="189" t="e">
        <f t="shared" si="6"/>
        <v>#REF!</v>
      </c>
      <c r="H196" s="189" t="e">
        <f>IF(#REF!="Ergocup",8,"DHM")</f>
        <v>#REF!</v>
      </c>
      <c r="I196" s="40">
        <f>'Eingabe Meldungen'!K394</f>
        <v>0</v>
      </c>
      <c r="J196" s="258"/>
      <c r="K196" s="281">
        <f>IF(Tabelle1[[#This Row],[Bezahlt]]="JA",#REF!,0)</f>
        <v>0</v>
      </c>
      <c r="L196" s="279"/>
    </row>
    <row r="197" spans="2:12" ht="13.8" x14ac:dyDescent="0.2">
      <c r="B197" s="309">
        <f>'Eingabe Meldungen'!A196</f>
        <v>1</v>
      </c>
      <c r="C197" s="310" t="str">
        <f>'Eingabe Meldungen'!C196</f>
        <v>Wöppel</v>
      </c>
      <c r="D197" s="310" t="str">
        <f>'Eingabe Meldungen'!D196</f>
        <v>Stefanie</v>
      </c>
      <c r="E197" s="311" t="str">
        <f>'Eingabe Meldungen'!J196</f>
        <v xml:space="preserve">WSV Schifferclub Neckarrems </v>
      </c>
      <c r="F197" s="310" t="str">
        <f>VLOOKUP(B197,Ausschreibung!$B$4:$I$35,4,FALSE)</f>
        <v>Masters A-H, weiblich  </v>
      </c>
      <c r="G197" s="189" t="e">
        <f t="shared" ref="G197:G226" si="7">IF(B197=35,H197-4,H197)</f>
        <v>#REF!</v>
      </c>
      <c r="H197" s="189" t="e">
        <f>IF(#REF!="Ergocup",8,"DHM")</f>
        <v>#REF!</v>
      </c>
      <c r="I197" s="40">
        <f>'Eingabe Meldungen'!K359</f>
        <v>0</v>
      </c>
      <c r="J197" s="258"/>
      <c r="K197" s="281">
        <f>IF(Tabelle1[[#This Row],[Bezahlt]]="JA",#REF!,0)</f>
        <v>0</v>
      </c>
      <c r="L197" s="279"/>
    </row>
    <row r="198" spans="2:12" ht="13.8" x14ac:dyDescent="0.2">
      <c r="B198" s="309">
        <f>'Eingabe Meldungen'!A197</f>
        <v>2</v>
      </c>
      <c r="C198" s="310" t="str">
        <f>'Eingabe Meldungen'!C197</f>
        <v>Wöppel</v>
      </c>
      <c r="D198" s="310" t="str">
        <f>'Eingabe Meldungen'!D197</f>
        <v>Stefan</v>
      </c>
      <c r="E198" s="311" t="str">
        <f>'Eingabe Meldungen'!J197</f>
        <v xml:space="preserve">WSV Schifferclub Neckarrems </v>
      </c>
      <c r="F198" s="310" t="str">
        <f>VLOOKUP(B198,Ausschreibung!$B$4:$I$35,4,FALSE)</f>
        <v>Masters A-H, männlich</v>
      </c>
      <c r="G198" s="189" t="e">
        <f t="shared" si="7"/>
        <v>#REF!</v>
      </c>
      <c r="H198" s="189" t="e">
        <f>IF(#REF!="Ergocup",8,"DHM")</f>
        <v>#REF!</v>
      </c>
      <c r="I198" s="40">
        <f>'Eingabe Meldungen'!K222</f>
        <v>0</v>
      </c>
      <c r="J198" s="258"/>
      <c r="K198" s="281">
        <f>IF(Tabelle1[[#This Row],[Bezahlt]]="JA",#REF!,0)</f>
        <v>0</v>
      </c>
      <c r="L198" s="279"/>
    </row>
    <row r="199" spans="2:12" ht="13.8" x14ac:dyDescent="0.2">
      <c r="B199" s="309">
        <f>'Eingabe Meldungen'!A198</f>
        <v>2</v>
      </c>
      <c r="C199" s="310" t="str">
        <f>'Eingabe Meldungen'!C198</f>
        <v>Lentner</v>
      </c>
      <c r="D199" s="310" t="str">
        <f>'Eingabe Meldungen'!D198</f>
        <v>Bernhard</v>
      </c>
      <c r="E199" s="311" t="str">
        <f>'Eingabe Meldungen'!J198</f>
        <v xml:space="preserve">WSV Schifferclub Neckarrems </v>
      </c>
      <c r="F199" s="310" t="str">
        <f>VLOOKUP(B199,Ausschreibung!$B$4:$I$35,4,FALSE)</f>
        <v>Masters A-H, männlich</v>
      </c>
      <c r="G199" s="189" t="e">
        <f t="shared" si="7"/>
        <v>#REF!</v>
      </c>
      <c r="H199" s="189" t="e">
        <f>IF(#REF!="Ergocup",8,"DHM")</f>
        <v>#REF!</v>
      </c>
      <c r="I199" s="40">
        <f>'Eingabe Meldungen'!K247</f>
        <v>0</v>
      </c>
      <c r="J199" s="258"/>
      <c r="K199" s="281">
        <f>IF(Tabelle1[[#This Row],[Bezahlt]]="JA",#REF!,0)</f>
        <v>0</v>
      </c>
      <c r="L199" s="279"/>
    </row>
    <row r="200" spans="2:12" ht="13.8" x14ac:dyDescent="0.2">
      <c r="B200" s="309">
        <f>'Eingabe Meldungen'!A199</f>
        <v>3</v>
      </c>
      <c r="C200" s="310" t="str">
        <f>'Eingabe Meldungen'!C199</f>
        <v>Sigloch</v>
      </c>
      <c r="D200" s="310" t="str">
        <f>'Eingabe Meldungen'!D199</f>
        <v>Malte</v>
      </c>
      <c r="E200" s="311" t="str">
        <f>'Eingabe Meldungen'!J199</f>
        <v xml:space="preserve">WSV Schifferclub Neckarrems </v>
      </c>
      <c r="F200" s="310" t="str">
        <f>VLOOKUP(B200,Ausschreibung!$B$4:$I$35,4,FALSE)</f>
        <v>Jungen U14</v>
      </c>
      <c r="G200" s="189" t="e">
        <f t="shared" si="7"/>
        <v>#REF!</v>
      </c>
      <c r="H200" s="189" t="e">
        <f>IF(#REF!="Ergocup",8,"DHM")</f>
        <v>#REF!</v>
      </c>
      <c r="I200" s="40">
        <f>'Eingabe Meldungen'!K248</f>
        <v>0</v>
      </c>
      <c r="J200" s="258"/>
      <c r="K200" s="281">
        <f>IF(Tabelle1[[#This Row],[Bezahlt]]="JA",#REF!,0)</f>
        <v>0</v>
      </c>
      <c r="L200" s="279"/>
    </row>
    <row r="201" spans="2:12" ht="13.8" x14ac:dyDescent="0.2">
      <c r="B201" s="309">
        <f>'Eingabe Meldungen'!A200</f>
        <v>9</v>
      </c>
      <c r="C201" s="310" t="str">
        <f>'Eingabe Meldungen'!C200</f>
        <v>Hinderer</v>
      </c>
      <c r="D201" s="310" t="str">
        <f>'Eingabe Meldungen'!D200</f>
        <v>Len</v>
      </c>
      <c r="E201" s="311" t="str">
        <f>'Eingabe Meldungen'!J200</f>
        <v xml:space="preserve">WSV Schifferclub Neckarrems </v>
      </c>
      <c r="F201" s="310" t="str">
        <f>VLOOKUP(B201,Ausschreibung!$B$4:$I$35,4,FALSE)</f>
        <v>Jungen U15</v>
      </c>
      <c r="G201" s="189" t="e">
        <f t="shared" si="7"/>
        <v>#REF!</v>
      </c>
      <c r="H201" s="189" t="e">
        <f>IF(#REF!="Ergocup",8,"DHM")</f>
        <v>#REF!</v>
      </c>
      <c r="I201" s="40">
        <f>'Eingabe Meldungen'!K249</f>
        <v>0</v>
      </c>
      <c r="J201" s="258"/>
      <c r="K201" s="281">
        <f>IF(Tabelle1[[#This Row],[Bezahlt]]="JA",#REF!,0)</f>
        <v>0</v>
      </c>
      <c r="L201" s="279"/>
    </row>
    <row r="202" spans="2:12" ht="13.8" x14ac:dyDescent="0.2">
      <c r="B202" s="309">
        <f>'Eingabe Meldungen'!A201</f>
        <v>9</v>
      </c>
      <c r="C202" s="310" t="str">
        <f>'Eingabe Meldungen'!C201</f>
        <v>Wöppel</v>
      </c>
      <c r="D202" s="310" t="str">
        <f>'Eingabe Meldungen'!D201</f>
        <v>Marius</v>
      </c>
      <c r="E202" s="311" t="str">
        <f>'Eingabe Meldungen'!J201</f>
        <v xml:space="preserve">WSV Schifferclub Neckarrems </v>
      </c>
      <c r="F202" s="310" t="str">
        <f>VLOOKUP(B202,Ausschreibung!$B$4:$I$35,4,FALSE)</f>
        <v>Jungen U15</v>
      </c>
      <c r="G202" s="189" t="e">
        <f t="shared" si="7"/>
        <v>#REF!</v>
      </c>
      <c r="H202" s="189" t="e">
        <f>IF(#REF!="Ergocup",8,"DHM")</f>
        <v>#REF!</v>
      </c>
      <c r="I202" s="40">
        <f>'Eingabe Meldungen'!K250</f>
        <v>0</v>
      </c>
      <c r="J202" s="258"/>
      <c r="K202" s="281">
        <f>IF(Tabelle1[[#This Row],[Bezahlt]]="JA",#REF!,0)</f>
        <v>0</v>
      </c>
      <c r="L202" s="279"/>
    </row>
    <row r="203" spans="2:12" ht="13.8" x14ac:dyDescent="0.2">
      <c r="B203" s="309">
        <f>'Eingabe Meldungen'!A202</f>
        <v>10</v>
      </c>
      <c r="C203" s="310" t="str">
        <f>'Eingabe Meldungen'!C202</f>
        <v>Wagner</v>
      </c>
      <c r="D203" s="310" t="str">
        <f>'Eingabe Meldungen'!D202</f>
        <v>Philippe</v>
      </c>
      <c r="E203" s="311" t="str">
        <f>'Eingabe Meldungen'!J202</f>
        <v xml:space="preserve">WSV Schifferclub Neckarrems </v>
      </c>
      <c r="F203" s="310" t="str">
        <f>VLOOKUP(B203,Ausschreibung!$B$4:$I$35,4,FALSE)</f>
        <v>Jungen U15</v>
      </c>
      <c r="G203" s="189" t="e">
        <f t="shared" si="7"/>
        <v>#REF!</v>
      </c>
      <c r="H203" s="189" t="e">
        <f>IF(#REF!="Ergocup",8,"DHM")</f>
        <v>#REF!</v>
      </c>
      <c r="I203" s="40">
        <f>'Eingabe Meldungen'!K365</f>
        <v>0</v>
      </c>
      <c r="J203" s="258"/>
      <c r="K203" s="281">
        <f>IF(Tabelle1[[#This Row],[Bezahlt]]="JA",#REF!,0)</f>
        <v>0</v>
      </c>
      <c r="L203" s="279"/>
    </row>
    <row r="204" spans="2:12" ht="13.8" x14ac:dyDescent="0.2">
      <c r="B204" s="309">
        <f>'Eingabe Meldungen'!A203</f>
        <v>10</v>
      </c>
      <c r="C204" s="310" t="str">
        <f>'Eingabe Meldungen'!C203</f>
        <v>Theurer</v>
      </c>
      <c r="D204" s="310" t="str">
        <f>'Eingabe Meldungen'!D203</f>
        <v>Moritz</v>
      </c>
      <c r="E204" s="311" t="str">
        <f>'Eingabe Meldungen'!J203</f>
        <v xml:space="preserve">WSV Schifferclub Neckarrems </v>
      </c>
      <c r="F204" s="310" t="str">
        <f>VLOOKUP(B204,Ausschreibung!$B$4:$I$35,4,FALSE)</f>
        <v>Jungen U15</v>
      </c>
      <c r="G204" s="189" t="e">
        <f t="shared" si="7"/>
        <v>#REF!</v>
      </c>
      <c r="H204" s="189" t="e">
        <f>IF(#REF!="Ergocup",8,"DHM")</f>
        <v>#REF!</v>
      </c>
      <c r="I204" s="40">
        <f>'Eingabe Meldungen'!K409</f>
        <v>0</v>
      </c>
      <c r="J204" s="258"/>
      <c r="K204" s="281">
        <f>IF(Tabelle1[[#This Row],[Bezahlt]]="JA",#REF!,0)</f>
        <v>0</v>
      </c>
      <c r="L204" s="279"/>
    </row>
    <row r="205" spans="2:12" ht="13.8" x14ac:dyDescent="0.2">
      <c r="B205" s="309">
        <f>'Eingabe Meldungen'!A204</f>
        <v>13</v>
      </c>
      <c r="C205" s="310" t="str">
        <f>'Eingabe Meldungen'!C204</f>
        <v>Schupp</v>
      </c>
      <c r="D205" s="310" t="str">
        <f>'Eingabe Meldungen'!D204</f>
        <v>Malthe</v>
      </c>
      <c r="E205" s="311" t="str">
        <f>'Eingabe Meldungen'!J204</f>
        <v xml:space="preserve">WSV Schifferclub Neckarrems </v>
      </c>
      <c r="F205" s="310" t="str">
        <f>VLOOKUP(B205,Ausschreibung!$B$4:$I$35,4,FALSE)</f>
        <v>Junioren B U17</v>
      </c>
      <c r="G205" s="189" t="e">
        <f t="shared" si="7"/>
        <v>#REF!</v>
      </c>
      <c r="H205" s="189" t="e">
        <f>IF(#REF!="Ergocup",8,"DHM")</f>
        <v>#REF!</v>
      </c>
      <c r="I205" s="40">
        <f>'Eingabe Meldungen'!K410</f>
        <v>0</v>
      </c>
      <c r="J205" s="258"/>
      <c r="K205" s="281">
        <f>IF(Tabelle1[[#This Row],[Bezahlt]]="JA",#REF!,0)</f>
        <v>0</v>
      </c>
      <c r="L205" s="279"/>
    </row>
    <row r="206" spans="2:12" ht="13.8" x14ac:dyDescent="0.2">
      <c r="B206" s="309">
        <f>'Eingabe Meldungen'!A205</f>
        <v>15</v>
      </c>
      <c r="C206" s="310" t="str">
        <f>'Eingabe Meldungen'!C205</f>
        <v>Munke</v>
      </c>
      <c r="D206" s="310" t="str">
        <f>'Eingabe Meldungen'!D205</f>
        <v>Steffi</v>
      </c>
      <c r="E206" s="311" t="str">
        <f>'Eingabe Meldungen'!J205</f>
        <v xml:space="preserve">WSV Schifferclub Neckarrems </v>
      </c>
      <c r="F206" s="310" t="str">
        <f>VLOOKUP(B206,Ausschreibung!$B$4:$I$35,4,FALSE)</f>
        <v>Sprint weiblich</v>
      </c>
      <c r="G206" s="189" t="e">
        <f t="shared" si="7"/>
        <v>#REF!</v>
      </c>
      <c r="H206" s="189" t="e">
        <f>IF(#REF!="Ergocup",8,"DHM")</f>
        <v>#REF!</v>
      </c>
      <c r="I206" s="40">
        <f>'Eingabe Meldungen'!K411</f>
        <v>0</v>
      </c>
      <c r="J206" s="258"/>
      <c r="K206" s="281">
        <f>IF(Tabelle1[[#This Row],[Bezahlt]]="JA",#REF!,0)</f>
        <v>0</v>
      </c>
      <c r="L206" s="279"/>
    </row>
    <row r="207" spans="2:12" ht="13.8" x14ac:dyDescent="0.2">
      <c r="B207" s="309">
        <f>'Eingabe Meldungen'!A206</f>
        <v>15</v>
      </c>
      <c r="C207" s="310" t="str">
        <f>'Eingabe Meldungen'!C206</f>
        <v>Wöppel</v>
      </c>
      <c r="D207" s="310" t="str">
        <f>'Eingabe Meldungen'!D206</f>
        <v>Stefanie</v>
      </c>
      <c r="E207" s="311" t="str">
        <f>'Eingabe Meldungen'!J206</f>
        <v xml:space="preserve">WSV Schifferclub Neckarrems </v>
      </c>
      <c r="F207" s="310" t="str">
        <f>VLOOKUP(B207,Ausschreibung!$B$4:$I$35,4,FALSE)</f>
        <v>Sprint weiblich</v>
      </c>
      <c r="G207" s="189" t="e">
        <f t="shared" si="7"/>
        <v>#REF!</v>
      </c>
      <c r="H207" s="189" t="e">
        <f>IF(#REF!="Ergocup",8,"DHM")</f>
        <v>#REF!</v>
      </c>
      <c r="I207" s="40">
        <f>'Eingabe Meldungen'!K412</f>
        <v>0</v>
      </c>
      <c r="J207" s="258"/>
      <c r="K207" s="281">
        <f>IF(Tabelle1[[#This Row],[Bezahlt]]="JA",#REF!,0)</f>
        <v>0</v>
      </c>
      <c r="L207" s="279"/>
    </row>
    <row r="208" spans="2:12" ht="13.8" x14ac:dyDescent="0.2">
      <c r="B208" s="309">
        <f>'Eingabe Meldungen'!A207</f>
        <v>16</v>
      </c>
      <c r="C208" s="310" t="str">
        <f>'Eingabe Meldungen'!C207</f>
        <v>Wöppel</v>
      </c>
      <c r="D208" s="310" t="str">
        <f>'Eingabe Meldungen'!D207</f>
        <v>Stefan</v>
      </c>
      <c r="E208" s="311" t="str">
        <f>'Eingabe Meldungen'!J207</f>
        <v xml:space="preserve">WSV Schifferclub Neckarrems </v>
      </c>
      <c r="F208" s="310" t="str">
        <f>VLOOKUP(B208,Ausschreibung!$B$4:$I$35,4,FALSE)</f>
        <v>Sprint männlich</v>
      </c>
      <c r="G208" s="189" t="e">
        <f t="shared" si="7"/>
        <v>#REF!</v>
      </c>
      <c r="H208" s="189" t="e">
        <f>IF(#REF!="Ergocup",8,"DHM")</f>
        <v>#REF!</v>
      </c>
      <c r="I208" s="40">
        <f>'Eingabe Meldungen'!K413</f>
        <v>0</v>
      </c>
      <c r="J208" s="258"/>
      <c r="K208" s="281">
        <f>IF(Tabelle1[[#This Row],[Bezahlt]]="JA",#REF!,0)</f>
        <v>0</v>
      </c>
      <c r="L208" s="279"/>
    </row>
    <row r="209" spans="2:12" ht="13.8" x14ac:dyDescent="0.2">
      <c r="B209" s="309">
        <f>'Eingabe Meldungen'!A208</f>
        <v>16</v>
      </c>
      <c r="C209" s="310" t="str">
        <f>'Eingabe Meldungen'!C208</f>
        <v>Schupp</v>
      </c>
      <c r="D209" s="310" t="str">
        <f>'Eingabe Meldungen'!D208</f>
        <v>Malthe</v>
      </c>
      <c r="E209" s="311" t="str">
        <f>'Eingabe Meldungen'!J208</f>
        <v xml:space="preserve">WSV Schifferclub Neckarrems </v>
      </c>
      <c r="F209" s="310" t="str">
        <f>VLOOKUP(B209,Ausschreibung!$B$4:$I$35,4,FALSE)</f>
        <v>Sprint männlich</v>
      </c>
      <c r="G209" s="189" t="e">
        <f t="shared" si="7"/>
        <v>#REF!</v>
      </c>
      <c r="H209" s="189" t="e">
        <f>IF(#REF!="Ergocup",8,"DHM")</f>
        <v>#REF!</v>
      </c>
      <c r="I209" s="40">
        <f>'Eingabe Meldungen'!K414</f>
        <v>0</v>
      </c>
      <c r="J209" s="258"/>
      <c r="K209" s="281">
        <f>IF(Tabelle1[[#This Row],[Bezahlt]]="JA",#REF!,0)</f>
        <v>0</v>
      </c>
      <c r="L209" s="279"/>
    </row>
    <row r="210" spans="2:12" ht="13.8" x14ac:dyDescent="0.2">
      <c r="B210" s="309">
        <f>'Eingabe Meldungen'!A211</f>
        <v>13</v>
      </c>
      <c r="C210" s="310" t="str">
        <f>'Eingabe Meldungen'!C211</f>
        <v xml:space="preserve">Haag </v>
      </c>
      <c r="D210" s="310" t="str">
        <f>'Eingabe Meldungen'!D211</f>
        <v>Felix</v>
      </c>
      <c r="E210" s="311" t="str">
        <f>'Eingabe Meldungen'!J211</f>
        <v>Marbacher Ruderverein</v>
      </c>
      <c r="F210" s="310" t="str">
        <f>VLOOKUP(B210,Ausschreibung!$B$4:$I$35,4,FALSE)</f>
        <v>Junioren B U17</v>
      </c>
      <c r="G210" s="189" t="e">
        <f t="shared" si="7"/>
        <v>#REF!</v>
      </c>
      <c r="H210" s="189" t="e">
        <f>IF(#REF!="Ergocup",8,"DHM")</f>
        <v>#REF!</v>
      </c>
      <c r="I210" s="40">
        <f>'Eingabe Meldungen'!K417</f>
        <v>0</v>
      </c>
      <c r="J210" s="258"/>
      <c r="K210" s="281">
        <f>IF(Tabelle1[[#This Row],[Bezahlt]]="JA",#REF!,0)</f>
        <v>0</v>
      </c>
      <c r="L210" s="279"/>
    </row>
    <row r="211" spans="2:12" ht="13.8" x14ac:dyDescent="0.2">
      <c r="B211" s="309">
        <f>'Eingabe Meldungen'!A212</f>
        <v>0</v>
      </c>
      <c r="C211" s="310">
        <f>'Eingabe Meldungen'!C212</f>
        <v>0</v>
      </c>
      <c r="D211" s="310">
        <f>'Eingabe Meldungen'!D212</f>
        <v>0</v>
      </c>
      <c r="E211" s="311">
        <f>'Eingabe Meldungen'!J212</f>
        <v>0</v>
      </c>
      <c r="F211" s="310" t="e">
        <f>VLOOKUP(B211,Ausschreibung!$B$4:$I$35,4,FALSE)</f>
        <v>#N/A</v>
      </c>
      <c r="G211" s="189" t="e">
        <f t="shared" si="7"/>
        <v>#REF!</v>
      </c>
      <c r="H211" s="189" t="e">
        <f>IF(#REF!="Ergocup",8,"DHM")</f>
        <v>#REF!</v>
      </c>
      <c r="I211" s="40">
        <f>'Eingabe Meldungen'!K418</f>
        <v>0</v>
      </c>
      <c r="J211" s="258"/>
      <c r="K211" s="281">
        <f>IF(Tabelle1[[#This Row],[Bezahlt]]="JA",#REF!,0)</f>
        <v>0</v>
      </c>
      <c r="L211" s="279"/>
    </row>
    <row r="212" spans="2:12" ht="13.8" x14ac:dyDescent="0.2">
      <c r="B212" s="309">
        <f>'Eingabe Meldungen'!A213</f>
        <v>0</v>
      </c>
      <c r="C212" s="310">
        <f>'Eingabe Meldungen'!C213</f>
        <v>0</v>
      </c>
      <c r="D212" s="310">
        <f>'Eingabe Meldungen'!D213</f>
        <v>0</v>
      </c>
      <c r="E212" s="311">
        <f>'Eingabe Meldungen'!J213</f>
        <v>0</v>
      </c>
      <c r="F212" s="310" t="e">
        <f>VLOOKUP(B212,Ausschreibung!$B$4:$I$35,4,FALSE)</f>
        <v>#N/A</v>
      </c>
      <c r="G212" s="189" t="e">
        <f t="shared" si="7"/>
        <v>#REF!</v>
      </c>
      <c r="H212" s="189" t="e">
        <f>IF(#REF!="Ergocup",8,"DHM")</f>
        <v>#REF!</v>
      </c>
      <c r="I212" s="40">
        <f>'Eingabe Meldungen'!K419</f>
        <v>0</v>
      </c>
      <c r="J212" s="258"/>
      <c r="K212" s="281">
        <f>IF(Tabelle1[[#This Row],[Bezahlt]]="JA",#REF!,0)</f>
        <v>0</v>
      </c>
      <c r="L212" s="279"/>
    </row>
    <row r="213" spans="2:12" ht="13.8" x14ac:dyDescent="0.2">
      <c r="B213" s="309">
        <f>'Eingabe Meldungen'!A214</f>
        <v>0</v>
      </c>
      <c r="C213" s="310">
        <f>'Eingabe Meldungen'!C214</f>
        <v>0</v>
      </c>
      <c r="D213" s="310">
        <f>'Eingabe Meldungen'!D214</f>
        <v>0</v>
      </c>
      <c r="E213" s="311">
        <f>'Eingabe Meldungen'!J214</f>
        <v>0</v>
      </c>
      <c r="F213" s="310" t="e">
        <f>VLOOKUP(B213,Ausschreibung!$B$4:$I$35,4,FALSE)</f>
        <v>#N/A</v>
      </c>
      <c r="G213" s="189" t="e">
        <f t="shared" si="7"/>
        <v>#REF!</v>
      </c>
      <c r="H213" s="189" t="e">
        <f>IF(#REF!="Ergocup",8,"DHM")</f>
        <v>#REF!</v>
      </c>
      <c r="I213" s="40">
        <f>'Eingabe Meldungen'!K420</f>
        <v>0</v>
      </c>
      <c r="J213" s="258"/>
      <c r="K213" s="281">
        <f>IF(Tabelle1[[#This Row],[Bezahlt]]="JA",#REF!,0)</f>
        <v>0</v>
      </c>
      <c r="L213" s="279"/>
    </row>
    <row r="214" spans="2:12" ht="13.8" x14ac:dyDescent="0.2">
      <c r="B214" s="309">
        <f>'Eingabe Meldungen'!A215</f>
        <v>0</v>
      </c>
      <c r="C214" s="310">
        <f>'Eingabe Meldungen'!C215</f>
        <v>0</v>
      </c>
      <c r="D214" s="310">
        <f>'Eingabe Meldungen'!D215</f>
        <v>0</v>
      </c>
      <c r="E214" s="311">
        <f>'Eingabe Meldungen'!J215</f>
        <v>0</v>
      </c>
      <c r="F214" s="310" t="e">
        <f>VLOOKUP(B214,Ausschreibung!$B$4:$I$35,4,FALSE)</f>
        <v>#N/A</v>
      </c>
      <c r="G214" s="189" t="e">
        <f t="shared" si="7"/>
        <v>#REF!</v>
      </c>
      <c r="H214" s="189" t="e">
        <f>IF(#REF!="Ergocup",8,"DHM")</f>
        <v>#REF!</v>
      </c>
      <c r="I214" s="40">
        <f>'Eingabe Meldungen'!K421</f>
        <v>0</v>
      </c>
      <c r="J214" s="258"/>
      <c r="K214" s="281">
        <f>IF(Tabelle1[[#This Row],[Bezahlt]]="JA",#REF!,0)</f>
        <v>0</v>
      </c>
      <c r="L214" s="279"/>
    </row>
    <row r="215" spans="2:12" ht="13.8" x14ac:dyDescent="0.2">
      <c r="B215" s="309">
        <f>'Eingabe Meldungen'!A216</f>
        <v>0</v>
      </c>
      <c r="C215" s="310">
        <f>'Eingabe Meldungen'!C216</f>
        <v>0</v>
      </c>
      <c r="D215" s="310">
        <f>'Eingabe Meldungen'!D216</f>
        <v>0</v>
      </c>
      <c r="E215" s="311">
        <f>'Eingabe Meldungen'!J216</f>
        <v>0</v>
      </c>
      <c r="F215" s="310" t="e">
        <f>VLOOKUP(B215,Ausschreibung!$B$4:$I$35,4,FALSE)</f>
        <v>#N/A</v>
      </c>
      <c r="G215" s="189" t="e">
        <f t="shared" si="7"/>
        <v>#REF!</v>
      </c>
      <c r="H215" s="189" t="e">
        <f>IF(#REF!="Ergocup",8,"DHM")</f>
        <v>#REF!</v>
      </c>
      <c r="I215" s="40">
        <f>'Eingabe Meldungen'!K422</f>
        <v>0</v>
      </c>
      <c r="J215" s="258"/>
      <c r="K215" s="281">
        <f>IF(Tabelle1[[#This Row],[Bezahlt]]="JA",#REF!,0)</f>
        <v>0</v>
      </c>
      <c r="L215" s="279"/>
    </row>
    <row r="216" spans="2:12" ht="13.8" x14ac:dyDescent="0.2">
      <c r="B216" s="309">
        <f>'Eingabe Meldungen'!A217</f>
        <v>0</v>
      </c>
      <c r="C216" s="310">
        <f>'Eingabe Meldungen'!C217</f>
        <v>0</v>
      </c>
      <c r="D216" s="310">
        <f>'Eingabe Meldungen'!D217</f>
        <v>0</v>
      </c>
      <c r="E216" s="311">
        <f>'Eingabe Meldungen'!J217</f>
        <v>0</v>
      </c>
      <c r="F216" s="310" t="e">
        <f>VLOOKUP(B216,Ausschreibung!$B$4:$I$35,4,FALSE)</f>
        <v>#N/A</v>
      </c>
      <c r="G216" s="189" t="e">
        <f t="shared" si="7"/>
        <v>#REF!</v>
      </c>
      <c r="H216" s="189" t="e">
        <f>IF(#REF!="Ergocup",8,"DHM")</f>
        <v>#REF!</v>
      </c>
      <c r="I216" s="40">
        <f>'Eingabe Meldungen'!K423</f>
        <v>0</v>
      </c>
      <c r="J216" s="258"/>
      <c r="K216" s="281">
        <f>IF(Tabelle1[[#This Row],[Bezahlt]]="JA",#REF!,0)</f>
        <v>0</v>
      </c>
      <c r="L216" s="279"/>
    </row>
    <row r="217" spans="2:12" ht="13.8" x14ac:dyDescent="0.2">
      <c r="B217" s="309">
        <f>'Eingabe Meldungen'!A218</f>
        <v>0</v>
      </c>
      <c r="C217" s="310">
        <f>'Eingabe Meldungen'!C218</f>
        <v>0</v>
      </c>
      <c r="D217" s="310">
        <f>'Eingabe Meldungen'!D218</f>
        <v>0</v>
      </c>
      <c r="E217" s="311">
        <f>'Eingabe Meldungen'!J218</f>
        <v>0</v>
      </c>
      <c r="F217" s="310" t="e">
        <f>VLOOKUP(B217,Ausschreibung!$B$4:$I$35,4,FALSE)</f>
        <v>#N/A</v>
      </c>
      <c r="G217" s="189" t="e">
        <f t="shared" si="7"/>
        <v>#REF!</v>
      </c>
      <c r="H217" s="189" t="e">
        <f>IF(#REF!="Ergocup",8,"DHM")</f>
        <v>#REF!</v>
      </c>
      <c r="I217" s="40">
        <f>'Eingabe Meldungen'!K424</f>
        <v>0</v>
      </c>
      <c r="J217" s="258"/>
      <c r="K217" s="281">
        <f>IF(Tabelle1[[#This Row],[Bezahlt]]="JA",#REF!,0)</f>
        <v>0</v>
      </c>
      <c r="L217" s="279"/>
    </row>
    <row r="218" spans="2:12" ht="13.8" x14ac:dyDescent="0.2">
      <c r="B218" s="309">
        <f>'Eingabe Meldungen'!A219</f>
        <v>0</v>
      </c>
      <c r="C218" s="310">
        <f>'Eingabe Meldungen'!C219</f>
        <v>0</v>
      </c>
      <c r="D218" s="310">
        <f>'Eingabe Meldungen'!D219</f>
        <v>0</v>
      </c>
      <c r="E218" s="311">
        <f>'Eingabe Meldungen'!J219</f>
        <v>0</v>
      </c>
      <c r="F218" s="310" t="e">
        <f>VLOOKUP(B218,Ausschreibung!$B$4:$I$35,4,FALSE)</f>
        <v>#N/A</v>
      </c>
      <c r="G218" s="189" t="e">
        <f t="shared" si="7"/>
        <v>#REF!</v>
      </c>
      <c r="H218" s="189" t="e">
        <f>IF(#REF!="Ergocup",8,"DHM")</f>
        <v>#REF!</v>
      </c>
      <c r="I218" s="40">
        <f>'Eingabe Meldungen'!K425</f>
        <v>0</v>
      </c>
      <c r="J218" s="258"/>
      <c r="K218" s="281">
        <f>IF(Tabelle1[[#This Row],[Bezahlt]]="JA",#REF!,0)</f>
        <v>0</v>
      </c>
      <c r="L218" s="279"/>
    </row>
    <row r="219" spans="2:12" ht="13.8" x14ac:dyDescent="0.2">
      <c r="B219" s="309">
        <f>'Eingabe Meldungen'!A220</f>
        <v>0</v>
      </c>
      <c r="C219" s="310">
        <f>'Eingabe Meldungen'!C220</f>
        <v>0</v>
      </c>
      <c r="D219" s="310">
        <f>'Eingabe Meldungen'!D220</f>
        <v>0</v>
      </c>
      <c r="E219" s="311">
        <f>'Eingabe Meldungen'!J220</f>
        <v>0</v>
      </c>
      <c r="F219" s="310" t="e">
        <f>VLOOKUP(B219,Ausschreibung!$B$4:$I$35,4,FALSE)</f>
        <v>#N/A</v>
      </c>
      <c r="G219" s="189" t="e">
        <f t="shared" si="7"/>
        <v>#REF!</v>
      </c>
      <c r="H219" s="189" t="e">
        <f>IF(#REF!="Ergocup",8,"DHM")</f>
        <v>#REF!</v>
      </c>
      <c r="I219" s="40">
        <f>'Eingabe Meldungen'!K426</f>
        <v>0</v>
      </c>
      <c r="J219" s="258"/>
      <c r="K219" s="281">
        <f>IF(Tabelle1[[#This Row],[Bezahlt]]="JA",#REF!,0)</f>
        <v>0</v>
      </c>
      <c r="L219" s="279"/>
    </row>
    <row r="220" spans="2:12" ht="13.8" x14ac:dyDescent="0.2">
      <c r="B220" s="309">
        <f>'Eingabe Meldungen'!A221</f>
        <v>0</v>
      </c>
      <c r="C220" s="310">
        <f>'Eingabe Meldungen'!C221</f>
        <v>0</v>
      </c>
      <c r="D220" s="310">
        <f>'Eingabe Meldungen'!D221</f>
        <v>0</v>
      </c>
      <c r="E220" s="311">
        <f>'Eingabe Meldungen'!J221</f>
        <v>0</v>
      </c>
      <c r="F220" s="310" t="e">
        <f>VLOOKUP(B220,Ausschreibung!$B$4:$I$35,4,FALSE)</f>
        <v>#N/A</v>
      </c>
      <c r="G220" s="189" t="e">
        <f t="shared" si="7"/>
        <v>#REF!</v>
      </c>
      <c r="H220" s="189" t="e">
        <f>IF(#REF!="Ergocup",8,"DHM")</f>
        <v>#REF!</v>
      </c>
      <c r="I220" s="40">
        <f>'Eingabe Meldungen'!K427</f>
        <v>0</v>
      </c>
      <c r="J220" s="258"/>
      <c r="K220" s="281">
        <f>IF(Tabelle1[[#This Row],[Bezahlt]]="JA",#REF!,0)</f>
        <v>0</v>
      </c>
      <c r="L220" s="279"/>
    </row>
    <row r="221" spans="2:12" ht="13.8" x14ac:dyDescent="0.2">
      <c r="B221" s="309">
        <f>'Eingabe Meldungen'!A222</f>
        <v>0</v>
      </c>
      <c r="C221" s="310">
        <f>'Eingabe Meldungen'!C222</f>
        <v>0</v>
      </c>
      <c r="D221" s="310">
        <f>'Eingabe Meldungen'!D222</f>
        <v>0</v>
      </c>
      <c r="E221" s="311">
        <f>'Eingabe Meldungen'!J222</f>
        <v>0</v>
      </c>
      <c r="F221" s="310" t="e">
        <f>VLOOKUP(B221,Ausschreibung!$B$4:$I$35,4,FALSE)</f>
        <v>#N/A</v>
      </c>
      <c r="G221" s="189" t="e">
        <f t="shared" si="7"/>
        <v>#REF!</v>
      </c>
      <c r="H221" s="189" t="e">
        <f>IF(#REF!="Ergocup",8,"DHM")</f>
        <v>#REF!</v>
      </c>
      <c r="I221" s="40">
        <f>'Eingabe Meldungen'!K428</f>
        <v>0</v>
      </c>
      <c r="J221" s="258"/>
      <c r="K221" s="281">
        <f>IF(Tabelle1[[#This Row],[Bezahlt]]="JA",#REF!,0)</f>
        <v>0</v>
      </c>
      <c r="L221" s="279"/>
    </row>
    <row r="222" spans="2:12" ht="13.8" x14ac:dyDescent="0.2">
      <c r="B222" s="309">
        <f>'Eingabe Meldungen'!A223</f>
        <v>0</v>
      </c>
      <c r="C222" s="310">
        <f>'Eingabe Meldungen'!C223</f>
        <v>0</v>
      </c>
      <c r="D222" s="310">
        <f>'Eingabe Meldungen'!D223</f>
        <v>0</v>
      </c>
      <c r="E222" s="311">
        <f>'Eingabe Meldungen'!J223</f>
        <v>0</v>
      </c>
      <c r="F222" s="310" t="e">
        <f>VLOOKUP(B222,Ausschreibung!$B$4:$I$35,4,FALSE)</f>
        <v>#N/A</v>
      </c>
      <c r="G222" s="189" t="e">
        <f t="shared" si="7"/>
        <v>#REF!</v>
      </c>
      <c r="H222" s="189" t="e">
        <f>IF(#REF!="Ergocup",8,"DHM")</f>
        <v>#REF!</v>
      </c>
      <c r="I222" s="40">
        <f>'Eingabe Meldungen'!K429</f>
        <v>0</v>
      </c>
      <c r="J222" s="258"/>
      <c r="K222" s="281">
        <f>IF(Tabelle1[[#This Row],[Bezahlt]]="JA",#REF!,0)</f>
        <v>0</v>
      </c>
      <c r="L222" s="279"/>
    </row>
    <row r="223" spans="2:12" ht="13.8" x14ac:dyDescent="0.2">
      <c r="B223" s="309">
        <f>'Eingabe Meldungen'!A224</f>
        <v>0</v>
      </c>
      <c r="C223" s="310">
        <f>'Eingabe Meldungen'!C224</f>
        <v>0</v>
      </c>
      <c r="D223" s="310">
        <f>'Eingabe Meldungen'!D224</f>
        <v>0</v>
      </c>
      <c r="E223" s="311">
        <f>'Eingabe Meldungen'!J224</f>
        <v>0</v>
      </c>
      <c r="F223" s="310" t="e">
        <f>VLOOKUP(B223,Ausschreibung!$B$4:$I$35,4,FALSE)</f>
        <v>#N/A</v>
      </c>
      <c r="G223" s="189" t="e">
        <f t="shared" si="7"/>
        <v>#REF!</v>
      </c>
      <c r="H223" s="189" t="e">
        <f>IF(#REF!="Ergocup",8,"DHM")</f>
        <v>#REF!</v>
      </c>
      <c r="I223" s="40">
        <f>'Eingabe Meldungen'!K430</f>
        <v>0</v>
      </c>
      <c r="J223" s="258"/>
      <c r="K223" s="281">
        <f>IF(Tabelle1[[#This Row],[Bezahlt]]="JA",#REF!,0)</f>
        <v>0</v>
      </c>
      <c r="L223" s="279"/>
    </row>
    <row r="224" spans="2:12" ht="13.8" x14ac:dyDescent="0.2">
      <c r="B224" s="309">
        <f>'Eingabe Meldungen'!A225</f>
        <v>0</v>
      </c>
      <c r="C224" s="310">
        <f>'Eingabe Meldungen'!C225</f>
        <v>0</v>
      </c>
      <c r="D224" s="310">
        <f>'Eingabe Meldungen'!D225</f>
        <v>0</v>
      </c>
      <c r="E224" s="311">
        <f>'Eingabe Meldungen'!J225</f>
        <v>0</v>
      </c>
      <c r="F224" s="310" t="e">
        <f>VLOOKUP(B224,Ausschreibung!$B$4:$I$35,4,FALSE)</f>
        <v>#N/A</v>
      </c>
      <c r="G224" s="189" t="e">
        <f t="shared" si="7"/>
        <v>#REF!</v>
      </c>
      <c r="H224" s="189" t="e">
        <f>IF(#REF!="Ergocup",8,"DHM")</f>
        <v>#REF!</v>
      </c>
      <c r="I224" s="40">
        <f>'Eingabe Meldungen'!K431</f>
        <v>0</v>
      </c>
      <c r="J224" s="258"/>
      <c r="K224" s="281">
        <f>IF(Tabelle1[[#This Row],[Bezahlt]]="JA",#REF!,0)</f>
        <v>0</v>
      </c>
      <c r="L224" s="279"/>
    </row>
    <row r="225" spans="2:12" ht="13.8" x14ac:dyDescent="0.2">
      <c r="B225" s="309">
        <f>'Eingabe Meldungen'!A226</f>
        <v>0</v>
      </c>
      <c r="C225" s="310">
        <f>'Eingabe Meldungen'!C226</f>
        <v>0</v>
      </c>
      <c r="D225" s="310">
        <f>'Eingabe Meldungen'!D226</f>
        <v>0</v>
      </c>
      <c r="E225" s="311">
        <f>'Eingabe Meldungen'!J226</f>
        <v>0</v>
      </c>
      <c r="F225" s="310" t="e">
        <f>VLOOKUP(B225,Ausschreibung!$B$4:$I$35,4,FALSE)</f>
        <v>#N/A</v>
      </c>
      <c r="G225" s="189" t="e">
        <f t="shared" si="7"/>
        <v>#REF!</v>
      </c>
      <c r="H225" s="189" t="e">
        <f>IF(#REF!="Ergocup",8,"DHM")</f>
        <v>#REF!</v>
      </c>
      <c r="I225" s="40">
        <f>'Eingabe Meldungen'!K432</f>
        <v>0</v>
      </c>
      <c r="J225" s="258"/>
      <c r="K225" s="281">
        <f>IF(Tabelle1[[#This Row],[Bezahlt]]="JA",#REF!,0)</f>
        <v>0</v>
      </c>
      <c r="L225" s="279"/>
    </row>
    <row r="226" spans="2:12" ht="13.8" x14ac:dyDescent="0.2">
      <c r="B226" s="309">
        <f>'Eingabe Meldungen'!A227</f>
        <v>0</v>
      </c>
      <c r="C226" s="310">
        <f>'Eingabe Meldungen'!C227</f>
        <v>0</v>
      </c>
      <c r="D226" s="310">
        <f>'Eingabe Meldungen'!D227</f>
        <v>0</v>
      </c>
      <c r="E226" s="311">
        <f>'Eingabe Meldungen'!J227</f>
        <v>0</v>
      </c>
      <c r="F226" s="310" t="e">
        <f>VLOOKUP(B226,Ausschreibung!$B$4:$I$35,4,FALSE)</f>
        <v>#N/A</v>
      </c>
      <c r="G226" s="189" t="e">
        <f t="shared" si="7"/>
        <v>#REF!</v>
      </c>
      <c r="H226" s="189" t="e">
        <f>IF(#REF!="Ergocup",8,"DHM")</f>
        <v>#REF!</v>
      </c>
      <c r="I226" s="40">
        <f>'Eingabe Meldungen'!K433</f>
        <v>0</v>
      </c>
      <c r="J226" s="258"/>
      <c r="K226" s="281">
        <f>IF(Tabelle1[[#This Row],[Bezahlt]]="JA",#REF!,0)</f>
        <v>0</v>
      </c>
      <c r="L226" s="279"/>
    </row>
    <row r="227" spans="2:12" ht="13.8" x14ac:dyDescent="0.2">
      <c r="B227" s="309">
        <f>'Eingabe Meldungen'!A228</f>
        <v>0</v>
      </c>
      <c r="C227" s="310">
        <f>'Eingabe Meldungen'!C228</f>
        <v>0</v>
      </c>
      <c r="D227" s="310">
        <f>'Eingabe Meldungen'!D228</f>
        <v>0</v>
      </c>
      <c r="E227" s="311">
        <f>'Eingabe Meldungen'!J228</f>
        <v>0</v>
      </c>
      <c r="F227" s="310" t="e">
        <f>VLOOKUP(B227,Ausschreibung!$B$4:$I$35,4,FALSE)</f>
        <v>#N/A</v>
      </c>
      <c r="G227" s="189" t="e">
        <f t="shared" ref="G227:G244" si="8">IF(B227=35,H227-4,H227)</f>
        <v>#REF!</v>
      </c>
      <c r="H227" s="189" t="e">
        <f>IF(#REF!="Ergocup",8,"DHM")</f>
        <v>#REF!</v>
      </c>
      <c r="I227" s="40">
        <f>'Eingabe Meldungen'!K434</f>
        <v>0</v>
      </c>
      <c r="J227" s="258"/>
      <c r="K227" s="281">
        <f>IF(Tabelle1[[#This Row],[Bezahlt]]="JA",#REF!,0)</f>
        <v>0</v>
      </c>
      <c r="L227" s="279"/>
    </row>
    <row r="228" spans="2:12" ht="13.8" x14ac:dyDescent="0.2">
      <c r="B228" s="309">
        <f>'Eingabe Meldungen'!A229</f>
        <v>0</v>
      </c>
      <c r="C228" s="310">
        <f>'Eingabe Meldungen'!C229</f>
        <v>0</v>
      </c>
      <c r="D228" s="310">
        <f>'Eingabe Meldungen'!D229</f>
        <v>0</v>
      </c>
      <c r="E228" s="311">
        <f>'Eingabe Meldungen'!J229</f>
        <v>0</v>
      </c>
      <c r="F228" s="310" t="e">
        <f>VLOOKUP(B228,Ausschreibung!$B$4:$I$35,4,FALSE)</f>
        <v>#N/A</v>
      </c>
      <c r="G228" s="189" t="e">
        <f t="shared" si="8"/>
        <v>#REF!</v>
      </c>
      <c r="H228" s="189" t="e">
        <f>IF(#REF!="Ergocup",8,"DHM")</f>
        <v>#REF!</v>
      </c>
      <c r="I228" s="40">
        <f>'Eingabe Meldungen'!K435</f>
        <v>0</v>
      </c>
      <c r="J228" s="258"/>
      <c r="K228" s="281">
        <f>IF(Tabelle1[[#This Row],[Bezahlt]]="JA",#REF!,0)</f>
        <v>0</v>
      </c>
      <c r="L228" s="279"/>
    </row>
    <row r="229" spans="2:12" ht="13.8" x14ac:dyDescent="0.2">
      <c r="B229" s="309">
        <f>'Eingabe Meldungen'!A230</f>
        <v>0</v>
      </c>
      <c r="C229" s="310">
        <f>'Eingabe Meldungen'!C230</f>
        <v>0</v>
      </c>
      <c r="D229" s="310">
        <f>'Eingabe Meldungen'!D230</f>
        <v>0</v>
      </c>
      <c r="E229" s="311">
        <f>'Eingabe Meldungen'!J230</f>
        <v>0</v>
      </c>
      <c r="F229" s="310" t="e">
        <f>VLOOKUP(B229,Ausschreibung!$B$4:$I$35,4,FALSE)</f>
        <v>#N/A</v>
      </c>
      <c r="G229" s="189" t="e">
        <f t="shared" si="8"/>
        <v>#REF!</v>
      </c>
      <c r="H229" s="189" t="e">
        <f>IF(#REF!="Ergocup",8,"DHM")</f>
        <v>#REF!</v>
      </c>
      <c r="I229" s="40">
        <f>'Eingabe Meldungen'!K436</f>
        <v>0</v>
      </c>
      <c r="J229" s="258"/>
      <c r="K229" s="281">
        <f>IF(Tabelle1[[#This Row],[Bezahlt]]="JA",#REF!,0)</f>
        <v>0</v>
      </c>
      <c r="L229" s="279"/>
    </row>
    <row r="230" spans="2:12" ht="13.8" x14ac:dyDescent="0.2">
      <c r="B230" s="309">
        <f>'Eingabe Meldungen'!A231</f>
        <v>0</v>
      </c>
      <c r="C230" s="310">
        <f>'Eingabe Meldungen'!C231</f>
        <v>0</v>
      </c>
      <c r="D230" s="310">
        <f>'Eingabe Meldungen'!D231</f>
        <v>0</v>
      </c>
      <c r="E230" s="311">
        <f>'Eingabe Meldungen'!J231</f>
        <v>0</v>
      </c>
      <c r="F230" s="310" t="e">
        <f>VLOOKUP(B230,Ausschreibung!$B$4:$I$35,4,FALSE)</f>
        <v>#N/A</v>
      </c>
      <c r="G230" s="189" t="e">
        <f t="shared" si="8"/>
        <v>#REF!</v>
      </c>
      <c r="H230" s="189" t="e">
        <f>IF(#REF!="Ergocup",8,"DHM")</f>
        <v>#REF!</v>
      </c>
      <c r="I230" s="40">
        <f>'Eingabe Meldungen'!K437</f>
        <v>0</v>
      </c>
      <c r="J230" s="258"/>
      <c r="K230" s="281">
        <f>IF(Tabelle1[[#This Row],[Bezahlt]]="JA",#REF!,0)</f>
        <v>0</v>
      </c>
      <c r="L230" s="279"/>
    </row>
    <row r="231" spans="2:12" ht="13.8" x14ac:dyDescent="0.2">
      <c r="B231" s="309">
        <f>'Eingabe Meldungen'!A232</f>
        <v>0</v>
      </c>
      <c r="C231" s="310">
        <f>'Eingabe Meldungen'!C232</f>
        <v>0</v>
      </c>
      <c r="D231" s="310">
        <f>'Eingabe Meldungen'!D232</f>
        <v>0</v>
      </c>
      <c r="E231" s="311">
        <f>'Eingabe Meldungen'!J232</f>
        <v>0</v>
      </c>
      <c r="F231" s="310" t="e">
        <f>VLOOKUP(B231,Ausschreibung!$B$4:$I$35,4,FALSE)</f>
        <v>#N/A</v>
      </c>
      <c r="G231" s="189" t="e">
        <f t="shared" si="8"/>
        <v>#REF!</v>
      </c>
      <c r="H231" s="189" t="e">
        <f>IF(#REF!="Ergocup",8,"DHM")</f>
        <v>#REF!</v>
      </c>
      <c r="I231" s="40">
        <f>'Eingabe Meldungen'!K438</f>
        <v>0</v>
      </c>
      <c r="J231" s="258"/>
      <c r="K231" s="281">
        <f>IF(Tabelle1[[#This Row],[Bezahlt]]="JA",#REF!,0)</f>
        <v>0</v>
      </c>
      <c r="L231" s="279"/>
    </row>
    <row r="232" spans="2:12" ht="13.8" x14ac:dyDescent="0.2">
      <c r="B232" s="309">
        <f>'Eingabe Meldungen'!A233</f>
        <v>0</v>
      </c>
      <c r="C232" s="310">
        <f>'Eingabe Meldungen'!C233</f>
        <v>0</v>
      </c>
      <c r="D232" s="310">
        <f>'Eingabe Meldungen'!D233</f>
        <v>0</v>
      </c>
      <c r="E232" s="311">
        <f>'Eingabe Meldungen'!J233</f>
        <v>0</v>
      </c>
      <c r="F232" s="310" t="e">
        <f>VLOOKUP(B232,Ausschreibung!$B$4:$I$35,4,FALSE)</f>
        <v>#N/A</v>
      </c>
      <c r="G232" s="189" t="e">
        <f t="shared" si="8"/>
        <v>#REF!</v>
      </c>
      <c r="H232" s="189" t="e">
        <f>IF(#REF!="Ergocup",8,"DHM")</f>
        <v>#REF!</v>
      </c>
      <c r="I232" s="40">
        <f>'Eingabe Meldungen'!K439</f>
        <v>0</v>
      </c>
      <c r="J232" s="258"/>
      <c r="K232" s="281">
        <f>IF(Tabelle1[[#This Row],[Bezahlt]]="JA",#REF!,0)</f>
        <v>0</v>
      </c>
      <c r="L232" s="279"/>
    </row>
    <row r="233" spans="2:12" ht="13.8" x14ac:dyDescent="0.2">
      <c r="B233" s="309">
        <f>'Eingabe Meldungen'!A234</f>
        <v>0</v>
      </c>
      <c r="C233" s="310">
        <f>'Eingabe Meldungen'!C234</f>
        <v>0</v>
      </c>
      <c r="D233" s="310">
        <f>'Eingabe Meldungen'!D234</f>
        <v>0</v>
      </c>
      <c r="E233" s="311">
        <f>'Eingabe Meldungen'!J234</f>
        <v>0</v>
      </c>
      <c r="F233" s="310" t="e">
        <f>VLOOKUP(B233,Ausschreibung!$B$4:$I$35,4,FALSE)</f>
        <v>#N/A</v>
      </c>
      <c r="G233" s="189" t="e">
        <f t="shared" si="8"/>
        <v>#REF!</v>
      </c>
      <c r="H233" s="189" t="e">
        <f>IF(#REF!="Ergocup",8,"DHM")</f>
        <v>#REF!</v>
      </c>
      <c r="I233" s="40">
        <f>'Eingabe Meldungen'!K440</f>
        <v>0</v>
      </c>
      <c r="J233" s="258"/>
      <c r="K233" s="281">
        <f>IF(Tabelle1[[#This Row],[Bezahlt]]="JA",#REF!,0)</f>
        <v>0</v>
      </c>
      <c r="L233" s="279"/>
    </row>
    <row r="234" spans="2:12" ht="13.8" x14ac:dyDescent="0.2">
      <c r="B234" s="309">
        <f>'Eingabe Meldungen'!A235</f>
        <v>0</v>
      </c>
      <c r="C234" s="310">
        <f>'Eingabe Meldungen'!C235</f>
        <v>0</v>
      </c>
      <c r="D234" s="310">
        <f>'Eingabe Meldungen'!D235</f>
        <v>0</v>
      </c>
      <c r="E234" s="311">
        <f>'Eingabe Meldungen'!J235</f>
        <v>0</v>
      </c>
      <c r="F234" s="310" t="e">
        <f>VLOOKUP(B234,Ausschreibung!$B$4:$I$35,4,FALSE)</f>
        <v>#N/A</v>
      </c>
      <c r="G234" s="189" t="e">
        <f t="shared" si="8"/>
        <v>#REF!</v>
      </c>
      <c r="H234" s="189" t="e">
        <f>IF(#REF!="Ergocup",8,"DHM")</f>
        <v>#REF!</v>
      </c>
      <c r="I234" s="40">
        <f>'Eingabe Meldungen'!K441</f>
        <v>0</v>
      </c>
      <c r="J234" s="258"/>
      <c r="K234" s="281">
        <f>IF(Tabelle1[[#This Row],[Bezahlt]]="JA",#REF!,0)</f>
        <v>0</v>
      </c>
      <c r="L234" s="279"/>
    </row>
    <row r="235" spans="2:12" ht="13.8" x14ac:dyDescent="0.2">
      <c r="B235" s="309">
        <f>'Eingabe Meldungen'!A236</f>
        <v>0</v>
      </c>
      <c r="C235" s="310">
        <f>'Eingabe Meldungen'!C236</f>
        <v>0</v>
      </c>
      <c r="D235" s="310">
        <f>'Eingabe Meldungen'!D236</f>
        <v>0</v>
      </c>
      <c r="E235" s="311">
        <f>'Eingabe Meldungen'!J236</f>
        <v>0</v>
      </c>
      <c r="F235" s="310" t="e">
        <f>VLOOKUP(B235,Ausschreibung!$B$4:$I$35,4,FALSE)</f>
        <v>#N/A</v>
      </c>
      <c r="G235" s="189" t="e">
        <f t="shared" si="8"/>
        <v>#REF!</v>
      </c>
      <c r="H235" s="189" t="e">
        <f>IF(#REF!="Ergocup",8,"DHM")</f>
        <v>#REF!</v>
      </c>
      <c r="I235" s="40">
        <f>'Eingabe Meldungen'!K442</f>
        <v>0</v>
      </c>
      <c r="J235" s="258"/>
      <c r="K235" s="281">
        <f>IF(Tabelle1[[#This Row],[Bezahlt]]="JA",#REF!,0)</f>
        <v>0</v>
      </c>
      <c r="L235" s="279"/>
    </row>
    <row r="236" spans="2:12" ht="13.8" x14ac:dyDescent="0.2">
      <c r="B236" s="309">
        <f>'Eingabe Meldungen'!A237</f>
        <v>0</v>
      </c>
      <c r="C236" s="310">
        <f>'Eingabe Meldungen'!C237</f>
        <v>0</v>
      </c>
      <c r="D236" s="310">
        <f>'Eingabe Meldungen'!D237</f>
        <v>0</v>
      </c>
      <c r="E236" s="311">
        <f>'Eingabe Meldungen'!J237</f>
        <v>0</v>
      </c>
      <c r="F236" s="310" t="e">
        <f>VLOOKUP(B236,Ausschreibung!$B$4:$I$35,4,FALSE)</f>
        <v>#N/A</v>
      </c>
      <c r="G236" s="189" t="e">
        <f t="shared" si="8"/>
        <v>#REF!</v>
      </c>
      <c r="H236" s="189" t="e">
        <f>IF(#REF!="Ergocup",8,"DHM")</f>
        <v>#REF!</v>
      </c>
      <c r="I236" s="40">
        <f>'Eingabe Meldungen'!K443</f>
        <v>0</v>
      </c>
      <c r="J236" s="258"/>
      <c r="K236" s="281">
        <f>IF(Tabelle1[[#This Row],[Bezahlt]]="JA",#REF!,0)</f>
        <v>0</v>
      </c>
      <c r="L236" s="279"/>
    </row>
    <row r="237" spans="2:12" ht="13.8" x14ac:dyDescent="0.2">
      <c r="B237" s="309">
        <f>'Eingabe Meldungen'!A238</f>
        <v>0</v>
      </c>
      <c r="C237" s="310">
        <f>'Eingabe Meldungen'!C238</f>
        <v>0</v>
      </c>
      <c r="D237" s="310">
        <f>'Eingabe Meldungen'!D238</f>
        <v>0</v>
      </c>
      <c r="E237" s="311">
        <f>'Eingabe Meldungen'!J238</f>
        <v>0</v>
      </c>
      <c r="F237" s="310" t="e">
        <f>VLOOKUP(B237,Ausschreibung!$B$4:$I$35,4,FALSE)</f>
        <v>#N/A</v>
      </c>
      <c r="G237" s="189" t="e">
        <f t="shared" si="8"/>
        <v>#REF!</v>
      </c>
      <c r="H237" s="189" t="e">
        <f>IF(#REF!="Ergocup",8,"DHM")</f>
        <v>#REF!</v>
      </c>
      <c r="I237" s="40">
        <f>'Eingabe Meldungen'!K444</f>
        <v>0</v>
      </c>
      <c r="J237" s="258"/>
      <c r="K237" s="281">
        <f>IF(Tabelle1[[#This Row],[Bezahlt]]="JA",#REF!,0)</f>
        <v>0</v>
      </c>
      <c r="L237" s="279"/>
    </row>
    <row r="238" spans="2:12" ht="13.8" x14ac:dyDescent="0.2">
      <c r="B238" s="309">
        <f>'Eingabe Meldungen'!A239</f>
        <v>0</v>
      </c>
      <c r="C238" s="310">
        <f>'Eingabe Meldungen'!C239</f>
        <v>0</v>
      </c>
      <c r="D238" s="310">
        <f>'Eingabe Meldungen'!D239</f>
        <v>0</v>
      </c>
      <c r="E238" s="311">
        <f>'Eingabe Meldungen'!J239</f>
        <v>0</v>
      </c>
      <c r="F238" s="310" t="e">
        <f>VLOOKUP(B238,Ausschreibung!$B$4:$I$35,4,FALSE)</f>
        <v>#N/A</v>
      </c>
      <c r="G238" s="189" t="e">
        <f t="shared" si="8"/>
        <v>#REF!</v>
      </c>
      <c r="H238" s="189" t="e">
        <f>IF(#REF!="Ergocup",8,"DHM")</f>
        <v>#REF!</v>
      </c>
      <c r="I238" s="40">
        <f>'Eingabe Meldungen'!K445</f>
        <v>0</v>
      </c>
      <c r="J238" s="258"/>
      <c r="K238" s="281">
        <f>IF(Tabelle1[[#This Row],[Bezahlt]]="JA",#REF!,0)</f>
        <v>0</v>
      </c>
      <c r="L238" s="279"/>
    </row>
    <row r="239" spans="2:12" ht="13.8" x14ac:dyDescent="0.2">
      <c r="B239" s="309">
        <f>'Eingabe Meldungen'!A240</f>
        <v>0</v>
      </c>
      <c r="C239" s="310">
        <f>'Eingabe Meldungen'!C240</f>
        <v>0</v>
      </c>
      <c r="D239" s="310">
        <f>'Eingabe Meldungen'!D240</f>
        <v>0</v>
      </c>
      <c r="E239" s="311">
        <f>'Eingabe Meldungen'!J240</f>
        <v>0</v>
      </c>
      <c r="F239" s="310" t="e">
        <f>VLOOKUP(B239,Ausschreibung!$B$4:$I$35,4,FALSE)</f>
        <v>#N/A</v>
      </c>
      <c r="G239" s="189" t="e">
        <f t="shared" si="8"/>
        <v>#REF!</v>
      </c>
      <c r="H239" s="189" t="e">
        <f>IF(#REF!="Ergocup",8,"DHM")</f>
        <v>#REF!</v>
      </c>
      <c r="I239" s="40">
        <f>'Eingabe Meldungen'!K446</f>
        <v>0</v>
      </c>
      <c r="J239" s="258"/>
      <c r="K239" s="281">
        <f>IF(Tabelle1[[#This Row],[Bezahlt]]="JA",#REF!,0)</f>
        <v>0</v>
      </c>
      <c r="L239" s="279"/>
    </row>
    <row r="240" spans="2:12" ht="13.8" x14ac:dyDescent="0.2">
      <c r="B240" s="309">
        <f>'Eingabe Meldungen'!A241</f>
        <v>0</v>
      </c>
      <c r="C240" s="310">
        <f>'Eingabe Meldungen'!C241</f>
        <v>0</v>
      </c>
      <c r="D240" s="310">
        <f>'Eingabe Meldungen'!D241</f>
        <v>0</v>
      </c>
      <c r="E240" s="311">
        <f>'Eingabe Meldungen'!J241</f>
        <v>0</v>
      </c>
      <c r="F240" s="310" t="e">
        <f>VLOOKUP(B240,Ausschreibung!$B$4:$I$35,4,FALSE)</f>
        <v>#N/A</v>
      </c>
      <c r="G240" s="189" t="e">
        <f t="shared" si="8"/>
        <v>#REF!</v>
      </c>
      <c r="H240" s="189" t="e">
        <f>IF(#REF!="Ergocup",8,"DHM")</f>
        <v>#REF!</v>
      </c>
      <c r="I240" s="40">
        <f>'Eingabe Meldungen'!K447</f>
        <v>0</v>
      </c>
      <c r="J240" s="258"/>
      <c r="K240" s="281">
        <f>IF(Tabelle1[[#This Row],[Bezahlt]]="JA",#REF!,0)</f>
        <v>0</v>
      </c>
      <c r="L240" s="279"/>
    </row>
    <row r="241" spans="2:12" ht="13.8" x14ac:dyDescent="0.2">
      <c r="B241" s="309">
        <f>'Eingabe Meldungen'!A242</f>
        <v>0</v>
      </c>
      <c r="C241" s="310">
        <f>'Eingabe Meldungen'!C242</f>
        <v>0</v>
      </c>
      <c r="D241" s="310">
        <f>'Eingabe Meldungen'!D242</f>
        <v>0</v>
      </c>
      <c r="E241" s="311">
        <f>'Eingabe Meldungen'!J242</f>
        <v>0</v>
      </c>
      <c r="F241" s="310" t="e">
        <f>VLOOKUP(B241,Ausschreibung!$B$4:$I$35,4,FALSE)</f>
        <v>#N/A</v>
      </c>
      <c r="G241" s="189" t="e">
        <f t="shared" si="8"/>
        <v>#REF!</v>
      </c>
      <c r="H241" s="189" t="e">
        <f>IF(#REF!="Ergocup",8,"DHM")</f>
        <v>#REF!</v>
      </c>
      <c r="I241" s="40">
        <f>'Eingabe Meldungen'!K448</f>
        <v>0</v>
      </c>
      <c r="J241" s="258"/>
      <c r="K241" s="281">
        <f>IF(Tabelle1[[#This Row],[Bezahlt]]="JA",#REF!,0)</f>
        <v>0</v>
      </c>
      <c r="L241" s="279"/>
    </row>
    <row r="242" spans="2:12" ht="13.8" x14ac:dyDescent="0.2">
      <c r="B242" s="309">
        <f>'Eingabe Meldungen'!A243</f>
        <v>0</v>
      </c>
      <c r="C242" s="310">
        <f>'Eingabe Meldungen'!C243</f>
        <v>0</v>
      </c>
      <c r="D242" s="310">
        <f>'Eingabe Meldungen'!D243</f>
        <v>0</v>
      </c>
      <c r="E242" s="311">
        <f>'Eingabe Meldungen'!J243</f>
        <v>0</v>
      </c>
      <c r="F242" s="310" t="e">
        <f>VLOOKUP(B242,Ausschreibung!$B$4:$I$35,4,FALSE)</f>
        <v>#N/A</v>
      </c>
      <c r="G242" s="189" t="e">
        <f t="shared" si="8"/>
        <v>#REF!</v>
      </c>
      <c r="H242" s="189" t="e">
        <f>IF(#REF!="Ergocup",8,"DHM")</f>
        <v>#REF!</v>
      </c>
      <c r="I242" s="40">
        <f>'Eingabe Meldungen'!K449</f>
        <v>0</v>
      </c>
      <c r="J242" s="258"/>
      <c r="K242" s="281">
        <f>IF(Tabelle1[[#This Row],[Bezahlt]]="JA",#REF!,0)</f>
        <v>0</v>
      </c>
      <c r="L242" s="279"/>
    </row>
    <row r="243" spans="2:12" s="316" customFormat="1" ht="18" customHeight="1" x14ac:dyDescent="0.2">
      <c r="B243" s="309">
        <f>'Eingabe Meldungen'!A244</f>
        <v>0</v>
      </c>
      <c r="C243" s="310">
        <f>'Eingabe Meldungen'!C244</f>
        <v>0</v>
      </c>
      <c r="D243" s="310">
        <f>'Eingabe Meldungen'!D244</f>
        <v>0</v>
      </c>
      <c r="E243" s="311">
        <f>'Eingabe Meldungen'!J244</f>
        <v>0</v>
      </c>
      <c r="F243" s="310" t="e">
        <f>VLOOKUP(B243,Ausschreibung!$B$4:$I$35,4,FALSE)</f>
        <v>#N/A</v>
      </c>
      <c r="G243" s="312" t="e">
        <f t="shared" si="8"/>
        <v>#REF!</v>
      </c>
      <c r="H243" s="312" t="e">
        <f>IF(#REF!="Ergocup",8,"DHM")</f>
        <v>#REF!</v>
      </c>
      <c r="I243" s="310">
        <f>'Eingabe Meldungen'!K161</f>
        <v>0</v>
      </c>
      <c r="J243" s="313"/>
      <c r="K243" s="314">
        <f>IF(Tabelle1[[#This Row],[Bezahlt]]="JA",#REF!,0)</f>
        <v>0</v>
      </c>
      <c r="L243" s="315"/>
    </row>
    <row r="244" spans="2:12" s="316" customFormat="1" ht="18" customHeight="1" x14ac:dyDescent="0.2">
      <c r="B244" s="309">
        <f>'Eingabe Meldungen'!A245</f>
        <v>0</v>
      </c>
      <c r="C244" s="310">
        <f>'Eingabe Meldungen'!C245</f>
        <v>0</v>
      </c>
      <c r="D244" s="310">
        <f>'Eingabe Meldungen'!D245</f>
        <v>0</v>
      </c>
      <c r="E244" s="311">
        <f>'Eingabe Meldungen'!J245</f>
        <v>0</v>
      </c>
      <c r="F244" s="310" t="e">
        <f>VLOOKUP(B244,Ausschreibung!$B$4:$I$35,4,FALSE)</f>
        <v>#N/A</v>
      </c>
      <c r="G244" s="312" t="e">
        <f t="shared" si="8"/>
        <v>#REF!</v>
      </c>
      <c r="H244" s="312" t="e">
        <f>IF(#REF!="Ergocup",8,"DHM")</f>
        <v>#REF!</v>
      </c>
      <c r="I244" s="310">
        <f>'Eingabe Meldungen'!K206</f>
        <v>0</v>
      </c>
      <c r="J244" s="313"/>
      <c r="K244" s="314">
        <f>IF(Tabelle1[[#This Row],[Bezahlt]]="JA",#REF!,0)</f>
        <v>0</v>
      </c>
      <c r="L244" s="315"/>
    </row>
    <row r="245" spans="2:12" s="316" customFormat="1" ht="18" customHeight="1" x14ac:dyDescent="0.2">
      <c r="B245" s="309">
        <f>'Eingabe Meldungen'!A246</f>
        <v>0</v>
      </c>
      <c r="C245" s="310">
        <f>'Eingabe Meldungen'!C246</f>
        <v>0</v>
      </c>
      <c r="D245" s="310">
        <f>'Eingabe Meldungen'!D246</f>
        <v>0</v>
      </c>
      <c r="E245" s="311">
        <f>'Eingabe Meldungen'!J246</f>
        <v>0</v>
      </c>
      <c r="F245" s="310" t="e">
        <f>VLOOKUP(B245,Ausschreibung!$B$4:$I$35,4,FALSE)</f>
        <v>#N/A</v>
      </c>
      <c r="G245" s="312" t="e">
        <f>IF(#REF!=35,H245-4,H245)</f>
        <v>#REF!</v>
      </c>
      <c r="H245" s="312" t="e">
        <f>IF(#REF!="Ergocup",8,"DHM")</f>
        <v>#REF!</v>
      </c>
      <c r="I245" s="310">
        <f>'Eingabe Meldungen'!K2</f>
        <v>0</v>
      </c>
      <c r="J245" s="313"/>
      <c r="K245" s="314">
        <f>IF(Tabelle1[[#This Row],[Bezahlt]]="JA",#REF!,0)</f>
        <v>0</v>
      </c>
      <c r="L245" s="315"/>
    </row>
    <row r="246" spans="2:12" s="316" customFormat="1" ht="18" customHeight="1" x14ac:dyDescent="0.2">
      <c r="B246" s="309">
        <f>'Eingabe Meldungen'!A247</f>
        <v>0</v>
      </c>
      <c r="C246" s="310">
        <f>'Eingabe Meldungen'!C247</f>
        <v>0</v>
      </c>
      <c r="D246" s="310">
        <f>'Eingabe Meldungen'!D247</f>
        <v>0</v>
      </c>
      <c r="E246" s="311">
        <f>'Eingabe Meldungen'!J247</f>
        <v>0</v>
      </c>
      <c r="F246" s="310" t="e">
        <f>VLOOKUP(B246,Ausschreibung!$B$4:$I$35,4,FALSE)</f>
        <v>#N/A</v>
      </c>
      <c r="G246" s="312" t="e">
        <f t="shared" ref="G246:G309" si="9">IF(B246=35,H246-4,H246)</f>
        <v>#REF!</v>
      </c>
      <c r="H246" s="312" t="e">
        <f>IF(#REF!="Ergocup",8,"DHM")</f>
        <v>#REF!</v>
      </c>
      <c r="I246" s="310">
        <f>'Eingabe Meldungen'!K3</f>
        <v>0</v>
      </c>
      <c r="J246" s="313"/>
      <c r="K246" s="314">
        <f>IF(Tabelle1[[#This Row],[Bezahlt]]="JA",#REF!,0)</f>
        <v>0</v>
      </c>
      <c r="L246" s="315"/>
    </row>
    <row r="247" spans="2:12" s="316" customFormat="1" ht="18" customHeight="1" x14ac:dyDescent="0.2">
      <c r="B247" s="309">
        <f>'Eingabe Meldungen'!A248</f>
        <v>0</v>
      </c>
      <c r="C247" s="310">
        <f>'Eingabe Meldungen'!C248</f>
        <v>0</v>
      </c>
      <c r="D247" s="310">
        <f>'Eingabe Meldungen'!D248</f>
        <v>0</v>
      </c>
      <c r="E247" s="311">
        <f>'Eingabe Meldungen'!J248</f>
        <v>0</v>
      </c>
      <c r="F247" s="310" t="e">
        <f>VLOOKUP(B247,Ausschreibung!$B$4:$I$35,4,FALSE)</f>
        <v>#N/A</v>
      </c>
      <c r="G247" s="312" t="e">
        <f t="shared" si="9"/>
        <v>#REF!</v>
      </c>
      <c r="H247" s="312" t="e">
        <f>IF(#REF!="Ergocup",8,"DHM")</f>
        <v>#REF!</v>
      </c>
      <c r="I247" s="310">
        <f>'Eingabe Meldungen'!K100</f>
        <v>0</v>
      </c>
      <c r="J247" s="313"/>
      <c r="K247" s="314">
        <f>IF(Tabelle1[[#This Row],[Bezahlt]]="JA",#REF!,0)</f>
        <v>0</v>
      </c>
      <c r="L247" s="315"/>
    </row>
    <row r="248" spans="2:12" s="316" customFormat="1" ht="18" customHeight="1" x14ac:dyDescent="0.2">
      <c r="B248" s="309">
        <f>'Eingabe Meldungen'!A249</f>
        <v>0</v>
      </c>
      <c r="C248" s="310">
        <f>'Eingabe Meldungen'!C249</f>
        <v>0</v>
      </c>
      <c r="D248" s="310">
        <f>'Eingabe Meldungen'!D249</f>
        <v>0</v>
      </c>
      <c r="E248" s="311">
        <f>'Eingabe Meldungen'!J249</f>
        <v>0</v>
      </c>
      <c r="F248" s="310" t="e">
        <f>VLOOKUP(B248,Ausschreibung!$B$4:$I$35,4,FALSE)</f>
        <v>#N/A</v>
      </c>
      <c r="G248" s="312" t="e">
        <f t="shared" si="9"/>
        <v>#REF!</v>
      </c>
      <c r="H248" s="312" t="e">
        <f>IF(#REF!="Ergocup",8,"DHM")</f>
        <v>#REF!</v>
      </c>
      <c r="I248" s="310">
        <f>'Eingabe Meldungen'!K68</f>
        <v>0</v>
      </c>
      <c r="J248" s="313"/>
      <c r="K248" s="314">
        <f>IF(Tabelle1[[#This Row],[Bezahlt]]="JA",#REF!,0)</f>
        <v>0</v>
      </c>
      <c r="L248" s="315"/>
    </row>
    <row r="249" spans="2:12" s="316" customFormat="1" ht="18" customHeight="1" x14ac:dyDescent="0.2">
      <c r="B249" s="309">
        <f>'Eingabe Meldungen'!A250</f>
        <v>0</v>
      </c>
      <c r="C249" s="310">
        <f>'Eingabe Meldungen'!C250</f>
        <v>0</v>
      </c>
      <c r="D249" s="310">
        <f>'Eingabe Meldungen'!D250</f>
        <v>0</v>
      </c>
      <c r="E249" s="311">
        <f>'Eingabe Meldungen'!J250</f>
        <v>0</v>
      </c>
      <c r="F249" s="310" t="e">
        <f>VLOOKUP(B249,Ausschreibung!$B$4:$I$35,4,FALSE)</f>
        <v>#N/A</v>
      </c>
      <c r="G249" s="312" t="e">
        <f t="shared" si="9"/>
        <v>#REF!</v>
      </c>
      <c r="H249" s="312" t="e">
        <f>IF(#REF!="Ergocup",8,"DHM")</f>
        <v>#REF!</v>
      </c>
      <c r="I249" s="310">
        <f>'Eingabe Meldungen'!K33</f>
        <v>0</v>
      </c>
      <c r="J249" s="313"/>
      <c r="K249" s="314">
        <f>IF(Tabelle1[[#This Row],[Bezahlt]]="JA",#REF!,0)</f>
        <v>0</v>
      </c>
      <c r="L249" s="315"/>
    </row>
    <row r="250" spans="2:12" s="316" customFormat="1" ht="18" customHeight="1" x14ac:dyDescent="0.2">
      <c r="B250" s="309">
        <f>'Eingabe Meldungen'!A251</f>
        <v>0</v>
      </c>
      <c r="C250" s="310">
        <f>'Eingabe Meldungen'!C251</f>
        <v>0</v>
      </c>
      <c r="D250" s="310">
        <f>'Eingabe Meldungen'!D251</f>
        <v>0</v>
      </c>
      <c r="E250" s="311">
        <f>'Eingabe Meldungen'!J251</f>
        <v>0</v>
      </c>
      <c r="F250" s="310" t="e">
        <f>VLOOKUP(B250,Ausschreibung!$B$4:$I$35,4,FALSE)</f>
        <v>#N/A</v>
      </c>
      <c r="G250" s="312" t="e">
        <f t="shared" si="9"/>
        <v>#REF!</v>
      </c>
      <c r="H250" s="312" t="e">
        <f>IF(#REF!="Ergocup",8,"DHM")</f>
        <v>#REF!</v>
      </c>
      <c r="I250" s="310">
        <f>'Eingabe Meldungen'!K181</f>
        <v>0</v>
      </c>
      <c r="J250" s="313"/>
      <c r="K250" s="314">
        <f>IF(Tabelle1[[#This Row],[Bezahlt]]="JA",#REF!,0)</f>
        <v>0</v>
      </c>
      <c r="L250" s="315"/>
    </row>
    <row r="251" spans="2:12" s="316" customFormat="1" ht="18" customHeight="1" x14ac:dyDescent="0.2">
      <c r="B251" s="309">
        <f>'Eingabe Meldungen'!A252</f>
        <v>0</v>
      </c>
      <c r="C251" s="310">
        <f>'Eingabe Meldungen'!C252</f>
        <v>0</v>
      </c>
      <c r="D251" s="310">
        <f>'Eingabe Meldungen'!D252</f>
        <v>0</v>
      </c>
      <c r="E251" s="311">
        <f>'Eingabe Meldungen'!J252</f>
        <v>0</v>
      </c>
      <c r="F251" s="310" t="e">
        <f>VLOOKUP(B251,Ausschreibung!$B$4:$I$35,4,FALSE)</f>
        <v>#N/A</v>
      </c>
      <c r="G251" s="312" t="e">
        <f t="shared" si="9"/>
        <v>#REF!</v>
      </c>
      <c r="H251" s="312" t="e">
        <f>IF(#REF!="Ergocup",8,"DHM")</f>
        <v>#REF!</v>
      </c>
      <c r="I251" s="310">
        <f>'Eingabe Meldungen'!K111</f>
        <v>0</v>
      </c>
      <c r="J251" s="313"/>
      <c r="K251" s="314">
        <f>IF(Tabelle1[[#This Row],[Bezahlt]]="JA",#REF!,0)</f>
        <v>0</v>
      </c>
      <c r="L251" s="315"/>
    </row>
    <row r="252" spans="2:12" s="316" customFormat="1" ht="18" customHeight="1" x14ac:dyDescent="0.2">
      <c r="B252" s="309">
        <f>'Eingabe Meldungen'!A253</f>
        <v>0</v>
      </c>
      <c r="C252" s="310">
        <f>'Eingabe Meldungen'!C253</f>
        <v>0</v>
      </c>
      <c r="D252" s="310">
        <f>'Eingabe Meldungen'!D253</f>
        <v>0</v>
      </c>
      <c r="E252" s="311">
        <f>'Eingabe Meldungen'!J253</f>
        <v>0</v>
      </c>
      <c r="F252" s="310" t="e">
        <f>VLOOKUP(B252,Ausschreibung!$B$4:$I$35,4,FALSE)</f>
        <v>#N/A</v>
      </c>
      <c r="G252" s="312" t="e">
        <f t="shared" si="9"/>
        <v>#REF!</v>
      </c>
      <c r="H252" s="312" t="e">
        <f>IF(#REF!="Ergocup",8,"DHM")</f>
        <v>#REF!</v>
      </c>
      <c r="I252" s="310">
        <f>'Eingabe Meldungen'!K445</f>
        <v>0</v>
      </c>
      <c r="J252" s="313"/>
      <c r="K252" s="314">
        <f>IF(Tabelle1[[#This Row],[Bezahlt]]="JA",#REF!,0)</f>
        <v>0</v>
      </c>
      <c r="L252" s="315"/>
    </row>
    <row r="253" spans="2:12" s="316" customFormat="1" ht="18" customHeight="1" x14ac:dyDescent="0.2">
      <c r="B253" s="309">
        <f>'Eingabe Meldungen'!A254</f>
        <v>0</v>
      </c>
      <c r="C253" s="310">
        <f>'Eingabe Meldungen'!C254</f>
        <v>0</v>
      </c>
      <c r="D253" s="310">
        <f>'Eingabe Meldungen'!D254</f>
        <v>0</v>
      </c>
      <c r="E253" s="311">
        <f>'Eingabe Meldungen'!J254</f>
        <v>0</v>
      </c>
      <c r="F253" s="310" t="e">
        <f>VLOOKUP(B253,Ausschreibung!$B$4:$I$35,4,FALSE)</f>
        <v>#N/A</v>
      </c>
      <c r="G253" s="312" t="e">
        <f t="shared" si="9"/>
        <v>#REF!</v>
      </c>
      <c r="H253" s="312" t="e">
        <f>IF(#REF!="Ergocup",8,"DHM")</f>
        <v>#REF!</v>
      </c>
      <c r="I253" s="310">
        <f>'Eingabe Meldungen'!K446</f>
        <v>0</v>
      </c>
      <c r="J253" s="313"/>
      <c r="K253" s="314">
        <f>IF(Tabelle1[[#This Row],[Bezahlt]]="JA",#REF!,0)</f>
        <v>0</v>
      </c>
      <c r="L253" s="315"/>
    </row>
    <row r="254" spans="2:12" s="316" customFormat="1" ht="18" customHeight="1" x14ac:dyDescent="0.2">
      <c r="B254" s="309">
        <f>'Eingabe Meldungen'!A255</f>
        <v>0</v>
      </c>
      <c r="C254" s="310">
        <f>'Eingabe Meldungen'!C255</f>
        <v>0</v>
      </c>
      <c r="D254" s="310">
        <f>'Eingabe Meldungen'!D255</f>
        <v>0</v>
      </c>
      <c r="E254" s="311">
        <f>'Eingabe Meldungen'!J255</f>
        <v>0</v>
      </c>
      <c r="F254" s="310" t="e">
        <f>VLOOKUP(B254,Ausschreibung!$B$4:$I$35,4,FALSE)</f>
        <v>#N/A</v>
      </c>
      <c r="G254" s="312" t="e">
        <f t="shared" si="9"/>
        <v>#REF!</v>
      </c>
      <c r="H254" s="312" t="e">
        <f>IF(#REF!="Ergocup",8,"DHM")</f>
        <v>#REF!</v>
      </c>
      <c r="I254" s="310">
        <f>'Eingabe Meldungen'!K447</f>
        <v>0</v>
      </c>
      <c r="J254" s="313"/>
      <c r="K254" s="314">
        <f>IF(Tabelle1[[#This Row],[Bezahlt]]="JA",#REF!,0)</f>
        <v>0</v>
      </c>
      <c r="L254" s="315"/>
    </row>
    <row r="255" spans="2:12" s="316" customFormat="1" ht="18" customHeight="1" x14ac:dyDescent="0.2">
      <c r="B255" s="309">
        <f>'Eingabe Meldungen'!A256</f>
        <v>0</v>
      </c>
      <c r="C255" s="310">
        <f>'Eingabe Meldungen'!C256</f>
        <v>0</v>
      </c>
      <c r="D255" s="310">
        <f>'Eingabe Meldungen'!D256</f>
        <v>0</v>
      </c>
      <c r="E255" s="311">
        <f>'Eingabe Meldungen'!J256</f>
        <v>0</v>
      </c>
      <c r="F255" s="310" t="e">
        <f>VLOOKUP(B255,Ausschreibung!$B$4:$I$35,4,FALSE)</f>
        <v>#N/A</v>
      </c>
      <c r="G255" s="312" t="e">
        <f t="shared" si="9"/>
        <v>#REF!</v>
      </c>
      <c r="H255" s="312" t="e">
        <f>IF(#REF!="Ergocup",8,"DHM")</f>
        <v>#REF!</v>
      </c>
      <c r="I255" s="310">
        <f>'Eingabe Meldungen'!K448</f>
        <v>0</v>
      </c>
      <c r="J255" s="313"/>
      <c r="K255" s="314">
        <f>IF(Tabelle1[[#This Row],[Bezahlt]]="JA",#REF!,0)</f>
        <v>0</v>
      </c>
      <c r="L255" s="315"/>
    </row>
    <row r="256" spans="2:12" s="316" customFormat="1" ht="18" customHeight="1" x14ac:dyDescent="0.2">
      <c r="B256" s="309">
        <f>'Eingabe Meldungen'!A257</f>
        <v>0</v>
      </c>
      <c r="C256" s="310">
        <f>'Eingabe Meldungen'!C257</f>
        <v>0</v>
      </c>
      <c r="D256" s="310">
        <f>'Eingabe Meldungen'!D257</f>
        <v>0</v>
      </c>
      <c r="E256" s="311">
        <f>'Eingabe Meldungen'!J257</f>
        <v>0</v>
      </c>
      <c r="F256" s="310" t="e">
        <f>VLOOKUP(B256,Ausschreibung!$B$4:$I$35,4,FALSE)</f>
        <v>#N/A</v>
      </c>
      <c r="G256" s="312" t="e">
        <f t="shared" si="9"/>
        <v>#REF!</v>
      </c>
      <c r="H256" s="312" t="e">
        <f>IF(#REF!="Ergocup",8,"DHM")</f>
        <v>#REF!</v>
      </c>
      <c r="I256" s="310">
        <f>'Eingabe Meldungen'!K449</f>
        <v>0</v>
      </c>
      <c r="J256" s="313"/>
      <c r="K256" s="314">
        <f>IF(Tabelle1[[#This Row],[Bezahlt]]="JA",#REF!,0)</f>
        <v>0</v>
      </c>
      <c r="L256" s="315"/>
    </row>
    <row r="257" spans="2:12" s="316" customFormat="1" ht="18" customHeight="1" x14ac:dyDescent="0.2">
      <c r="B257" s="309">
        <f>'Eingabe Meldungen'!A258</f>
        <v>0</v>
      </c>
      <c r="C257" s="310">
        <f>'Eingabe Meldungen'!C258</f>
        <v>0</v>
      </c>
      <c r="D257" s="310">
        <f>'Eingabe Meldungen'!D258</f>
        <v>0</v>
      </c>
      <c r="E257" s="311">
        <f>'Eingabe Meldungen'!J258</f>
        <v>0</v>
      </c>
      <c r="F257" s="310" t="e">
        <f>VLOOKUP(B257,Ausschreibung!$B$4:$I$35,4,FALSE)</f>
        <v>#N/A</v>
      </c>
      <c r="G257" s="312" t="e">
        <f t="shared" si="9"/>
        <v>#REF!</v>
      </c>
      <c r="H257" s="312" t="e">
        <f>IF(#REF!="Ergocup",8,"DHM")</f>
        <v>#REF!</v>
      </c>
      <c r="I257" s="310">
        <f>'Eingabe Meldungen'!K450</f>
        <v>0</v>
      </c>
      <c r="J257" s="313"/>
      <c r="K257" s="314">
        <f>IF(Tabelle1[[#This Row],[Bezahlt]]="JA",#REF!,0)</f>
        <v>0</v>
      </c>
      <c r="L257" s="315"/>
    </row>
    <row r="258" spans="2:12" s="316" customFormat="1" ht="18" customHeight="1" x14ac:dyDescent="0.2">
      <c r="B258" s="309">
        <f>'Eingabe Meldungen'!A259</f>
        <v>0</v>
      </c>
      <c r="C258" s="310">
        <f>'Eingabe Meldungen'!C259</f>
        <v>0</v>
      </c>
      <c r="D258" s="310">
        <f>'Eingabe Meldungen'!D259</f>
        <v>0</v>
      </c>
      <c r="E258" s="311">
        <f>'Eingabe Meldungen'!J259</f>
        <v>0</v>
      </c>
      <c r="F258" s="310" t="e">
        <f>VLOOKUP(B258,Ausschreibung!$B$4:$I$35,4,FALSE)</f>
        <v>#N/A</v>
      </c>
      <c r="G258" s="312" t="e">
        <f t="shared" si="9"/>
        <v>#REF!</v>
      </c>
      <c r="H258" s="312" t="e">
        <f>IF(#REF!="Ergocup",8,"DHM")</f>
        <v>#REF!</v>
      </c>
      <c r="I258" s="310">
        <f>'Eingabe Meldungen'!K185</f>
        <v>0</v>
      </c>
      <c r="J258" s="313"/>
      <c r="K258" s="314">
        <f>IF(Tabelle1[[#This Row],[Bezahlt]]="JA",#REF!,0)</f>
        <v>0</v>
      </c>
      <c r="L258" s="315"/>
    </row>
    <row r="259" spans="2:12" s="316" customFormat="1" ht="18" customHeight="1" x14ac:dyDescent="0.2">
      <c r="B259" s="309">
        <f>'Eingabe Meldungen'!A260</f>
        <v>0</v>
      </c>
      <c r="C259" s="310">
        <f>'Eingabe Meldungen'!C260</f>
        <v>0</v>
      </c>
      <c r="D259" s="310">
        <f>'Eingabe Meldungen'!D260</f>
        <v>0</v>
      </c>
      <c r="E259" s="311">
        <f>'Eingabe Meldungen'!J260</f>
        <v>0</v>
      </c>
      <c r="F259" s="310" t="e">
        <f>VLOOKUP(B259,Ausschreibung!$B$4:$I$35,4,FALSE)</f>
        <v>#N/A</v>
      </c>
      <c r="G259" s="312" t="e">
        <f t="shared" si="9"/>
        <v>#REF!</v>
      </c>
      <c r="H259" s="312" t="e">
        <f>IF(#REF!="Ergocup",8,"DHM")</f>
        <v>#REF!</v>
      </c>
      <c r="I259" s="310">
        <f>'Eingabe Meldungen'!K72</f>
        <v>0</v>
      </c>
      <c r="J259" s="313"/>
      <c r="K259" s="314">
        <f>IF(Tabelle1[[#This Row],[Bezahlt]]="JA",#REF!,0)</f>
        <v>0</v>
      </c>
      <c r="L259" s="315"/>
    </row>
    <row r="260" spans="2:12" s="316" customFormat="1" ht="18" customHeight="1" x14ac:dyDescent="0.2">
      <c r="B260" s="309">
        <f>'Eingabe Meldungen'!A261</f>
        <v>0</v>
      </c>
      <c r="C260" s="310">
        <f>'Eingabe Meldungen'!C261</f>
        <v>0</v>
      </c>
      <c r="D260" s="310">
        <f>'Eingabe Meldungen'!D261</f>
        <v>0</v>
      </c>
      <c r="E260" s="311">
        <f>'Eingabe Meldungen'!J261</f>
        <v>0</v>
      </c>
      <c r="F260" s="310" t="e">
        <f>VLOOKUP(B260,Ausschreibung!$B$4:$I$35,4,FALSE)</f>
        <v>#N/A</v>
      </c>
      <c r="G260" s="312" t="e">
        <f t="shared" si="9"/>
        <v>#REF!</v>
      </c>
      <c r="H260" s="312" t="e">
        <f>IF(#REF!="Ergocup",8,"DHM")</f>
        <v>#REF!</v>
      </c>
      <c r="I260" s="310">
        <f>'Eingabe Meldungen'!K29</f>
        <v>0</v>
      </c>
      <c r="J260" s="313"/>
      <c r="K260" s="314">
        <f>IF(Tabelle1[[#This Row],[Bezahlt]]="JA",#REF!,0)</f>
        <v>0</v>
      </c>
      <c r="L260" s="315"/>
    </row>
    <row r="261" spans="2:12" s="316" customFormat="1" ht="18" customHeight="1" x14ac:dyDescent="0.2">
      <c r="B261" s="309">
        <f>'Eingabe Meldungen'!A262</f>
        <v>0</v>
      </c>
      <c r="C261" s="310">
        <f>'Eingabe Meldungen'!C262</f>
        <v>0</v>
      </c>
      <c r="D261" s="310">
        <f>'Eingabe Meldungen'!D262</f>
        <v>0</v>
      </c>
      <c r="E261" s="311">
        <f>'Eingabe Meldungen'!J262</f>
        <v>0</v>
      </c>
      <c r="F261" s="310" t="e">
        <f>VLOOKUP(B261,Ausschreibung!$B$4:$I$35,4,FALSE)</f>
        <v>#N/A</v>
      </c>
      <c r="G261" s="312" t="e">
        <f t="shared" si="9"/>
        <v>#REF!</v>
      </c>
      <c r="H261" s="312" t="e">
        <f>IF(#REF!="Ergocup",8,"DHM")</f>
        <v>#REF!</v>
      </c>
      <c r="I261" s="310">
        <f>'Eingabe Meldungen'!K154</f>
        <v>0</v>
      </c>
      <c r="J261" s="313"/>
      <c r="K261" s="314">
        <f>IF(Tabelle1[[#This Row],[Bezahlt]]="JA",#REF!,0)</f>
        <v>0</v>
      </c>
      <c r="L261" s="315"/>
    </row>
    <row r="262" spans="2:12" s="316" customFormat="1" ht="18" customHeight="1" x14ac:dyDescent="0.2">
      <c r="B262" s="309">
        <f>'Eingabe Meldungen'!A263</f>
        <v>0</v>
      </c>
      <c r="C262" s="310">
        <f>'Eingabe Meldungen'!C263</f>
        <v>0</v>
      </c>
      <c r="D262" s="310">
        <f>'Eingabe Meldungen'!D263</f>
        <v>0</v>
      </c>
      <c r="E262" s="311">
        <f>'Eingabe Meldungen'!J263</f>
        <v>0</v>
      </c>
      <c r="F262" s="310" t="e">
        <f>VLOOKUP(B262,Ausschreibung!$B$4:$I$35,4,FALSE)</f>
        <v>#N/A</v>
      </c>
      <c r="G262" s="312" t="e">
        <f t="shared" si="9"/>
        <v>#REF!</v>
      </c>
      <c r="H262" s="312" t="e">
        <f>IF(#REF!="Ergocup",8,"DHM")</f>
        <v>#REF!</v>
      </c>
      <c r="I262" s="310" t="str">
        <f>'Eingabe Meldungen'!K210</f>
        <v>JA</v>
      </c>
      <c r="J262" s="313"/>
      <c r="K262" s="314">
        <f>IF(Tabelle1[[#This Row],[Bezahlt]]="JA",#REF!,0)</f>
        <v>0</v>
      </c>
      <c r="L262" s="315"/>
    </row>
    <row r="263" spans="2:12" s="316" customFormat="1" ht="18" customHeight="1" x14ac:dyDescent="0.2">
      <c r="B263" s="309">
        <f>'Eingabe Meldungen'!A264</f>
        <v>0</v>
      </c>
      <c r="C263" s="310">
        <f>'Eingabe Meldungen'!C264</f>
        <v>0</v>
      </c>
      <c r="D263" s="310">
        <f>'Eingabe Meldungen'!D264</f>
        <v>0</v>
      </c>
      <c r="E263" s="311">
        <f>'Eingabe Meldungen'!J264</f>
        <v>0</v>
      </c>
      <c r="F263" s="310" t="e">
        <f>VLOOKUP(B263,Ausschreibung!$B$4:$I$35,4,FALSE)</f>
        <v>#N/A</v>
      </c>
      <c r="G263" s="312" t="e">
        <f t="shared" si="9"/>
        <v>#REF!</v>
      </c>
      <c r="H263" s="312" t="e">
        <f>IF(#REF!="Ergocup",8,"DHM")</f>
        <v>#REF!</v>
      </c>
      <c r="I263" s="310">
        <f>'Eingabe Meldungen'!K145</f>
        <v>0</v>
      </c>
      <c r="J263" s="313"/>
      <c r="K263" s="314">
        <f>IF(Tabelle1[[#This Row],[Bezahlt]]="JA",#REF!,0)</f>
        <v>0</v>
      </c>
      <c r="L263" s="315"/>
    </row>
    <row r="264" spans="2:12" s="316" customFormat="1" ht="18" customHeight="1" x14ac:dyDescent="0.2">
      <c r="B264" s="309">
        <f>'Eingabe Meldungen'!A265</f>
        <v>0</v>
      </c>
      <c r="C264" s="310">
        <f>'Eingabe Meldungen'!C265</f>
        <v>0</v>
      </c>
      <c r="D264" s="310">
        <f>'Eingabe Meldungen'!D265</f>
        <v>0</v>
      </c>
      <c r="E264" s="311">
        <f>'Eingabe Meldungen'!J265</f>
        <v>0</v>
      </c>
      <c r="F264" s="310" t="e">
        <f>VLOOKUP(B264,Ausschreibung!$B$4:$I$35,4,FALSE)</f>
        <v>#N/A</v>
      </c>
      <c r="G264" s="312" t="e">
        <f t="shared" si="9"/>
        <v>#REF!</v>
      </c>
      <c r="H264" s="312" t="e">
        <f>IF(#REF!="Ergocup",8,"DHM")</f>
        <v>#REF!</v>
      </c>
      <c r="I264" s="310">
        <f>'Eingabe Meldungen'!K188</f>
        <v>0</v>
      </c>
      <c r="J264" s="313"/>
      <c r="K264" s="314">
        <f>IF(Tabelle1[[#This Row],[Bezahlt]]="JA",#REF!,0)</f>
        <v>0</v>
      </c>
      <c r="L264" s="315"/>
    </row>
    <row r="265" spans="2:12" s="316" customFormat="1" ht="18" customHeight="1" x14ac:dyDescent="0.2">
      <c r="B265" s="309">
        <f>'Eingabe Meldungen'!A266</f>
        <v>0</v>
      </c>
      <c r="C265" s="310">
        <f>'Eingabe Meldungen'!C266</f>
        <v>0</v>
      </c>
      <c r="D265" s="310">
        <f>'Eingabe Meldungen'!D266</f>
        <v>0</v>
      </c>
      <c r="E265" s="311">
        <f>'Eingabe Meldungen'!J266</f>
        <v>0</v>
      </c>
      <c r="F265" s="310" t="e">
        <f>VLOOKUP(B265,Ausschreibung!$B$4:$I$35,4,FALSE)</f>
        <v>#N/A</v>
      </c>
      <c r="G265" s="312" t="e">
        <f t="shared" si="9"/>
        <v>#REF!</v>
      </c>
      <c r="H265" s="312" t="e">
        <f>IF(#REF!="Ergocup",8,"DHM")</f>
        <v>#REF!</v>
      </c>
      <c r="I265" s="310">
        <f>'Eingabe Meldungen'!K133</f>
        <v>0</v>
      </c>
      <c r="J265" s="313"/>
      <c r="K265" s="314">
        <f>IF(Tabelle1[[#This Row],[Bezahlt]]="JA",#REF!,0)</f>
        <v>0</v>
      </c>
      <c r="L265" s="315"/>
    </row>
    <row r="266" spans="2:12" s="316" customFormat="1" ht="18" customHeight="1" x14ac:dyDescent="0.2">
      <c r="B266" s="309">
        <f>'Eingabe Meldungen'!A267</f>
        <v>0</v>
      </c>
      <c r="C266" s="310">
        <f>'Eingabe Meldungen'!C267</f>
        <v>0</v>
      </c>
      <c r="D266" s="310">
        <f>'Eingabe Meldungen'!D267</f>
        <v>0</v>
      </c>
      <c r="E266" s="311">
        <f>'Eingabe Meldungen'!J267</f>
        <v>0</v>
      </c>
      <c r="F266" s="310" t="e">
        <f>VLOOKUP(B266,Ausschreibung!$B$4:$I$35,4,FALSE)</f>
        <v>#N/A</v>
      </c>
      <c r="G266" s="312" t="e">
        <f t="shared" si="9"/>
        <v>#REF!</v>
      </c>
      <c r="H266" s="312" t="e">
        <f>IF(#REF!="Ergocup",8,"DHM")</f>
        <v>#REF!</v>
      </c>
      <c r="I266" s="310">
        <f>'Eingabe Meldungen'!K149</f>
        <v>0</v>
      </c>
      <c r="J266" s="313"/>
      <c r="K266" s="314">
        <f>IF(Tabelle1[[#This Row],[Bezahlt]]="JA",#REF!,0)</f>
        <v>0</v>
      </c>
      <c r="L266" s="315"/>
    </row>
    <row r="267" spans="2:12" s="316" customFormat="1" ht="18" customHeight="1" x14ac:dyDescent="0.2">
      <c r="B267" s="309">
        <f>'Eingabe Meldungen'!A268</f>
        <v>0</v>
      </c>
      <c r="C267" s="310">
        <f>'Eingabe Meldungen'!C268</f>
        <v>0</v>
      </c>
      <c r="D267" s="310">
        <f>'Eingabe Meldungen'!D268</f>
        <v>0</v>
      </c>
      <c r="E267" s="311">
        <f>'Eingabe Meldungen'!J268</f>
        <v>0</v>
      </c>
      <c r="F267" s="310" t="e">
        <f>VLOOKUP(B267,Ausschreibung!$B$4:$I$35,4,FALSE)</f>
        <v>#N/A</v>
      </c>
      <c r="G267" s="312" t="e">
        <f t="shared" si="9"/>
        <v>#REF!</v>
      </c>
      <c r="H267" s="312" t="e">
        <f>IF(#REF!="Ergocup",8,"DHM")</f>
        <v>#REF!</v>
      </c>
      <c r="I267" s="310">
        <f>'Eingabe Meldungen'!K28</f>
        <v>0</v>
      </c>
      <c r="J267" s="313"/>
      <c r="K267" s="314">
        <f>IF(Tabelle1[[#This Row],[Bezahlt]]="JA",#REF!,0)</f>
        <v>0</v>
      </c>
      <c r="L267" s="315"/>
    </row>
    <row r="268" spans="2:12" s="316" customFormat="1" ht="18" customHeight="1" x14ac:dyDescent="0.2">
      <c r="B268" s="309">
        <f>'Eingabe Meldungen'!A269</f>
        <v>0</v>
      </c>
      <c r="C268" s="310">
        <f>'Eingabe Meldungen'!C269</f>
        <v>0</v>
      </c>
      <c r="D268" s="310">
        <f>'Eingabe Meldungen'!D269</f>
        <v>0</v>
      </c>
      <c r="E268" s="311">
        <f>'Eingabe Meldungen'!J269</f>
        <v>0</v>
      </c>
      <c r="F268" s="310" t="e">
        <f>VLOOKUP(B268,Ausschreibung!$B$4:$I$35,4,FALSE)</f>
        <v>#N/A</v>
      </c>
      <c r="G268" s="312" t="e">
        <f t="shared" si="9"/>
        <v>#REF!</v>
      </c>
      <c r="H268" s="312" t="e">
        <f>IF(#REF!="Ergocup",8,"DHM")</f>
        <v>#REF!</v>
      </c>
      <c r="I268" s="310">
        <f>'Eingabe Meldungen'!K77</f>
        <v>0</v>
      </c>
      <c r="J268" s="313"/>
      <c r="K268" s="314">
        <f>IF(Tabelle1[[#This Row],[Bezahlt]]="JA",#REF!,0)</f>
        <v>0</v>
      </c>
      <c r="L268" s="315"/>
    </row>
    <row r="269" spans="2:12" s="316" customFormat="1" ht="18" customHeight="1" x14ac:dyDescent="0.2">
      <c r="B269" s="309">
        <f>'Eingabe Meldungen'!A270</f>
        <v>0</v>
      </c>
      <c r="C269" s="310">
        <f>'Eingabe Meldungen'!C270</f>
        <v>0</v>
      </c>
      <c r="D269" s="310">
        <f>'Eingabe Meldungen'!D270</f>
        <v>0</v>
      </c>
      <c r="E269" s="311">
        <f>'Eingabe Meldungen'!J270</f>
        <v>0</v>
      </c>
      <c r="F269" s="310" t="e">
        <f>VLOOKUP(B269,Ausschreibung!$B$4:$I$35,4,FALSE)</f>
        <v>#N/A</v>
      </c>
      <c r="G269" s="312" t="e">
        <f t="shared" si="9"/>
        <v>#REF!</v>
      </c>
      <c r="H269" s="312" t="e">
        <f>IF(#REF!="Ergocup",8,"DHM")</f>
        <v>#REF!</v>
      </c>
      <c r="I269" s="310">
        <f>'Eingabe Meldungen'!K54</f>
        <v>0</v>
      </c>
      <c r="J269" s="313"/>
      <c r="K269" s="314">
        <f>IF(Tabelle1[[#This Row],[Bezahlt]]="JA",#REF!,0)</f>
        <v>0</v>
      </c>
      <c r="L269" s="315"/>
    </row>
    <row r="270" spans="2:12" s="316" customFormat="1" ht="18" customHeight="1" x14ac:dyDescent="0.2">
      <c r="B270" s="309">
        <f>'Eingabe Meldungen'!A271</f>
        <v>0</v>
      </c>
      <c r="C270" s="310">
        <f>'Eingabe Meldungen'!C271</f>
        <v>0</v>
      </c>
      <c r="D270" s="310">
        <f>'Eingabe Meldungen'!D271</f>
        <v>0</v>
      </c>
      <c r="E270" s="311">
        <f>'Eingabe Meldungen'!J271</f>
        <v>0</v>
      </c>
      <c r="F270" s="310" t="e">
        <f>VLOOKUP(B270,Ausschreibung!$B$4:$I$35,4,FALSE)</f>
        <v>#N/A</v>
      </c>
      <c r="G270" s="312" t="e">
        <f t="shared" si="9"/>
        <v>#REF!</v>
      </c>
      <c r="H270" s="312" t="e">
        <f>IF(#REF!="Ergocup",8,"DHM")</f>
        <v>#REF!</v>
      </c>
      <c r="I270" s="310">
        <f>'Eingabe Meldungen'!K192</f>
        <v>0</v>
      </c>
      <c r="J270" s="313"/>
      <c r="K270" s="314">
        <f>IF(Tabelle1[[#This Row],[Bezahlt]]="JA",#REF!,0)</f>
        <v>0</v>
      </c>
      <c r="L270" s="315"/>
    </row>
    <row r="271" spans="2:12" s="316" customFormat="1" ht="18" customHeight="1" x14ac:dyDescent="0.2">
      <c r="B271" s="309">
        <f>'Eingabe Meldungen'!A272</f>
        <v>0</v>
      </c>
      <c r="C271" s="310">
        <f>'Eingabe Meldungen'!C272</f>
        <v>0</v>
      </c>
      <c r="D271" s="310">
        <f>'Eingabe Meldungen'!D272</f>
        <v>0</v>
      </c>
      <c r="E271" s="311">
        <f>'Eingabe Meldungen'!J272</f>
        <v>0</v>
      </c>
      <c r="F271" s="310" t="e">
        <f>VLOOKUP(B271,Ausschreibung!$B$4:$I$35,4,FALSE)</f>
        <v>#N/A</v>
      </c>
      <c r="G271" s="312" t="e">
        <f t="shared" si="9"/>
        <v>#REF!</v>
      </c>
      <c r="H271" s="312" t="e">
        <f>IF(#REF!="Ergocup",8,"DHM")</f>
        <v>#REF!</v>
      </c>
      <c r="I271" s="310">
        <f>'Eingabe Meldungen'!K105</f>
        <v>0</v>
      </c>
      <c r="J271" s="313"/>
      <c r="K271" s="314">
        <f>IF(Tabelle1[[#This Row],[Bezahlt]]="JA",#REF!,0)</f>
        <v>0</v>
      </c>
      <c r="L271" s="315"/>
    </row>
    <row r="272" spans="2:12" s="316" customFormat="1" ht="18" customHeight="1" x14ac:dyDescent="0.2">
      <c r="B272" s="309">
        <f>'Eingabe Meldungen'!A273</f>
        <v>0</v>
      </c>
      <c r="C272" s="310">
        <f>'Eingabe Meldungen'!C273</f>
        <v>0</v>
      </c>
      <c r="D272" s="310">
        <f>'Eingabe Meldungen'!D273</f>
        <v>0</v>
      </c>
      <c r="E272" s="311">
        <f>'Eingabe Meldungen'!J273</f>
        <v>0</v>
      </c>
      <c r="F272" s="310" t="e">
        <f>VLOOKUP(B272,Ausschreibung!$B$4:$I$35,4,FALSE)</f>
        <v>#N/A</v>
      </c>
      <c r="G272" s="312" t="e">
        <f t="shared" si="9"/>
        <v>#REF!</v>
      </c>
      <c r="H272" s="312" t="e">
        <f>IF(#REF!="Ergocup",8,"DHM")</f>
        <v>#REF!</v>
      </c>
      <c r="I272" s="310">
        <f>'Eingabe Meldungen'!K112</f>
        <v>0</v>
      </c>
      <c r="J272" s="313"/>
      <c r="K272" s="314">
        <f>IF(Tabelle1[[#This Row],[Bezahlt]]="JA",#REF!,0)</f>
        <v>0</v>
      </c>
      <c r="L272" s="315"/>
    </row>
    <row r="273" spans="2:12" s="316" customFormat="1" ht="18" customHeight="1" x14ac:dyDescent="0.2">
      <c r="B273" s="309">
        <f>'Eingabe Meldungen'!A274</f>
        <v>0</v>
      </c>
      <c r="C273" s="310">
        <f>'Eingabe Meldungen'!C274</f>
        <v>0</v>
      </c>
      <c r="D273" s="310">
        <f>'Eingabe Meldungen'!D274</f>
        <v>0</v>
      </c>
      <c r="E273" s="311">
        <f>'Eingabe Meldungen'!J274</f>
        <v>0</v>
      </c>
      <c r="F273" s="310" t="e">
        <f>VLOOKUP(B273,Ausschreibung!$B$4:$I$35,4,FALSE)</f>
        <v>#N/A</v>
      </c>
      <c r="G273" s="312" t="e">
        <f t="shared" si="9"/>
        <v>#REF!</v>
      </c>
      <c r="H273" s="312" t="e">
        <f>IF(#REF!="Ergocup",8,"DHM")</f>
        <v>#REF!</v>
      </c>
      <c r="I273" s="310">
        <f>'Eingabe Meldungen'!K31</f>
        <v>0</v>
      </c>
      <c r="J273" s="313"/>
      <c r="K273" s="314">
        <f>IF(Tabelle1[[#This Row],[Bezahlt]]="JA",#REF!,0)</f>
        <v>0</v>
      </c>
      <c r="L273" s="315"/>
    </row>
    <row r="274" spans="2:12" s="316" customFormat="1" ht="18" customHeight="1" x14ac:dyDescent="0.2">
      <c r="B274" s="309">
        <f>'Eingabe Meldungen'!A275</f>
        <v>0</v>
      </c>
      <c r="C274" s="310">
        <f>'Eingabe Meldungen'!C275</f>
        <v>0</v>
      </c>
      <c r="D274" s="310">
        <f>'Eingabe Meldungen'!D275</f>
        <v>0</v>
      </c>
      <c r="E274" s="311">
        <f>'Eingabe Meldungen'!J275</f>
        <v>0</v>
      </c>
      <c r="F274" s="310" t="e">
        <f>VLOOKUP(B274,Ausschreibung!$B$4:$I$35,4,FALSE)</f>
        <v>#N/A</v>
      </c>
      <c r="G274" s="312" t="e">
        <f t="shared" si="9"/>
        <v>#REF!</v>
      </c>
      <c r="H274" s="312" t="e">
        <f>IF(#REF!="Ergocup",8,"DHM")</f>
        <v>#REF!</v>
      </c>
      <c r="I274" s="310">
        <f>'Eingabe Meldungen'!K97</f>
        <v>0</v>
      </c>
      <c r="J274" s="313"/>
      <c r="K274" s="314">
        <f>IF(Tabelle1[[#This Row],[Bezahlt]]="JA",#REF!,0)</f>
        <v>0</v>
      </c>
      <c r="L274" s="315"/>
    </row>
    <row r="275" spans="2:12" s="316" customFormat="1" ht="18" customHeight="1" x14ac:dyDescent="0.2">
      <c r="B275" s="309">
        <f>'Eingabe Meldungen'!A276</f>
        <v>0</v>
      </c>
      <c r="C275" s="310">
        <f>'Eingabe Meldungen'!C276</f>
        <v>0</v>
      </c>
      <c r="D275" s="310">
        <f>'Eingabe Meldungen'!D276</f>
        <v>0</v>
      </c>
      <c r="E275" s="311">
        <f>'Eingabe Meldungen'!J276</f>
        <v>0</v>
      </c>
      <c r="F275" s="310" t="e">
        <f>VLOOKUP(B275,Ausschreibung!$B$4:$I$35,4,FALSE)</f>
        <v>#N/A</v>
      </c>
      <c r="G275" s="312" t="e">
        <f t="shared" si="9"/>
        <v>#REF!</v>
      </c>
      <c r="H275" s="312" t="e">
        <f>IF(#REF!="Ergocup",8,"DHM")</f>
        <v>#REF!</v>
      </c>
      <c r="I275" s="310">
        <f>'Eingabe Meldungen'!K19</f>
        <v>0</v>
      </c>
      <c r="J275" s="313"/>
      <c r="K275" s="314">
        <f>IF(Tabelle1[[#This Row],[Bezahlt]]="JA",#REF!,0)</f>
        <v>0</v>
      </c>
      <c r="L275" s="315"/>
    </row>
    <row r="276" spans="2:12" s="316" customFormat="1" ht="18" customHeight="1" x14ac:dyDescent="0.2">
      <c r="B276" s="309">
        <f>'Eingabe Meldungen'!A277</f>
        <v>0</v>
      </c>
      <c r="C276" s="310">
        <f>'Eingabe Meldungen'!C277</f>
        <v>0</v>
      </c>
      <c r="D276" s="310">
        <f>'Eingabe Meldungen'!D277</f>
        <v>0</v>
      </c>
      <c r="E276" s="311">
        <f>'Eingabe Meldungen'!J277</f>
        <v>0</v>
      </c>
      <c r="F276" s="310" t="e">
        <f>VLOOKUP(B276,Ausschreibung!$B$4:$I$35,4,FALSE)</f>
        <v>#N/A</v>
      </c>
      <c r="G276" s="312" t="e">
        <f t="shared" si="9"/>
        <v>#REF!</v>
      </c>
      <c r="H276" s="312" t="e">
        <f>IF(#REF!="Ergocup",8,"DHM")</f>
        <v>#REF!</v>
      </c>
      <c r="I276" s="310">
        <f>'Eingabe Meldungen'!K187</f>
        <v>0</v>
      </c>
      <c r="J276" s="313"/>
      <c r="K276" s="314">
        <f>IF(Tabelle1[[#This Row],[Bezahlt]]="JA",#REF!,0)</f>
        <v>0</v>
      </c>
      <c r="L276" s="315"/>
    </row>
    <row r="277" spans="2:12" s="316" customFormat="1" ht="18" customHeight="1" x14ac:dyDescent="0.2">
      <c r="B277" s="309">
        <f>'Eingabe Meldungen'!A278</f>
        <v>0</v>
      </c>
      <c r="C277" s="310">
        <f>'Eingabe Meldungen'!C278</f>
        <v>0</v>
      </c>
      <c r="D277" s="310">
        <f>'Eingabe Meldungen'!D278</f>
        <v>0</v>
      </c>
      <c r="E277" s="311">
        <f>'Eingabe Meldungen'!J278</f>
        <v>0</v>
      </c>
      <c r="F277" s="310" t="e">
        <f>VLOOKUP(B277,Ausschreibung!$B$4:$I$35,4,FALSE)</f>
        <v>#N/A</v>
      </c>
      <c r="G277" s="312" t="e">
        <f t="shared" si="9"/>
        <v>#REF!</v>
      </c>
      <c r="H277" s="312" t="e">
        <f>IF(#REF!="Ergocup",8,"DHM")</f>
        <v>#REF!</v>
      </c>
      <c r="I277" s="310">
        <f>'Eingabe Meldungen'!K36</f>
        <v>0</v>
      </c>
      <c r="J277" s="313"/>
      <c r="K277" s="314">
        <f>IF(Tabelle1[[#This Row],[Bezahlt]]="JA",#REF!,0)</f>
        <v>0</v>
      </c>
      <c r="L277" s="315"/>
    </row>
    <row r="278" spans="2:12" s="316" customFormat="1" ht="18" customHeight="1" x14ac:dyDescent="0.2">
      <c r="B278" s="309">
        <f>'Eingabe Meldungen'!A279</f>
        <v>0</v>
      </c>
      <c r="C278" s="310">
        <f>'Eingabe Meldungen'!C279</f>
        <v>0</v>
      </c>
      <c r="D278" s="310">
        <f>'Eingabe Meldungen'!D279</f>
        <v>0</v>
      </c>
      <c r="E278" s="311">
        <f>'Eingabe Meldungen'!J279</f>
        <v>0</v>
      </c>
      <c r="F278" s="310" t="e">
        <f>VLOOKUP(B278,Ausschreibung!$B$4:$I$35,4,FALSE)</f>
        <v>#N/A</v>
      </c>
      <c r="G278" s="312" t="e">
        <f t="shared" si="9"/>
        <v>#REF!</v>
      </c>
      <c r="H278" s="312" t="e">
        <f>IF(#REF!="Ergocup",8,"DHM")</f>
        <v>#REF!</v>
      </c>
      <c r="I278" s="310">
        <f>'Eingabe Meldungen'!K18</f>
        <v>0</v>
      </c>
      <c r="J278" s="313"/>
      <c r="K278" s="314">
        <f>IF(Tabelle1[[#This Row],[Bezahlt]]="JA",#REF!,0)</f>
        <v>0</v>
      </c>
      <c r="L278" s="315"/>
    </row>
    <row r="279" spans="2:12" s="316" customFormat="1" ht="18" customHeight="1" x14ac:dyDescent="0.2">
      <c r="B279" s="309">
        <f>'Eingabe Meldungen'!A280</f>
        <v>0</v>
      </c>
      <c r="C279" s="310">
        <f>'Eingabe Meldungen'!C280</f>
        <v>0</v>
      </c>
      <c r="D279" s="310">
        <f>'Eingabe Meldungen'!D280</f>
        <v>0</v>
      </c>
      <c r="E279" s="311">
        <f>'Eingabe Meldungen'!J280</f>
        <v>0</v>
      </c>
      <c r="F279" s="310" t="e">
        <f>VLOOKUP(B279,Ausschreibung!$B$4:$I$35,4,FALSE)</f>
        <v>#N/A</v>
      </c>
      <c r="G279" s="312" t="e">
        <f t="shared" si="9"/>
        <v>#REF!</v>
      </c>
      <c r="H279" s="312" t="e">
        <f>IF(#REF!="Ergocup",8,"DHM")</f>
        <v>#REF!</v>
      </c>
      <c r="I279" s="310">
        <f>'Eingabe Meldungen'!K15</f>
        <v>0</v>
      </c>
      <c r="J279" s="313"/>
      <c r="K279" s="314">
        <f>IF(Tabelle1[[#This Row],[Bezahlt]]="JA",#REF!,0)</f>
        <v>0</v>
      </c>
      <c r="L279" s="315"/>
    </row>
    <row r="280" spans="2:12" s="316" customFormat="1" ht="18" customHeight="1" x14ac:dyDescent="0.2">
      <c r="B280" s="309">
        <f>'Eingabe Meldungen'!A281</f>
        <v>0</v>
      </c>
      <c r="C280" s="310">
        <f>'Eingabe Meldungen'!C281</f>
        <v>0</v>
      </c>
      <c r="D280" s="310">
        <f>'Eingabe Meldungen'!D281</f>
        <v>0</v>
      </c>
      <c r="E280" s="311">
        <f>'Eingabe Meldungen'!J281</f>
        <v>0</v>
      </c>
      <c r="F280" s="310" t="e">
        <f>VLOOKUP(B280,Ausschreibung!$B$4:$I$35,4,FALSE)</f>
        <v>#N/A</v>
      </c>
      <c r="G280" s="312" t="e">
        <f t="shared" si="9"/>
        <v>#REF!</v>
      </c>
      <c r="H280" s="312" t="e">
        <f>IF(#REF!="Ergocup",8,"DHM")</f>
        <v>#REF!</v>
      </c>
      <c r="I280" s="310">
        <f>'Eingabe Meldungen'!K16</f>
        <v>0</v>
      </c>
      <c r="J280" s="313"/>
      <c r="K280" s="314">
        <f>IF(Tabelle1[[#This Row],[Bezahlt]]="JA",#REF!,0)</f>
        <v>0</v>
      </c>
      <c r="L280" s="315"/>
    </row>
    <row r="281" spans="2:12" s="316" customFormat="1" ht="18" customHeight="1" x14ac:dyDescent="0.2">
      <c r="B281" s="309">
        <f>'Eingabe Meldungen'!A282</f>
        <v>0</v>
      </c>
      <c r="C281" s="310">
        <f>'Eingabe Meldungen'!C282</f>
        <v>0</v>
      </c>
      <c r="D281" s="310">
        <f>'Eingabe Meldungen'!D282</f>
        <v>0</v>
      </c>
      <c r="E281" s="311">
        <f>'Eingabe Meldungen'!J282</f>
        <v>0</v>
      </c>
      <c r="F281" s="310" t="e">
        <f>VLOOKUP(B281,Ausschreibung!$B$4:$I$35,4,FALSE)</f>
        <v>#N/A</v>
      </c>
      <c r="G281" s="312" t="e">
        <f t="shared" si="9"/>
        <v>#REF!</v>
      </c>
      <c r="H281" s="312" t="e">
        <f>IF(#REF!="Ergocup",8,"DHM")</f>
        <v>#REF!</v>
      </c>
      <c r="I281" s="310">
        <f>'Eingabe Meldungen'!K174</f>
        <v>0</v>
      </c>
      <c r="J281" s="313"/>
      <c r="K281" s="314">
        <f>IF(Tabelle1[[#This Row],[Bezahlt]]="JA",#REF!,0)</f>
        <v>0</v>
      </c>
      <c r="L281" s="315"/>
    </row>
    <row r="282" spans="2:12" s="316" customFormat="1" ht="18" customHeight="1" x14ac:dyDescent="0.2">
      <c r="B282" s="309">
        <f>'Eingabe Meldungen'!A283</f>
        <v>0</v>
      </c>
      <c r="C282" s="310">
        <f>'Eingabe Meldungen'!C283</f>
        <v>0</v>
      </c>
      <c r="D282" s="310">
        <f>'Eingabe Meldungen'!D283</f>
        <v>0</v>
      </c>
      <c r="E282" s="311">
        <f>'Eingabe Meldungen'!J283</f>
        <v>0</v>
      </c>
      <c r="F282" s="310" t="e">
        <f>VLOOKUP(B282,Ausschreibung!$B$4:$I$35,4,FALSE)</f>
        <v>#N/A</v>
      </c>
      <c r="G282" s="312" t="e">
        <f t="shared" si="9"/>
        <v>#REF!</v>
      </c>
      <c r="H282" s="312" t="e">
        <f>IF(#REF!="Ergocup",8,"DHM")</f>
        <v>#REF!</v>
      </c>
      <c r="I282" s="310">
        <f>'Eingabe Meldungen'!K116</f>
        <v>0</v>
      </c>
      <c r="J282" s="313"/>
      <c r="K282" s="314">
        <f>IF(Tabelle1[[#This Row],[Bezahlt]]="JA",#REF!,0)</f>
        <v>0</v>
      </c>
      <c r="L282" s="315"/>
    </row>
    <row r="283" spans="2:12" s="316" customFormat="1" ht="18" customHeight="1" x14ac:dyDescent="0.2">
      <c r="B283" s="309">
        <f>'Eingabe Meldungen'!A284</f>
        <v>0</v>
      </c>
      <c r="C283" s="310">
        <f>'Eingabe Meldungen'!C284</f>
        <v>0</v>
      </c>
      <c r="D283" s="310">
        <f>'Eingabe Meldungen'!D284</f>
        <v>0</v>
      </c>
      <c r="E283" s="311">
        <f>'Eingabe Meldungen'!J284</f>
        <v>0</v>
      </c>
      <c r="F283" s="310" t="e">
        <f>VLOOKUP(B283,Ausschreibung!$B$4:$I$35,4,FALSE)</f>
        <v>#N/A</v>
      </c>
      <c r="G283" s="312" t="e">
        <f t="shared" si="9"/>
        <v>#REF!</v>
      </c>
      <c r="H283" s="312" t="e">
        <f>IF(#REF!="Ergocup",8,"DHM")</f>
        <v>#REF!</v>
      </c>
      <c r="I283" s="310">
        <f>'Eingabe Meldungen'!K52</f>
        <v>0</v>
      </c>
      <c r="J283" s="313"/>
      <c r="K283" s="314">
        <f>IF(Tabelle1[[#This Row],[Bezahlt]]="JA",#REF!,0)</f>
        <v>0</v>
      </c>
      <c r="L283" s="315"/>
    </row>
    <row r="284" spans="2:12" s="316" customFormat="1" ht="18" customHeight="1" x14ac:dyDescent="0.2">
      <c r="B284" s="309">
        <f>'Eingabe Meldungen'!A285</f>
        <v>0</v>
      </c>
      <c r="C284" s="310">
        <f>'Eingabe Meldungen'!C285</f>
        <v>0</v>
      </c>
      <c r="D284" s="310">
        <f>'Eingabe Meldungen'!D285</f>
        <v>0</v>
      </c>
      <c r="E284" s="311">
        <f>'Eingabe Meldungen'!J285</f>
        <v>0</v>
      </c>
      <c r="F284" s="310" t="e">
        <f>VLOOKUP(B284,Ausschreibung!$B$4:$I$35,4,FALSE)</f>
        <v>#N/A</v>
      </c>
      <c r="G284" s="312" t="e">
        <f t="shared" si="9"/>
        <v>#REF!</v>
      </c>
      <c r="H284" s="312" t="e">
        <f>IF(#REF!="Ergocup",8,"DHM")</f>
        <v>#REF!</v>
      </c>
      <c r="I284" s="310">
        <f>'Eingabe Meldungen'!K166</f>
        <v>0</v>
      </c>
      <c r="J284" s="313"/>
      <c r="K284" s="314">
        <f>IF(Tabelle1[[#This Row],[Bezahlt]]="JA",#REF!,0)</f>
        <v>0</v>
      </c>
      <c r="L284" s="315"/>
    </row>
    <row r="285" spans="2:12" s="316" customFormat="1" ht="18" customHeight="1" x14ac:dyDescent="0.2">
      <c r="B285" s="309">
        <f>'Eingabe Meldungen'!A286</f>
        <v>0</v>
      </c>
      <c r="C285" s="310">
        <f>'Eingabe Meldungen'!C286</f>
        <v>0</v>
      </c>
      <c r="D285" s="310">
        <f>'Eingabe Meldungen'!D286</f>
        <v>0</v>
      </c>
      <c r="E285" s="311">
        <f>'Eingabe Meldungen'!J286</f>
        <v>0</v>
      </c>
      <c r="F285" s="310" t="e">
        <f>VLOOKUP(B285,Ausschreibung!$B$4:$I$35,4,FALSE)</f>
        <v>#N/A</v>
      </c>
      <c r="G285" s="312" t="e">
        <f t="shared" si="9"/>
        <v>#REF!</v>
      </c>
      <c r="H285" s="312" t="e">
        <f>IF(#REF!="Ergocup",8,"DHM")</f>
        <v>#REF!</v>
      </c>
      <c r="I285" s="310">
        <f>'Eingabe Meldungen'!K142</f>
        <v>0</v>
      </c>
      <c r="J285" s="313"/>
      <c r="K285" s="314">
        <f>IF(Tabelle1[[#This Row],[Bezahlt]]="JA",#REF!,0)</f>
        <v>0</v>
      </c>
      <c r="L285" s="315"/>
    </row>
    <row r="286" spans="2:12" s="316" customFormat="1" ht="18" customHeight="1" x14ac:dyDescent="0.2">
      <c r="B286" s="309">
        <f>'Eingabe Meldungen'!A287</f>
        <v>0</v>
      </c>
      <c r="C286" s="310">
        <f>'Eingabe Meldungen'!C287</f>
        <v>0</v>
      </c>
      <c r="D286" s="310">
        <f>'Eingabe Meldungen'!D287</f>
        <v>0</v>
      </c>
      <c r="E286" s="311">
        <f>'Eingabe Meldungen'!J287</f>
        <v>0</v>
      </c>
      <c r="F286" s="310" t="e">
        <f>VLOOKUP(B286,Ausschreibung!$B$4:$I$35,4,FALSE)</f>
        <v>#N/A</v>
      </c>
      <c r="G286" s="312" t="e">
        <f t="shared" si="9"/>
        <v>#REF!</v>
      </c>
      <c r="H286" s="312" t="e">
        <f>IF(#REF!="Ergocup",8,"DHM")</f>
        <v>#REF!</v>
      </c>
      <c r="I286" s="310">
        <f>'Eingabe Meldungen'!K115</f>
        <v>0</v>
      </c>
      <c r="J286" s="313"/>
      <c r="K286" s="314">
        <f>IF(Tabelle1[[#This Row],[Bezahlt]]="JA",#REF!,0)</f>
        <v>0</v>
      </c>
      <c r="L286" s="315"/>
    </row>
    <row r="287" spans="2:12" s="316" customFormat="1" ht="18" customHeight="1" x14ac:dyDescent="0.2">
      <c r="B287" s="309">
        <f>'Eingabe Meldungen'!A288</f>
        <v>0</v>
      </c>
      <c r="C287" s="310">
        <f>'Eingabe Meldungen'!C288</f>
        <v>0</v>
      </c>
      <c r="D287" s="310">
        <f>'Eingabe Meldungen'!D288</f>
        <v>0</v>
      </c>
      <c r="E287" s="311">
        <f>'Eingabe Meldungen'!J288</f>
        <v>0</v>
      </c>
      <c r="F287" s="310" t="e">
        <f>VLOOKUP(B287,Ausschreibung!$B$4:$I$35,4,FALSE)</f>
        <v>#N/A</v>
      </c>
      <c r="G287" s="312" t="e">
        <f t="shared" si="9"/>
        <v>#REF!</v>
      </c>
      <c r="H287" s="312" t="e">
        <f>IF(#REF!="Ergocup",8,"DHM")</f>
        <v>#REF!</v>
      </c>
      <c r="I287" s="310">
        <f>'Eingabe Meldungen'!K144</f>
        <v>0</v>
      </c>
      <c r="J287" s="313"/>
      <c r="K287" s="314">
        <f>IF(Tabelle1[[#This Row],[Bezahlt]]="JA",#REF!,0)</f>
        <v>0</v>
      </c>
      <c r="L287" s="315"/>
    </row>
    <row r="288" spans="2:12" s="316" customFormat="1" ht="18" customHeight="1" x14ac:dyDescent="0.2">
      <c r="B288" s="309">
        <f>'Eingabe Meldungen'!A289</f>
        <v>0</v>
      </c>
      <c r="C288" s="310">
        <f>'Eingabe Meldungen'!C289</f>
        <v>0</v>
      </c>
      <c r="D288" s="310">
        <f>'Eingabe Meldungen'!D289</f>
        <v>0</v>
      </c>
      <c r="E288" s="311">
        <f>'Eingabe Meldungen'!J289</f>
        <v>0</v>
      </c>
      <c r="F288" s="310" t="e">
        <f>VLOOKUP(B288,Ausschreibung!$B$4:$I$35,4,FALSE)</f>
        <v>#N/A</v>
      </c>
      <c r="G288" s="312" t="e">
        <f t="shared" si="9"/>
        <v>#REF!</v>
      </c>
      <c r="H288" s="312" t="e">
        <f>IF(#REF!="Ergocup",8,"DHM")</f>
        <v>#REF!</v>
      </c>
      <c r="I288" s="310">
        <f>'Eingabe Meldungen'!K20</f>
        <v>0</v>
      </c>
      <c r="J288" s="313"/>
      <c r="K288" s="314">
        <f>IF(Tabelle1[[#This Row],[Bezahlt]]="JA",#REF!,0)</f>
        <v>0</v>
      </c>
      <c r="L288" s="315"/>
    </row>
    <row r="289" spans="2:12" s="316" customFormat="1" ht="18" customHeight="1" x14ac:dyDescent="0.2">
      <c r="B289" s="309">
        <f>'Eingabe Meldungen'!A290</f>
        <v>0</v>
      </c>
      <c r="C289" s="310">
        <f>'Eingabe Meldungen'!C290</f>
        <v>0</v>
      </c>
      <c r="D289" s="310">
        <f>'Eingabe Meldungen'!D290</f>
        <v>0</v>
      </c>
      <c r="E289" s="311">
        <f>'Eingabe Meldungen'!J290</f>
        <v>0</v>
      </c>
      <c r="F289" s="310" t="e">
        <f>VLOOKUP(B289,Ausschreibung!$B$4:$I$35,4,FALSE)</f>
        <v>#N/A</v>
      </c>
      <c r="G289" s="312" t="e">
        <f t="shared" si="9"/>
        <v>#REF!</v>
      </c>
      <c r="H289" s="312" t="e">
        <f>IF(#REF!="Ergocup",8,"DHM")</f>
        <v>#REF!</v>
      </c>
      <c r="I289" s="310">
        <f>'Eingabe Meldungen'!K60</f>
        <v>0</v>
      </c>
      <c r="J289" s="313"/>
      <c r="K289" s="314">
        <f>IF(Tabelle1[[#This Row],[Bezahlt]]="JA",#REF!,0)</f>
        <v>0</v>
      </c>
      <c r="L289" s="315"/>
    </row>
    <row r="290" spans="2:12" s="316" customFormat="1" ht="18" customHeight="1" x14ac:dyDescent="0.2">
      <c r="B290" s="309">
        <f>'Eingabe Meldungen'!A291</f>
        <v>0</v>
      </c>
      <c r="C290" s="310">
        <f>'Eingabe Meldungen'!C291</f>
        <v>0</v>
      </c>
      <c r="D290" s="310">
        <f>'Eingabe Meldungen'!D291</f>
        <v>0</v>
      </c>
      <c r="E290" s="311">
        <f>'Eingabe Meldungen'!J291</f>
        <v>0</v>
      </c>
      <c r="F290" s="310" t="e">
        <f>VLOOKUP(B290,Ausschreibung!$B$4:$I$35,4,FALSE)</f>
        <v>#N/A</v>
      </c>
      <c r="G290" s="312" t="e">
        <f t="shared" si="9"/>
        <v>#REF!</v>
      </c>
      <c r="H290" s="312" t="e">
        <f>IF(#REF!="Ergocup",8,"DHM")</f>
        <v>#REF!</v>
      </c>
      <c r="I290" s="310">
        <f>'Eingabe Meldungen'!K137</f>
        <v>0</v>
      </c>
      <c r="J290" s="313"/>
      <c r="K290" s="314">
        <f>IF(Tabelle1[[#This Row],[Bezahlt]]="JA",#REF!,0)</f>
        <v>0</v>
      </c>
      <c r="L290" s="315"/>
    </row>
    <row r="291" spans="2:12" s="316" customFormat="1" ht="18" customHeight="1" x14ac:dyDescent="0.2">
      <c r="B291" s="309">
        <f>'Eingabe Meldungen'!A292</f>
        <v>0</v>
      </c>
      <c r="C291" s="310">
        <f>'Eingabe Meldungen'!C292</f>
        <v>0</v>
      </c>
      <c r="D291" s="310">
        <f>'Eingabe Meldungen'!D292</f>
        <v>0</v>
      </c>
      <c r="E291" s="311">
        <f>'Eingabe Meldungen'!J292</f>
        <v>0</v>
      </c>
      <c r="F291" s="310" t="e">
        <f>VLOOKUP(B291,Ausschreibung!$B$4:$I$35,4,FALSE)</f>
        <v>#N/A</v>
      </c>
      <c r="G291" s="312" t="e">
        <f t="shared" si="9"/>
        <v>#REF!</v>
      </c>
      <c r="H291" s="312" t="e">
        <f>IF(#REF!="Ergocup",8,"DHM")</f>
        <v>#REF!</v>
      </c>
      <c r="I291" s="310">
        <f>'Eingabe Meldungen'!K64</f>
        <v>0</v>
      </c>
      <c r="J291" s="313"/>
      <c r="K291" s="314">
        <f>IF(Tabelle1[[#This Row],[Bezahlt]]="JA",#REF!,0)</f>
        <v>0</v>
      </c>
      <c r="L291" s="315"/>
    </row>
    <row r="292" spans="2:12" s="316" customFormat="1" ht="18" customHeight="1" x14ac:dyDescent="0.2">
      <c r="B292" s="309">
        <f>'Eingabe Meldungen'!A293</f>
        <v>0</v>
      </c>
      <c r="C292" s="310">
        <f>'Eingabe Meldungen'!C293</f>
        <v>0</v>
      </c>
      <c r="D292" s="310">
        <f>'Eingabe Meldungen'!D293</f>
        <v>0</v>
      </c>
      <c r="E292" s="311">
        <f>'Eingabe Meldungen'!J293</f>
        <v>0</v>
      </c>
      <c r="F292" s="310" t="e">
        <f>VLOOKUP(B292,Ausschreibung!$B$4:$I$35,4,FALSE)</f>
        <v>#N/A</v>
      </c>
      <c r="G292" s="312" t="e">
        <f t="shared" si="9"/>
        <v>#REF!</v>
      </c>
      <c r="H292" s="312" t="e">
        <f>IF(#REF!="Ergocup",8,"DHM")</f>
        <v>#REF!</v>
      </c>
      <c r="I292" s="310">
        <f>'Eingabe Meldungen'!K30</f>
        <v>0</v>
      </c>
      <c r="J292" s="313"/>
      <c r="K292" s="314">
        <f>IF(Tabelle1[[#This Row],[Bezahlt]]="JA",#REF!,0)</f>
        <v>0</v>
      </c>
      <c r="L292" s="315"/>
    </row>
    <row r="293" spans="2:12" s="316" customFormat="1" ht="18" customHeight="1" x14ac:dyDescent="0.2">
      <c r="B293" s="309">
        <f>'Eingabe Meldungen'!A294</f>
        <v>0</v>
      </c>
      <c r="C293" s="310">
        <f>'Eingabe Meldungen'!C294</f>
        <v>0</v>
      </c>
      <c r="D293" s="310">
        <f>'Eingabe Meldungen'!D294</f>
        <v>0</v>
      </c>
      <c r="E293" s="311">
        <f>'Eingabe Meldungen'!J294</f>
        <v>0</v>
      </c>
      <c r="F293" s="310" t="e">
        <f>VLOOKUP(B293,Ausschreibung!$B$4:$I$35,4,FALSE)</f>
        <v>#N/A</v>
      </c>
      <c r="G293" s="312" t="e">
        <f t="shared" si="9"/>
        <v>#REF!</v>
      </c>
      <c r="H293" s="312" t="e">
        <f>IF(#REF!="Ergocup",8,"DHM")</f>
        <v>#REF!</v>
      </c>
      <c r="I293" s="310">
        <f>'Eingabe Meldungen'!K157</f>
        <v>0</v>
      </c>
      <c r="J293" s="313"/>
      <c r="K293" s="314">
        <f>IF(Tabelle1[[#This Row],[Bezahlt]]="JA",#REF!,0)</f>
        <v>0</v>
      </c>
      <c r="L293" s="315"/>
    </row>
    <row r="294" spans="2:12" s="316" customFormat="1" ht="18" customHeight="1" x14ac:dyDescent="0.2">
      <c r="B294" s="309">
        <f>'Eingabe Meldungen'!A295</f>
        <v>0</v>
      </c>
      <c r="C294" s="310">
        <f>'Eingabe Meldungen'!C295</f>
        <v>0</v>
      </c>
      <c r="D294" s="310">
        <f>'Eingabe Meldungen'!D295</f>
        <v>0</v>
      </c>
      <c r="E294" s="311">
        <f>'Eingabe Meldungen'!J295</f>
        <v>0</v>
      </c>
      <c r="F294" s="310" t="e">
        <f>VLOOKUP(B294,Ausschreibung!$B$4:$I$35,4,FALSE)</f>
        <v>#N/A</v>
      </c>
      <c r="G294" s="312" t="e">
        <f t="shared" si="9"/>
        <v>#REF!</v>
      </c>
      <c r="H294" s="312" t="e">
        <f>IF(#REF!="Ergocup",8,"DHM")</f>
        <v>#REF!</v>
      </c>
      <c r="I294" s="310">
        <f>'Eingabe Meldungen'!K193</f>
        <v>0</v>
      </c>
      <c r="J294" s="313"/>
      <c r="K294" s="314">
        <f>IF(Tabelle1[[#This Row],[Bezahlt]]="JA",#REF!,0)</f>
        <v>0</v>
      </c>
      <c r="L294" s="315"/>
    </row>
    <row r="295" spans="2:12" s="316" customFormat="1" ht="18" customHeight="1" x14ac:dyDescent="0.2">
      <c r="B295" s="309">
        <f>'Eingabe Meldungen'!A296</f>
        <v>0</v>
      </c>
      <c r="C295" s="310">
        <f>'Eingabe Meldungen'!C296</f>
        <v>0</v>
      </c>
      <c r="D295" s="310">
        <f>'Eingabe Meldungen'!D296</f>
        <v>0</v>
      </c>
      <c r="E295" s="311">
        <f>'Eingabe Meldungen'!J296</f>
        <v>0</v>
      </c>
      <c r="F295" s="310" t="e">
        <f>VLOOKUP(B295,Ausschreibung!$B$4:$I$35,4,FALSE)</f>
        <v>#N/A</v>
      </c>
      <c r="G295" s="312" t="e">
        <f t="shared" si="9"/>
        <v>#REF!</v>
      </c>
      <c r="H295" s="312" t="e">
        <f>IF(#REF!="Ergocup",8,"DHM")</f>
        <v>#REF!</v>
      </c>
      <c r="I295" s="310">
        <f>'Eingabe Meldungen'!K89</f>
        <v>0</v>
      </c>
      <c r="J295" s="313"/>
      <c r="K295" s="314">
        <f>IF(Tabelle1[[#This Row],[Bezahlt]]="JA",#REF!,0)</f>
        <v>0</v>
      </c>
      <c r="L295" s="315"/>
    </row>
    <row r="296" spans="2:12" s="316" customFormat="1" ht="18" customHeight="1" x14ac:dyDescent="0.2">
      <c r="B296" s="309">
        <f>'Eingabe Meldungen'!A297</f>
        <v>0</v>
      </c>
      <c r="C296" s="310">
        <f>'Eingabe Meldungen'!C297</f>
        <v>0</v>
      </c>
      <c r="D296" s="310">
        <f>'Eingabe Meldungen'!D297</f>
        <v>0</v>
      </c>
      <c r="E296" s="311">
        <f>'Eingabe Meldungen'!J297</f>
        <v>0</v>
      </c>
      <c r="F296" s="310" t="e">
        <f>VLOOKUP(B296,Ausschreibung!$B$4:$I$35,4,FALSE)</f>
        <v>#N/A</v>
      </c>
      <c r="G296" s="312" t="e">
        <f t="shared" si="9"/>
        <v>#REF!</v>
      </c>
      <c r="H296" s="312" t="e">
        <f>IF(#REF!="Ergocup",8,"DHM")</f>
        <v>#REF!</v>
      </c>
      <c r="I296" s="310">
        <f>'Eingabe Meldungen'!K47</f>
        <v>0</v>
      </c>
      <c r="J296" s="313"/>
      <c r="K296" s="314">
        <f>IF(Tabelle1[[#This Row],[Bezahlt]]="JA",#REF!,0)</f>
        <v>0</v>
      </c>
      <c r="L296" s="315"/>
    </row>
    <row r="297" spans="2:12" s="316" customFormat="1" ht="18" customHeight="1" x14ac:dyDescent="0.2">
      <c r="B297" s="309">
        <f>'Eingabe Meldungen'!A298</f>
        <v>0</v>
      </c>
      <c r="C297" s="310">
        <f>'Eingabe Meldungen'!C298</f>
        <v>0</v>
      </c>
      <c r="D297" s="310">
        <f>'Eingabe Meldungen'!D298</f>
        <v>0</v>
      </c>
      <c r="E297" s="311">
        <f>'Eingabe Meldungen'!J298</f>
        <v>0</v>
      </c>
      <c r="F297" s="310" t="e">
        <f>VLOOKUP(B297,Ausschreibung!$B$4:$I$35,4,FALSE)</f>
        <v>#N/A</v>
      </c>
      <c r="G297" s="312" t="e">
        <f t="shared" si="9"/>
        <v>#REF!</v>
      </c>
      <c r="H297" s="312" t="e">
        <f>IF(#REF!="Ergocup",8,"DHM")</f>
        <v>#REF!</v>
      </c>
      <c r="I297" s="310">
        <f>'Eingabe Meldungen'!K162</f>
        <v>0</v>
      </c>
      <c r="J297" s="313"/>
      <c r="K297" s="314">
        <f>IF(Tabelle1[[#This Row],[Bezahlt]]="JA",#REF!,0)</f>
        <v>0</v>
      </c>
      <c r="L297" s="315"/>
    </row>
    <row r="298" spans="2:12" s="316" customFormat="1" ht="18" customHeight="1" x14ac:dyDescent="0.2">
      <c r="B298" s="309">
        <f>'Eingabe Meldungen'!A299</f>
        <v>0</v>
      </c>
      <c r="C298" s="310">
        <f>'Eingabe Meldungen'!C299</f>
        <v>0</v>
      </c>
      <c r="D298" s="310">
        <f>'Eingabe Meldungen'!D299</f>
        <v>0</v>
      </c>
      <c r="E298" s="311">
        <f>'Eingabe Meldungen'!J299</f>
        <v>0</v>
      </c>
      <c r="F298" s="310" t="e">
        <f>VLOOKUP(B298,Ausschreibung!$B$4:$I$35,4,FALSE)</f>
        <v>#N/A</v>
      </c>
      <c r="G298" s="312" t="e">
        <f t="shared" si="9"/>
        <v>#REF!</v>
      </c>
      <c r="H298" s="312" t="e">
        <f>IF(#REF!="Ergocup",8,"DHM")</f>
        <v>#REF!</v>
      </c>
      <c r="I298" s="310">
        <f>'Eingabe Meldungen'!K21</f>
        <v>0</v>
      </c>
      <c r="J298" s="313"/>
      <c r="K298" s="314">
        <f>IF(Tabelle1[[#This Row],[Bezahlt]]="JA",#REF!,0)</f>
        <v>0</v>
      </c>
      <c r="L298" s="315"/>
    </row>
    <row r="299" spans="2:12" s="316" customFormat="1" ht="18" customHeight="1" x14ac:dyDescent="0.2">
      <c r="B299" s="309">
        <f>'Eingabe Meldungen'!A300</f>
        <v>0</v>
      </c>
      <c r="C299" s="310">
        <f>'Eingabe Meldungen'!C300</f>
        <v>0</v>
      </c>
      <c r="D299" s="310">
        <f>'Eingabe Meldungen'!D300</f>
        <v>0</v>
      </c>
      <c r="E299" s="311">
        <f>'Eingabe Meldungen'!J300</f>
        <v>0</v>
      </c>
      <c r="F299" s="310" t="e">
        <f>VLOOKUP(B299,Ausschreibung!$B$4:$I$35,4,FALSE)</f>
        <v>#N/A</v>
      </c>
      <c r="G299" s="312" t="e">
        <f t="shared" si="9"/>
        <v>#REF!</v>
      </c>
      <c r="H299" s="312" t="e">
        <f>IF(#REF!="Ergocup",8,"DHM")</f>
        <v>#REF!</v>
      </c>
      <c r="I299" s="310">
        <f>'Eingabe Meldungen'!K136</f>
        <v>0</v>
      </c>
      <c r="J299" s="313"/>
      <c r="K299" s="314">
        <f>IF(Tabelle1[[#This Row],[Bezahlt]]="JA",#REF!,0)</f>
        <v>0</v>
      </c>
      <c r="L299" s="315"/>
    </row>
    <row r="300" spans="2:12" s="316" customFormat="1" ht="18" customHeight="1" x14ac:dyDescent="0.2">
      <c r="B300" s="309">
        <f>'Eingabe Meldungen'!A301</f>
        <v>0</v>
      </c>
      <c r="C300" s="310">
        <f>'Eingabe Meldungen'!C301</f>
        <v>0</v>
      </c>
      <c r="D300" s="310">
        <f>'Eingabe Meldungen'!D301</f>
        <v>0</v>
      </c>
      <c r="E300" s="311">
        <f>'Eingabe Meldungen'!J301</f>
        <v>0</v>
      </c>
      <c r="F300" s="310" t="e">
        <f>VLOOKUP(B300,Ausschreibung!$B$4:$I$35,4,FALSE)</f>
        <v>#N/A</v>
      </c>
      <c r="G300" s="312" t="e">
        <f t="shared" si="9"/>
        <v>#REF!</v>
      </c>
      <c r="H300" s="312" t="e">
        <f>IF(#REF!="Ergocup",8,"DHM")</f>
        <v>#REF!</v>
      </c>
      <c r="I300" s="310">
        <f>'Eingabe Meldungen'!K74</f>
        <v>0</v>
      </c>
      <c r="J300" s="313"/>
      <c r="K300" s="314">
        <f>IF(Tabelle1[[#This Row],[Bezahlt]]="JA",#REF!,0)</f>
        <v>0</v>
      </c>
      <c r="L300" s="315"/>
    </row>
    <row r="301" spans="2:12" s="316" customFormat="1" ht="18" customHeight="1" x14ac:dyDescent="0.2">
      <c r="B301" s="309">
        <f>'Eingabe Meldungen'!A302</f>
        <v>0</v>
      </c>
      <c r="C301" s="310">
        <f>'Eingabe Meldungen'!C302</f>
        <v>0</v>
      </c>
      <c r="D301" s="310">
        <f>'Eingabe Meldungen'!D302</f>
        <v>0</v>
      </c>
      <c r="E301" s="311">
        <f>'Eingabe Meldungen'!J302</f>
        <v>0</v>
      </c>
      <c r="F301" s="310" t="e">
        <f>VLOOKUP(B301,Ausschreibung!$B$4:$I$35,4,FALSE)</f>
        <v>#N/A</v>
      </c>
      <c r="G301" s="312" t="e">
        <f t="shared" si="9"/>
        <v>#REF!</v>
      </c>
      <c r="H301" s="312" t="e">
        <f>IF(#REF!="Ergocup",8,"DHM")</f>
        <v>#REF!</v>
      </c>
      <c r="I301" s="310">
        <f>'Eingabe Meldungen'!K119</f>
        <v>0</v>
      </c>
      <c r="J301" s="313"/>
      <c r="K301" s="314">
        <f>IF(Tabelle1[[#This Row],[Bezahlt]]="JA",#REF!,0)</f>
        <v>0</v>
      </c>
      <c r="L301" s="315"/>
    </row>
    <row r="302" spans="2:12" s="316" customFormat="1" ht="18" customHeight="1" x14ac:dyDescent="0.2">
      <c r="B302" s="309">
        <f>'Eingabe Meldungen'!A303</f>
        <v>0</v>
      </c>
      <c r="C302" s="310">
        <f>'Eingabe Meldungen'!C303</f>
        <v>0</v>
      </c>
      <c r="D302" s="310">
        <f>'Eingabe Meldungen'!D303</f>
        <v>0</v>
      </c>
      <c r="E302" s="311">
        <f>'Eingabe Meldungen'!J303</f>
        <v>0</v>
      </c>
      <c r="F302" s="310" t="e">
        <f>VLOOKUP(B302,Ausschreibung!$B$4:$I$35,4,FALSE)</f>
        <v>#N/A</v>
      </c>
      <c r="G302" s="312" t="e">
        <f t="shared" si="9"/>
        <v>#REF!</v>
      </c>
      <c r="H302" s="312" t="e">
        <f>IF(#REF!="Ergocup",8,"DHM")</f>
        <v>#REF!</v>
      </c>
      <c r="I302" s="310">
        <f>'Eingabe Meldungen'!K140</f>
        <v>0</v>
      </c>
      <c r="J302" s="313"/>
      <c r="K302" s="314">
        <f>IF(Tabelle1[[#This Row],[Bezahlt]]="JA",#REF!,0)</f>
        <v>0</v>
      </c>
      <c r="L302" s="315"/>
    </row>
    <row r="303" spans="2:12" s="316" customFormat="1" ht="18" customHeight="1" x14ac:dyDescent="0.2">
      <c r="B303" s="309">
        <f>'Eingabe Meldungen'!A304</f>
        <v>0</v>
      </c>
      <c r="C303" s="310">
        <f>'Eingabe Meldungen'!C304</f>
        <v>0</v>
      </c>
      <c r="D303" s="310">
        <f>'Eingabe Meldungen'!D304</f>
        <v>0</v>
      </c>
      <c r="E303" s="311">
        <f>'Eingabe Meldungen'!J304</f>
        <v>0</v>
      </c>
      <c r="F303" s="310" t="e">
        <f>VLOOKUP(B303,Ausschreibung!$B$4:$I$35,4,FALSE)</f>
        <v>#N/A</v>
      </c>
      <c r="G303" s="312" t="e">
        <f t="shared" si="9"/>
        <v>#REF!</v>
      </c>
      <c r="H303" s="312" t="e">
        <f>IF(#REF!="Ergocup",8,"DHM")</f>
        <v>#REF!</v>
      </c>
      <c r="I303" s="310">
        <f>'Eingabe Meldungen'!K138</f>
        <v>0</v>
      </c>
      <c r="J303" s="313"/>
      <c r="K303" s="314">
        <f>IF(Tabelle1[[#This Row],[Bezahlt]]="JA",#REF!,0)</f>
        <v>0</v>
      </c>
      <c r="L303" s="315"/>
    </row>
    <row r="304" spans="2:12" s="316" customFormat="1" ht="18" customHeight="1" x14ac:dyDescent="0.2">
      <c r="B304" s="309">
        <f>'Eingabe Meldungen'!A305</f>
        <v>0</v>
      </c>
      <c r="C304" s="310">
        <f>'Eingabe Meldungen'!C305</f>
        <v>0</v>
      </c>
      <c r="D304" s="310">
        <f>'Eingabe Meldungen'!D305</f>
        <v>0</v>
      </c>
      <c r="E304" s="311">
        <f>'Eingabe Meldungen'!J305</f>
        <v>0</v>
      </c>
      <c r="F304" s="310" t="e">
        <f>VLOOKUP(B304,Ausschreibung!$B$4:$I$35,4,FALSE)</f>
        <v>#N/A</v>
      </c>
      <c r="G304" s="312" t="e">
        <f t="shared" si="9"/>
        <v>#REF!</v>
      </c>
      <c r="H304" s="312" t="e">
        <f>IF(#REF!="Ergocup",8,"DHM")</f>
        <v>#REF!</v>
      </c>
      <c r="I304" s="310">
        <f>'Eingabe Meldungen'!K46</f>
        <v>0</v>
      </c>
      <c r="J304" s="313"/>
      <c r="K304" s="314">
        <f>IF(Tabelle1[[#This Row],[Bezahlt]]="JA",#REF!,0)</f>
        <v>0</v>
      </c>
      <c r="L304" s="315"/>
    </row>
    <row r="305" spans="2:12" s="316" customFormat="1" ht="18" customHeight="1" x14ac:dyDescent="0.2">
      <c r="B305" s="309">
        <f>'Eingabe Meldungen'!A306</f>
        <v>0</v>
      </c>
      <c r="C305" s="310">
        <f>'Eingabe Meldungen'!C306</f>
        <v>0</v>
      </c>
      <c r="D305" s="310">
        <f>'Eingabe Meldungen'!D306</f>
        <v>0</v>
      </c>
      <c r="E305" s="311">
        <f>'Eingabe Meldungen'!J306</f>
        <v>0</v>
      </c>
      <c r="F305" s="310" t="e">
        <f>VLOOKUP(B305,Ausschreibung!$B$4:$I$35,4,FALSE)</f>
        <v>#N/A</v>
      </c>
      <c r="G305" s="312" t="e">
        <f t="shared" si="9"/>
        <v>#REF!</v>
      </c>
      <c r="H305" s="312" t="e">
        <f>IF(#REF!="Ergocup",8,"DHM")</f>
        <v>#REF!</v>
      </c>
      <c r="I305" s="310">
        <f>'Eingabe Meldungen'!K56</f>
        <v>0</v>
      </c>
      <c r="J305" s="313"/>
      <c r="K305" s="314">
        <f>IF(Tabelle1[[#This Row],[Bezahlt]]="JA",#REF!,0)</f>
        <v>0</v>
      </c>
      <c r="L305" s="315"/>
    </row>
    <row r="306" spans="2:12" s="316" customFormat="1" ht="18" customHeight="1" x14ac:dyDescent="0.2">
      <c r="B306" s="309">
        <f>'Eingabe Meldungen'!A307</f>
        <v>0</v>
      </c>
      <c r="C306" s="310">
        <f>'Eingabe Meldungen'!C307</f>
        <v>0</v>
      </c>
      <c r="D306" s="310">
        <f>'Eingabe Meldungen'!D307</f>
        <v>0</v>
      </c>
      <c r="E306" s="311">
        <f>'Eingabe Meldungen'!J307</f>
        <v>0</v>
      </c>
      <c r="F306" s="310" t="e">
        <f>VLOOKUP(B306,Ausschreibung!$B$4:$I$35,4,FALSE)</f>
        <v>#N/A</v>
      </c>
      <c r="G306" s="312" t="e">
        <f t="shared" si="9"/>
        <v>#REF!</v>
      </c>
      <c r="H306" s="312" t="e">
        <f>IF(#REF!="Ergocup",8,"DHM")</f>
        <v>#REF!</v>
      </c>
      <c r="I306" s="310">
        <f>'Eingabe Meldungen'!K78</f>
        <v>0</v>
      </c>
      <c r="J306" s="313"/>
      <c r="K306" s="314">
        <f>IF(Tabelle1[[#This Row],[Bezahlt]]="JA",#REF!,0)</f>
        <v>0</v>
      </c>
      <c r="L306" s="315"/>
    </row>
    <row r="307" spans="2:12" s="316" customFormat="1" ht="18" customHeight="1" x14ac:dyDescent="0.2">
      <c r="B307" s="309">
        <f>'Eingabe Meldungen'!A308</f>
        <v>0</v>
      </c>
      <c r="C307" s="310">
        <f>'Eingabe Meldungen'!C308</f>
        <v>0</v>
      </c>
      <c r="D307" s="310">
        <f>'Eingabe Meldungen'!D308</f>
        <v>0</v>
      </c>
      <c r="E307" s="311">
        <f>'Eingabe Meldungen'!J308</f>
        <v>0</v>
      </c>
      <c r="F307" s="310" t="e">
        <f>VLOOKUP(B307,Ausschreibung!$B$4:$I$35,4,FALSE)</f>
        <v>#N/A</v>
      </c>
      <c r="G307" s="312" t="e">
        <f t="shared" si="9"/>
        <v>#REF!</v>
      </c>
      <c r="H307" s="312" t="e">
        <f>IF(#REF!="Ergocup",8,"DHM")</f>
        <v>#REF!</v>
      </c>
      <c r="I307" s="310">
        <f>'Eingabe Meldungen'!K134</f>
        <v>0</v>
      </c>
      <c r="J307" s="313"/>
      <c r="K307" s="314">
        <f>IF(Tabelle1[[#This Row],[Bezahlt]]="JA",#REF!,0)</f>
        <v>0</v>
      </c>
      <c r="L307" s="315"/>
    </row>
    <row r="308" spans="2:12" s="316" customFormat="1" ht="18" customHeight="1" x14ac:dyDescent="0.2">
      <c r="B308" s="309">
        <f>'Eingabe Meldungen'!A309</f>
        <v>0</v>
      </c>
      <c r="C308" s="310">
        <f>'Eingabe Meldungen'!C309</f>
        <v>0</v>
      </c>
      <c r="D308" s="310">
        <f>'Eingabe Meldungen'!D309</f>
        <v>0</v>
      </c>
      <c r="E308" s="311">
        <f>'Eingabe Meldungen'!J309</f>
        <v>0</v>
      </c>
      <c r="F308" s="310" t="e">
        <f>VLOOKUP(B308,Ausschreibung!$B$4:$I$35,4,FALSE)</f>
        <v>#N/A</v>
      </c>
      <c r="G308" s="312" t="e">
        <f t="shared" si="9"/>
        <v>#REF!</v>
      </c>
      <c r="H308" s="312" t="e">
        <f>IF(#REF!="Ergocup",8,"DHM")</f>
        <v>#REF!</v>
      </c>
      <c r="I308" s="310">
        <f>'Eingabe Meldungen'!K86</f>
        <v>0</v>
      </c>
      <c r="J308" s="313"/>
      <c r="K308" s="314">
        <f>IF(Tabelle1[[#This Row],[Bezahlt]]="JA",#REF!,0)</f>
        <v>0</v>
      </c>
      <c r="L308" s="315"/>
    </row>
    <row r="309" spans="2:12" s="316" customFormat="1" ht="18" customHeight="1" x14ac:dyDescent="0.2">
      <c r="B309" s="309">
        <f>'Eingabe Meldungen'!A310</f>
        <v>0</v>
      </c>
      <c r="C309" s="310">
        <f>'Eingabe Meldungen'!C310</f>
        <v>0</v>
      </c>
      <c r="D309" s="310">
        <f>'Eingabe Meldungen'!D310</f>
        <v>0</v>
      </c>
      <c r="E309" s="311">
        <f>'Eingabe Meldungen'!J310</f>
        <v>0</v>
      </c>
      <c r="F309" s="310" t="e">
        <f>VLOOKUP(B309,Ausschreibung!$B$4:$I$35,4,FALSE)</f>
        <v>#N/A</v>
      </c>
      <c r="G309" s="312" t="e">
        <f t="shared" si="9"/>
        <v>#REF!</v>
      </c>
      <c r="H309" s="312" t="e">
        <f>IF(#REF!="Ergocup",8,"DHM")</f>
        <v>#REF!</v>
      </c>
      <c r="I309" s="310">
        <f>'Eingabe Meldungen'!K65</f>
        <v>0</v>
      </c>
      <c r="J309" s="313"/>
      <c r="K309" s="314">
        <f>IF(Tabelle1[[#This Row],[Bezahlt]]="JA",#REF!,0)</f>
        <v>0</v>
      </c>
      <c r="L309" s="315"/>
    </row>
    <row r="310" spans="2:12" s="316" customFormat="1" ht="18" customHeight="1" x14ac:dyDescent="0.2">
      <c r="B310" s="309">
        <f>'Eingabe Meldungen'!A311</f>
        <v>0</v>
      </c>
      <c r="C310" s="310">
        <f>'Eingabe Meldungen'!C311</f>
        <v>0</v>
      </c>
      <c r="D310" s="310">
        <f>'Eingabe Meldungen'!D311</f>
        <v>0</v>
      </c>
      <c r="E310" s="311">
        <f>'Eingabe Meldungen'!J311</f>
        <v>0</v>
      </c>
      <c r="F310" s="310" t="e">
        <f>VLOOKUP(B310,Ausschreibung!$B$4:$I$35,4,FALSE)</f>
        <v>#N/A</v>
      </c>
      <c r="G310" s="312" t="e">
        <f t="shared" ref="G310:G373" si="10">IF(B310=35,H310-4,H310)</f>
        <v>#REF!</v>
      </c>
      <c r="H310" s="312" t="e">
        <f>IF(#REF!="Ergocup",8,"DHM")</f>
        <v>#REF!</v>
      </c>
      <c r="I310" s="310">
        <f>'Eingabe Meldungen'!K44</f>
        <v>0</v>
      </c>
      <c r="J310" s="313"/>
      <c r="K310" s="314">
        <f>IF(Tabelle1[[#This Row],[Bezahlt]]="JA",#REF!,0)</f>
        <v>0</v>
      </c>
      <c r="L310" s="315"/>
    </row>
    <row r="311" spans="2:12" s="316" customFormat="1" ht="18" customHeight="1" x14ac:dyDescent="0.2">
      <c r="B311" s="309">
        <f>'Eingabe Meldungen'!A312</f>
        <v>0</v>
      </c>
      <c r="C311" s="310">
        <f>'Eingabe Meldungen'!C312</f>
        <v>0</v>
      </c>
      <c r="D311" s="310">
        <f>'Eingabe Meldungen'!D312</f>
        <v>0</v>
      </c>
      <c r="E311" s="311">
        <f>'Eingabe Meldungen'!J312</f>
        <v>0</v>
      </c>
      <c r="F311" s="310" t="e">
        <f>VLOOKUP(B311,Ausschreibung!$B$4:$I$35,4,FALSE)</f>
        <v>#N/A</v>
      </c>
      <c r="G311" s="312" t="e">
        <f t="shared" si="10"/>
        <v>#REF!</v>
      </c>
      <c r="H311" s="312" t="e">
        <f>IF(#REF!="Ergocup",8,"DHM")</f>
        <v>#REF!</v>
      </c>
      <c r="I311" s="310">
        <f>'Eingabe Meldungen'!K11</f>
        <v>0</v>
      </c>
      <c r="J311" s="313"/>
      <c r="K311" s="314">
        <f>IF(Tabelle1[[#This Row],[Bezahlt]]="JA",#REF!,0)</f>
        <v>0</v>
      </c>
      <c r="L311" s="315"/>
    </row>
    <row r="312" spans="2:12" s="316" customFormat="1" ht="18" customHeight="1" x14ac:dyDescent="0.2">
      <c r="B312" s="309">
        <f>'Eingabe Meldungen'!A313</f>
        <v>0</v>
      </c>
      <c r="C312" s="310">
        <f>'Eingabe Meldungen'!C313</f>
        <v>0</v>
      </c>
      <c r="D312" s="310">
        <f>'Eingabe Meldungen'!D313</f>
        <v>0</v>
      </c>
      <c r="E312" s="311">
        <f>'Eingabe Meldungen'!J313</f>
        <v>0</v>
      </c>
      <c r="F312" s="310" t="e">
        <f>VLOOKUP(B312,Ausschreibung!$B$4:$I$35,4,FALSE)</f>
        <v>#N/A</v>
      </c>
      <c r="G312" s="312" t="e">
        <f t="shared" si="10"/>
        <v>#REF!</v>
      </c>
      <c r="H312" s="312" t="e">
        <f>IF(#REF!="Ergocup",8,"DHM")</f>
        <v>#REF!</v>
      </c>
      <c r="I312" s="310">
        <f>'Eingabe Meldungen'!K76</f>
        <v>0</v>
      </c>
      <c r="J312" s="313"/>
      <c r="K312" s="314">
        <f>IF(Tabelle1[[#This Row],[Bezahlt]]="JA",#REF!,0)</f>
        <v>0</v>
      </c>
      <c r="L312" s="315"/>
    </row>
    <row r="313" spans="2:12" s="316" customFormat="1" ht="18" customHeight="1" x14ac:dyDescent="0.2">
      <c r="B313" s="309">
        <f>'Eingabe Meldungen'!A314</f>
        <v>0</v>
      </c>
      <c r="C313" s="310">
        <f>'Eingabe Meldungen'!C314</f>
        <v>0</v>
      </c>
      <c r="D313" s="310">
        <f>'Eingabe Meldungen'!D314</f>
        <v>0</v>
      </c>
      <c r="E313" s="311">
        <f>'Eingabe Meldungen'!J314</f>
        <v>0</v>
      </c>
      <c r="F313" s="310" t="e">
        <f>VLOOKUP(B313,Ausschreibung!$B$4:$I$35,4,FALSE)</f>
        <v>#N/A</v>
      </c>
      <c r="G313" s="312" t="e">
        <f t="shared" si="10"/>
        <v>#REF!</v>
      </c>
      <c r="H313" s="312" t="e">
        <f>IF(#REF!="Ergocup",8,"DHM")</f>
        <v>#REF!</v>
      </c>
      <c r="I313" s="310">
        <f>'Eingabe Meldungen'!K121</f>
        <v>0</v>
      </c>
      <c r="J313" s="313"/>
      <c r="K313" s="314">
        <f>IF(Tabelle1[[#This Row],[Bezahlt]]="JA",#REF!,0)</f>
        <v>0</v>
      </c>
      <c r="L313" s="315"/>
    </row>
    <row r="314" spans="2:12" s="316" customFormat="1" ht="18" customHeight="1" x14ac:dyDescent="0.2">
      <c r="B314" s="309">
        <f>'Eingabe Meldungen'!A315</f>
        <v>0</v>
      </c>
      <c r="C314" s="310">
        <f>'Eingabe Meldungen'!C315</f>
        <v>0</v>
      </c>
      <c r="D314" s="310">
        <f>'Eingabe Meldungen'!D315</f>
        <v>0</v>
      </c>
      <c r="E314" s="311">
        <f>'Eingabe Meldungen'!J315</f>
        <v>0</v>
      </c>
      <c r="F314" s="310" t="e">
        <f>VLOOKUP(B314,Ausschreibung!$B$4:$I$35,4,FALSE)</f>
        <v>#N/A</v>
      </c>
      <c r="G314" s="312" t="e">
        <f t="shared" si="10"/>
        <v>#REF!</v>
      </c>
      <c r="H314" s="312" t="e">
        <f>IF(#REF!="Ergocup",8,"DHM")</f>
        <v>#REF!</v>
      </c>
      <c r="I314" s="310">
        <f>'Eingabe Meldungen'!K200</f>
        <v>0</v>
      </c>
      <c r="J314" s="313"/>
      <c r="K314" s="314">
        <f>IF(Tabelle1[[#This Row],[Bezahlt]]="JA",#REF!,0)</f>
        <v>0</v>
      </c>
      <c r="L314" s="315"/>
    </row>
    <row r="315" spans="2:12" s="316" customFormat="1" ht="18" customHeight="1" x14ac:dyDescent="0.2">
      <c r="B315" s="309">
        <f>'Eingabe Meldungen'!A316</f>
        <v>0</v>
      </c>
      <c r="C315" s="310">
        <f>'Eingabe Meldungen'!C316</f>
        <v>0</v>
      </c>
      <c r="D315" s="310">
        <f>'Eingabe Meldungen'!D316</f>
        <v>0</v>
      </c>
      <c r="E315" s="311">
        <f>'Eingabe Meldungen'!J316</f>
        <v>0</v>
      </c>
      <c r="F315" s="310" t="e">
        <f>VLOOKUP(B315,Ausschreibung!$B$4:$I$35,4,FALSE)</f>
        <v>#N/A</v>
      </c>
      <c r="G315" s="312" t="e">
        <f t="shared" si="10"/>
        <v>#REF!</v>
      </c>
      <c r="H315" s="312" t="e">
        <f>IF(#REF!="Ergocup",8,"DHM")</f>
        <v>#REF!</v>
      </c>
      <c r="I315" s="310">
        <f>'Eingabe Meldungen'!K26</f>
        <v>0</v>
      </c>
      <c r="J315" s="313"/>
      <c r="K315" s="314">
        <f>IF(Tabelle1[[#This Row],[Bezahlt]]="JA",#REF!,0)</f>
        <v>0</v>
      </c>
      <c r="L315" s="315"/>
    </row>
    <row r="316" spans="2:12" s="316" customFormat="1" ht="18" customHeight="1" x14ac:dyDescent="0.2">
      <c r="B316" s="309">
        <f>'Eingabe Meldungen'!A317</f>
        <v>0</v>
      </c>
      <c r="C316" s="310">
        <f>'Eingabe Meldungen'!C317</f>
        <v>0</v>
      </c>
      <c r="D316" s="310">
        <f>'Eingabe Meldungen'!D317</f>
        <v>0</v>
      </c>
      <c r="E316" s="311">
        <f>'Eingabe Meldungen'!J317</f>
        <v>0</v>
      </c>
      <c r="F316" s="310" t="e">
        <f>VLOOKUP(B316,Ausschreibung!$B$4:$I$35,4,FALSE)</f>
        <v>#N/A</v>
      </c>
      <c r="G316" s="312" t="e">
        <f t="shared" si="10"/>
        <v>#REF!</v>
      </c>
      <c r="H316" s="312" t="e">
        <f>IF(#REF!="Ergocup",8,"DHM")</f>
        <v>#REF!</v>
      </c>
      <c r="I316" s="310">
        <f>'Eingabe Meldungen'!K203</f>
        <v>0</v>
      </c>
      <c r="J316" s="313"/>
      <c r="K316" s="314">
        <f>IF(Tabelle1[[#This Row],[Bezahlt]]="JA",#REF!,0)</f>
        <v>0</v>
      </c>
      <c r="L316" s="315"/>
    </row>
    <row r="317" spans="2:12" s="316" customFormat="1" ht="18" customHeight="1" x14ac:dyDescent="0.2">
      <c r="B317" s="309">
        <f>'Eingabe Meldungen'!A318</f>
        <v>0</v>
      </c>
      <c r="C317" s="310">
        <f>'Eingabe Meldungen'!C318</f>
        <v>0</v>
      </c>
      <c r="D317" s="310">
        <f>'Eingabe Meldungen'!D318</f>
        <v>0</v>
      </c>
      <c r="E317" s="311">
        <f>'Eingabe Meldungen'!J318</f>
        <v>0</v>
      </c>
      <c r="F317" s="310" t="e">
        <f>VLOOKUP(B317,Ausschreibung!$B$4:$I$35,4,FALSE)</f>
        <v>#N/A</v>
      </c>
      <c r="G317" s="312" t="e">
        <f t="shared" si="10"/>
        <v>#REF!</v>
      </c>
      <c r="H317" s="312" t="e">
        <f>IF(#REF!="Ergocup",8,"DHM")</f>
        <v>#REF!</v>
      </c>
      <c r="I317" s="310">
        <f>'Eingabe Meldungen'!K201</f>
        <v>0</v>
      </c>
      <c r="J317" s="313"/>
      <c r="K317" s="314">
        <f>IF(Tabelle1[[#This Row],[Bezahlt]]="JA",#REF!,0)</f>
        <v>0</v>
      </c>
      <c r="L317" s="315"/>
    </row>
    <row r="318" spans="2:12" s="316" customFormat="1" ht="18" customHeight="1" x14ac:dyDescent="0.2">
      <c r="B318" s="309">
        <f>'Eingabe Meldungen'!A319</f>
        <v>0</v>
      </c>
      <c r="C318" s="310">
        <f>'Eingabe Meldungen'!C319</f>
        <v>0</v>
      </c>
      <c r="D318" s="310">
        <f>'Eingabe Meldungen'!D319</f>
        <v>0</v>
      </c>
      <c r="E318" s="311">
        <f>'Eingabe Meldungen'!J319</f>
        <v>0</v>
      </c>
      <c r="F318" s="310" t="e">
        <f>VLOOKUP(B318,Ausschreibung!$B$4:$I$35,4,FALSE)</f>
        <v>#N/A</v>
      </c>
      <c r="G318" s="312" t="e">
        <f t="shared" si="10"/>
        <v>#REF!</v>
      </c>
      <c r="H318" s="312" t="e">
        <f>IF(#REF!="Ergocup",8,"DHM")</f>
        <v>#REF!</v>
      </c>
      <c r="I318" s="310">
        <f>'Eingabe Meldungen'!K150</f>
        <v>0</v>
      </c>
      <c r="J318" s="313"/>
      <c r="K318" s="314">
        <f>IF(Tabelle1[[#This Row],[Bezahlt]]="JA",#REF!,0)</f>
        <v>0</v>
      </c>
      <c r="L318" s="315"/>
    </row>
    <row r="319" spans="2:12" s="316" customFormat="1" ht="18" customHeight="1" x14ac:dyDescent="0.2">
      <c r="B319" s="309">
        <f>'Eingabe Meldungen'!A320</f>
        <v>0</v>
      </c>
      <c r="C319" s="310">
        <f>'Eingabe Meldungen'!C320</f>
        <v>0</v>
      </c>
      <c r="D319" s="310">
        <f>'Eingabe Meldungen'!D320</f>
        <v>0</v>
      </c>
      <c r="E319" s="311">
        <f>'Eingabe Meldungen'!J320</f>
        <v>0</v>
      </c>
      <c r="F319" s="310" t="e">
        <f>VLOOKUP(B319,Ausschreibung!$B$4:$I$35,4,FALSE)</f>
        <v>#N/A</v>
      </c>
      <c r="G319" s="312" t="e">
        <f t="shared" si="10"/>
        <v>#REF!</v>
      </c>
      <c r="H319" s="312" t="e">
        <f>IF(#REF!="Ergocup",8,"DHM")</f>
        <v>#REF!</v>
      </c>
      <c r="I319" s="310">
        <f>'Eingabe Meldungen'!K164</f>
        <v>0</v>
      </c>
      <c r="J319" s="313"/>
      <c r="K319" s="314">
        <f>IF(Tabelle1[[#This Row],[Bezahlt]]="JA",#REF!,0)</f>
        <v>0</v>
      </c>
      <c r="L319" s="315"/>
    </row>
    <row r="320" spans="2:12" s="316" customFormat="1" ht="18" customHeight="1" x14ac:dyDescent="0.2">
      <c r="B320" s="309">
        <f>'Eingabe Meldungen'!A321</f>
        <v>0</v>
      </c>
      <c r="C320" s="310">
        <f>'Eingabe Meldungen'!C321</f>
        <v>0</v>
      </c>
      <c r="D320" s="310">
        <f>'Eingabe Meldungen'!D321</f>
        <v>0</v>
      </c>
      <c r="E320" s="311">
        <f>'Eingabe Meldungen'!J321</f>
        <v>0</v>
      </c>
      <c r="F320" s="310" t="e">
        <f>VLOOKUP(B320,Ausschreibung!$B$4:$I$35,4,FALSE)</f>
        <v>#N/A</v>
      </c>
      <c r="G320" s="312" t="e">
        <f t="shared" si="10"/>
        <v>#REF!</v>
      </c>
      <c r="H320" s="312" t="e">
        <f>IF(#REF!="Ergocup",8,"DHM")</f>
        <v>#REF!</v>
      </c>
      <c r="I320" s="310">
        <f>'Eingabe Meldungen'!K184</f>
        <v>0</v>
      </c>
      <c r="J320" s="313"/>
      <c r="K320" s="314">
        <f>IF(Tabelle1[[#This Row],[Bezahlt]]="JA",#REF!,0)</f>
        <v>0</v>
      </c>
      <c r="L320" s="315"/>
    </row>
    <row r="321" spans="2:12" s="316" customFormat="1" ht="18" customHeight="1" x14ac:dyDescent="0.2">
      <c r="B321" s="309">
        <f>'Eingabe Meldungen'!A322</f>
        <v>0</v>
      </c>
      <c r="C321" s="310">
        <f>'Eingabe Meldungen'!C322</f>
        <v>0</v>
      </c>
      <c r="D321" s="310">
        <f>'Eingabe Meldungen'!D322</f>
        <v>0</v>
      </c>
      <c r="E321" s="311">
        <f>'Eingabe Meldungen'!J322</f>
        <v>0</v>
      </c>
      <c r="F321" s="310" t="e">
        <f>VLOOKUP(B321,Ausschreibung!$B$4:$I$35,4,FALSE)</f>
        <v>#N/A</v>
      </c>
      <c r="G321" s="312" t="e">
        <f t="shared" si="10"/>
        <v>#REF!</v>
      </c>
      <c r="H321" s="312" t="e">
        <f>IF(#REF!="Ergocup",8,"DHM")</f>
        <v>#REF!</v>
      </c>
      <c r="I321" s="310">
        <f>'Eingabe Meldungen'!K8</f>
        <v>0</v>
      </c>
      <c r="J321" s="313"/>
      <c r="K321" s="314">
        <f>IF(Tabelle1[[#This Row],[Bezahlt]]="JA",#REF!,0)</f>
        <v>0</v>
      </c>
      <c r="L321" s="315"/>
    </row>
    <row r="322" spans="2:12" s="316" customFormat="1" ht="18" customHeight="1" x14ac:dyDescent="0.2">
      <c r="B322" s="309">
        <f>'Eingabe Meldungen'!A323</f>
        <v>0</v>
      </c>
      <c r="C322" s="310">
        <f>'Eingabe Meldungen'!C323</f>
        <v>0</v>
      </c>
      <c r="D322" s="310">
        <f>'Eingabe Meldungen'!D323</f>
        <v>0</v>
      </c>
      <c r="E322" s="311">
        <f>'Eingabe Meldungen'!J323</f>
        <v>0</v>
      </c>
      <c r="F322" s="310" t="e">
        <f>VLOOKUP(B322,Ausschreibung!$B$4:$I$35,4,FALSE)</f>
        <v>#N/A</v>
      </c>
      <c r="G322" s="312" t="e">
        <f t="shared" si="10"/>
        <v>#REF!</v>
      </c>
      <c r="H322" s="312" t="e">
        <f>IF(#REF!="Ergocup",8,"DHM")</f>
        <v>#REF!</v>
      </c>
      <c r="I322" s="310">
        <f>'Eingabe Meldungen'!K4</f>
        <v>0</v>
      </c>
      <c r="J322" s="313"/>
      <c r="K322" s="314">
        <f>IF(Tabelle1[[#This Row],[Bezahlt]]="JA",#REF!,0)</f>
        <v>0</v>
      </c>
      <c r="L322" s="315"/>
    </row>
    <row r="323" spans="2:12" s="316" customFormat="1" ht="18" customHeight="1" x14ac:dyDescent="0.2">
      <c r="B323" s="309">
        <f>'Eingabe Meldungen'!A324</f>
        <v>0</v>
      </c>
      <c r="C323" s="310">
        <f>'Eingabe Meldungen'!C324</f>
        <v>0</v>
      </c>
      <c r="D323" s="310">
        <f>'Eingabe Meldungen'!D324</f>
        <v>0</v>
      </c>
      <c r="E323" s="311">
        <f>'Eingabe Meldungen'!J324</f>
        <v>0</v>
      </c>
      <c r="F323" s="310" t="e">
        <f>VLOOKUP(B323,Ausschreibung!$B$4:$I$35,4,FALSE)</f>
        <v>#N/A</v>
      </c>
      <c r="G323" s="312" t="e">
        <f t="shared" si="10"/>
        <v>#REF!</v>
      </c>
      <c r="H323" s="312" t="e">
        <f>IF(#REF!="Ergocup",8,"DHM")</f>
        <v>#REF!</v>
      </c>
      <c r="I323" s="310">
        <f>'Eingabe Meldungen'!K34</f>
        <v>0</v>
      </c>
      <c r="J323" s="313"/>
      <c r="K323" s="314">
        <f>IF(Tabelle1[[#This Row],[Bezahlt]]="JA",#REF!,0)</f>
        <v>0</v>
      </c>
      <c r="L323" s="315"/>
    </row>
    <row r="324" spans="2:12" s="316" customFormat="1" ht="18" customHeight="1" x14ac:dyDescent="0.2">
      <c r="B324" s="309">
        <f>'Eingabe Meldungen'!A325</f>
        <v>0</v>
      </c>
      <c r="C324" s="310">
        <f>'Eingabe Meldungen'!C325</f>
        <v>0</v>
      </c>
      <c r="D324" s="310">
        <f>'Eingabe Meldungen'!D325</f>
        <v>0</v>
      </c>
      <c r="E324" s="311">
        <f>'Eingabe Meldungen'!J325</f>
        <v>0</v>
      </c>
      <c r="F324" s="310" t="e">
        <f>VLOOKUP(B324,Ausschreibung!$B$4:$I$35,4,FALSE)</f>
        <v>#N/A</v>
      </c>
      <c r="G324" s="312" t="e">
        <f t="shared" si="10"/>
        <v>#REF!</v>
      </c>
      <c r="H324" s="312" t="e">
        <f>IF(#REF!="Ergocup",8,"DHM")</f>
        <v>#REF!</v>
      </c>
      <c r="I324" s="310">
        <f>'Eingabe Meldungen'!K87</f>
        <v>0</v>
      </c>
      <c r="J324" s="313"/>
      <c r="K324" s="314">
        <f>IF(Tabelle1[[#This Row],[Bezahlt]]="JA",#REF!,0)</f>
        <v>0</v>
      </c>
      <c r="L324" s="315"/>
    </row>
    <row r="325" spans="2:12" s="316" customFormat="1" ht="18" customHeight="1" x14ac:dyDescent="0.2">
      <c r="B325" s="309">
        <f>'Eingabe Meldungen'!A326</f>
        <v>0</v>
      </c>
      <c r="C325" s="310">
        <f>'Eingabe Meldungen'!C326</f>
        <v>0</v>
      </c>
      <c r="D325" s="310">
        <f>'Eingabe Meldungen'!D326</f>
        <v>0</v>
      </c>
      <c r="E325" s="311">
        <f>'Eingabe Meldungen'!J326</f>
        <v>0</v>
      </c>
      <c r="F325" s="310" t="e">
        <f>VLOOKUP(B325,Ausschreibung!$B$4:$I$35,4,FALSE)</f>
        <v>#N/A</v>
      </c>
      <c r="G325" s="312" t="e">
        <f t="shared" si="10"/>
        <v>#REF!</v>
      </c>
      <c r="H325" s="312" t="e">
        <f>IF(#REF!="Ergocup",8,"DHM")</f>
        <v>#REF!</v>
      </c>
      <c r="I325" s="310">
        <f>'Eingabe Meldungen'!K156</f>
        <v>0</v>
      </c>
      <c r="J325" s="313"/>
      <c r="K325" s="314">
        <f>IF(Tabelle1[[#This Row],[Bezahlt]]="JA",#REF!,0)</f>
        <v>0</v>
      </c>
      <c r="L325" s="315"/>
    </row>
    <row r="326" spans="2:12" s="316" customFormat="1" ht="18" customHeight="1" x14ac:dyDescent="0.2">
      <c r="B326" s="309">
        <f>'Eingabe Meldungen'!A327</f>
        <v>0</v>
      </c>
      <c r="C326" s="310">
        <f>'Eingabe Meldungen'!C327</f>
        <v>0</v>
      </c>
      <c r="D326" s="310">
        <f>'Eingabe Meldungen'!D327</f>
        <v>0</v>
      </c>
      <c r="E326" s="311">
        <f>'Eingabe Meldungen'!J327</f>
        <v>0</v>
      </c>
      <c r="F326" s="310" t="e">
        <f>VLOOKUP(B326,Ausschreibung!$B$4:$I$35,4,FALSE)</f>
        <v>#N/A</v>
      </c>
      <c r="G326" s="312" t="e">
        <f t="shared" si="10"/>
        <v>#REF!</v>
      </c>
      <c r="H326" s="312" t="e">
        <f>IF(#REF!="Ergocup",8,"DHM")</f>
        <v>#REF!</v>
      </c>
      <c r="I326" s="310">
        <f>'Eingabe Meldungen'!K163</f>
        <v>0</v>
      </c>
      <c r="J326" s="313"/>
      <c r="K326" s="314">
        <f>IF(Tabelle1[[#This Row],[Bezahlt]]="JA",#REF!,0)</f>
        <v>0</v>
      </c>
      <c r="L326" s="315"/>
    </row>
    <row r="327" spans="2:12" s="316" customFormat="1" ht="18" customHeight="1" x14ac:dyDescent="0.2">
      <c r="B327" s="309">
        <f>'Eingabe Meldungen'!A328</f>
        <v>0</v>
      </c>
      <c r="C327" s="310">
        <f>'Eingabe Meldungen'!C328</f>
        <v>0</v>
      </c>
      <c r="D327" s="310">
        <f>'Eingabe Meldungen'!D328</f>
        <v>0</v>
      </c>
      <c r="E327" s="311">
        <f>'Eingabe Meldungen'!J328</f>
        <v>0</v>
      </c>
      <c r="F327" s="310" t="e">
        <f>VLOOKUP(B327,Ausschreibung!$B$4:$I$35,4,FALSE)</f>
        <v>#N/A</v>
      </c>
      <c r="G327" s="312" t="e">
        <f t="shared" si="10"/>
        <v>#REF!</v>
      </c>
      <c r="H327" s="312" t="e">
        <f>IF(#REF!="Ergocup",8,"DHM")</f>
        <v>#REF!</v>
      </c>
      <c r="I327" s="310">
        <f>'Eingabe Meldungen'!K167</f>
        <v>0</v>
      </c>
      <c r="J327" s="313"/>
      <c r="K327" s="314">
        <f>IF(Tabelle1[[#This Row],[Bezahlt]]="JA",#REF!,0)</f>
        <v>0</v>
      </c>
      <c r="L327" s="315"/>
    </row>
    <row r="328" spans="2:12" s="316" customFormat="1" ht="18" customHeight="1" x14ac:dyDescent="0.2">
      <c r="B328" s="309">
        <f>'Eingabe Meldungen'!A329</f>
        <v>0</v>
      </c>
      <c r="C328" s="310">
        <f>'Eingabe Meldungen'!C329</f>
        <v>0</v>
      </c>
      <c r="D328" s="310">
        <f>'Eingabe Meldungen'!D329</f>
        <v>0</v>
      </c>
      <c r="E328" s="311">
        <f>'Eingabe Meldungen'!J329</f>
        <v>0</v>
      </c>
      <c r="F328" s="310" t="e">
        <f>VLOOKUP(B328,Ausschreibung!$B$4:$I$35,4,FALSE)</f>
        <v>#N/A</v>
      </c>
      <c r="G328" s="312" t="e">
        <f t="shared" si="10"/>
        <v>#REF!</v>
      </c>
      <c r="H328" s="312" t="e">
        <f>IF(#REF!="Ergocup",8,"DHM")</f>
        <v>#REF!</v>
      </c>
      <c r="I328" s="310">
        <f>'Eingabe Meldungen'!K131</f>
        <v>0</v>
      </c>
      <c r="J328" s="313"/>
      <c r="K328" s="314">
        <f>IF(Tabelle1[[#This Row],[Bezahlt]]="JA",#REF!,0)</f>
        <v>0</v>
      </c>
      <c r="L328" s="315"/>
    </row>
    <row r="329" spans="2:12" s="316" customFormat="1" ht="18" customHeight="1" x14ac:dyDescent="0.2">
      <c r="B329" s="309">
        <f>'Eingabe Meldungen'!A330</f>
        <v>0</v>
      </c>
      <c r="C329" s="310">
        <f>'Eingabe Meldungen'!C330</f>
        <v>0</v>
      </c>
      <c r="D329" s="310">
        <f>'Eingabe Meldungen'!D330</f>
        <v>0</v>
      </c>
      <c r="E329" s="311">
        <f>'Eingabe Meldungen'!J330</f>
        <v>0</v>
      </c>
      <c r="F329" s="310" t="e">
        <f>VLOOKUP(B329,Ausschreibung!$B$4:$I$35,4,FALSE)</f>
        <v>#N/A</v>
      </c>
      <c r="G329" s="312" t="e">
        <f t="shared" si="10"/>
        <v>#REF!</v>
      </c>
      <c r="H329" s="312" t="e">
        <f>IF(#REF!="Ergocup",8,"DHM")</f>
        <v>#REF!</v>
      </c>
      <c r="I329" s="310">
        <f>'Eingabe Meldungen'!K130</f>
        <v>0</v>
      </c>
      <c r="J329" s="313"/>
      <c r="K329" s="314">
        <f>IF(Tabelle1[[#This Row],[Bezahlt]]="JA",#REF!,0)</f>
        <v>0</v>
      </c>
      <c r="L329" s="315"/>
    </row>
    <row r="330" spans="2:12" s="316" customFormat="1" ht="18" customHeight="1" x14ac:dyDescent="0.2">
      <c r="B330" s="309">
        <f>'Eingabe Meldungen'!A331</f>
        <v>0</v>
      </c>
      <c r="C330" s="310">
        <f>'Eingabe Meldungen'!C331</f>
        <v>0</v>
      </c>
      <c r="D330" s="310">
        <f>'Eingabe Meldungen'!D331</f>
        <v>0</v>
      </c>
      <c r="E330" s="311">
        <f>'Eingabe Meldungen'!J331</f>
        <v>0</v>
      </c>
      <c r="F330" s="310" t="e">
        <f>VLOOKUP(B330,Ausschreibung!$B$4:$I$35,4,FALSE)</f>
        <v>#N/A</v>
      </c>
      <c r="G330" s="312" t="e">
        <f t="shared" si="10"/>
        <v>#REF!</v>
      </c>
      <c r="H330" s="312" t="e">
        <f>IF(#REF!="Ergocup",8,"DHM")</f>
        <v>#REF!</v>
      </c>
      <c r="I330" s="310">
        <f>'Eingabe Meldungen'!K42</f>
        <v>0</v>
      </c>
      <c r="J330" s="313"/>
      <c r="K330" s="314">
        <f>IF(Tabelle1[[#This Row],[Bezahlt]]="JA",#REF!,0)</f>
        <v>0</v>
      </c>
      <c r="L330" s="315"/>
    </row>
    <row r="331" spans="2:12" s="316" customFormat="1" ht="18" customHeight="1" x14ac:dyDescent="0.2">
      <c r="B331" s="309">
        <f>'Eingabe Meldungen'!A332</f>
        <v>0</v>
      </c>
      <c r="C331" s="310">
        <f>'Eingabe Meldungen'!C332</f>
        <v>0</v>
      </c>
      <c r="D331" s="310">
        <f>'Eingabe Meldungen'!D332</f>
        <v>0</v>
      </c>
      <c r="E331" s="311">
        <f>'Eingabe Meldungen'!J332</f>
        <v>0</v>
      </c>
      <c r="F331" s="310" t="e">
        <f>VLOOKUP(B331,Ausschreibung!$B$4:$I$35,4,FALSE)</f>
        <v>#N/A</v>
      </c>
      <c r="G331" s="312" t="e">
        <f t="shared" si="10"/>
        <v>#REF!</v>
      </c>
      <c r="H331" s="312" t="e">
        <f>IF(#REF!="Ergocup",8,"DHM")</f>
        <v>#REF!</v>
      </c>
      <c r="I331" s="310">
        <f>'Eingabe Meldungen'!K176</f>
        <v>0</v>
      </c>
      <c r="J331" s="313"/>
      <c r="K331" s="314">
        <f>IF(Tabelle1[[#This Row],[Bezahlt]]="JA",#REF!,0)</f>
        <v>0</v>
      </c>
      <c r="L331" s="315"/>
    </row>
    <row r="332" spans="2:12" s="316" customFormat="1" ht="18" customHeight="1" x14ac:dyDescent="0.2">
      <c r="B332" s="309">
        <f>'Eingabe Meldungen'!A333</f>
        <v>0</v>
      </c>
      <c r="C332" s="310">
        <f>'Eingabe Meldungen'!C333</f>
        <v>0</v>
      </c>
      <c r="D332" s="310">
        <f>'Eingabe Meldungen'!D333</f>
        <v>0</v>
      </c>
      <c r="E332" s="311">
        <f>'Eingabe Meldungen'!J333</f>
        <v>0</v>
      </c>
      <c r="F332" s="310" t="e">
        <f>VLOOKUP(B332,Ausschreibung!$B$4:$I$35,4,FALSE)</f>
        <v>#N/A</v>
      </c>
      <c r="G332" s="312" t="e">
        <f t="shared" si="10"/>
        <v>#REF!</v>
      </c>
      <c r="H332" s="312" t="e">
        <f>IF(#REF!="Ergocup",8,"DHM")</f>
        <v>#REF!</v>
      </c>
      <c r="I332" s="310">
        <f>'Eingabe Meldungen'!K35</f>
        <v>0</v>
      </c>
      <c r="J332" s="313"/>
      <c r="K332" s="314">
        <f>IF(Tabelle1[[#This Row],[Bezahlt]]="JA",#REF!,0)</f>
        <v>0</v>
      </c>
      <c r="L332" s="315"/>
    </row>
    <row r="333" spans="2:12" s="316" customFormat="1" ht="18" customHeight="1" x14ac:dyDescent="0.2">
      <c r="B333" s="309">
        <f>'Eingabe Meldungen'!A334</f>
        <v>0</v>
      </c>
      <c r="C333" s="310">
        <f>'Eingabe Meldungen'!C334</f>
        <v>0</v>
      </c>
      <c r="D333" s="310">
        <f>'Eingabe Meldungen'!D334</f>
        <v>0</v>
      </c>
      <c r="E333" s="311">
        <f>'Eingabe Meldungen'!J334</f>
        <v>0</v>
      </c>
      <c r="F333" s="310" t="e">
        <f>VLOOKUP(B333,Ausschreibung!$B$4:$I$35,4,FALSE)</f>
        <v>#N/A</v>
      </c>
      <c r="G333" s="312" t="e">
        <f t="shared" si="10"/>
        <v>#REF!</v>
      </c>
      <c r="H333" s="312" t="e">
        <f>IF(#REF!="Ergocup",8,"DHM")</f>
        <v>#REF!</v>
      </c>
      <c r="I333" s="310">
        <f>'Eingabe Meldungen'!K153</f>
        <v>0</v>
      </c>
      <c r="J333" s="313"/>
      <c r="K333" s="314">
        <f>IF(Tabelle1[[#This Row],[Bezahlt]]="JA",#REF!,0)</f>
        <v>0</v>
      </c>
      <c r="L333" s="315"/>
    </row>
    <row r="334" spans="2:12" s="316" customFormat="1" ht="18" customHeight="1" x14ac:dyDescent="0.2">
      <c r="B334" s="309">
        <f>'Eingabe Meldungen'!A335</f>
        <v>0</v>
      </c>
      <c r="C334" s="310">
        <f>'Eingabe Meldungen'!C335</f>
        <v>0</v>
      </c>
      <c r="D334" s="310">
        <f>'Eingabe Meldungen'!D335</f>
        <v>0</v>
      </c>
      <c r="E334" s="311">
        <f>'Eingabe Meldungen'!J335</f>
        <v>0</v>
      </c>
      <c r="F334" s="310" t="e">
        <f>VLOOKUP(B334,Ausschreibung!$B$4:$I$35,4,FALSE)</f>
        <v>#N/A</v>
      </c>
      <c r="G334" s="312" t="e">
        <f t="shared" si="10"/>
        <v>#REF!</v>
      </c>
      <c r="H334" s="312" t="e">
        <f>IF(#REF!="Ergocup",8,"DHM")</f>
        <v>#REF!</v>
      </c>
      <c r="I334" s="310">
        <f>'Eingabe Meldungen'!K143</f>
        <v>0</v>
      </c>
      <c r="J334" s="313"/>
      <c r="K334" s="314">
        <f>IF(Tabelle1[[#This Row],[Bezahlt]]="JA",#REF!,0)</f>
        <v>0</v>
      </c>
      <c r="L334" s="315"/>
    </row>
    <row r="335" spans="2:12" s="316" customFormat="1" ht="18" customHeight="1" x14ac:dyDescent="0.2">
      <c r="B335" s="309">
        <f>'Eingabe Meldungen'!A336</f>
        <v>0</v>
      </c>
      <c r="C335" s="310">
        <f>'Eingabe Meldungen'!C336</f>
        <v>0</v>
      </c>
      <c r="D335" s="310">
        <f>'Eingabe Meldungen'!D336</f>
        <v>0</v>
      </c>
      <c r="E335" s="311">
        <f>'Eingabe Meldungen'!J336</f>
        <v>0</v>
      </c>
      <c r="F335" s="310" t="e">
        <f>VLOOKUP(B335,Ausschreibung!$B$4:$I$35,4,FALSE)</f>
        <v>#N/A</v>
      </c>
      <c r="G335" s="312" t="e">
        <f t="shared" si="10"/>
        <v>#REF!</v>
      </c>
      <c r="H335" s="312" t="e">
        <f>IF(#REF!="Ergocup",8,"DHM")</f>
        <v>#REF!</v>
      </c>
      <c r="I335" s="310">
        <f>'Eingabe Meldungen'!K204</f>
        <v>0</v>
      </c>
      <c r="J335" s="313"/>
      <c r="K335" s="314">
        <f>IF(Tabelle1[[#This Row],[Bezahlt]]="JA",#REF!,0)</f>
        <v>0</v>
      </c>
      <c r="L335" s="315"/>
    </row>
    <row r="336" spans="2:12" s="316" customFormat="1" ht="18" customHeight="1" x14ac:dyDescent="0.2">
      <c r="B336" s="309">
        <f>'Eingabe Meldungen'!A337</f>
        <v>0</v>
      </c>
      <c r="C336" s="310">
        <f>'Eingabe Meldungen'!C337</f>
        <v>0</v>
      </c>
      <c r="D336" s="310">
        <f>'Eingabe Meldungen'!D337</f>
        <v>0</v>
      </c>
      <c r="E336" s="311">
        <f>'Eingabe Meldungen'!J337</f>
        <v>0</v>
      </c>
      <c r="F336" s="310" t="e">
        <f>VLOOKUP(B336,Ausschreibung!$B$4:$I$35,4,FALSE)</f>
        <v>#N/A</v>
      </c>
      <c r="G336" s="312" t="e">
        <f t="shared" si="10"/>
        <v>#REF!</v>
      </c>
      <c r="H336" s="312" t="e">
        <f>IF(#REF!="Ergocup",8,"DHM")</f>
        <v>#REF!</v>
      </c>
      <c r="I336" s="310">
        <f>'Eingabe Meldungen'!K198</f>
        <v>0</v>
      </c>
      <c r="J336" s="313"/>
      <c r="K336" s="314">
        <f>IF(Tabelle1[[#This Row],[Bezahlt]]="JA",#REF!,0)</f>
        <v>0</v>
      </c>
      <c r="L336" s="315"/>
    </row>
    <row r="337" spans="2:12" s="316" customFormat="1" ht="18" customHeight="1" x14ac:dyDescent="0.2">
      <c r="B337" s="309">
        <f>'Eingabe Meldungen'!A338</f>
        <v>0</v>
      </c>
      <c r="C337" s="310">
        <f>'Eingabe Meldungen'!C338</f>
        <v>0</v>
      </c>
      <c r="D337" s="310">
        <f>'Eingabe Meldungen'!D338</f>
        <v>0</v>
      </c>
      <c r="E337" s="311">
        <f>'Eingabe Meldungen'!J338</f>
        <v>0</v>
      </c>
      <c r="F337" s="310" t="e">
        <f>VLOOKUP(B337,Ausschreibung!$B$4:$I$35,4,FALSE)</f>
        <v>#N/A</v>
      </c>
      <c r="G337" s="312" t="e">
        <f t="shared" si="10"/>
        <v>#REF!</v>
      </c>
      <c r="H337" s="312" t="e">
        <f>IF(#REF!="Ergocup",8,"DHM")</f>
        <v>#REF!</v>
      </c>
      <c r="I337" s="310">
        <f>'Eingabe Meldungen'!K197</f>
        <v>0</v>
      </c>
      <c r="J337" s="313"/>
      <c r="K337" s="314">
        <f>IF(Tabelle1[[#This Row],[Bezahlt]]="JA",#REF!,0)</f>
        <v>0</v>
      </c>
      <c r="L337" s="315"/>
    </row>
    <row r="338" spans="2:12" s="316" customFormat="1" ht="18" customHeight="1" x14ac:dyDescent="0.2">
      <c r="B338" s="309">
        <f>'Eingabe Meldungen'!A339</f>
        <v>0</v>
      </c>
      <c r="C338" s="310">
        <f>'Eingabe Meldungen'!C339</f>
        <v>0</v>
      </c>
      <c r="D338" s="310">
        <f>'Eingabe Meldungen'!D339</f>
        <v>0</v>
      </c>
      <c r="E338" s="311">
        <f>'Eingabe Meldungen'!J339</f>
        <v>0</v>
      </c>
      <c r="F338" s="310" t="e">
        <f>VLOOKUP(B338,Ausschreibung!$B$4:$I$35,4,FALSE)</f>
        <v>#N/A</v>
      </c>
      <c r="G338" s="312" t="e">
        <f t="shared" si="10"/>
        <v>#REF!</v>
      </c>
      <c r="H338" s="312" t="e">
        <f>IF(#REF!="Ergocup",8,"DHM")</f>
        <v>#REF!</v>
      </c>
      <c r="I338" s="310">
        <f>'Eingabe Meldungen'!K107</f>
        <v>0</v>
      </c>
      <c r="J338" s="313"/>
      <c r="K338" s="314">
        <f>IF(Tabelle1[[#This Row],[Bezahlt]]="JA",#REF!,0)</f>
        <v>0</v>
      </c>
      <c r="L338" s="315"/>
    </row>
    <row r="339" spans="2:12" s="316" customFormat="1" ht="18" customHeight="1" x14ac:dyDescent="0.2">
      <c r="B339" s="309">
        <f>'Eingabe Meldungen'!A340</f>
        <v>0</v>
      </c>
      <c r="C339" s="310">
        <f>'Eingabe Meldungen'!C340</f>
        <v>0</v>
      </c>
      <c r="D339" s="310">
        <f>'Eingabe Meldungen'!D340</f>
        <v>0</v>
      </c>
      <c r="E339" s="311">
        <f>'Eingabe Meldungen'!J340</f>
        <v>0</v>
      </c>
      <c r="F339" s="310" t="e">
        <f>VLOOKUP(B339,Ausschreibung!$B$4:$I$35,4,FALSE)</f>
        <v>#N/A</v>
      </c>
      <c r="G339" s="312" t="e">
        <f t="shared" si="10"/>
        <v>#REF!</v>
      </c>
      <c r="H339" s="312" t="e">
        <f>IF(#REF!="Ergocup",8,"DHM")</f>
        <v>#REF!</v>
      </c>
      <c r="I339" s="310">
        <f>'Eingabe Meldungen'!K141</f>
        <v>0</v>
      </c>
      <c r="J339" s="313"/>
      <c r="K339" s="314">
        <f>IF(Tabelle1[[#This Row],[Bezahlt]]="JA",#REF!,0)</f>
        <v>0</v>
      </c>
      <c r="L339" s="315"/>
    </row>
    <row r="340" spans="2:12" s="316" customFormat="1" ht="18" customHeight="1" x14ac:dyDescent="0.2">
      <c r="B340" s="309">
        <f>'Eingabe Meldungen'!A341</f>
        <v>0</v>
      </c>
      <c r="C340" s="310">
        <f>'Eingabe Meldungen'!C341</f>
        <v>0</v>
      </c>
      <c r="D340" s="310">
        <f>'Eingabe Meldungen'!D341</f>
        <v>0</v>
      </c>
      <c r="E340" s="311">
        <f>'Eingabe Meldungen'!J341</f>
        <v>0</v>
      </c>
      <c r="F340" s="310" t="e">
        <f>VLOOKUP(B340,Ausschreibung!$B$4:$I$35,4,FALSE)</f>
        <v>#N/A</v>
      </c>
      <c r="G340" s="312" t="e">
        <f t="shared" si="10"/>
        <v>#REF!</v>
      </c>
      <c r="H340" s="312" t="e">
        <f>IF(#REF!="Ergocup",8,"DHM")</f>
        <v>#REF!</v>
      </c>
      <c r="I340" s="310">
        <f>'Eingabe Meldungen'!K70</f>
        <v>0</v>
      </c>
      <c r="J340" s="313"/>
      <c r="K340" s="314">
        <f>IF(Tabelle1[[#This Row],[Bezahlt]]="JA",#REF!,0)</f>
        <v>0</v>
      </c>
      <c r="L340" s="315"/>
    </row>
    <row r="341" spans="2:12" s="316" customFormat="1" ht="18" customHeight="1" x14ac:dyDescent="0.2">
      <c r="B341" s="309">
        <f>'Eingabe Meldungen'!A342</f>
        <v>0</v>
      </c>
      <c r="C341" s="310">
        <f>'Eingabe Meldungen'!C342</f>
        <v>0</v>
      </c>
      <c r="D341" s="310">
        <f>'Eingabe Meldungen'!D342</f>
        <v>0</v>
      </c>
      <c r="E341" s="311">
        <f>'Eingabe Meldungen'!J342</f>
        <v>0</v>
      </c>
      <c r="F341" s="310" t="e">
        <f>VLOOKUP(B341,Ausschreibung!$B$4:$I$35,4,FALSE)</f>
        <v>#N/A</v>
      </c>
      <c r="G341" s="312" t="e">
        <f t="shared" si="10"/>
        <v>#REF!</v>
      </c>
      <c r="H341" s="312" t="e">
        <f>IF(#REF!="Ergocup",8,"DHM")</f>
        <v>#REF!</v>
      </c>
      <c r="I341" s="310">
        <f>'Eingabe Meldungen'!K24</f>
        <v>0</v>
      </c>
      <c r="J341" s="313"/>
      <c r="K341" s="314">
        <f>IF(Tabelle1[[#This Row],[Bezahlt]]="JA",#REF!,0)</f>
        <v>0</v>
      </c>
      <c r="L341" s="315"/>
    </row>
    <row r="342" spans="2:12" s="316" customFormat="1" ht="18" customHeight="1" x14ac:dyDescent="0.2">
      <c r="B342" s="309">
        <f>'Eingabe Meldungen'!A343</f>
        <v>0</v>
      </c>
      <c r="C342" s="310">
        <f>'Eingabe Meldungen'!C343</f>
        <v>0</v>
      </c>
      <c r="D342" s="310">
        <f>'Eingabe Meldungen'!D343</f>
        <v>0</v>
      </c>
      <c r="E342" s="311">
        <f>'Eingabe Meldungen'!J343</f>
        <v>0</v>
      </c>
      <c r="F342" s="310" t="e">
        <f>VLOOKUP(B342,Ausschreibung!$B$4:$I$35,4,FALSE)</f>
        <v>#N/A</v>
      </c>
      <c r="G342" s="312" t="e">
        <f t="shared" si="10"/>
        <v>#REF!</v>
      </c>
      <c r="H342" s="312" t="e">
        <f>IF(#REF!="Ergocup",8,"DHM")</f>
        <v>#REF!</v>
      </c>
      <c r="I342" s="310">
        <f>'Eingabe Meldungen'!K49</f>
        <v>0</v>
      </c>
      <c r="J342" s="313"/>
      <c r="K342" s="314">
        <f>IF(Tabelle1[[#This Row],[Bezahlt]]="JA",#REF!,0)</f>
        <v>0</v>
      </c>
      <c r="L342" s="315"/>
    </row>
    <row r="343" spans="2:12" s="316" customFormat="1" ht="18" customHeight="1" x14ac:dyDescent="0.2">
      <c r="B343" s="309">
        <f>'Eingabe Meldungen'!A344</f>
        <v>0</v>
      </c>
      <c r="C343" s="310">
        <f>'Eingabe Meldungen'!C344</f>
        <v>0</v>
      </c>
      <c r="D343" s="310">
        <f>'Eingabe Meldungen'!D344</f>
        <v>0</v>
      </c>
      <c r="E343" s="311">
        <f>'Eingabe Meldungen'!J344</f>
        <v>0</v>
      </c>
      <c r="F343" s="310" t="e">
        <f>VLOOKUP(B343,Ausschreibung!$B$4:$I$35,4,FALSE)</f>
        <v>#N/A</v>
      </c>
      <c r="G343" s="312" t="e">
        <f t="shared" si="10"/>
        <v>#REF!</v>
      </c>
      <c r="H343" s="312" t="e">
        <f>IF(#REF!="Ergocup",8,"DHM")</f>
        <v>#REF!</v>
      </c>
      <c r="I343" s="310">
        <f>'Eingabe Meldungen'!K128</f>
        <v>0</v>
      </c>
      <c r="J343" s="313"/>
      <c r="K343" s="314">
        <f>IF(Tabelle1[[#This Row],[Bezahlt]]="JA",#REF!,0)</f>
        <v>0</v>
      </c>
      <c r="L343" s="315"/>
    </row>
    <row r="344" spans="2:12" s="316" customFormat="1" ht="18" customHeight="1" x14ac:dyDescent="0.2">
      <c r="B344" s="309">
        <f>'Eingabe Meldungen'!A345</f>
        <v>0</v>
      </c>
      <c r="C344" s="310">
        <f>'Eingabe Meldungen'!C345</f>
        <v>0</v>
      </c>
      <c r="D344" s="310">
        <f>'Eingabe Meldungen'!D345</f>
        <v>0</v>
      </c>
      <c r="E344" s="311">
        <f>'Eingabe Meldungen'!J345</f>
        <v>0</v>
      </c>
      <c r="F344" s="310" t="e">
        <f>VLOOKUP(B344,Ausschreibung!$B$4:$I$35,4,FALSE)</f>
        <v>#N/A</v>
      </c>
      <c r="G344" s="312" t="e">
        <f t="shared" si="10"/>
        <v>#REF!</v>
      </c>
      <c r="H344" s="312" t="e">
        <f>IF(#REF!="Ergocup",8,"DHM")</f>
        <v>#REF!</v>
      </c>
      <c r="I344" s="310">
        <f>'Eingabe Meldungen'!K139</f>
        <v>0</v>
      </c>
      <c r="J344" s="313"/>
      <c r="K344" s="314">
        <f>IF(Tabelle1[[#This Row],[Bezahlt]]="JA",#REF!,0)</f>
        <v>0</v>
      </c>
      <c r="L344" s="315"/>
    </row>
    <row r="345" spans="2:12" s="316" customFormat="1" ht="18" customHeight="1" x14ac:dyDescent="0.2">
      <c r="B345" s="309">
        <f>'Eingabe Meldungen'!A346</f>
        <v>0</v>
      </c>
      <c r="C345" s="310">
        <f>'Eingabe Meldungen'!C346</f>
        <v>0</v>
      </c>
      <c r="D345" s="310">
        <f>'Eingabe Meldungen'!D346</f>
        <v>0</v>
      </c>
      <c r="E345" s="311">
        <f>'Eingabe Meldungen'!J346</f>
        <v>0</v>
      </c>
      <c r="F345" s="310" t="e">
        <f>VLOOKUP(B345,Ausschreibung!$B$4:$I$35,4,FALSE)</f>
        <v>#N/A</v>
      </c>
      <c r="G345" s="312" t="e">
        <f t="shared" si="10"/>
        <v>#REF!</v>
      </c>
      <c r="H345" s="312" t="e">
        <f>IF(#REF!="Ergocup",8,"DHM")</f>
        <v>#REF!</v>
      </c>
      <c r="I345" s="310">
        <f>'Eingabe Meldungen'!K126</f>
        <v>0</v>
      </c>
      <c r="J345" s="313"/>
      <c r="K345" s="314">
        <f>IF(Tabelle1[[#This Row],[Bezahlt]]="JA",#REF!,0)</f>
        <v>0</v>
      </c>
      <c r="L345" s="315"/>
    </row>
    <row r="346" spans="2:12" s="316" customFormat="1" ht="18" customHeight="1" x14ac:dyDescent="0.2">
      <c r="B346" s="309">
        <f>'Eingabe Meldungen'!A347</f>
        <v>0</v>
      </c>
      <c r="C346" s="310">
        <f>'Eingabe Meldungen'!C347</f>
        <v>0</v>
      </c>
      <c r="D346" s="310">
        <f>'Eingabe Meldungen'!D347</f>
        <v>0</v>
      </c>
      <c r="E346" s="311">
        <f>'Eingabe Meldungen'!J347</f>
        <v>0</v>
      </c>
      <c r="F346" s="310" t="e">
        <f>VLOOKUP(B346,Ausschreibung!$B$4:$I$35,4,FALSE)</f>
        <v>#N/A</v>
      </c>
      <c r="G346" s="312" t="e">
        <f t="shared" si="10"/>
        <v>#REF!</v>
      </c>
      <c r="H346" s="312" t="e">
        <f>IF(#REF!="Ergocup",8,"DHM")</f>
        <v>#REF!</v>
      </c>
      <c r="I346" s="310">
        <f>'Eingabe Meldungen'!K38</f>
        <v>0</v>
      </c>
      <c r="J346" s="313"/>
      <c r="K346" s="314">
        <f>IF(Tabelle1[[#This Row],[Bezahlt]]="JA",#REF!,0)</f>
        <v>0</v>
      </c>
      <c r="L346" s="315"/>
    </row>
    <row r="347" spans="2:12" s="316" customFormat="1" ht="18" customHeight="1" x14ac:dyDescent="0.2">
      <c r="B347" s="309">
        <f>'Eingabe Meldungen'!A348</f>
        <v>0</v>
      </c>
      <c r="C347" s="310">
        <f>'Eingabe Meldungen'!C348</f>
        <v>0</v>
      </c>
      <c r="D347" s="310">
        <f>'Eingabe Meldungen'!D348</f>
        <v>0</v>
      </c>
      <c r="E347" s="311">
        <f>'Eingabe Meldungen'!J348</f>
        <v>0</v>
      </c>
      <c r="F347" s="310" t="e">
        <f>VLOOKUP(B347,Ausschreibung!$B$4:$I$35,4,FALSE)</f>
        <v>#N/A</v>
      </c>
      <c r="G347" s="312" t="e">
        <f t="shared" si="10"/>
        <v>#REF!</v>
      </c>
      <c r="H347" s="312" t="e">
        <f>IF(#REF!="Ergocup",8,"DHM")</f>
        <v>#REF!</v>
      </c>
      <c r="I347" s="310">
        <f>'Eingabe Meldungen'!K39</f>
        <v>0</v>
      </c>
      <c r="J347" s="313"/>
      <c r="K347" s="314">
        <f>IF(Tabelle1[[#This Row],[Bezahlt]]="JA",#REF!,0)</f>
        <v>0</v>
      </c>
      <c r="L347" s="315"/>
    </row>
    <row r="348" spans="2:12" s="316" customFormat="1" ht="18" customHeight="1" x14ac:dyDescent="0.2">
      <c r="B348" s="309">
        <f>'Eingabe Meldungen'!A349</f>
        <v>0</v>
      </c>
      <c r="C348" s="310">
        <f>'Eingabe Meldungen'!C349</f>
        <v>0</v>
      </c>
      <c r="D348" s="310">
        <f>'Eingabe Meldungen'!D349</f>
        <v>0</v>
      </c>
      <c r="E348" s="311">
        <f>'Eingabe Meldungen'!J349</f>
        <v>0</v>
      </c>
      <c r="F348" s="310" t="e">
        <f>VLOOKUP(B348,Ausschreibung!$B$4:$I$35,4,FALSE)</f>
        <v>#N/A</v>
      </c>
      <c r="G348" s="312" t="e">
        <f t="shared" si="10"/>
        <v>#REF!</v>
      </c>
      <c r="H348" s="312" t="e">
        <f>IF(#REF!="Ergocup",8,"DHM")</f>
        <v>#REF!</v>
      </c>
      <c r="I348" s="310">
        <f>'Eingabe Meldungen'!K102</f>
        <v>0</v>
      </c>
      <c r="J348" s="313"/>
      <c r="K348" s="314">
        <f>IF(Tabelle1[[#This Row],[Bezahlt]]="JA",#REF!,0)</f>
        <v>0</v>
      </c>
      <c r="L348" s="315"/>
    </row>
    <row r="349" spans="2:12" s="316" customFormat="1" ht="18" customHeight="1" x14ac:dyDescent="0.2">
      <c r="B349" s="309">
        <f>'Eingabe Meldungen'!A350</f>
        <v>0</v>
      </c>
      <c r="C349" s="310">
        <f>'Eingabe Meldungen'!C350</f>
        <v>0</v>
      </c>
      <c r="D349" s="310">
        <f>'Eingabe Meldungen'!D350</f>
        <v>0</v>
      </c>
      <c r="E349" s="311">
        <f>'Eingabe Meldungen'!J350</f>
        <v>0</v>
      </c>
      <c r="F349" s="310" t="e">
        <f>VLOOKUP(B349,Ausschreibung!$B$4:$I$35,4,FALSE)</f>
        <v>#N/A</v>
      </c>
      <c r="G349" s="312" t="e">
        <f t="shared" si="10"/>
        <v>#REF!</v>
      </c>
      <c r="H349" s="312" t="e">
        <f>IF(#REF!="Ergocup",8,"DHM")</f>
        <v>#REF!</v>
      </c>
      <c r="I349" s="310">
        <f>'Eingabe Meldungen'!K183</f>
        <v>0</v>
      </c>
      <c r="J349" s="313"/>
      <c r="K349" s="314">
        <f>IF(Tabelle1[[#This Row],[Bezahlt]]="JA",#REF!,0)</f>
        <v>0</v>
      </c>
      <c r="L349" s="315"/>
    </row>
    <row r="350" spans="2:12" s="316" customFormat="1" ht="18" customHeight="1" x14ac:dyDescent="0.2">
      <c r="B350" s="309">
        <f>'Eingabe Meldungen'!A351</f>
        <v>0</v>
      </c>
      <c r="C350" s="310">
        <f>'Eingabe Meldungen'!C351</f>
        <v>0</v>
      </c>
      <c r="D350" s="310">
        <f>'Eingabe Meldungen'!D351</f>
        <v>0</v>
      </c>
      <c r="E350" s="311">
        <f>'Eingabe Meldungen'!J351</f>
        <v>0</v>
      </c>
      <c r="F350" s="310" t="e">
        <f>VLOOKUP(B350,Ausschreibung!$B$4:$I$35,4,FALSE)</f>
        <v>#N/A</v>
      </c>
      <c r="G350" s="312" t="e">
        <f t="shared" si="10"/>
        <v>#REF!</v>
      </c>
      <c r="H350" s="312" t="e">
        <f>IF(#REF!="Ergocup",8,"DHM")</f>
        <v>#REF!</v>
      </c>
      <c r="I350" s="310">
        <f>'Eingabe Meldungen'!K12</f>
        <v>0</v>
      </c>
      <c r="J350" s="313"/>
      <c r="K350" s="314">
        <f>IF(Tabelle1[[#This Row],[Bezahlt]]="JA",#REF!,0)</f>
        <v>0</v>
      </c>
      <c r="L350" s="315"/>
    </row>
    <row r="351" spans="2:12" s="316" customFormat="1" ht="18" customHeight="1" x14ac:dyDescent="0.2">
      <c r="B351" s="309">
        <f>'Eingabe Meldungen'!A352</f>
        <v>0</v>
      </c>
      <c r="C351" s="310">
        <f>'Eingabe Meldungen'!C352</f>
        <v>0</v>
      </c>
      <c r="D351" s="310">
        <f>'Eingabe Meldungen'!D352</f>
        <v>0</v>
      </c>
      <c r="E351" s="311">
        <f>'Eingabe Meldungen'!J352</f>
        <v>0</v>
      </c>
      <c r="F351" s="310" t="e">
        <f>VLOOKUP(B351,Ausschreibung!$B$4:$I$35,4,FALSE)</f>
        <v>#N/A</v>
      </c>
      <c r="G351" s="312" t="e">
        <f t="shared" si="10"/>
        <v>#REF!</v>
      </c>
      <c r="H351" s="312" t="e">
        <f>IF(#REF!="Ergocup",8,"DHM")</f>
        <v>#REF!</v>
      </c>
      <c r="I351" s="310">
        <f>'Eingabe Meldungen'!K5</f>
        <v>0</v>
      </c>
      <c r="J351" s="313"/>
      <c r="K351" s="314">
        <f>IF(Tabelle1[[#This Row],[Bezahlt]]="JA",#REF!,0)</f>
        <v>0</v>
      </c>
      <c r="L351" s="315"/>
    </row>
    <row r="352" spans="2:12" s="316" customFormat="1" ht="18" customHeight="1" x14ac:dyDescent="0.2">
      <c r="B352" s="309">
        <f>'Eingabe Meldungen'!A353</f>
        <v>0</v>
      </c>
      <c r="C352" s="310">
        <f>'Eingabe Meldungen'!C353</f>
        <v>0</v>
      </c>
      <c r="D352" s="310">
        <f>'Eingabe Meldungen'!D353</f>
        <v>0</v>
      </c>
      <c r="E352" s="311">
        <f>'Eingabe Meldungen'!J353</f>
        <v>0</v>
      </c>
      <c r="F352" s="310" t="e">
        <f>VLOOKUP(B352,Ausschreibung!$B$4:$I$35,4,FALSE)</f>
        <v>#N/A</v>
      </c>
      <c r="G352" s="312" t="e">
        <f t="shared" si="10"/>
        <v>#REF!</v>
      </c>
      <c r="H352" s="312" t="e">
        <f>IF(#REF!="Ergocup",8,"DHM")</f>
        <v>#REF!</v>
      </c>
      <c r="I352" s="310">
        <f>'Eingabe Meldungen'!K88</f>
        <v>0</v>
      </c>
      <c r="J352" s="313"/>
      <c r="K352" s="314">
        <f>IF(Tabelle1[[#This Row],[Bezahlt]]="JA",#REF!,0)</f>
        <v>0</v>
      </c>
      <c r="L352" s="315"/>
    </row>
    <row r="353" spans="2:12" s="316" customFormat="1" ht="18" customHeight="1" x14ac:dyDescent="0.2">
      <c r="B353" s="309">
        <f>'Eingabe Meldungen'!A354</f>
        <v>0</v>
      </c>
      <c r="C353" s="310">
        <f>'Eingabe Meldungen'!C354</f>
        <v>0</v>
      </c>
      <c r="D353" s="310">
        <f>'Eingabe Meldungen'!D354</f>
        <v>0</v>
      </c>
      <c r="E353" s="311">
        <f>'Eingabe Meldungen'!J354</f>
        <v>0</v>
      </c>
      <c r="F353" s="310" t="e">
        <f>VLOOKUP(B353,Ausschreibung!$B$4:$I$35,4,FALSE)</f>
        <v>#N/A</v>
      </c>
      <c r="G353" s="312" t="e">
        <f t="shared" si="10"/>
        <v>#REF!</v>
      </c>
      <c r="H353" s="312" t="e">
        <f>IF(#REF!="Ergocup",8,"DHM")</f>
        <v>#REF!</v>
      </c>
      <c r="I353" s="310">
        <f>'Eingabe Meldungen'!K51</f>
        <v>0</v>
      </c>
      <c r="J353" s="313"/>
      <c r="K353" s="314">
        <f>IF(Tabelle1[[#This Row],[Bezahlt]]="JA",#REF!,0)</f>
        <v>0</v>
      </c>
      <c r="L353" s="315"/>
    </row>
    <row r="354" spans="2:12" s="316" customFormat="1" ht="18" customHeight="1" x14ac:dyDescent="0.2">
      <c r="B354" s="309">
        <f>'Eingabe Meldungen'!A355</f>
        <v>0</v>
      </c>
      <c r="C354" s="310">
        <f>'Eingabe Meldungen'!C355</f>
        <v>0</v>
      </c>
      <c r="D354" s="310">
        <f>'Eingabe Meldungen'!D355</f>
        <v>0</v>
      </c>
      <c r="E354" s="311">
        <f>'Eingabe Meldungen'!J355</f>
        <v>0</v>
      </c>
      <c r="F354" s="310" t="e">
        <f>VLOOKUP(B354,Ausschreibung!$B$4:$I$35,4,FALSE)</f>
        <v>#N/A</v>
      </c>
      <c r="G354" s="312" t="e">
        <f t="shared" si="10"/>
        <v>#REF!</v>
      </c>
      <c r="H354" s="312" t="e">
        <f>IF(#REF!="Ergocup",8,"DHM")</f>
        <v>#REF!</v>
      </c>
      <c r="I354" s="310">
        <f>'Eingabe Meldungen'!K103</f>
        <v>0</v>
      </c>
      <c r="J354" s="313"/>
      <c r="K354" s="314">
        <f>IF(Tabelle1[[#This Row],[Bezahlt]]="JA",#REF!,0)</f>
        <v>0</v>
      </c>
      <c r="L354" s="315"/>
    </row>
    <row r="355" spans="2:12" s="316" customFormat="1" ht="18" customHeight="1" x14ac:dyDescent="0.2">
      <c r="B355" s="309">
        <f>'Eingabe Meldungen'!A356</f>
        <v>0</v>
      </c>
      <c r="C355" s="310">
        <f>'Eingabe Meldungen'!C356</f>
        <v>0</v>
      </c>
      <c r="D355" s="310">
        <f>'Eingabe Meldungen'!D356</f>
        <v>0</v>
      </c>
      <c r="E355" s="311">
        <f>'Eingabe Meldungen'!J356</f>
        <v>0</v>
      </c>
      <c r="F355" s="310" t="e">
        <f>VLOOKUP(B355,Ausschreibung!$B$4:$I$35,4,FALSE)</f>
        <v>#N/A</v>
      </c>
      <c r="G355" s="312" t="e">
        <f t="shared" si="10"/>
        <v>#REF!</v>
      </c>
      <c r="H355" s="312" t="e">
        <f>IF(#REF!="Ergocup",8,"DHM")</f>
        <v>#REF!</v>
      </c>
      <c r="I355" s="310">
        <f>'Eingabe Meldungen'!K50</f>
        <v>0</v>
      </c>
      <c r="J355" s="313"/>
      <c r="K355" s="314">
        <f>IF(Tabelle1[[#This Row],[Bezahlt]]="JA",#REF!,0)</f>
        <v>0</v>
      </c>
      <c r="L355" s="315"/>
    </row>
    <row r="356" spans="2:12" s="316" customFormat="1" ht="18" customHeight="1" x14ac:dyDescent="0.2">
      <c r="B356" s="309">
        <f>'Eingabe Meldungen'!A357</f>
        <v>0</v>
      </c>
      <c r="C356" s="310">
        <f>'Eingabe Meldungen'!C357</f>
        <v>0</v>
      </c>
      <c r="D356" s="310">
        <f>'Eingabe Meldungen'!D357</f>
        <v>0</v>
      </c>
      <c r="E356" s="311">
        <f>'Eingabe Meldungen'!J357</f>
        <v>0</v>
      </c>
      <c r="F356" s="310" t="e">
        <f>VLOOKUP(B356,Ausschreibung!$B$4:$I$35,4,FALSE)</f>
        <v>#N/A</v>
      </c>
      <c r="G356" s="312" t="e">
        <f t="shared" si="10"/>
        <v>#REF!</v>
      </c>
      <c r="H356" s="312" t="e">
        <f>IF(#REF!="Ergocup",8,"DHM")</f>
        <v>#REF!</v>
      </c>
      <c r="I356" s="310">
        <f>'Eingabe Meldungen'!K98</f>
        <v>0</v>
      </c>
      <c r="J356" s="313"/>
      <c r="K356" s="314">
        <f>IF(Tabelle1[[#This Row],[Bezahlt]]="JA",#REF!,0)</f>
        <v>0</v>
      </c>
      <c r="L356" s="315"/>
    </row>
    <row r="357" spans="2:12" s="316" customFormat="1" ht="18" customHeight="1" x14ac:dyDescent="0.2">
      <c r="B357" s="309">
        <f>'Eingabe Meldungen'!A358</f>
        <v>0</v>
      </c>
      <c r="C357" s="310">
        <f>'Eingabe Meldungen'!C358</f>
        <v>0</v>
      </c>
      <c r="D357" s="310">
        <f>'Eingabe Meldungen'!D358</f>
        <v>0</v>
      </c>
      <c r="E357" s="311">
        <f>'Eingabe Meldungen'!J358</f>
        <v>0</v>
      </c>
      <c r="F357" s="310" t="e">
        <f>VLOOKUP(B357,Ausschreibung!$B$4:$I$35,4,FALSE)</f>
        <v>#N/A</v>
      </c>
      <c r="G357" s="312" t="e">
        <f t="shared" si="10"/>
        <v>#REF!</v>
      </c>
      <c r="H357" s="312" t="e">
        <f>IF(#REF!="Ergocup",8,"DHM")</f>
        <v>#REF!</v>
      </c>
      <c r="I357" s="310">
        <f>'Eingabe Meldungen'!K451</f>
        <v>0</v>
      </c>
      <c r="J357" s="313"/>
      <c r="K357" s="314">
        <f>IF(Tabelle1[[#This Row],[Bezahlt]]="JA",#REF!,0)</f>
        <v>0</v>
      </c>
      <c r="L357" s="315"/>
    </row>
    <row r="358" spans="2:12" s="316" customFormat="1" ht="18" customHeight="1" x14ac:dyDescent="0.2">
      <c r="B358" s="309">
        <f>'Eingabe Meldungen'!A359</f>
        <v>0</v>
      </c>
      <c r="C358" s="310">
        <f>'Eingabe Meldungen'!C359</f>
        <v>0</v>
      </c>
      <c r="D358" s="310">
        <f>'Eingabe Meldungen'!D359</f>
        <v>0</v>
      </c>
      <c r="E358" s="311">
        <f>'Eingabe Meldungen'!J359</f>
        <v>0</v>
      </c>
      <c r="F358" s="310" t="e">
        <f>VLOOKUP(B358,Ausschreibung!$B$4:$I$35,4,FALSE)</f>
        <v>#N/A</v>
      </c>
      <c r="G358" s="312" t="e">
        <f t="shared" si="10"/>
        <v>#REF!</v>
      </c>
      <c r="H358" s="312" t="e">
        <f>IF(#REF!="Ergocup",8,"DHM")</f>
        <v>#REF!</v>
      </c>
      <c r="I358" s="310">
        <f>'Eingabe Meldungen'!K61</f>
        <v>0</v>
      </c>
      <c r="J358" s="313"/>
      <c r="K358" s="314">
        <f>IF(Tabelle1[[#This Row],[Bezahlt]]="JA",#REF!,0)</f>
        <v>0</v>
      </c>
      <c r="L358" s="315"/>
    </row>
    <row r="359" spans="2:12" s="316" customFormat="1" ht="18" customHeight="1" x14ac:dyDescent="0.2">
      <c r="B359" s="309">
        <f>'Eingabe Meldungen'!A360</f>
        <v>0</v>
      </c>
      <c r="C359" s="310">
        <f>'Eingabe Meldungen'!C360</f>
        <v>0</v>
      </c>
      <c r="D359" s="310">
        <f>'Eingabe Meldungen'!D360</f>
        <v>0</v>
      </c>
      <c r="E359" s="311">
        <f>'Eingabe Meldungen'!J360</f>
        <v>0</v>
      </c>
      <c r="F359" s="310" t="e">
        <f>VLOOKUP(B359,Ausschreibung!$B$4:$I$35,4,FALSE)</f>
        <v>#N/A</v>
      </c>
      <c r="G359" s="312" t="e">
        <f t="shared" si="10"/>
        <v>#REF!</v>
      </c>
      <c r="H359" s="312" t="e">
        <f>IF(#REF!="Ergocup",8,"DHM")</f>
        <v>#REF!</v>
      </c>
      <c r="I359" s="310">
        <f>'Eingabe Meldungen'!K180</f>
        <v>0</v>
      </c>
      <c r="J359" s="313"/>
      <c r="K359" s="314">
        <f>IF(Tabelle1[[#This Row],[Bezahlt]]="JA",#REF!,0)</f>
        <v>0</v>
      </c>
      <c r="L359" s="315"/>
    </row>
    <row r="360" spans="2:12" s="316" customFormat="1" ht="18" customHeight="1" x14ac:dyDescent="0.2">
      <c r="B360" s="309">
        <f>'Eingabe Meldungen'!A361</f>
        <v>0</v>
      </c>
      <c r="C360" s="310">
        <f>'Eingabe Meldungen'!C361</f>
        <v>0</v>
      </c>
      <c r="D360" s="310">
        <f>'Eingabe Meldungen'!D361</f>
        <v>0</v>
      </c>
      <c r="E360" s="311">
        <f>'Eingabe Meldungen'!J361</f>
        <v>0</v>
      </c>
      <c r="F360" s="310" t="e">
        <f>VLOOKUP(B360,Ausschreibung!$B$4:$I$35,4,FALSE)</f>
        <v>#N/A</v>
      </c>
      <c r="G360" s="312" t="e">
        <f t="shared" si="10"/>
        <v>#REF!</v>
      </c>
      <c r="H360" s="312" t="e">
        <f>IF(#REF!="Ergocup",8,"DHM")</f>
        <v>#REF!</v>
      </c>
      <c r="I360" s="310">
        <f>'Eingabe Meldungen'!K109</f>
        <v>0</v>
      </c>
      <c r="J360" s="313"/>
      <c r="K360" s="314">
        <f>IF(Tabelle1[[#This Row],[Bezahlt]]="JA",#REF!,0)</f>
        <v>0</v>
      </c>
      <c r="L360" s="315"/>
    </row>
    <row r="361" spans="2:12" s="316" customFormat="1" ht="18" customHeight="1" x14ac:dyDescent="0.2">
      <c r="B361" s="309">
        <f>'Eingabe Meldungen'!A362</f>
        <v>0</v>
      </c>
      <c r="C361" s="310">
        <f>'Eingabe Meldungen'!C362</f>
        <v>0</v>
      </c>
      <c r="D361" s="310">
        <f>'Eingabe Meldungen'!D362</f>
        <v>0</v>
      </c>
      <c r="E361" s="311">
        <f>'Eingabe Meldungen'!J362</f>
        <v>0</v>
      </c>
      <c r="F361" s="310" t="e">
        <f>VLOOKUP(B361,Ausschreibung!$B$4:$I$35,4,FALSE)</f>
        <v>#N/A</v>
      </c>
      <c r="G361" s="312" t="e">
        <f t="shared" si="10"/>
        <v>#REF!</v>
      </c>
      <c r="H361" s="312" t="e">
        <f>IF(#REF!="Ergocup",8,"DHM")</f>
        <v>#REF!</v>
      </c>
      <c r="I361" s="310">
        <f>'Eingabe Meldungen'!K32</f>
        <v>0</v>
      </c>
      <c r="J361" s="313"/>
      <c r="K361" s="314">
        <f>IF(Tabelle1[[#This Row],[Bezahlt]]="JA",#REF!,0)</f>
        <v>0</v>
      </c>
      <c r="L361" s="315"/>
    </row>
    <row r="362" spans="2:12" s="316" customFormat="1" ht="18" customHeight="1" x14ac:dyDescent="0.2">
      <c r="B362" s="309">
        <f>'Eingabe Meldungen'!A363</f>
        <v>0</v>
      </c>
      <c r="C362" s="310">
        <f>'Eingabe Meldungen'!C363</f>
        <v>0</v>
      </c>
      <c r="D362" s="310">
        <f>'Eingabe Meldungen'!D363</f>
        <v>0</v>
      </c>
      <c r="E362" s="311">
        <f>'Eingabe Meldungen'!J363</f>
        <v>0</v>
      </c>
      <c r="F362" s="310" t="e">
        <f>VLOOKUP(B362,Ausschreibung!$B$4:$I$35,4,FALSE)</f>
        <v>#N/A</v>
      </c>
      <c r="G362" s="312" t="e">
        <f t="shared" si="10"/>
        <v>#REF!</v>
      </c>
      <c r="H362" s="312" t="e">
        <f>IF(#REF!="Ergocup",8,"DHM")</f>
        <v>#REF!</v>
      </c>
      <c r="I362" s="310">
        <f>'Eingabe Meldungen'!K123</f>
        <v>0</v>
      </c>
      <c r="J362" s="313"/>
      <c r="K362" s="314">
        <f>IF(Tabelle1[[#This Row],[Bezahlt]]="JA",#REF!,0)</f>
        <v>0</v>
      </c>
      <c r="L362" s="315"/>
    </row>
    <row r="363" spans="2:12" s="316" customFormat="1" ht="18" customHeight="1" x14ac:dyDescent="0.2">
      <c r="B363" s="309">
        <f>'Eingabe Meldungen'!A364</f>
        <v>0</v>
      </c>
      <c r="C363" s="310">
        <f>'Eingabe Meldungen'!C364</f>
        <v>0</v>
      </c>
      <c r="D363" s="310">
        <f>'Eingabe Meldungen'!D364</f>
        <v>0</v>
      </c>
      <c r="E363" s="311">
        <f>'Eingabe Meldungen'!J364</f>
        <v>0</v>
      </c>
      <c r="F363" s="310" t="e">
        <f>VLOOKUP(B363,Ausschreibung!$B$4:$I$35,4,FALSE)</f>
        <v>#N/A</v>
      </c>
      <c r="G363" s="312" t="e">
        <f t="shared" si="10"/>
        <v>#REF!</v>
      </c>
      <c r="H363" s="312" t="e">
        <f>IF(#REF!="Ergocup",8,"DHM")</f>
        <v>#REF!</v>
      </c>
      <c r="I363" s="310">
        <f>'Eingabe Meldungen'!K168</f>
        <v>0</v>
      </c>
      <c r="J363" s="313"/>
      <c r="K363" s="314">
        <f>IF(Tabelle1[[#This Row],[Bezahlt]]="JA",#REF!,0)</f>
        <v>0</v>
      </c>
      <c r="L363" s="315"/>
    </row>
    <row r="364" spans="2:12" s="316" customFormat="1" ht="18" customHeight="1" x14ac:dyDescent="0.2">
      <c r="B364" s="309">
        <f>'Eingabe Meldungen'!A365</f>
        <v>0</v>
      </c>
      <c r="C364" s="310">
        <f>'Eingabe Meldungen'!C365</f>
        <v>0</v>
      </c>
      <c r="D364" s="310">
        <f>'Eingabe Meldungen'!D365</f>
        <v>0</v>
      </c>
      <c r="E364" s="311">
        <f>'Eingabe Meldungen'!J365</f>
        <v>0</v>
      </c>
      <c r="F364" s="310" t="e">
        <f>VLOOKUP(B364,Ausschreibung!$B$4:$I$35,4,FALSE)</f>
        <v>#N/A</v>
      </c>
      <c r="G364" s="312" t="e">
        <f t="shared" si="10"/>
        <v>#REF!</v>
      </c>
      <c r="H364" s="312" t="e">
        <f>IF(#REF!="Ergocup",8,"DHM")</f>
        <v>#REF!</v>
      </c>
      <c r="I364" s="310">
        <f>'Eingabe Meldungen'!K41</f>
        <v>0</v>
      </c>
      <c r="J364" s="313"/>
      <c r="K364" s="314">
        <f>IF(Tabelle1[[#This Row],[Bezahlt]]="JA",#REF!,0)</f>
        <v>0</v>
      </c>
      <c r="L364" s="315"/>
    </row>
    <row r="365" spans="2:12" s="316" customFormat="1" ht="18" customHeight="1" x14ac:dyDescent="0.2">
      <c r="B365" s="309">
        <f>'Eingabe Meldungen'!A366</f>
        <v>0</v>
      </c>
      <c r="C365" s="310">
        <f>'Eingabe Meldungen'!C366</f>
        <v>0</v>
      </c>
      <c r="D365" s="310">
        <f>'Eingabe Meldungen'!D366</f>
        <v>0</v>
      </c>
      <c r="E365" s="311">
        <f>'Eingabe Meldungen'!J366</f>
        <v>0</v>
      </c>
      <c r="F365" s="310" t="e">
        <f>VLOOKUP(B365,Ausschreibung!$B$4:$I$35,4,FALSE)</f>
        <v>#N/A</v>
      </c>
      <c r="G365" s="312" t="e">
        <f t="shared" si="10"/>
        <v>#REF!</v>
      </c>
      <c r="H365" s="312" t="e">
        <f>IF(#REF!="Ergocup",8,"DHM")</f>
        <v>#REF!</v>
      </c>
      <c r="I365" s="310">
        <f>'Eingabe Meldungen'!K455</f>
        <v>0</v>
      </c>
      <c r="J365" s="313"/>
      <c r="K365" s="314">
        <f>IF(Tabelle1[[#This Row],[Bezahlt]]="JA",#REF!,0)</f>
        <v>0</v>
      </c>
      <c r="L365" s="315"/>
    </row>
    <row r="366" spans="2:12" s="316" customFormat="1" ht="18" customHeight="1" x14ac:dyDescent="0.2">
      <c r="B366" s="309">
        <f>'Eingabe Meldungen'!A367</f>
        <v>0</v>
      </c>
      <c r="C366" s="310">
        <f>'Eingabe Meldungen'!C367</f>
        <v>0</v>
      </c>
      <c r="D366" s="310">
        <f>'Eingabe Meldungen'!D367</f>
        <v>0</v>
      </c>
      <c r="E366" s="311">
        <f>'Eingabe Meldungen'!J367</f>
        <v>0</v>
      </c>
      <c r="F366" s="310" t="e">
        <f>VLOOKUP(B366,Ausschreibung!$B$4:$I$35,4,FALSE)</f>
        <v>#N/A</v>
      </c>
      <c r="G366" s="312" t="e">
        <f t="shared" si="10"/>
        <v>#REF!</v>
      </c>
      <c r="H366" s="312" t="e">
        <f>IF(#REF!="Ergocup",8,"DHM")</f>
        <v>#REF!</v>
      </c>
      <c r="I366" s="310">
        <f>'Eingabe Meldungen'!K456</f>
        <v>0</v>
      </c>
      <c r="J366" s="313"/>
      <c r="K366" s="314">
        <f>IF(Tabelle1[[#This Row],[Bezahlt]]="JA",#REF!,0)</f>
        <v>0</v>
      </c>
      <c r="L366" s="315"/>
    </row>
    <row r="367" spans="2:12" s="316" customFormat="1" ht="18" customHeight="1" x14ac:dyDescent="0.2">
      <c r="B367" s="309">
        <f>'Eingabe Meldungen'!A368</f>
        <v>0</v>
      </c>
      <c r="C367" s="310">
        <f>'Eingabe Meldungen'!C368</f>
        <v>0</v>
      </c>
      <c r="D367" s="310">
        <f>'Eingabe Meldungen'!D368</f>
        <v>0</v>
      </c>
      <c r="E367" s="311">
        <f>'Eingabe Meldungen'!J368</f>
        <v>0</v>
      </c>
      <c r="F367" s="310" t="e">
        <f>VLOOKUP(B367,Ausschreibung!$B$4:$I$35,4,FALSE)</f>
        <v>#N/A</v>
      </c>
      <c r="G367" s="312" t="e">
        <f t="shared" si="10"/>
        <v>#REF!</v>
      </c>
      <c r="H367" s="312" t="e">
        <f>IF(#REF!="Ergocup",8,"DHM")</f>
        <v>#REF!</v>
      </c>
      <c r="I367" s="310" t="str">
        <f>'Eingabe Meldungen'!K211</f>
        <v>JA</v>
      </c>
      <c r="J367" s="313"/>
      <c r="K367" s="314">
        <f>IF(Tabelle1[[#This Row],[Bezahlt]]="JA",#REF!,0)</f>
        <v>0</v>
      </c>
      <c r="L367" s="315"/>
    </row>
    <row r="368" spans="2:12" s="316" customFormat="1" ht="18" customHeight="1" x14ac:dyDescent="0.2">
      <c r="B368" s="309">
        <f>'Eingabe Meldungen'!A369</f>
        <v>0</v>
      </c>
      <c r="C368" s="310">
        <f>'Eingabe Meldungen'!C369</f>
        <v>0</v>
      </c>
      <c r="D368" s="310">
        <f>'Eingabe Meldungen'!D369</f>
        <v>0</v>
      </c>
      <c r="E368" s="311">
        <f>'Eingabe Meldungen'!J369</f>
        <v>0</v>
      </c>
      <c r="F368" s="310" t="e">
        <f>VLOOKUP(B368,Ausschreibung!$B$4:$I$35,4,FALSE)</f>
        <v>#N/A</v>
      </c>
      <c r="G368" s="312" t="e">
        <f t="shared" si="10"/>
        <v>#REF!</v>
      </c>
      <c r="H368" s="312" t="e">
        <f>IF(#REF!="Ergocup",8,"DHM")</f>
        <v>#REF!</v>
      </c>
      <c r="I368" s="310">
        <f>'Eingabe Meldungen'!K73</f>
        <v>0</v>
      </c>
      <c r="J368" s="313"/>
      <c r="K368" s="314">
        <f>IF(Tabelle1[[#This Row],[Bezahlt]]="JA",#REF!,0)</f>
        <v>0</v>
      </c>
      <c r="L368" s="315"/>
    </row>
    <row r="369" spans="2:12" s="316" customFormat="1" ht="18" customHeight="1" x14ac:dyDescent="0.2">
      <c r="B369" s="309">
        <f>'Eingabe Meldungen'!A370</f>
        <v>0</v>
      </c>
      <c r="C369" s="310">
        <f>'Eingabe Meldungen'!C370</f>
        <v>0</v>
      </c>
      <c r="D369" s="310">
        <f>'Eingabe Meldungen'!D370</f>
        <v>0</v>
      </c>
      <c r="E369" s="311">
        <f>'Eingabe Meldungen'!J370</f>
        <v>0</v>
      </c>
      <c r="F369" s="310" t="e">
        <f>VLOOKUP(B369,Ausschreibung!$B$4:$I$35,4,FALSE)</f>
        <v>#N/A</v>
      </c>
      <c r="G369" s="312" t="e">
        <f t="shared" si="10"/>
        <v>#REF!</v>
      </c>
      <c r="H369" s="312" t="e">
        <f>IF(#REF!="Ergocup",8,"DHM")</f>
        <v>#REF!</v>
      </c>
      <c r="I369" s="310">
        <f>'Eingabe Meldungen'!K104</f>
        <v>0</v>
      </c>
      <c r="J369" s="313"/>
      <c r="K369" s="314">
        <f>IF(Tabelle1[[#This Row],[Bezahlt]]="JA",#REF!,0)</f>
        <v>0</v>
      </c>
      <c r="L369" s="315"/>
    </row>
    <row r="370" spans="2:12" s="316" customFormat="1" ht="18" customHeight="1" x14ac:dyDescent="0.2">
      <c r="B370" s="309">
        <f>'Eingabe Meldungen'!A371</f>
        <v>0</v>
      </c>
      <c r="C370" s="310">
        <f>'Eingabe Meldungen'!C371</f>
        <v>0</v>
      </c>
      <c r="D370" s="310">
        <f>'Eingabe Meldungen'!D371</f>
        <v>0</v>
      </c>
      <c r="E370" s="311">
        <f>'Eingabe Meldungen'!J371</f>
        <v>0</v>
      </c>
      <c r="F370" s="310" t="e">
        <f>VLOOKUP(B370,Ausschreibung!$B$4:$I$35,4,FALSE)</f>
        <v>#N/A</v>
      </c>
      <c r="G370" s="312" t="e">
        <f t="shared" si="10"/>
        <v>#REF!</v>
      </c>
      <c r="H370" s="312" t="e">
        <f>IF(#REF!="Ergocup",8,"DHM")</f>
        <v>#REF!</v>
      </c>
      <c r="I370" s="310">
        <f>'Eingabe Meldungen'!K129</f>
        <v>0</v>
      </c>
      <c r="J370" s="313"/>
      <c r="K370" s="314">
        <f>IF(Tabelle1[[#This Row],[Bezahlt]]="JA",#REF!,0)</f>
        <v>0</v>
      </c>
      <c r="L370" s="315"/>
    </row>
    <row r="371" spans="2:12" s="316" customFormat="1" ht="18" customHeight="1" x14ac:dyDescent="0.2">
      <c r="B371" s="309">
        <f>'Eingabe Meldungen'!A372</f>
        <v>0</v>
      </c>
      <c r="C371" s="310">
        <f>'Eingabe Meldungen'!C372</f>
        <v>0</v>
      </c>
      <c r="D371" s="310">
        <f>'Eingabe Meldungen'!D372</f>
        <v>0</v>
      </c>
      <c r="E371" s="311">
        <f>'Eingabe Meldungen'!J372</f>
        <v>0</v>
      </c>
      <c r="F371" s="310" t="e">
        <f>VLOOKUP(B371,Ausschreibung!$B$4:$I$35,4,FALSE)</f>
        <v>#N/A</v>
      </c>
      <c r="G371" s="312" t="e">
        <f t="shared" si="10"/>
        <v>#REF!</v>
      </c>
      <c r="H371" s="312" t="e">
        <f>IF(#REF!="Ergocup",8,"DHM")</f>
        <v>#REF!</v>
      </c>
      <c r="I371" s="310">
        <f>'Eingabe Meldungen'!K114</f>
        <v>0</v>
      </c>
      <c r="J371" s="313"/>
      <c r="K371" s="314">
        <f>IF(Tabelle1[[#This Row],[Bezahlt]]="JA",#REF!,0)</f>
        <v>0</v>
      </c>
      <c r="L371" s="315"/>
    </row>
    <row r="372" spans="2:12" s="316" customFormat="1" ht="18" customHeight="1" x14ac:dyDescent="0.2">
      <c r="B372" s="309">
        <f>'Eingabe Meldungen'!A373</f>
        <v>0</v>
      </c>
      <c r="C372" s="310">
        <f>'Eingabe Meldungen'!C373</f>
        <v>0</v>
      </c>
      <c r="D372" s="310">
        <f>'Eingabe Meldungen'!D373</f>
        <v>0</v>
      </c>
      <c r="E372" s="311">
        <f>'Eingabe Meldungen'!J373</f>
        <v>0</v>
      </c>
      <c r="F372" s="310" t="e">
        <f>VLOOKUP(B372,Ausschreibung!$B$4:$I$35,4,FALSE)</f>
        <v>#N/A</v>
      </c>
      <c r="G372" s="312" t="e">
        <f t="shared" si="10"/>
        <v>#REF!</v>
      </c>
      <c r="H372" s="312" t="e">
        <f>IF(#REF!="Ergocup",8,"DHM")</f>
        <v>#REF!</v>
      </c>
      <c r="I372" s="310">
        <f>'Eingabe Meldungen'!K91</f>
        <v>0</v>
      </c>
      <c r="J372" s="313"/>
      <c r="K372" s="314">
        <f>IF(Tabelle1[[#This Row],[Bezahlt]]="JA",#REF!,0)</f>
        <v>0</v>
      </c>
      <c r="L372" s="315"/>
    </row>
    <row r="373" spans="2:12" s="316" customFormat="1" ht="18" customHeight="1" x14ac:dyDescent="0.2">
      <c r="B373" s="309">
        <f>'Eingabe Meldungen'!A374</f>
        <v>0</v>
      </c>
      <c r="C373" s="310">
        <f>'Eingabe Meldungen'!C374</f>
        <v>0</v>
      </c>
      <c r="D373" s="310">
        <f>'Eingabe Meldungen'!D374</f>
        <v>0</v>
      </c>
      <c r="E373" s="311">
        <f>'Eingabe Meldungen'!J374</f>
        <v>0</v>
      </c>
      <c r="F373" s="310" t="e">
        <f>VLOOKUP(B373,Ausschreibung!$B$4:$I$35,4,FALSE)</f>
        <v>#N/A</v>
      </c>
      <c r="G373" s="312" t="e">
        <f t="shared" si="10"/>
        <v>#REF!</v>
      </c>
      <c r="H373" s="312" t="e">
        <f>IF(#REF!="Ergocup",8,"DHM")</f>
        <v>#REF!</v>
      </c>
      <c r="I373" s="310">
        <f>'Eingabe Meldungen'!K22</f>
        <v>0</v>
      </c>
      <c r="J373" s="313"/>
      <c r="K373" s="314">
        <f>IF(Tabelle1[[#This Row],[Bezahlt]]="JA",#REF!,0)</f>
        <v>0</v>
      </c>
      <c r="L373" s="315"/>
    </row>
    <row r="374" spans="2:12" s="316" customFormat="1" ht="18" customHeight="1" x14ac:dyDescent="0.2">
      <c r="B374" s="309">
        <f>'Eingabe Meldungen'!A375</f>
        <v>0</v>
      </c>
      <c r="C374" s="310">
        <f>'Eingabe Meldungen'!C375</f>
        <v>0</v>
      </c>
      <c r="D374" s="310">
        <f>'Eingabe Meldungen'!D375</f>
        <v>0</v>
      </c>
      <c r="E374" s="311">
        <f>'Eingabe Meldungen'!J375</f>
        <v>0</v>
      </c>
      <c r="F374" s="310" t="e">
        <f>VLOOKUP(B374,Ausschreibung!$B$4:$I$35,4,FALSE)</f>
        <v>#N/A</v>
      </c>
      <c r="G374" s="312" t="e">
        <f t="shared" ref="G374:G437" si="11">IF(B374=35,H374-4,H374)</f>
        <v>#REF!</v>
      </c>
      <c r="H374" s="312" t="e">
        <f>IF(#REF!="Ergocup",8,"DHM")</f>
        <v>#REF!</v>
      </c>
      <c r="I374" s="310">
        <f>'Eingabe Meldungen'!K43</f>
        <v>0</v>
      </c>
      <c r="J374" s="313"/>
      <c r="K374" s="314">
        <f>IF(Tabelle1[[#This Row],[Bezahlt]]="JA",#REF!,0)</f>
        <v>0</v>
      </c>
      <c r="L374" s="315"/>
    </row>
    <row r="375" spans="2:12" s="316" customFormat="1" ht="18" customHeight="1" x14ac:dyDescent="0.2">
      <c r="B375" s="309">
        <f>'Eingabe Meldungen'!A376</f>
        <v>0</v>
      </c>
      <c r="C375" s="310">
        <f>'Eingabe Meldungen'!C376</f>
        <v>0</v>
      </c>
      <c r="D375" s="310">
        <f>'Eingabe Meldungen'!D376</f>
        <v>0</v>
      </c>
      <c r="E375" s="311">
        <f>'Eingabe Meldungen'!J376</f>
        <v>0</v>
      </c>
      <c r="F375" s="310" t="e">
        <f>VLOOKUP(B375,Ausschreibung!$B$4:$I$35,4,FALSE)</f>
        <v>#N/A</v>
      </c>
      <c r="G375" s="312" t="e">
        <f t="shared" si="11"/>
        <v>#REF!</v>
      </c>
      <c r="H375" s="312" t="e">
        <f>IF(#REF!="Ergocup",8,"DHM")</f>
        <v>#REF!</v>
      </c>
      <c r="I375" s="310">
        <f>'Eingabe Meldungen'!K92</f>
        <v>0</v>
      </c>
      <c r="J375" s="313"/>
      <c r="K375" s="314">
        <f>IF(Tabelle1[[#This Row],[Bezahlt]]="JA",#REF!,0)</f>
        <v>0</v>
      </c>
      <c r="L375" s="315"/>
    </row>
    <row r="376" spans="2:12" s="316" customFormat="1" ht="18" customHeight="1" x14ac:dyDescent="0.2">
      <c r="B376" s="309">
        <f>'Eingabe Meldungen'!A377</f>
        <v>0</v>
      </c>
      <c r="C376" s="310">
        <f>'Eingabe Meldungen'!C377</f>
        <v>0</v>
      </c>
      <c r="D376" s="310">
        <f>'Eingabe Meldungen'!D377</f>
        <v>0</v>
      </c>
      <c r="E376" s="311">
        <f>'Eingabe Meldungen'!J377</f>
        <v>0</v>
      </c>
      <c r="F376" s="310" t="e">
        <f>VLOOKUP(B376,Ausschreibung!$B$4:$I$35,4,FALSE)</f>
        <v>#N/A</v>
      </c>
      <c r="G376" s="312" t="e">
        <f t="shared" si="11"/>
        <v>#REF!</v>
      </c>
      <c r="H376" s="312" t="e">
        <f>IF(#REF!="Ergocup",8,"DHM")</f>
        <v>#REF!</v>
      </c>
      <c r="I376" s="310">
        <f>'Eingabe Meldungen'!K118</f>
        <v>0</v>
      </c>
      <c r="J376" s="313"/>
      <c r="K376" s="314">
        <f>IF(Tabelle1[[#This Row],[Bezahlt]]="JA",#REF!,0)</f>
        <v>0</v>
      </c>
      <c r="L376" s="315"/>
    </row>
    <row r="377" spans="2:12" s="316" customFormat="1" ht="18" customHeight="1" x14ac:dyDescent="0.2">
      <c r="B377" s="309">
        <f>'Eingabe Meldungen'!A378</f>
        <v>0</v>
      </c>
      <c r="C377" s="310">
        <f>'Eingabe Meldungen'!C378</f>
        <v>0</v>
      </c>
      <c r="D377" s="310">
        <f>'Eingabe Meldungen'!D378</f>
        <v>0</v>
      </c>
      <c r="E377" s="311">
        <f>'Eingabe Meldungen'!J378</f>
        <v>0</v>
      </c>
      <c r="F377" s="310" t="e">
        <f>VLOOKUP(B377,Ausschreibung!$B$4:$I$35,4,FALSE)</f>
        <v>#N/A</v>
      </c>
      <c r="G377" s="312" t="e">
        <f t="shared" si="11"/>
        <v>#REF!</v>
      </c>
      <c r="H377" s="312" t="e">
        <f>IF(#REF!="Ergocup",8,"DHM")</f>
        <v>#REF!</v>
      </c>
      <c r="I377" s="310">
        <f>'Eingabe Meldungen'!K13</f>
        <v>0</v>
      </c>
      <c r="J377" s="313"/>
      <c r="K377" s="314">
        <f>IF(Tabelle1[[#This Row],[Bezahlt]]="JA",#REF!,0)</f>
        <v>0</v>
      </c>
      <c r="L377" s="315"/>
    </row>
    <row r="378" spans="2:12" s="316" customFormat="1" ht="18" customHeight="1" x14ac:dyDescent="0.2">
      <c r="B378" s="309">
        <f>'Eingabe Meldungen'!A379</f>
        <v>0</v>
      </c>
      <c r="C378" s="310">
        <f>'Eingabe Meldungen'!C379</f>
        <v>0</v>
      </c>
      <c r="D378" s="310">
        <f>'Eingabe Meldungen'!D379</f>
        <v>0</v>
      </c>
      <c r="E378" s="311">
        <f>'Eingabe Meldungen'!J379</f>
        <v>0</v>
      </c>
      <c r="F378" s="310" t="e">
        <f>VLOOKUP(B378,Ausschreibung!$B$4:$I$35,4,FALSE)</f>
        <v>#N/A</v>
      </c>
      <c r="G378" s="312" t="e">
        <f t="shared" si="11"/>
        <v>#REF!</v>
      </c>
      <c r="H378" s="312" t="e">
        <f>IF(#REF!="Ergocup",8,"DHM")</f>
        <v>#REF!</v>
      </c>
      <c r="I378" s="310">
        <f>'Eingabe Meldungen'!K84</f>
        <v>0</v>
      </c>
      <c r="J378" s="313"/>
      <c r="K378" s="314">
        <f>IF(Tabelle1[[#This Row],[Bezahlt]]="JA",#REF!,0)</f>
        <v>0</v>
      </c>
      <c r="L378" s="315"/>
    </row>
    <row r="379" spans="2:12" s="316" customFormat="1" ht="18" customHeight="1" x14ac:dyDescent="0.2">
      <c r="B379" s="309">
        <f>'Eingabe Meldungen'!A380</f>
        <v>0</v>
      </c>
      <c r="C379" s="310">
        <f>'Eingabe Meldungen'!C380</f>
        <v>0</v>
      </c>
      <c r="D379" s="310">
        <f>'Eingabe Meldungen'!D380</f>
        <v>0</v>
      </c>
      <c r="E379" s="311">
        <f>'Eingabe Meldungen'!J380</f>
        <v>0</v>
      </c>
      <c r="F379" s="310" t="e">
        <f>VLOOKUP(B379,Ausschreibung!$B$4:$I$35,4,FALSE)</f>
        <v>#N/A</v>
      </c>
      <c r="G379" s="312" t="e">
        <f t="shared" si="11"/>
        <v>#REF!</v>
      </c>
      <c r="H379" s="312" t="e">
        <f>IF(#REF!="Ergocup",8,"DHM")</f>
        <v>#REF!</v>
      </c>
      <c r="I379" s="310">
        <f>'Eingabe Meldungen'!K132</f>
        <v>0</v>
      </c>
      <c r="J379" s="313"/>
      <c r="K379" s="314">
        <f>IF(Tabelle1[[#This Row],[Bezahlt]]="JA",#REF!,0)</f>
        <v>0</v>
      </c>
      <c r="L379" s="315"/>
    </row>
    <row r="380" spans="2:12" s="316" customFormat="1" ht="18" customHeight="1" x14ac:dyDescent="0.2">
      <c r="B380" s="309">
        <f>'Eingabe Meldungen'!A381</f>
        <v>0</v>
      </c>
      <c r="C380" s="310">
        <f>'Eingabe Meldungen'!C381</f>
        <v>0</v>
      </c>
      <c r="D380" s="310">
        <f>'Eingabe Meldungen'!D381</f>
        <v>0</v>
      </c>
      <c r="E380" s="311">
        <f>'Eingabe Meldungen'!J381</f>
        <v>0</v>
      </c>
      <c r="F380" s="310" t="e">
        <f>VLOOKUP(B380,Ausschreibung!$B$4:$I$35,4,FALSE)</f>
        <v>#N/A</v>
      </c>
      <c r="G380" s="312" t="e">
        <f t="shared" si="11"/>
        <v>#REF!</v>
      </c>
      <c r="H380" s="312" t="e">
        <f>IF(#REF!="Ergocup",8,"DHM")</f>
        <v>#REF!</v>
      </c>
      <c r="I380" s="310">
        <f>'Eingabe Meldungen'!K106</f>
        <v>0</v>
      </c>
      <c r="J380" s="313"/>
      <c r="K380" s="314">
        <f>IF(Tabelle1[[#This Row],[Bezahlt]]="JA",#REF!,0)</f>
        <v>0</v>
      </c>
      <c r="L380" s="315"/>
    </row>
    <row r="381" spans="2:12" s="316" customFormat="1" ht="18" customHeight="1" x14ac:dyDescent="0.2">
      <c r="B381" s="309">
        <f>'Eingabe Meldungen'!A382</f>
        <v>0</v>
      </c>
      <c r="C381" s="310">
        <f>'Eingabe Meldungen'!C382</f>
        <v>0</v>
      </c>
      <c r="D381" s="310">
        <f>'Eingabe Meldungen'!D382</f>
        <v>0</v>
      </c>
      <c r="E381" s="311">
        <f>'Eingabe Meldungen'!J382</f>
        <v>0</v>
      </c>
      <c r="F381" s="310" t="e">
        <f>VLOOKUP(B381,Ausschreibung!$B$4:$I$35,4,FALSE)</f>
        <v>#N/A</v>
      </c>
      <c r="G381" s="312" t="e">
        <f t="shared" si="11"/>
        <v>#REF!</v>
      </c>
      <c r="H381" s="312" t="e">
        <f>IF(#REF!="Ergocup",8,"DHM")</f>
        <v>#REF!</v>
      </c>
      <c r="I381" s="310">
        <f>'Eingabe Meldungen'!K75</f>
        <v>0</v>
      </c>
      <c r="J381" s="313"/>
      <c r="K381" s="314">
        <f>IF(Tabelle1[[#This Row],[Bezahlt]]="JA",#REF!,0)</f>
        <v>0</v>
      </c>
      <c r="L381" s="315"/>
    </row>
    <row r="382" spans="2:12" s="316" customFormat="1" ht="18" customHeight="1" x14ac:dyDescent="0.2">
      <c r="B382" s="309">
        <f>'Eingabe Meldungen'!A383</f>
        <v>0</v>
      </c>
      <c r="C382" s="310">
        <f>'Eingabe Meldungen'!C383</f>
        <v>0</v>
      </c>
      <c r="D382" s="310">
        <f>'Eingabe Meldungen'!D383</f>
        <v>0</v>
      </c>
      <c r="E382" s="311">
        <f>'Eingabe Meldungen'!J383</f>
        <v>0</v>
      </c>
      <c r="F382" s="310" t="e">
        <f>VLOOKUP(B382,Ausschreibung!$B$4:$I$35,4,FALSE)</f>
        <v>#N/A</v>
      </c>
      <c r="G382" s="312" t="e">
        <f t="shared" si="11"/>
        <v>#REF!</v>
      </c>
      <c r="H382" s="312" t="e">
        <f>IF(#REF!="Ergocup",8,"DHM")</f>
        <v>#REF!</v>
      </c>
      <c r="I382" s="310">
        <f>'Eingabe Meldungen'!K71</f>
        <v>0</v>
      </c>
      <c r="J382" s="313"/>
      <c r="K382" s="314">
        <f>IF(Tabelle1[[#This Row],[Bezahlt]]="JA",#REF!,0)</f>
        <v>0</v>
      </c>
      <c r="L382" s="315"/>
    </row>
    <row r="383" spans="2:12" s="316" customFormat="1" ht="18" customHeight="1" x14ac:dyDescent="0.2">
      <c r="B383" s="309">
        <f>'Eingabe Meldungen'!A384</f>
        <v>0</v>
      </c>
      <c r="C383" s="310">
        <f>'Eingabe Meldungen'!C384</f>
        <v>0</v>
      </c>
      <c r="D383" s="310">
        <f>'Eingabe Meldungen'!D384</f>
        <v>0</v>
      </c>
      <c r="E383" s="311">
        <f>'Eingabe Meldungen'!J384</f>
        <v>0</v>
      </c>
      <c r="F383" s="310" t="e">
        <f>VLOOKUP(B383,Ausschreibung!$B$4:$I$35,4,FALSE)</f>
        <v>#N/A</v>
      </c>
      <c r="G383" s="312" t="e">
        <f t="shared" si="11"/>
        <v>#REF!</v>
      </c>
      <c r="H383" s="312" t="e">
        <f>IF(#REF!="Ergocup",8,"DHM")</f>
        <v>#REF!</v>
      </c>
      <c r="I383" s="310">
        <f>'Eingabe Meldungen'!K125</f>
        <v>0</v>
      </c>
      <c r="J383" s="313"/>
      <c r="K383" s="314">
        <f>IF(Tabelle1[[#This Row],[Bezahlt]]="JA",#REF!,0)</f>
        <v>0</v>
      </c>
      <c r="L383" s="315"/>
    </row>
    <row r="384" spans="2:12" s="316" customFormat="1" ht="18" customHeight="1" x14ac:dyDescent="0.2">
      <c r="B384" s="309">
        <f>'Eingabe Meldungen'!A385</f>
        <v>0</v>
      </c>
      <c r="C384" s="310">
        <f>'Eingabe Meldungen'!C385</f>
        <v>0</v>
      </c>
      <c r="D384" s="310">
        <f>'Eingabe Meldungen'!D385</f>
        <v>0</v>
      </c>
      <c r="E384" s="311">
        <f>'Eingabe Meldungen'!J385</f>
        <v>0</v>
      </c>
      <c r="F384" s="310" t="e">
        <f>VLOOKUP(B384,Ausschreibung!$B$4:$I$35,4,FALSE)</f>
        <v>#N/A</v>
      </c>
      <c r="G384" s="312" t="e">
        <f t="shared" si="11"/>
        <v>#REF!</v>
      </c>
      <c r="H384" s="312" t="e">
        <f>IF(#REF!="Ergocup",8,"DHM")</f>
        <v>#REF!</v>
      </c>
      <c r="I384" s="310">
        <f>'Eingabe Meldungen'!K25</f>
        <v>0</v>
      </c>
      <c r="J384" s="313"/>
      <c r="K384" s="314">
        <f>IF(Tabelle1[[#This Row],[Bezahlt]]="JA",#REF!,0)</f>
        <v>0</v>
      </c>
      <c r="L384" s="315"/>
    </row>
    <row r="385" spans="2:12" s="316" customFormat="1" ht="18" customHeight="1" x14ac:dyDescent="0.2">
      <c r="B385" s="309">
        <f>'Eingabe Meldungen'!A386</f>
        <v>0</v>
      </c>
      <c r="C385" s="310">
        <f>'Eingabe Meldungen'!C386</f>
        <v>0</v>
      </c>
      <c r="D385" s="310">
        <f>'Eingabe Meldungen'!D386</f>
        <v>0</v>
      </c>
      <c r="E385" s="311">
        <f>'Eingabe Meldungen'!J386</f>
        <v>0</v>
      </c>
      <c r="F385" s="310" t="e">
        <f>VLOOKUP(B385,Ausschreibung!$B$4:$I$35,4,FALSE)</f>
        <v>#N/A</v>
      </c>
      <c r="G385" s="312" t="e">
        <f t="shared" si="11"/>
        <v>#REF!</v>
      </c>
      <c r="H385" s="312" t="e">
        <f>IF(#REF!="Ergocup",8,"DHM")</f>
        <v>#REF!</v>
      </c>
      <c r="I385" s="310">
        <f>'Eingabe Meldungen'!K67</f>
        <v>0</v>
      </c>
      <c r="J385" s="313"/>
      <c r="K385" s="314">
        <f>IF(Tabelle1[[#This Row],[Bezahlt]]="JA",#REF!,0)</f>
        <v>0</v>
      </c>
      <c r="L385" s="315"/>
    </row>
    <row r="386" spans="2:12" s="316" customFormat="1" ht="18" customHeight="1" x14ac:dyDescent="0.2">
      <c r="B386" s="309">
        <f>'Eingabe Meldungen'!A387</f>
        <v>0</v>
      </c>
      <c r="C386" s="310">
        <f>'Eingabe Meldungen'!C387</f>
        <v>0</v>
      </c>
      <c r="D386" s="310">
        <f>'Eingabe Meldungen'!D387</f>
        <v>0</v>
      </c>
      <c r="E386" s="311">
        <f>'Eingabe Meldungen'!J387</f>
        <v>0</v>
      </c>
      <c r="F386" s="310" t="e">
        <f>VLOOKUP(B386,Ausschreibung!$B$4:$I$35,4,FALSE)</f>
        <v>#N/A</v>
      </c>
      <c r="G386" s="312" t="e">
        <f t="shared" si="11"/>
        <v>#REF!</v>
      </c>
      <c r="H386" s="312" t="e">
        <f>IF(#REF!="Ergocup",8,"DHM")</f>
        <v>#REF!</v>
      </c>
      <c r="I386" s="310">
        <f>'Eingabe Meldungen'!K151</f>
        <v>0</v>
      </c>
      <c r="J386" s="313"/>
      <c r="K386" s="314">
        <f>IF(Tabelle1[[#This Row],[Bezahlt]]="JA",#REF!,0)</f>
        <v>0</v>
      </c>
      <c r="L386" s="315"/>
    </row>
    <row r="387" spans="2:12" s="316" customFormat="1" ht="18" customHeight="1" x14ac:dyDescent="0.2">
      <c r="B387" s="309">
        <f>'Eingabe Meldungen'!A388</f>
        <v>0</v>
      </c>
      <c r="C387" s="310">
        <f>'Eingabe Meldungen'!C388</f>
        <v>0</v>
      </c>
      <c r="D387" s="310">
        <f>'Eingabe Meldungen'!D388</f>
        <v>0</v>
      </c>
      <c r="E387" s="311">
        <f>'Eingabe Meldungen'!J388</f>
        <v>0</v>
      </c>
      <c r="F387" s="310" t="e">
        <f>VLOOKUP(B387,Ausschreibung!$B$4:$I$35,4,FALSE)</f>
        <v>#N/A</v>
      </c>
      <c r="G387" s="312" t="e">
        <f t="shared" si="11"/>
        <v>#REF!</v>
      </c>
      <c r="H387" s="312" t="e">
        <f>IF(#REF!="Ergocup",8,"DHM")</f>
        <v>#REF!</v>
      </c>
      <c r="I387" s="310">
        <f>'Eingabe Meldungen'!K173</f>
        <v>0</v>
      </c>
      <c r="J387" s="313"/>
      <c r="K387" s="314">
        <f>IF(Tabelle1[[#This Row],[Bezahlt]]="JA",#REF!,0)</f>
        <v>0</v>
      </c>
      <c r="L387" s="315"/>
    </row>
    <row r="388" spans="2:12" s="316" customFormat="1" ht="18" customHeight="1" x14ac:dyDescent="0.2">
      <c r="B388" s="309">
        <f>'Eingabe Meldungen'!A389</f>
        <v>0</v>
      </c>
      <c r="C388" s="310">
        <f>'Eingabe Meldungen'!C389</f>
        <v>0</v>
      </c>
      <c r="D388" s="310">
        <f>'Eingabe Meldungen'!D389</f>
        <v>0</v>
      </c>
      <c r="E388" s="311">
        <f>'Eingabe Meldungen'!J389</f>
        <v>0</v>
      </c>
      <c r="F388" s="310" t="e">
        <f>VLOOKUP(B388,Ausschreibung!$B$4:$I$35,4,FALSE)</f>
        <v>#N/A</v>
      </c>
      <c r="G388" s="312" t="e">
        <f t="shared" si="11"/>
        <v>#REF!</v>
      </c>
      <c r="H388" s="312" t="e">
        <f>IF(#REF!="Ergocup",8,"DHM")</f>
        <v>#REF!</v>
      </c>
      <c r="I388" s="310">
        <f>'Eingabe Meldungen'!K170</f>
        <v>0</v>
      </c>
      <c r="J388" s="313"/>
      <c r="K388" s="314">
        <f>IF(Tabelle1[[#This Row],[Bezahlt]]="JA",#REF!,0)</f>
        <v>0</v>
      </c>
      <c r="L388" s="315"/>
    </row>
    <row r="389" spans="2:12" s="316" customFormat="1" ht="18" customHeight="1" x14ac:dyDescent="0.2">
      <c r="B389" s="309">
        <f>'Eingabe Meldungen'!A390</f>
        <v>0</v>
      </c>
      <c r="C389" s="310">
        <f>'Eingabe Meldungen'!C390</f>
        <v>0</v>
      </c>
      <c r="D389" s="310">
        <f>'Eingabe Meldungen'!D390</f>
        <v>0</v>
      </c>
      <c r="E389" s="311">
        <f>'Eingabe Meldungen'!J390</f>
        <v>0</v>
      </c>
      <c r="F389" s="310" t="e">
        <f>VLOOKUP(B389,Ausschreibung!$B$4:$I$35,4,FALSE)</f>
        <v>#N/A</v>
      </c>
      <c r="G389" s="312" t="e">
        <f t="shared" si="11"/>
        <v>#REF!</v>
      </c>
      <c r="H389" s="312" t="e">
        <f>IF(#REF!="Ergocup",8,"DHM")</f>
        <v>#REF!</v>
      </c>
      <c r="I389" s="310">
        <f>'Eingabe Meldungen'!K202</f>
        <v>0</v>
      </c>
      <c r="J389" s="313"/>
      <c r="K389" s="314">
        <f>IF(Tabelle1[[#This Row],[Bezahlt]]="JA",#REF!,0)</f>
        <v>0</v>
      </c>
      <c r="L389" s="315"/>
    </row>
    <row r="390" spans="2:12" s="316" customFormat="1" ht="18" customHeight="1" x14ac:dyDescent="0.2">
      <c r="B390" s="309">
        <f>'Eingabe Meldungen'!A391</f>
        <v>0</v>
      </c>
      <c r="C390" s="310">
        <f>'Eingabe Meldungen'!C391</f>
        <v>0</v>
      </c>
      <c r="D390" s="310">
        <f>'Eingabe Meldungen'!D391</f>
        <v>0</v>
      </c>
      <c r="E390" s="311">
        <f>'Eingabe Meldungen'!J391</f>
        <v>0</v>
      </c>
      <c r="F390" s="310" t="e">
        <f>VLOOKUP(B390,Ausschreibung!$B$4:$I$35,4,FALSE)</f>
        <v>#N/A</v>
      </c>
      <c r="G390" s="312" t="e">
        <f t="shared" si="11"/>
        <v>#REF!</v>
      </c>
      <c r="H390" s="312" t="e">
        <f>IF(#REF!="Ergocup",8,"DHM")</f>
        <v>#REF!</v>
      </c>
      <c r="I390" s="310">
        <f>'Eingabe Meldungen'!K171</f>
        <v>0</v>
      </c>
      <c r="J390" s="313"/>
      <c r="K390" s="314">
        <f>IF(Tabelle1[[#This Row],[Bezahlt]]="JA",#REF!,0)</f>
        <v>0</v>
      </c>
      <c r="L390" s="315"/>
    </row>
    <row r="391" spans="2:12" s="316" customFormat="1" ht="18" customHeight="1" x14ac:dyDescent="0.2">
      <c r="B391" s="309">
        <f>'Eingabe Meldungen'!A392</f>
        <v>0</v>
      </c>
      <c r="C391" s="310">
        <f>'Eingabe Meldungen'!C392</f>
        <v>0</v>
      </c>
      <c r="D391" s="310">
        <f>'Eingabe Meldungen'!D392</f>
        <v>0</v>
      </c>
      <c r="E391" s="311">
        <f>'Eingabe Meldungen'!J392</f>
        <v>0</v>
      </c>
      <c r="F391" s="310" t="e">
        <f>VLOOKUP(B391,Ausschreibung!$B$4:$I$35,4,FALSE)</f>
        <v>#N/A</v>
      </c>
      <c r="G391" s="312" t="e">
        <f t="shared" si="11"/>
        <v>#REF!</v>
      </c>
      <c r="H391" s="312" t="e">
        <f>IF(#REF!="Ergocup",8,"DHM")</f>
        <v>#REF!</v>
      </c>
      <c r="I391" s="310">
        <f>'Eingabe Meldungen'!K95</f>
        <v>0</v>
      </c>
      <c r="J391" s="313"/>
      <c r="K391" s="314">
        <f>IF(Tabelle1[[#This Row],[Bezahlt]]="JA",#REF!,0)</f>
        <v>0</v>
      </c>
      <c r="L391" s="315"/>
    </row>
    <row r="392" spans="2:12" s="316" customFormat="1" ht="18" customHeight="1" x14ac:dyDescent="0.2">
      <c r="B392" s="309">
        <f>'Eingabe Meldungen'!A393</f>
        <v>0</v>
      </c>
      <c r="C392" s="310">
        <f>'Eingabe Meldungen'!C393</f>
        <v>0</v>
      </c>
      <c r="D392" s="310">
        <f>'Eingabe Meldungen'!D393</f>
        <v>0</v>
      </c>
      <c r="E392" s="311">
        <f>'Eingabe Meldungen'!J393</f>
        <v>0</v>
      </c>
      <c r="F392" s="310" t="e">
        <f>VLOOKUP(B392,Ausschreibung!$B$4:$I$35,4,FALSE)</f>
        <v>#N/A</v>
      </c>
      <c r="G392" s="312" t="e">
        <f t="shared" si="11"/>
        <v>#REF!</v>
      </c>
      <c r="H392" s="312" t="e">
        <f>IF(#REF!="Ergocup",8,"DHM")</f>
        <v>#REF!</v>
      </c>
      <c r="I392" s="310">
        <f>'Eingabe Meldungen'!K127</f>
        <v>0</v>
      </c>
      <c r="J392" s="313"/>
      <c r="K392" s="314">
        <f>IF(Tabelle1[[#This Row],[Bezahlt]]="JA",#REF!,0)</f>
        <v>0</v>
      </c>
      <c r="L392" s="315"/>
    </row>
    <row r="393" spans="2:12" s="316" customFormat="1" ht="18" customHeight="1" x14ac:dyDescent="0.2">
      <c r="B393" s="309">
        <f>'Eingabe Meldungen'!A394</f>
        <v>0</v>
      </c>
      <c r="C393" s="310">
        <f>'Eingabe Meldungen'!C394</f>
        <v>0</v>
      </c>
      <c r="D393" s="310">
        <f>'Eingabe Meldungen'!D394</f>
        <v>0</v>
      </c>
      <c r="E393" s="311">
        <f>'Eingabe Meldungen'!J394</f>
        <v>0</v>
      </c>
      <c r="F393" s="310" t="e">
        <f>VLOOKUP(B393,Ausschreibung!$B$4:$I$35,4,FALSE)</f>
        <v>#N/A</v>
      </c>
      <c r="G393" s="312" t="e">
        <f t="shared" si="11"/>
        <v>#REF!</v>
      </c>
      <c r="H393" s="312" t="e">
        <f>IF(#REF!="Ergocup",8,"DHM")</f>
        <v>#REF!</v>
      </c>
      <c r="I393" s="310">
        <f>'Eingabe Meldungen'!K160</f>
        <v>0</v>
      </c>
      <c r="J393" s="313"/>
      <c r="K393" s="314">
        <f>IF(Tabelle1[[#This Row],[Bezahlt]]="JA",#REF!,0)</f>
        <v>0</v>
      </c>
      <c r="L393" s="315"/>
    </row>
    <row r="394" spans="2:12" s="316" customFormat="1" ht="18" customHeight="1" x14ac:dyDescent="0.2">
      <c r="B394" s="309">
        <f>'Eingabe Meldungen'!A395</f>
        <v>0</v>
      </c>
      <c r="C394" s="310">
        <f>'Eingabe Meldungen'!C395</f>
        <v>0</v>
      </c>
      <c r="D394" s="310">
        <f>'Eingabe Meldungen'!D395</f>
        <v>0</v>
      </c>
      <c r="E394" s="311">
        <f>'Eingabe Meldungen'!J395</f>
        <v>0</v>
      </c>
      <c r="F394" s="310" t="e">
        <f>VLOOKUP(B394,Ausschreibung!$B$4:$I$35,4,FALSE)</f>
        <v>#N/A</v>
      </c>
      <c r="G394" s="312" t="e">
        <f t="shared" si="11"/>
        <v>#REF!</v>
      </c>
      <c r="H394" s="312" t="e">
        <f>IF(#REF!="Ergocup",8,"DHM")</f>
        <v>#REF!</v>
      </c>
      <c r="I394" s="310">
        <f>'Eingabe Meldungen'!K40</f>
        <v>0</v>
      </c>
      <c r="J394" s="313"/>
      <c r="K394" s="314">
        <f>IF(Tabelle1[[#This Row],[Bezahlt]]="JA",#REF!,0)</f>
        <v>0</v>
      </c>
      <c r="L394" s="315"/>
    </row>
    <row r="395" spans="2:12" s="316" customFormat="1" ht="18" customHeight="1" x14ac:dyDescent="0.2">
      <c r="B395" s="309">
        <f>'Eingabe Meldungen'!A396</f>
        <v>0</v>
      </c>
      <c r="C395" s="310">
        <f>'Eingabe Meldungen'!C396</f>
        <v>0</v>
      </c>
      <c r="D395" s="310">
        <f>'Eingabe Meldungen'!D396</f>
        <v>0</v>
      </c>
      <c r="E395" s="311">
        <f>'Eingabe Meldungen'!J396</f>
        <v>0</v>
      </c>
      <c r="F395" s="310" t="e">
        <f>VLOOKUP(B395,Ausschreibung!$B$4:$I$35,4,FALSE)</f>
        <v>#N/A</v>
      </c>
      <c r="G395" s="312" t="e">
        <f t="shared" si="11"/>
        <v>#REF!</v>
      </c>
      <c r="H395" s="312" t="e">
        <f>IF(#REF!="Ergocup",8,"DHM")</f>
        <v>#REF!</v>
      </c>
      <c r="I395" s="310">
        <f>'Eingabe Meldungen'!K199</f>
        <v>0</v>
      </c>
      <c r="J395" s="313"/>
      <c r="K395" s="314">
        <f>IF(Tabelle1[[#This Row],[Bezahlt]]="JA",#REF!,0)</f>
        <v>0</v>
      </c>
      <c r="L395" s="315"/>
    </row>
    <row r="396" spans="2:12" s="316" customFormat="1" ht="18" customHeight="1" x14ac:dyDescent="0.2">
      <c r="B396" s="309">
        <f>'Eingabe Meldungen'!A397</f>
        <v>0</v>
      </c>
      <c r="C396" s="310">
        <f>'Eingabe Meldungen'!C397</f>
        <v>0</v>
      </c>
      <c r="D396" s="310">
        <f>'Eingabe Meldungen'!D397</f>
        <v>0</v>
      </c>
      <c r="E396" s="311">
        <f>'Eingabe Meldungen'!J397</f>
        <v>0</v>
      </c>
      <c r="F396" s="310" t="e">
        <f>VLOOKUP(B396,Ausschreibung!$B$4:$I$35,4,FALSE)</f>
        <v>#N/A</v>
      </c>
      <c r="G396" s="312" t="e">
        <f t="shared" si="11"/>
        <v>#REF!</v>
      </c>
      <c r="H396" s="312" t="e">
        <f>IF(#REF!="Ergocup",8,"DHM")</f>
        <v>#REF!</v>
      </c>
      <c r="I396" s="310">
        <f>'Eingabe Meldungen'!K57</f>
        <v>0</v>
      </c>
      <c r="J396" s="313"/>
      <c r="K396" s="314">
        <f>IF(Tabelle1[[#This Row],[Bezahlt]]="JA",#REF!,0)</f>
        <v>0</v>
      </c>
      <c r="L396" s="315"/>
    </row>
    <row r="397" spans="2:12" s="316" customFormat="1" ht="18" customHeight="1" x14ac:dyDescent="0.2">
      <c r="B397" s="309">
        <f>'Eingabe Meldungen'!A398</f>
        <v>0</v>
      </c>
      <c r="C397" s="310">
        <f>'Eingabe Meldungen'!C398</f>
        <v>0</v>
      </c>
      <c r="D397" s="310">
        <f>'Eingabe Meldungen'!D398</f>
        <v>0</v>
      </c>
      <c r="E397" s="311">
        <f>'Eingabe Meldungen'!J398</f>
        <v>0</v>
      </c>
      <c r="F397" s="310" t="e">
        <f>VLOOKUP(B397,Ausschreibung!$B$4:$I$35,4,FALSE)</f>
        <v>#N/A</v>
      </c>
      <c r="G397" s="312" t="e">
        <f t="shared" si="11"/>
        <v>#REF!</v>
      </c>
      <c r="H397" s="312" t="e">
        <f>IF(#REF!="Ergocup",8,"DHM")</f>
        <v>#REF!</v>
      </c>
      <c r="I397" s="310">
        <f>'Eingabe Meldungen'!K9</f>
        <v>0</v>
      </c>
      <c r="J397" s="313"/>
      <c r="K397" s="314">
        <f>IF(Tabelle1[[#This Row],[Bezahlt]]="JA",#REF!,0)</f>
        <v>0</v>
      </c>
      <c r="L397" s="315"/>
    </row>
    <row r="398" spans="2:12" s="316" customFormat="1" ht="18" customHeight="1" x14ac:dyDescent="0.2">
      <c r="B398" s="309">
        <f>'Eingabe Meldungen'!A399</f>
        <v>0</v>
      </c>
      <c r="C398" s="310">
        <f>'Eingabe Meldungen'!C399</f>
        <v>0</v>
      </c>
      <c r="D398" s="310">
        <f>'Eingabe Meldungen'!D399</f>
        <v>0</v>
      </c>
      <c r="E398" s="311">
        <f>'Eingabe Meldungen'!J399</f>
        <v>0</v>
      </c>
      <c r="F398" s="310" t="e">
        <f>VLOOKUP(B398,Ausschreibung!$B$4:$I$35,4,FALSE)</f>
        <v>#N/A</v>
      </c>
      <c r="G398" s="312" t="e">
        <f t="shared" si="11"/>
        <v>#REF!</v>
      </c>
      <c r="H398" s="312" t="e">
        <f>IF(#REF!="Ergocup",8,"DHM")</f>
        <v>#REF!</v>
      </c>
      <c r="I398" s="310">
        <f>'Eingabe Meldungen'!K85</f>
        <v>0</v>
      </c>
      <c r="J398" s="313"/>
      <c r="K398" s="314">
        <f>IF(Tabelle1[[#This Row],[Bezahlt]]="JA",#REF!,0)</f>
        <v>0</v>
      </c>
      <c r="L398" s="315"/>
    </row>
    <row r="399" spans="2:12" s="316" customFormat="1" ht="18" customHeight="1" x14ac:dyDescent="0.2">
      <c r="B399" s="309">
        <f>'Eingabe Meldungen'!A400</f>
        <v>0</v>
      </c>
      <c r="C399" s="310">
        <f>'Eingabe Meldungen'!C400</f>
        <v>0</v>
      </c>
      <c r="D399" s="310">
        <f>'Eingabe Meldungen'!D400</f>
        <v>0</v>
      </c>
      <c r="E399" s="311">
        <f>'Eingabe Meldungen'!J400</f>
        <v>0</v>
      </c>
      <c r="F399" s="310" t="e">
        <f>VLOOKUP(B399,Ausschreibung!$B$4:$I$35,4,FALSE)</f>
        <v>#N/A</v>
      </c>
      <c r="G399" s="312" t="e">
        <f t="shared" si="11"/>
        <v>#REF!</v>
      </c>
      <c r="H399" s="312" t="e">
        <f>IF(#REF!="Ergocup",8,"DHM")</f>
        <v>#REF!</v>
      </c>
      <c r="I399" s="310">
        <f>'Eingabe Meldungen'!K122</f>
        <v>0</v>
      </c>
      <c r="J399" s="313"/>
      <c r="K399" s="314">
        <f>IF(Tabelle1[[#This Row],[Bezahlt]]="JA",#REF!,0)</f>
        <v>0</v>
      </c>
      <c r="L399" s="315"/>
    </row>
    <row r="400" spans="2:12" s="316" customFormat="1" ht="18" customHeight="1" x14ac:dyDescent="0.2">
      <c r="B400" s="309">
        <f>'Eingabe Meldungen'!A401</f>
        <v>0</v>
      </c>
      <c r="C400" s="310">
        <f>'Eingabe Meldungen'!C401</f>
        <v>0</v>
      </c>
      <c r="D400" s="310">
        <f>'Eingabe Meldungen'!D401</f>
        <v>0</v>
      </c>
      <c r="E400" s="311">
        <f>'Eingabe Meldungen'!J401</f>
        <v>0</v>
      </c>
      <c r="F400" s="310" t="e">
        <f>VLOOKUP(B400,Ausschreibung!$B$4:$I$35,4,FALSE)</f>
        <v>#N/A</v>
      </c>
      <c r="G400" s="312" t="e">
        <f t="shared" si="11"/>
        <v>#REF!</v>
      </c>
      <c r="H400" s="312" t="e">
        <f>IF(#REF!="Ergocup",8,"DHM")</f>
        <v>#REF!</v>
      </c>
      <c r="I400" s="310">
        <f>'Eingabe Meldungen'!K165</f>
        <v>0</v>
      </c>
      <c r="J400" s="313"/>
      <c r="K400" s="314">
        <f>IF(Tabelle1[[#This Row],[Bezahlt]]="JA",#REF!,0)</f>
        <v>0</v>
      </c>
      <c r="L400" s="315"/>
    </row>
    <row r="401" spans="2:12" s="316" customFormat="1" ht="18" customHeight="1" x14ac:dyDescent="0.2">
      <c r="B401" s="309">
        <f>'Eingabe Meldungen'!A402</f>
        <v>0</v>
      </c>
      <c r="C401" s="310">
        <f>'Eingabe Meldungen'!C402</f>
        <v>0</v>
      </c>
      <c r="D401" s="310">
        <f>'Eingabe Meldungen'!D402</f>
        <v>0</v>
      </c>
      <c r="E401" s="311">
        <f>'Eingabe Meldungen'!J402</f>
        <v>0</v>
      </c>
      <c r="F401" s="310" t="e">
        <f>VLOOKUP(B401,Ausschreibung!$B$4:$I$35,4,FALSE)</f>
        <v>#N/A</v>
      </c>
      <c r="G401" s="312" t="e">
        <f t="shared" si="11"/>
        <v>#REF!</v>
      </c>
      <c r="H401" s="312" t="e">
        <f>IF(#REF!="Ergocup",8,"DHM")</f>
        <v>#REF!</v>
      </c>
      <c r="I401" s="310">
        <f>'Eingabe Meldungen'!K69</f>
        <v>0</v>
      </c>
      <c r="J401" s="313"/>
      <c r="K401" s="314">
        <f>IF(Tabelle1[[#This Row],[Bezahlt]]="JA",#REF!,0)</f>
        <v>0</v>
      </c>
      <c r="L401" s="315"/>
    </row>
    <row r="402" spans="2:12" s="316" customFormat="1" ht="18" customHeight="1" x14ac:dyDescent="0.2">
      <c r="B402" s="309">
        <f>'Eingabe Meldungen'!A403</f>
        <v>0</v>
      </c>
      <c r="C402" s="310">
        <f>'Eingabe Meldungen'!C403</f>
        <v>0</v>
      </c>
      <c r="D402" s="310">
        <f>'Eingabe Meldungen'!D403</f>
        <v>0</v>
      </c>
      <c r="E402" s="311">
        <f>'Eingabe Meldungen'!J403</f>
        <v>0</v>
      </c>
      <c r="F402" s="310" t="e">
        <f>VLOOKUP(B402,Ausschreibung!$B$4:$I$35,4,FALSE)</f>
        <v>#N/A</v>
      </c>
      <c r="G402" s="312" t="e">
        <f t="shared" si="11"/>
        <v>#REF!</v>
      </c>
      <c r="H402" s="312" t="e">
        <f>IF(#REF!="Ergocup",8,"DHM")</f>
        <v>#REF!</v>
      </c>
      <c r="I402" s="310">
        <f>'Eingabe Meldungen'!K182</f>
        <v>0</v>
      </c>
      <c r="J402" s="313"/>
      <c r="K402" s="314">
        <f>IF(Tabelle1[[#This Row],[Bezahlt]]="JA",#REF!,0)</f>
        <v>0</v>
      </c>
      <c r="L402" s="315"/>
    </row>
    <row r="403" spans="2:12" s="316" customFormat="1" ht="18" customHeight="1" x14ac:dyDescent="0.2">
      <c r="B403" s="309">
        <f>'Eingabe Meldungen'!A404</f>
        <v>0</v>
      </c>
      <c r="C403" s="310">
        <f>'Eingabe Meldungen'!C404</f>
        <v>0</v>
      </c>
      <c r="D403" s="310">
        <f>'Eingabe Meldungen'!D404</f>
        <v>0</v>
      </c>
      <c r="E403" s="311">
        <f>'Eingabe Meldungen'!J404</f>
        <v>0</v>
      </c>
      <c r="F403" s="310" t="e">
        <f>VLOOKUP(B403,Ausschreibung!$B$4:$I$35,4,FALSE)</f>
        <v>#N/A</v>
      </c>
      <c r="G403" s="312" t="e">
        <f t="shared" si="11"/>
        <v>#REF!</v>
      </c>
      <c r="H403" s="312" t="e">
        <f>IF(#REF!="Ergocup",8,"DHM")</f>
        <v>#REF!</v>
      </c>
      <c r="I403" s="310">
        <f>'Eingabe Meldungen'!K207</f>
        <v>0</v>
      </c>
      <c r="J403" s="313"/>
      <c r="K403" s="314">
        <f>IF(Tabelle1[[#This Row],[Bezahlt]]="JA",#REF!,0)</f>
        <v>0</v>
      </c>
      <c r="L403" s="315"/>
    </row>
    <row r="404" spans="2:12" s="316" customFormat="1" ht="18" customHeight="1" x14ac:dyDescent="0.2">
      <c r="B404" s="309">
        <f>'Eingabe Meldungen'!A405</f>
        <v>0</v>
      </c>
      <c r="C404" s="310">
        <f>'Eingabe Meldungen'!C405</f>
        <v>0</v>
      </c>
      <c r="D404" s="310">
        <f>'Eingabe Meldungen'!D405</f>
        <v>0</v>
      </c>
      <c r="E404" s="311">
        <f>'Eingabe Meldungen'!J405</f>
        <v>0</v>
      </c>
      <c r="F404" s="310" t="e">
        <f>VLOOKUP(B404,Ausschreibung!$B$4:$I$35,4,FALSE)</f>
        <v>#N/A</v>
      </c>
      <c r="G404" s="312" t="e">
        <f t="shared" si="11"/>
        <v>#REF!</v>
      </c>
      <c r="H404" s="312" t="e">
        <f>IF(#REF!="Ergocup",8,"DHM")</f>
        <v>#REF!</v>
      </c>
      <c r="I404" s="310">
        <f>'Eingabe Meldungen'!K208</f>
        <v>0</v>
      </c>
      <c r="J404" s="313"/>
      <c r="K404" s="314">
        <f>IF(Tabelle1[[#This Row],[Bezahlt]]="JA",#REF!,0)</f>
        <v>0</v>
      </c>
      <c r="L404" s="315"/>
    </row>
    <row r="405" spans="2:12" s="316" customFormat="1" ht="18" customHeight="1" x14ac:dyDescent="0.2">
      <c r="B405" s="309">
        <f>'Eingabe Meldungen'!A406</f>
        <v>0</v>
      </c>
      <c r="C405" s="310">
        <f>'Eingabe Meldungen'!C406</f>
        <v>0</v>
      </c>
      <c r="D405" s="310">
        <f>'Eingabe Meldungen'!D406</f>
        <v>0</v>
      </c>
      <c r="E405" s="311">
        <f>'Eingabe Meldungen'!J406</f>
        <v>0</v>
      </c>
      <c r="F405" s="310" t="e">
        <f>VLOOKUP(B405,Ausschreibung!$B$4:$I$35,4,FALSE)</f>
        <v>#N/A</v>
      </c>
      <c r="G405" s="312" t="e">
        <f t="shared" si="11"/>
        <v>#REF!</v>
      </c>
      <c r="H405" s="312" t="e">
        <f>IF(#REF!="Ergocup",8,"DHM")</f>
        <v>#REF!</v>
      </c>
      <c r="I405" s="310" t="str">
        <f>'Eingabe Meldungen'!K209</f>
        <v>JA</v>
      </c>
      <c r="J405" s="313"/>
      <c r="K405" s="314">
        <f>IF(Tabelle1[[#This Row],[Bezahlt]]="JA",#REF!,0)</f>
        <v>0</v>
      </c>
      <c r="L405" s="315"/>
    </row>
    <row r="406" spans="2:12" s="316" customFormat="1" ht="18" customHeight="1" x14ac:dyDescent="0.2">
      <c r="B406" s="309">
        <f>'Eingabe Meldungen'!A407</f>
        <v>0</v>
      </c>
      <c r="C406" s="310">
        <f>'Eingabe Meldungen'!C407</f>
        <v>0</v>
      </c>
      <c r="D406" s="310">
        <f>'Eingabe Meldungen'!D407</f>
        <v>0</v>
      </c>
      <c r="E406" s="311">
        <f>'Eingabe Meldungen'!J407</f>
        <v>0</v>
      </c>
      <c r="F406" s="310" t="e">
        <f>VLOOKUP(B406,Ausschreibung!$B$4:$I$35,4,FALSE)</f>
        <v>#N/A</v>
      </c>
      <c r="G406" s="312" t="e">
        <f t="shared" si="11"/>
        <v>#REF!</v>
      </c>
      <c r="H406" s="312" t="e">
        <f>IF(#REF!="Ergocup",8,"DHM")</f>
        <v>#REF!</v>
      </c>
      <c r="I406" s="310">
        <f>'Eingabe Meldungen'!K169</f>
        <v>0</v>
      </c>
      <c r="J406" s="313"/>
      <c r="K406" s="314">
        <f>IF(Tabelle1[[#This Row],[Bezahlt]]="JA",#REF!,0)</f>
        <v>0</v>
      </c>
      <c r="L406" s="315"/>
    </row>
    <row r="407" spans="2:12" s="316" customFormat="1" ht="18" customHeight="1" x14ac:dyDescent="0.2">
      <c r="B407" s="309">
        <f>'Eingabe Meldungen'!A408</f>
        <v>0</v>
      </c>
      <c r="C407" s="310">
        <f>'Eingabe Meldungen'!C408</f>
        <v>0</v>
      </c>
      <c r="D407" s="310">
        <f>'Eingabe Meldungen'!D408</f>
        <v>0</v>
      </c>
      <c r="E407" s="311">
        <f>'Eingabe Meldungen'!J408</f>
        <v>0</v>
      </c>
      <c r="F407" s="310" t="e">
        <f>VLOOKUP(B407,Ausschreibung!$B$4:$I$35,4,FALSE)</f>
        <v>#N/A</v>
      </c>
      <c r="G407" s="312" t="e">
        <f t="shared" si="11"/>
        <v>#REF!</v>
      </c>
      <c r="H407" s="312" t="e">
        <f>IF(#REF!="Ergocup",8,"DHM")</f>
        <v>#REF!</v>
      </c>
      <c r="I407" s="310">
        <f>'Eingabe Meldungen'!K155</f>
        <v>0</v>
      </c>
      <c r="J407" s="313"/>
      <c r="K407" s="314">
        <f>IF(Tabelle1[[#This Row],[Bezahlt]]="JA",#REF!,0)</f>
        <v>0</v>
      </c>
      <c r="L407" s="315"/>
    </row>
    <row r="408" spans="2:12" s="316" customFormat="1" ht="18" customHeight="1" x14ac:dyDescent="0.2">
      <c r="B408" s="309">
        <f>'Eingabe Meldungen'!A409</f>
        <v>0</v>
      </c>
      <c r="C408" s="310">
        <f>'Eingabe Meldungen'!C409</f>
        <v>0</v>
      </c>
      <c r="D408" s="310">
        <f>'Eingabe Meldungen'!D409</f>
        <v>0</v>
      </c>
      <c r="E408" s="311">
        <f>'Eingabe Meldungen'!J409</f>
        <v>0</v>
      </c>
      <c r="F408" s="310" t="e">
        <f>VLOOKUP(B408,Ausschreibung!$B$4:$I$35,4,FALSE)</f>
        <v>#N/A</v>
      </c>
      <c r="G408" s="312" t="e">
        <f t="shared" si="11"/>
        <v>#REF!</v>
      </c>
      <c r="H408" s="312" t="e">
        <f>IF(#REF!="Ergocup",8,"DHM")</f>
        <v>#REF!</v>
      </c>
      <c r="I408" s="310">
        <f>'Eingabe Meldungen'!K152</f>
        <v>0</v>
      </c>
      <c r="J408" s="313"/>
      <c r="K408" s="314">
        <f>IF(Tabelle1[[#This Row],[Bezahlt]]="JA",#REF!,0)</f>
        <v>0</v>
      </c>
      <c r="L408" s="315"/>
    </row>
    <row r="409" spans="2:12" s="316" customFormat="1" ht="18" customHeight="1" x14ac:dyDescent="0.2">
      <c r="B409" s="309">
        <f>'Eingabe Meldungen'!A410</f>
        <v>0</v>
      </c>
      <c r="C409" s="310">
        <f>'Eingabe Meldungen'!C410</f>
        <v>0</v>
      </c>
      <c r="D409" s="310">
        <f>'Eingabe Meldungen'!D410</f>
        <v>0</v>
      </c>
      <c r="E409" s="311">
        <f>'Eingabe Meldungen'!J410</f>
        <v>0</v>
      </c>
      <c r="F409" s="310" t="e">
        <f>VLOOKUP(B409,Ausschreibung!$B$4:$I$35,4,FALSE)</f>
        <v>#N/A</v>
      </c>
      <c r="G409" s="312" t="e">
        <f t="shared" si="11"/>
        <v>#REF!</v>
      </c>
      <c r="H409" s="312" t="e">
        <f>IF(#REF!="Ergocup",8,"DHM")</f>
        <v>#REF!</v>
      </c>
      <c r="I409" s="310">
        <f>'Eingabe Meldungen'!K55</f>
        <v>0</v>
      </c>
      <c r="J409" s="313"/>
      <c r="K409" s="314">
        <f>IF(Tabelle1[[#This Row],[Bezahlt]]="JA",#REF!,0)</f>
        <v>0</v>
      </c>
      <c r="L409" s="315"/>
    </row>
    <row r="410" spans="2:12" s="316" customFormat="1" ht="18" customHeight="1" x14ac:dyDescent="0.2">
      <c r="B410" s="309">
        <f>'Eingabe Meldungen'!A411</f>
        <v>0</v>
      </c>
      <c r="C410" s="310">
        <f>'Eingabe Meldungen'!C411</f>
        <v>0</v>
      </c>
      <c r="D410" s="310">
        <f>'Eingabe Meldungen'!D411</f>
        <v>0</v>
      </c>
      <c r="E410" s="311">
        <f>'Eingabe Meldungen'!J411</f>
        <v>0</v>
      </c>
      <c r="F410" s="310" t="e">
        <f>VLOOKUP(B410,Ausschreibung!$B$4:$I$35,4,FALSE)</f>
        <v>#N/A</v>
      </c>
      <c r="G410" s="312" t="e">
        <f t="shared" si="11"/>
        <v>#REF!</v>
      </c>
      <c r="H410" s="312" t="e">
        <f>IF(#REF!="Ergocup",8,"DHM")</f>
        <v>#REF!</v>
      </c>
      <c r="I410" s="310">
        <f>'Eingabe Meldungen'!K58</f>
        <v>0</v>
      </c>
      <c r="J410" s="313"/>
      <c r="K410" s="314">
        <f>IF(Tabelle1[[#This Row],[Bezahlt]]="JA",#REF!,0)</f>
        <v>0</v>
      </c>
      <c r="L410" s="315"/>
    </row>
    <row r="411" spans="2:12" s="316" customFormat="1" ht="18" customHeight="1" x14ac:dyDescent="0.2">
      <c r="B411" s="309">
        <f>'Eingabe Meldungen'!A412</f>
        <v>0</v>
      </c>
      <c r="C411" s="310">
        <f>'Eingabe Meldungen'!C412</f>
        <v>0</v>
      </c>
      <c r="D411" s="310">
        <f>'Eingabe Meldungen'!D412</f>
        <v>0</v>
      </c>
      <c r="E411" s="311">
        <f>'Eingabe Meldungen'!J412</f>
        <v>0</v>
      </c>
      <c r="F411" s="310" t="e">
        <f>VLOOKUP(B411,Ausschreibung!$B$4:$I$35,4,FALSE)</f>
        <v>#N/A</v>
      </c>
      <c r="G411" s="312" t="e">
        <f t="shared" si="11"/>
        <v>#REF!</v>
      </c>
      <c r="H411" s="312" t="e">
        <f>IF(#REF!="Ergocup",8,"DHM")</f>
        <v>#REF!</v>
      </c>
      <c r="I411" s="310" t="e">
        <f>'Eingabe Meldungen'!#REF!</f>
        <v>#REF!</v>
      </c>
      <c r="J411" s="313"/>
      <c r="K411" s="314">
        <f>IF(Tabelle1[[#This Row],[Bezahlt]]="JA",#REF!,0)</f>
        <v>0</v>
      </c>
      <c r="L411" s="315"/>
    </row>
    <row r="412" spans="2:12" s="316" customFormat="1" ht="18" customHeight="1" x14ac:dyDescent="0.2">
      <c r="B412" s="309">
        <f>'Eingabe Meldungen'!A413</f>
        <v>0</v>
      </c>
      <c r="C412" s="310">
        <f>'Eingabe Meldungen'!C413</f>
        <v>0</v>
      </c>
      <c r="D412" s="310">
        <f>'Eingabe Meldungen'!D413</f>
        <v>0</v>
      </c>
      <c r="E412" s="311">
        <f>'Eingabe Meldungen'!J413</f>
        <v>0</v>
      </c>
      <c r="F412" s="310" t="e">
        <f>VLOOKUP(B412,Ausschreibung!$B$4:$I$35,4,FALSE)</f>
        <v>#N/A</v>
      </c>
      <c r="G412" s="312" t="e">
        <f t="shared" si="11"/>
        <v>#REF!</v>
      </c>
      <c r="H412" s="312" t="e">
        <f>IF(#REF!="Ergocup",8,"DHM")</f>
        <v>#REF!</v>
      </c>
      <c r="I412" s="310">
        <f>'Eingabe Meldungen'!K94</f>
        <v>0</v>
      </c>
      <c r="J412" s="313"/>
      <c r="K412" s="314">
        <f>IF(Tabelle1[[#This Row],[Bezahlt]]="JA",#REF!,0)</f>
        <v>0</v>
      </c>
      <c r="L412" s="315"/>
    </row>
    <row r="413" spans="2:12" s="316" customFormat="1" ht="18" customHeight="1" x14ac:dyDescent="0.2">
      <c r="B413" s="309">
        <f>'Eingabe Meldungen'!A414</f>
        <v>0</v>
      </c>
      <c r="C413" s="310">
        <f>'Eingabe Meldungen'!C414</f>
        <v>0</v>
      </c>
      <c r="D413" s="310">
        <f>'Eingabe Meldungen'!D414</f>
        <v>0</v>
      </c>
      <c r="E413" s="311">
        <f>'Eingabe Meldungen'!J414</f>
        <v>0</v>
      </c>
      <c r="F413" s="310" t="e">
        <f>VLOOKUP(B413,Ausschreibung!$B$4:$I$35,4,FALSE)</f>
        <v>#N/A</v>
      </c>
      <c r="G413" s="312" t="e">
        <f t="shared" si="11"/>
        <v>#REF!</v>
      </c>
      <c r="H413" s="312" t="e">
        <f>IF(#REF!="Ergocup",8,"DHM")</f>
        <v>#REF!</v>
      </c>
      <c r="I413" s="310">
        <f>'Eingabe Meldungen'!K172</f>
        <v>0</v>
      </c>
      <c r="J413" s="313"/>
      <c r="K413" s="314">
        <f>IF(Tabelle1[[#This Row],[Bezahlt]]="JA",#REF!,0)</f>
        <v>0</v>
      </c>
      <c r="L413" s="315"/>
    </row>
    <row r="414" spans="2:12" s="316" customFormat="1" ht="18" customHeight="1" x14ac:dyDescent="0.2">
      <c r="B414" s="309">
        <f>'Eingabe Meldungen'!A415</f>
        <v>0</v>
      </c>
      <c r="C414" s="310">
        <f>'Eingabe Meldungen'!C415</f>
        <v>0</v>
      </c>
      <c r="D414" s="310">
        <f>'Eingabe Meldungen'!D415</f>
        <v>0</v>
      </c>
      <c r="E414" s="311">
        <f>'Eingabe Meldungen'!J415</f>
        <v>0</v>
      </c>
      <c r="F414" s="310" t="e">
        <f>VLOOKUP(B414,Ausschreibung!$B$4:$I$35,4,FALSE)</f>
        <v>#N/A</v>
      </c>
      <c r="G414" s="312" t="e">
        <f t="shared" si="11"/>
        <v>#REF!</v>
      </c>
      <c r="H414" s="312" t="e">
        <f>IF(#REF!="Ergocup",8,"DHM")</f>
        <v>#REF!</v>
      </c>
      <c r="I414" s="310">
        <f>'Eingabe Meldungen'!K110</f>
        <v>0</v>
      </c>
      <c r="J414" s="313"/>
      <c r="K414" s="314">
        <f>IF(Tabelle1[[#This Row],[Bezahlt]]="JA",#REF!,0)</f>
        <v>0</v>
      </c>
      <c r="L414" s="315"/>
    </row>
    <row r="415" spans="2:12" s="316" customFormat="1" ht="18" customHeight="1" x14ac:dyDescent="0.2">
      <c r="B415" s="309">
        <f>'Eingabe Meldungen'!A416</f>
        <v>0</v>
      </c>
      <c r="C415" s="310">
        <f>'Eingabe Meldungen'!C416</f>
        <v>0</v>
      </c>
      <c r="D415" s="310">
        <f>'Eingabe Meldungen'!D416</f>
        <v>0</v>
      </c>
      <c r="E415" s="311">
        <f>'Eingabe Meldungen'!J416</f>
        <v>0</v>
      </c>
      <c r="F415" s="310" t="e">
        <f>VLOOKUP(B415,Ausschreibung!$B$4:$I$35,4,FALSE)</f>
        <v>#N/A</v>
      </c>
      <c r="G415" s="312" t="e">
        <f t="shared" si="11"/>
        <v>#REF!</v>
      </c>
      <c r="H415" s="312" t="e">
        <f>IF(#REF!="Ergocup",8,"DHM")</f>
        <v>#REF!</v>
      </c>
      <c r="I415" s="310">
        <f>'Eingabe Meldungen'!K37</f>
        <v>0</v>
      </c>
      <c r="J415" s="313"/>
      <c r="K415" s="314">
        <f>IF(Tabelle1[[#This Row],[Bezahlt]]="JA",#REF!,0)</f>
        <v>0</v>
      </c>
      <c r="L415" s="315"/>
    </row>
    <row r="416" spans="2:12" s="316" customFormat="1" ht="18" customHeight="1" x14ac:dyDescent="0.2">
      <c r="B416" s="309">
        <f>'Eingabe Meldungen'!A417</f>
        <v>0</v>
      </c>
      <c r="C416" s="310">
        <f>'Eingabe Meldungen'!C417</f>
        <v>0</v>
      </c>
      <c r="D416" s="310">
        <f>'Eingabe Meldungen'!D417</f>
        <v>0</v>
      </c>
      <c r="E416" s="311">
        <f>'Eingabe Meldungen'!J417</f>
        <v>0</v>
      </c>
      <c r="F416" s="310" t="e">
        <f>VLOOKUP(B416,Ausschreibung!$B$4:$I$35,4,FALSE)</f>
        <v>#N/A</v>
      </c>
      <c r="G416" s="312" t="e">
        <f t="shared" si="11"/>
        <v>#REF!</v>
      </c>
      <c r="H416" s="312" t="e">
        <f>IF(#REF!="Ergocup",8,"DHM")</f>
        <v>#REF!</v>
      </c>
      <c r="I416" s="310">
        <f>'Eingabe Meldungen'!K196</f>
        <v>0</v>
      </c>
      <c r="J416" s="313"/>
      <c r="K416" s="314">
        <f>IF(Tabelle1[[#This Row],[Bezahlt]]="JA",#REF!,0)</f>
        <v>0</v>
      </c>
      <c r="L416" s="315"/>
    </row>
    <row r="417" spans="2:12" s="316" customFormat="1" ht="18" customHeight="1" x14ac:dyDescent="0.2">
      <c r="B417" s="309">
        <f>'Eingabe Meldungen'!A418</f>
        <v>0</v>
      </c>
      <c r="C417" s="310">
        <f>'Eingabe Meldungen'!C418</f>
        <v>0</v>
      </c>
      <c r="D417" s="310">
        <f>'Eingabe Meldungen'!D418</f>
        <v>0</v>
      </c>
      <c r="E417" s="311">
        <f>'Eingabe Meldungen'!J418</f>
        <v>0</v>
      </c>
      <c r="F417" s="310" t="e">
        <f>VLOOKUP(B417,Ausschreibung!$B$4:$I$35,4,FALSE)</f>
        <v>#N/A</v>
      </c>
      <c r="G417" s="312" t="e">
        <f t="shared" si="11"/>
        <v>#REF!</v>
      </c>
      <c r="H417" s="312" t="e">
        <f>IF(#REF!="Ergocup",8,"DHM")</f>
        <v>#REF!</v>
      </c>
      <c r="I417" s="310">
        <f>'Eingabe Meldungen'!K186</f>
        <v>0</v>
      </c>
      <c r="J417" s="313"/>
      <c r="K417" s="314">
        <f>IF(Tabelle1[[#This Row],[Bezahlt]]="JA",#REF!,0)</f>
        <v>0</v>
      </c>
      <c r="L417" s="315"/>
    </row>
    <row r="418" spans="2:12" s="316" customFormat="1" ht="18" customHeight="1" x14ac:dyDescent="0.2">
      <c r="B418" s="309">
        <f>'Eingabe Meldungen'!A419</f>
        <v>0</v>
      </c>
      <c r="C418" s="310">
        <f>'Eingabe Meldungen'!C419</f>
        <v>0</v>
      </c>
      <c r="D418" s="310">
        <f>'Eingabe Meldungen'!D419</f>
        <v>0</v>
      </c>
      <c r="E418" s="311">
        <f>'Eingabe Meldungen'!J419</f>
        <v>0</v>
      </c>
      <c r="F418" s="310" t="e">
        <f>VLOOKUP(B418,Ausschreibung!$B$4:$I$35,4,FALSE)</f>
        <v>#N/A</v>
      </c>
      <c r="G418" s="312" t="e">
        <f t="shared" si="11"/>
        <v>#REF!</v>
      </c>
      <c r="H418" s="312" t="e">
        <f>IF(#REF!="Ergocup",8,"DHM")</f>
        <v>#REF!</v>
      </c>
      <c r="I418" s="310">
        <f>'Eingabe Meldungen'!K113</f>
        <v>0</v>
      </c>
      <c r="J418" s="313"/>
      <c r="K418" s="314">
        <f>IF(Tabelle1[[#This Row],[Bezahlt]]="JA",#REF!,0)</f>
        <v>0</v>
      </c>
      <c r="L418" s="315"/>
    </row>
    <row r="419" spans="2:12" s="316" customFormat="1" ht="18" customHeight="1" x14ac:dyDescent="0.2">
      <c r="B419" s="309">
        <f>'Eingabe Meldungen'!A420</f>
        <v>0</v>
      </c>
      <c r="C419" s="310">
        <f>'Eingabe Meldungen'!C420</f>
        <v>0</v>
      </c>
      <c r="D419" s="310">
        <f>'Eingabe Meldungen'!D420</f>
        <v>0</v>
      </c>
      <c r="E419" s="311">
        <f>'Eingabe Meldungen'!J420</f>
        <v>0</v>
      </c>
      <c r="F419" s="310" t="e">
        <f>VLOOKUP(B419,Ausschreibung!$B$4:$I$35,4,FALSE)</f>
        <v>#N/A</v>
      </c>
      <c r="G419" s="312" t="e">
        <f t="shared" si="11"/>
        <v>#REF!</v>
      </c>
      <c r="H419" s="312" t="e">
        <f>IF(#REF!="Ergocup",8,"DHM")</f>
        <v>#REF!</v>
      </c>
      <c r="I419" s="310">
        <f>'Eingabe Meldungen'!K190</f>
        <v>0</v>
      </c>
      <c r="J419" s="313"/>
      <c r="K419" s="314">
        <f>IF(Tabelle1[[#This Row],[Bezahlt]]="JA",#REF!,0)</f>
        <v>0</v>
      </c>
      <c r="L419" s="315"/>
    </row>
    <row r="420" spans="2:12" s="316" customFormat="1" ht="18" customHeight="1" x14ac:dyDescent="0.2">
      <c r="B420" s="309">
        <f>'Eingabe Meldungen'!A421</f>
        <v>0</v>
      </c>
      <c r="C420" s="310">
        <f>'Eingabe Meldungen'!C421</f>
        <v>0</v>
      </c>
      <c r="D420" s="310">
        <f>'Eingabe Meldungen'!D421</f>
        <v>0</v>
      </c>
      <c r="E420" s="311">
        <f>'Eingabe Meldungen'!J421</f>
        <v>0</v>
      </c>
      <c r="F420" s="310" t="e">
        <f>VLOOKUP(B420,Ausschreibung!$B$4:$I$35,4,FALSE)</f>
        <v>#N/A</v>
      </c>
      <c r="G420" s="312" t="e">
        <f t="shared" si="11"/>
        <v>#REF!</v>
      </c>
      <c r="H420" s="312" t="e">
        <f>IF(#REF!="Ergocup",8,"DHM")</f>
        <v>#REF!</v>
      </c>
      <c r="I420" s="310">
        <f>'Eingabe Meldungen'!K27</f>
        <v>0</v>
      </c>
      <c r="J420" s="313"/>
      <c r="K420" s="314">
        <f>IF(Tabelle1[[#This Row],[Bezahlt]]="JA",#REF!,0)</f>
        <v>0</v>
      </c>
      <c r="L420" s="315"/>
    </row>
    <row r="421" spans="2:12" s="316" customFormat="1" ht="18" customHeight="1" x14ac:dyDescent="0.2">
      <c r="B421" s="309">
        <f>'Eingabe Meldungen'!A422</f>
        <v>0</v>
      </c>
      <c r="C421" s="310">
        <f>'Eingabe Meldungen'!C422</f>
        <v>0</v>
      </c>
      <c r="D421" s="310">
        <f>'Eingabe Meldungen'!D422</f>
        <v>0</v>
      </c>
      <c r="E421" s="311">
        <f>'Eingabe Meldungen'!J422</f>
        <v>0</v>
      </c>
      <c r="F421" s="310" t="e">
        <f>VLOOKUP(B421,Ausschreibung!$B$4:$I$35,4,FALSE)</f>
        <v>#N/A</v>
      </c>
      <c r="G421" s="312" t="e">
        <f t="shared" si="11"/>
        <v>#REF!</v>
      </c>
      <c r="H421" s="312" t="e">
        <f>IF(#REF!="Ergocup",8,"DHM")</f>
        <v>#REF!</v>
      </c>
      <c r="I421" s="310">
        <f>'Eingabe Meldungen'!K14</f>
        <v>0</v>
      </c>
      <c r="J421" s="313"/>
      <c r="K421" s="314">
        <f>IF(Tabelle1[[#This Row],[Bezahlt]]="JA",#REF!,0)</f>
        <v>0</v>
      </c>
      <c r="L421" s="315"/>
    </row>
    <row r="422" spans="2:12" s="316" customFormat="1" ht="18" customHeight="1" x14ac:dyDescent="0.2">
      <c r="B422" s="309">
        <f>'Eingabe Meldungen'!A423</f>
        <v>0</v>
      </c>
      <c r="C422" s="310">
        <f>'Eingabe Meldungen'!C423</f>
        <v>0</v>
      </c>
      <c r="D422" s="310">
        <f>'Eingabe Meldungen'!D423</f>
        <v>0</v>
      </c>
      <c r="E422" s="311">
        <f>'Eingabe Meldungen'!J423</f>
        <v>0</v>
      </c>
      <c r="F422" s="310" t="e">
        <f>VLOOKUP(B422,Ausschreibung!$B$4:$I$35,4,FALSE)</f>
        <v>#N/A</v>
      </c>
      <c r="G422" s="312" t="e">
        <f t="shared" si="11"/>
        <v>#REF!</v>
      </c>
      <c r="H422" s="312" t="e">
        <f>IF(#REF!="Ergocup",8,"DHM")</f>
        <v>#REF!</v>
      </c>
      <c r="I422" s="310">
        <f>'Eingabe Meldungen'!K108</f>
        <v>0</v>
      </c>
      <c r="J422" s="313"/>
      <c r="K422" s="314">
        <f>IF(Tabelle1[[#This Row],[Bezahlt]]="JA",#REF!,0)</f>
        <v>0</v>
      </c>
      <c r="L422" s="315"/>
    </row>
    <row r="423" spans="2:12" s="316" customFormat="1" ht="18" customHeight="1" x14ac:dyDescent="0.2">
      <c r="B423" s="309">
        <f>'Eingabe Meldungen'!A424</f>
        <v>0</v>
      </c>
      <c r="C423" s="310">
        <f>'Eingabe Meldungen'!C424</f>
        <v>0</v>
      </c>
      <c r="D423" s="310">
        <f>'Eingabe Meldungen'!D424</f>
        <v>0</v>
      </c>
      <c r="E423" s="311">
        <f>'Eingabe Meldungen'!J424</f>
        <v>0</v>
      </c>
      <c r="F423" s="310" t="e">
        <f>VLOOKUP(B423,Ausschreibung!$B$4:$I$35,4,FALSE)</f>
        <v>#N/A</v>
      </c>
      <c r="G423" s="312" t="e">
        <f t="shared" si="11"/>
        <v>#REF!</v>
      </c>
      <c r="H423" s="312" t="e">
        <f>IF(#REF!="Ergocup",8,"DHM")</f>
        <v>#REF!</v>
      </c>
      <c r="I423" s="310">
        <f>'Eingabe Meldungen'!K7</f>
        <v>0</v>
      </c>
      <c r="J423" s="313"/>
      <c r="K423" s="314">
        <f>IF(Tabelle1[[#This Row],[Bezahlt]]="JA",#REF!,0)</f>
        <v>0</v>
      </c>
      <c r="L423" s="315"/>
    </row>
    <row r="424" spans="2:12" s="316" customFormat="1" ht="18" customHeight="1" x14ac:dyDescent="0.2">
      <c r="B424" s="309">
        <f>'Eingabe Meldungen'!A425</f>
        <v>0</v>
      </c>
      <c r="C424" s="310">
        <f>'Eingabe Meldungen'!C425</f>
        <v>0</v>
      </c>
      <c r="D424" s="310">
        <f>'Eingabe Meldungen'!D425</f>
        <v>0</v>
      </c>
      <c r="E424" s="311">
        <f>'Eingabe Meldungen'!J425</f>
        <v>0</v>
      </c>
      <c r="F424" s="310" t="e">
        <f>VLOOKUP(B424,Ausschreibung!$B$4:$I$35,4,FALSE)</f>
        <v>#N/A</v>
      </c>
      <c r="G424" s="312" t="e">
        <f t="shared" si="11"/>
        <v>#REF!</v>
      </c>
      <c r="H424" s="312" t="e">
        <f>IF(#REF!="Ergocup",8,"DHM")</f>
        <v>#REF!</v>
      </c>
      <c r="I424" s="310">
        <f>'Eingabe Meldungen'!K48</f>
        <v>0</v>
      </c>
      <c r="J424" s="313"/>
      <c r="K424" s="314">
        <f>IF(Tabelle1[[#This Row],[Bezahlt]]="JA",#REF!,0)</f>
        <v>0</v>
      </c>
      <c r="L424" s="315"/>
    </row>
    <row r="425" spans="2:12" s="316" customFormat="1" ht="18" customHeight="1" x14ac:dyDescent="0.2">
      <c r="B425" s="309">
        <f>'Eingabe Meldungen'!A426</f>
        <v>0</v>
      </c>
      <c r="C425" s="310">
        <f>'Eingabe Meldungen'!C426</f>
        <v>0</v>
      </c>
      <c r="D425" s="310">
        <f>'Eingabe Meldungen'!D426</f>
        <v>0</v>
      </c>
      <c r="E425" s="311">
        <f>'Eingabe Meldungen'!J426</f>
        <v>0</v>
      </c>
      <c r="F425" s="310" t="e">
        <f>VLOOKUP(B425,Ausschreibung!$B$4:$I$35,4,FALSE)</f>
        <v>#N/A</v>
      </c>
      <c r="G425" s="312" t="e">
        <f t="shared" si="11"/>
        <v>#REF!</v>
      </c>
      <c r="H425" s="312" t="e">
        <f>IF(#REF!="Ergocup",8,"DHM")</f>
        <v>#REF!</v>
      </c>
      <c r="I425" s="310">
        <f>'Eingabe Meldungen'!K17</f>
        <v>0</v>
      </c>
      <c r="J425" s="313"/>
      <c r="K425" s="314">
        <f>IF(Tabelle1[[#This Row],[Bezahlt]]="JA",#REF!,0)</f>
        <v>0</v>
      </c>
      <c r="L425" s="315"/>
    </row>
    <row r="426" spans="2:12" s="316" customFormat="1" ht="18" customHeight="1" x14ac:dyDescent="0.2">
      <c r="B426" s="309">
        <f>'Eingabe Meldungen'!A427</f>
        <v>0</v>
      </c>
      <c r="C426" s="310">
        <f>'Eingabe Meldungen'!C427</f>
        <v>0</v>
      </c>
      <c r="D426" s="310">
        <f>'Eingabe Meldungen'!D427</f>
        <v>0</v>
      </c>
      <c r="E426" s="311">
        <f>'Eingabe Meldungen'!J427</f>
        <v>0</v>
      </c>
      <c r="F426" s="310" t="e">
        <f>VLOOKUP(B426,Ausschreibung!$B$4:$I$35,4,FALSE)</f>
        <v>#N/A</v>
      </c>
      <c r="G426" s="312" t="e">
        <f t="shared" si="11"/>
        <v>#REF!</v>
      </c>
      <c r="H426" s="312" t="e">
        <f>IF(#REF!="Ergocup",8,"DHM")</f>
        <v>#REF!</v>
      </c>
      <c r="I426" s="310">
        <f>'Eingabe Meldungen'!K93</f>
        <v>0</v>
      </c>
      <c r="J426" s="313"/>
      <c r="K426" s="314">
        <f>IF(Tabelle1[[#This Row],[Bezahlt]]="JA",#REF!,0)</f>
        <v>0</v>
      </c>
      <c r="L426" s="315"/>
    </row>
    <row r="427" spans="2:12" s="316" customFormat="1" ht="18" customHeight="1" x14ac:dyDescent="0.2">
      <c r="B427" s="309">
        <f>'Eingabe Meldungen'!A428</f>
        <v>0</v>
      </c>
      <c r="C427" s="310">
        <f>'Eingabe Meldungen'!C428</f>
        <v>0</v>
      </c>
      <c r="D427" s="310">
        <f>'Eingabe Meldungen'!D428</f>
        <v>0</v>
      </c>
      <c r="E427" s="311">
        <f>'Eingabe Meldungen'!J428</f>
        <v>0</v>
      </c>
      <c r="F427" s="310" t="e">
        <f>VLOOKUP(B427,Ausschreibung!$B$4:$I$35,4,FALSE)</f>
        <v>#N/A</v>
      </c>
      <c r="G427" s="312" t="e">
        <f t="shared" si="11"/>
        <v>#REF!</v>
      </c>
      <c r="H427" s="312" t="e">
        <f>IF(#REF!="Ergocup",8,"DHM")</f>
        <v>#REF!</v>
      </c>
      <c r="I427" s="310">
        <f>'Eingabe Meldungen'!K135</f>
        <v>0</v>
      </c>
      <c r="J427" s="313"/>
      <c r="K427" s="314">
        <f>IF(Tabelle1[[#This Row],[Bezahlt]]="JA",#REF!,0)</f>
        <v>0</v>
      </c>
      <c r="L427" s="315"/>
    </row>
    <row r="428" spans="2:12" s="316" customFormat="1" ht="18" customHeight="1" x14ac:dyDescent="0.2">
      <c r="B428" s="309">
        <f>'Eingabe Meldungen'!A429</f>
        <v>0</v>
      </c>
      <c r="C428" s="310">
        <f>'Eingabe Meldungen'!C429</f>
        <v>0</v>
      </c>
      <c r="D428" s="310">
        <f>'Eingabe Meldungen'!D429</f>
        <v>0</v>
      </c>
      <c r="E428" s="311">
        <f>'Eingabe Meldungen'!J429</f>
        <v>0</v>
      </c>
      <c r="F428" s="310" t="e">
        <f>VLOOKUP(B428,Ausschreibung!$B$4:$I$35,4,FALSE)</f>
        <v>#N/A</v>
      </c>
      <c r="G428" s="312" t="e">
        <f t="shared" si="11"/>
        <v>#REF!</v>
      </c>
      <c r="H428" s="312" t="e">
        <f>IF(#REF!="Ergocup",8,"DHM")</f>
        <v>#REF!</v>
      </c>
      <c r="I428" s="310">
        <f>'Eingabe Meldungen'!K120</f>
        <v>0</v>
      </c>
      <c r="J428" s="313"/>
      <c r="K428" s="314">
        <f>IF(Tabelle1[[#This Row],[Bezahlt]]="JA",#REF!,0)</f>
        <v>0</v>
      </c>
      <c r="L428" s="315"/>
    </row>
    <row r="429" spans="2:12" s="316" customFormat="1" ht="18" customHeight="1" x14ac:dyDescent="0.2">
      <c r="B429" s="309">
        <f>'Eingabe Meldungen'!A430</f>
        <v>0</v>
      </c>
      <c r="C429" s="310">
        <f>'Eingabe Meldungen'!C430</f>
        <v>0</v>
      </c>
      <c r="D429" s="310">
        <f>'Eingabe Meldungen'!D430</f>
        <v>0</v>
      </c>
      <c r="E429" s="311">
        <f>'Eingabe Meldungen'!J430</f>
        <v>0</v>
      </c>
      <c r="F429" s="310" t="e">
        <f>VLOOKUP(B429,Ausschreibung!$B$4:$I$35,4,FALSE)</f>
        <v>#N/A</v>
      </c>
      <c r="G429" s="312" t="e">
        <f t="shared" si="11"/>
        <v>#REF!</v>
      </c>
      <c r="H429" s="312" t="e">
        <f>IF(#REF!="Ergocup",8,"DHM")</f>
        <v>#REF!</v>
      </c>
      <c r="I429" s="310">
        <f>'Eingabe Meldungen'!K83</f>
        <v>0</v>
      </c>
      <c r="J429" s="313"/>
      <c r="K429" s="314">
        <f>IF(Tabelle1[[#This Row],[Bezahlt]]="JA",#REF!,0)</f>
        <v>0</v>
      </c>
      <c r="L429" s="315"/>
    </row>
    <row r="430" spans="2:12" s="316" customFormat="1" ht="18" customHeight="1" x14ac:dyDescent="0.2">
      <c r="B430" s="309">
        <f>'Eingabe Meldungen'!A431</f>
        <v>0</v>
      </c>
      <c r="C430" s="310">
        <f>'Eingabe Meldungen'!C431</f>
        <v>0</v>
      </c>
      <c r="D430" s="310">
        <f>'Eingabe Meldungen'!D431</f>
        <v>0</v>
      </c>
      <c r="E430" s="311">
        <f>'Eingabe Meldungen'!J431</f>
        <v>0</v>
      </c>
      <c r="F430" s="310" t="e">
        <f>VLOOKUP(B430,Ausschreibung!$B$4:$I$35,4,FALSE)</f>
        <v>#N/A</v>
      </c>
      <c r="G430" s="312" t="e">
        <f t="shared" si="11"/>
        <v>#REF!</v>
      </c>
      <c r="H430" s="312" t="e">
        <f>IF(#REF!="Ergocup",8,"DHM")</f>
        <v>#REF!</v>
      </c>
      <c r="I430" s="310">
        <f>'Eingabe Meldungen'!K146</f>
        <v>0</v>
      </c>
      <c r="J430" s="313"/>
      <c r="K430" s="314">
        <f>IF(Tabelle1[[#This Row],[Bezahlt]]="JA",#REF!,0)</f>
        <v>0</v>
      </c>
      <c r="L430" s="315"/>
    </row>
    <row r="431" spans="2:12" s="316" customFormat="1" ht="18" customHeight="1" x14ac:dyDescent="0.2">
      <c r="B431" s="309">
        <f>'Eingabe Meldungen'!A432</f>
        <v>0</v>
      </c>
      <c r="C431" s="310">
        <f>'Eingabe Meldungen'!C432</f>
        <v>0</v>
      </c>
      <c r="D431" s="310">
        <f>'Eingabe Meldungen'!D432</f>
        <v>0</v>
      </c>
      <c r="E431" s="311">
        <f>'Eingabe Meldungen'!J432</f>
        <v>0</v>
      </c>
      <c r="F431" s="310" t="e">
        <f>VLOOKUP(B431,Ausschreibung!$B$4:$I$35,4,FALSE)</f>
        <v>#N/A</v>
      </c>
      <c r="G431" s="312" t="e">
        <f t="shared" si="11"/>
        <v>#REF!</v>
      </c>
      <c r="H431" s="312" t="e">
        <f>IF(#REF!="Ergocup",8,"DHM")</f>
        <v>#REF!</v>
      </c>
      <c r="I431" s="310">
        <f>'Eingabe Meldungen'!K452</f>
        <v>0</v>
      </c>
      <c r="J431" s="313"/>
      <c r="K431" s="314">
        <f>IF(Tabelle1[[#This Row],[Bezahlt]]="JA",#REF!,0)</f>
        <v>0</v>
      </c>
      <c r="L431" s="315"/>
    </row>
    <row r="432" spans="2:12" s="316" customFormat="1" ht="18" customHeight="1" x14ac:dyDescent="0.2">
      <c r="B432" s="309">
        <f>'Eingabe Meldungen'!A433</f>
        <v>0</v>
      </c>
      <c r="C432" s="310">
        <f>'Eingabe Meldungen'!C433</f>
        <v>0</v>
      </c>
      <c r="D432" s="310">
        <f>'Eingabe Meldungen'!D433</f>
        <v>0</v>
      </c>
      <c r="E432" s="311">
        <f>'Eingabe Meldungen'!J433</f>
        <v>0</v>
      </c>
      <c r="F432" s="310" t="e">
        <f>VLOOKUP(B432,Ausschreibung!$B$4:$I$35,4,FALSE)</f>
        <v>#N/A</v>
      </c>
      <c r="G432" s="312" t="e">
        <f t="shared" si="11"/>
        <v>#REF!</v>
      </c>
      <c r="H432" s="312" t="e">
        <f>IF(#REF!="Ergocup",8,"DHM")</f>
        <v>#REF!</v>
      </c>
      <c r="I432" s="310">
        <f>'Eingabe Meldungen'!K453</f>
        <v>0</v>
      </c>
      <c r="J432" s="313"/>
      <c r="K432" s="314">
        <f>IF(Tabelle1[[#This Row],[Bezahlt]]="JA",#REF!,0)</f>
        <v>0</v>
      </c>
      <c r="L432" s="315"/>
    </row>
    <row r="433" spans="2:12" s="316" customFormat="1" ht="18" customHeight="1" x14ac:dyDescent="0.2">
      <c r="B433" s="309">
        <f>'Eingabe Meldungen'!A434</f>
        <v>0</v>
      </c>
      <c r="C433" s="310">
        <f>'Eingabe Meldungen'!C434</f>
        <v>0</v>
      </c>
      <c r="D433" s="310">
        <f>'Eingabe Meldungen'!D434</f>
        <v>0</v>
      </c>
      <c r="E433" s="311">
        <f>'Eingabe Meldungen'!J434</f>
        <v>0</v>
      </c>
      <c r="F433" s="310" t="e">
        <f>VLOOKUP(B433,Ausschreibung!$B$4:$I$35,4,FALSE)</f>
        <v>#N/A</v>
      </c>
      <c r="G433" s="312" t="e">
        <f t="shared" si="11"/>
        <v>#REF!</v>
      </c>
      <c r="H433" s="312" t="e">
        <f>IF(#REF!="Ergocup",8,"DHM")</f>
        <v>#REF!</v>
      </c>
      <c r="I433" s="310">
        <f>'Eingabe Meldungen'!K454</f>
        <v>0</v>
      </c>
      <c r="J433" s="313"/>
      <c r="K433" s="314">
        <f>IF(Tabelle1[[#This Row],[Bezahlt]]="JA",#REF!,0)</f>
        <v>0</v>
      </c>
      <c r="L433" s="315"/>
    </row>
    <row r="434" spans="2:12" s="316" customFormat="1" ht="18" customHeight="1" x14ac:dyDescent="0.2">
      <c r="B434" s="309">
        <f>'Eingabe Meldungen'!A435</f>
        <v>0</v>
      </c>
      <c r="C434" s="310">
        <f>'Eingabe Meldungen'!C435</f>
        <v>0</v>
      </c>
      <c r="D434" s="310">
        <f>'Eingabe Meldungen'!D435</f>
        <v>0</v>
      </c>
      <c r="E434" s="311">
        <f>'Eingabe Meldungen'!J435</f>
        <v>0</v>
      </c>
      <c r="F434" s="310" t="e">
        <f>VLOOKUP(B434,Ausschreibung!$B$4:$I$35,4,FALSE)</f>
        <v>#N/A</v>
      </c>
      <c r="G434" s="312" t="e">
        <f t="shared" si="11"/>
        <v>#REF!</v>
      </c>
      <c r="H434" s="312" t="e">
        <f>IF(#REF!="Ergocup",8,"DHM")</f>
        <v>#REF!</v>
      </c>
      <c r="I434" s="310">
        <f>'Eingabe Meldungen'!K80</f>
        <v>0</v>
      </c>
      <c r="J434" s="313"/>
      <c r="K434" s="314">
        <f>IF(Tabelle1[[#This Row],[Bezahlt]]="JA",#REF!,0)</f>
        <v>0</v>
      </c>
      <c r="L434" s="315"/>
    </row>
    <row r="435" spans="2:12" s="316" customFormat="1" ht="18" customHeight="1" thickBot="1" x14ac:dyDescent="0.25">
      <c r="B435" s="309">
        <f>'Eingabe Meldungen'!A436</f>
        <v>0</v>
      </c>
      <c r="C435" s="310">
        <f>'Eingabe Meldungen'!C436</f>
        <v>0</v>
      </c>
      <c r="D435" s="310">
        <f>'Eingabe Meldungen'!D436</f>
        <v>0</v>
      </c>
      <c r="E435" s="311">
        <f>'Eingabe Meldungen'!J436</f>
        <v>0</v>
      </c>
      <c r="F435" s="310" t="e">
        <f>VLOOKUP(B435,Ausschreibung!$B$4:$I$35,4,FALSE)</f>
        <v>#N/A</v>
      </c>
      <c r="G435" s="312" t="e">
        <f t="shared" si="11"/>
        <v>#REF!</v>
      </c>
      <c r="H435" s="312" t="e">
        <f>IF(#REF!="Ergocup",8,"DHM")</f>
        <v>#REF!</v>
      </c>
      <c r="I435" s="317">
        <f>'Eingabe Meldungen'!K59</f>
        <v>0</v>
      </c>
      <c r="J435" s="318"/>
      <c r="K435" s="319">
        <f>IF(Tabelle1[[#This Row],[Bezahlt]]="JA",#REF!,0)</f>
        <v>0</v>
      </c>
      <c r="L435" s="315"/>
    </row>
    <row r="436" spans="2:12" s="316" customFormat="1" ht="18" customHeight="1" x14ac:dyDescent="0.2">
      <c r="B436" s="309">
        <f>'Eingabe Meldungen'!A437</f>
        <v>0</v>
      </c>
      <c r="C436" s="310">
        <f>'Eingabe Meldungen'!C437</f>
        <v>0</v>
      </c>
      <c r="D436" s="310">
        <f>'Eingabe Meldungen'!D437</f>
        <v>0</v>
      </c>
      <c r="E436" s="311">
        <f>'Eingabe Meldungen'!J437</f>
        <v>0</v>
      </c>
      <c r="F436" s="310" t="e">
        <f>VLOOKUP(B436,Ausschreibung!$B$4:$I$35,4,FALSE)</f>
        <v>#N/A</v>
      </c>
      <c r="G436" s="312" t="e">
        <f t="shared" si="11"/>
        <v>#REF!</v>
      </c>
      <c r="H436" s="312" t="e">
        <f>IF(#REF!="Ergocup",8,"DHM")</f>
        <v>#REF!</v>
      </c>
      <c r="I436" s="310">
        <f>'Eingabe Meldungen'!K177</f>
        <v>0</v>
      </c>
      <c r="J436" s="313"/>
      <c r="K436" s="312">
        <f>IF(Tabelle1[[#This Row],[Bezahlt]]="JA",#REF!,0)</f>
        <v>0</v>
      </c>
    </row>
    <row r="437" spans="2:12" s="316" customFormat="1" ht="18" customHeight="1" x14ac:dyDescent="0.2">
      <c r="B437" s="309">
        <f>'Eingabe Meldungen'!A438</f>
        <v>0</v>
      </c>
      <c r="C437" s="310">
        <f>'Eingabe Meldungen'!C438</f>
        <v>0</v>
      </c>
      <c r="D437" s="310">
        <f>'Eingabe Meldungen'!D438</f>
        <v>0</v>
      </c>
      <c r="E437" s="311">
        <f>'Eingabe Meldungen'!J438</f>
        <v>0</v>
      </c>
      <c r="F437" s="310" t="e">
        <f>VLOOKUP(B437,Ausschreibung!$B$4:$I$35,4,FALSE)</f>
        <v>#N/A</v>
      </c>
      <c r="G437" s="312" t="e">
        <f t="shared" si="11"/>
        <v>#REF!</v>
      </c>
      <c r="H437" s="312" t="e">
        <f>IF(#REF!="Ergocup",8,"DHM")</f>
        <v>#REF!</v>
      </c>
      <c r="I437" s="310">
        <f>'Eingabe Meldungen'!K117</f>
        <v>0</v>
      </c>
      <c r="J437" s="313"/>
      <c r="K437" s="312">
        <f>IF(Tabelle1[[#This Row],[Bezahlt]]="JA",#REF!,0)</f>
        <v>0</v>
      </c>
    </row>
    <row r="438" spans="2:12" s="316" customFormat="1" ht="18" customHeight="1" x14ac:dyDescent="0.2">
      <c r="B438" s="309">
        <f>'Eingabe Meldungen'!A439</f>
        <v>0</v>
      </c>
      <c r="C438" s="310">
        <f>'Eingabe Meldungen'!C439</f>
        <v>0</v>
      </c>
      <c r="D438" s="310">
        <f>'Eingabe Meldungen'!D439</f>
        <v>0</v>
      </c>
      <c r="E438" s="311">
        <f>'Eingabe Meldungen'!J439</f>
        <v>0</v>
      </c>
      <c r="F438" s="310" t="e">
        <f>VLOOKUP(B438,Ausschreibung!$B$4:$I$35,4,FALSE)</f>
        <v>#N/A</v>
      </c>
      <c r="G438" s="312" t="e">
        <f t="shared" ref="G438:G447" si="12">IF(B438=35,H438-4,H438)</f>
        <v>#REF!</v>
      </c>
      <c r="H438" s="312" t="e">
        <f>IF(#REF!="Ergocup",8,"DHM")</f>
        <v>#REF!</v>
      </c>
      <c r="I438" s="310">
        <f>'Eingabe Meldungen'!K148</f>
        <v>0</v>
      </c>
      <c r="J438" s="313"/>
      <c r="K438" s="312">
        <f>IF(Tabelle1[[#This Row],[Bezahlt]]="JA",#REF!,0)</f>
        <v>0</v>
      </c>
    </row>
    <row r="439" spans="2:12" s="316" customFormat="1" ht="18" customHeight="1" x14ac:dyDescent="0.2">
      <c r="B439" s="309">
        <f>'Eingabe Meldungen'!A440</f>
        <v>0</v>
      </c>
      <c r="C439" s="310">
        <f>'Eingabe Meldungen'!C440</f>
        <v>0</v>
      </c>
      <c r="D439" s="310">
        <f>'Eingabe Meldungen'!D440</f>
        <v>0</v>
      </c>
      <c r="E439" s="311">
        <f>'Eingabe Meldungen'!J440</f>
        <v>0</v>
      </c>
      <c r="F439" s="310" t="e">
        <f>VLOOKUP(B439,Ausschreibung!$B$4:$I$35,4,FALSE)</f>
        <v>#N/A</v>
      </c>
      <c r="G439" s="312" t="e">
        <f t="shared" si="12"/>
        <v>#REF!</v>
      </c>
      <c r="H439" s="312" t="e">
        <f>IF(#REF!="Ergocup",8,"DHM")</f>
        <v>#REF!</v>
      </c>
      <c r="I439" s="310">
        <f>'Eingabe Meldungen'!K96</f>
        <v>0</v>
      </c>
      <c r="J439" s="313"/>
      <c r="K439" s="312">
        <f>IF(Tabelle1[[#This Row],[Bezahlt]]="JA",#REF!,0)</f>
        <v>0</v>
      </c>
    </row>
    <row r="440" spans="2:12" s="316" customFormat="1" ht="18" customHeight="1" x14ac:dyDescent="0.2">
      <c r="B440" s="309">
        <f>'Eingabe Meldungen'!A441</f>
        <v>0</v>
      </c>
      <c r="C440" s="310">
        <f>'Eingabe Meldungen'!C441</f>
        <v>0</v>
      </c>
      <c r="D440" s="310">
        <f>'Eingabe Meldungen'!D441</f>
        <v>0</v>
      </c>
      <c r="E440" s="311">
        <f>'Eingabe Meldungen'!J441</f>
        <v>0</v>
      </c>
      <c r="F440" s="310" t="e">
        <f>VLOOKUP(B440,Ausschreibung!$B$4:$I$35,4,FALSE)</f>
        <v>#N/A</v>
      </c>
      <c r="G440" s="312" t="e">
        <f t="shared" si="12"/>
        <v>#REF!</v>
      </c>
      <c r="H440" s="312" t="e">
        <f>IF(#REF!="Ergocup",8,"DHM")</f>
        <v>#REF!</v>
      </c>
      <c r="I440" s="310">
        <f>'Eingabe Meldungen'!K189</f>
        <v>0</v>
      </c>
      <c r="J440" s="313"/>
      <c r="K440" s="312">
        <f>IF(Tabelle1[[#This Row],[Bezahlt]]="JA",#REF!,0)</f>
        <v>0</v>
      </c>
    </row>
    <row r="441" spans="2:12" s="316" customFormat="1" ht="18" customHeight="1" x14ac:dyDescent="0.2">
      <c r="B441" s="309">
        <f>'Eingabe Meldungen'!A442</f>
        <v>0</v>
      </c>
      <c r="C441" s="310">
        <f>'Eingabe Meldungen'!C442</f>
        <v>0</v>
      </c>
      <c r="D441" s="310">
        <f>'Eingabe Meldungen'!D442</f>
        <v>0</v>
      </c>
      <c r="E441" s="311">
        <f>'Eingabe Meldungen'!J442</f>
        <v>0</v>
      </c>
      <c r="F441" s="310" t="e">
        <f>VLOOKUP(B441,Ausschreibung!$B$4:$I$35,4,FALSE)</f>
        <v>#N/A</v>
      </c>
      <c r="G441" s="312" t="e">
        <f t="shared" si="12"/>
        <v>#REF!</v>
      </c>
      <c r="H441" s="312" t="e">
        <f>IF(#REF!="Ergocup",8,"DHM")</f>
        <v>#REF!</v>
      </c>
      <c r="I441" s="310">
        <f>'Eingabe Meldungen'!K82</f>
        <v>0</v>
      </c>
      <c r="J441" s="313"/>
      <c r="K441" s="312">
        <f>IF(Tabelle1[[#This Row],[Bezahlt]]="JA",#REF!,0)</f>
        <v>0</v>
      </c>
    </row>
    <row r="442" spans="2:12" s="316" customFormat="1" ht="18" customHeight="1" x14ac:dyDescent="0.2">
      <c r="B442" s="309">
        <f>'Eingabe Meldungen'!A443</f>
        <v>0</v>
      </c>
      <c r="C442" s="310">
        <f>'Eingabe Meldungen'!C443</f>
        <v>0</v>
      </c>
      <c r="D442" s="310">
        <f>'Eingabe Meldungen'!D443</f>
        <v>0</v>
      </c>
      <c r="E442" s="311">
        <f>'Eingabe Meldungen'!J443</f>
        <v>0</v>
      </c>
      <c r="F442" s="310" t="e">
        <f>VLOOKUP(B442,Ausschreibung!$B$4:$I$35,4,FALSE)</f>
        <v>#N/A</v>
      </c>
      <c r="G442" s="312" t="e">
        <f t="shared" si="12"/>
        <v>#REF!</v>
      </c>
      <c r="H442" s="312" t="e">
        <f>IF(#REF!="Ergocup",8,"DHM")</f>
        <v>#REF!</v>
      </c>
      <c r="I442" s="310">
        <f>'Eingabe Meldungen'!K158</f>
        <v>0</v>
      </c>
      <c r="J442" s="313"/>
      <c r="K442" s="312">
        <f>IF(Tabelle1[[#This Row],[Bezahlt]]="JA",#REF!,0)</f>
        <v>0</v>
      </c>
    </row>
    <row r="443" spans="2:12" s="316" customFormat="1" ht="18" customHeight="1" x14ac:dyDescent="0.2">
      <c r="B443" s="309">
        <f>'Eingabe Meldungen'!A444</f>
        <v>0</v>
      </c>
      <c r="C443" s="310">
        <f>'Eingabe Meldungen'!C444</f>
        <v>0</v>
      </c>
      <c r="D443" s="310">
        <f>'Eingabe Meldungen'!D444</f>
        <v>0</v>
      </c>
      <c r="E443" s="311">
        <f>'Eingabe Meldungen'!J444</f>
        <v>0</v>
      </c>
      <c r="F443" s="310" t="e">
        <f>VLOOKUP(B443,Ausschreibung!$B$4:$I$35,4,FALSE)</f>
        <v>#N/A</v>
      </c>
      <c r="G443" s="312" t="e">
        <f t="shared" si="12"/>
        <v>#REF!</v>
      </c>
      <c r="H443" s="312" t="e">
        <f>IF(#REF!="Ergocup",8,"DHM")</f>
        <v>#REF!</v>
      </c>
      <c r="I443" s="310">
        <f>'Eingabe Meldungen'!K79</f>
        <v>0</v>
      </c>
      <c r="J443" s="313"/>
      <c r="K443" s="312">
        <f>IF(Tabelle1[[#This Row],[Bezahlt]]="JA",#REF!,0)</f>
        <v>0</v>
      </c>
    </row>
    <row r="444" spans="2:12" s="316" customFormat="1" ht="18" customHeight="1" x14ac:dyDescent="0.2">
      <c r="B444" s="309">
        <f>'Eingabe Meldungen'!A445</f>
        <v>0</v>
      </c>
      <c r="C444" s="310">
        <f>'Eingabe Meldungen'!C445</f>
        <v>0</v>
      </c>
      <c r="D444" s="310">
        <f>'Eingabe Meldungen'!D445</f>
        <v>0</v>
      </c>
      <c r="E444" s="311">
        <f>'Eingabe Meldungen'!J445</f>
        <v>0</v>
      </c>
      <c r="F444" s="310" t="e">
        <f>VLOOKUP(B444,Ausschreibung!$B$4:$I$35,4,FALSE)</f>
        <v>#N/A</v>
      </c>
      <c r="G444" s="312" t="e">
        <f t="shared" si="12"/>
        <v>#REF!</v>
      </c>
      <c r="H444" s="312" t="e">
        <f>IF(#REF!="Ergocup",8,"DHM")</f>
        <v>#REF!</v>
      </c>
      <c r="I444" s="310">
        <f>'Eingabe Meldungen'!K10</f>
        <v>0</v>
      </c>
      <c r="J444" s="313"/>
      <c r="K444" s="312">
        <f>IF(Tabelle1[[#This Row],[Bezahlt]]="JA",#REF!,0)</f>
        <v>0</v>
      </c>
    </row>
    <row r="445" spans="2:12" s="316" customFormat="1" ht="18" customHeight="1" x14ac:dyDescent="0.2">
      <c r="B445" s="309">
        <f>'Eingabe Meldungen'!A446</f>
        <v>0</v>
      </c>
      <c r="C445" s="310">
        <f>'Eingabe Meldungen'!C446</f>
        <v>0</v>
      </c>
      <c r="D445" s="310">
        <f>'Eingabe Meldungen'!D446</f>
        <v>0</v>
      </c>
      <c r="E445" s="311">
        <f>'Eingabe Meldungen'!J446</f>
        <v>0</v>
      </c>
      <c r="F445" s="310" t="e">
        <f>VLOOKUP(B445,Ausschreibung!$B$4:$I$35,4,FALSE)</f>
        <v>#N/A</v>
      </c>
      <c r="G445" s="312" t="e">
        <f t="shared" si="12"/>
        <v>#REF!</v>
      </c>
      <c r="H445" s="312" t="e">
        <f>IF(#REF!="Ergocup",8,"DHM")</f>
        <v>#REF!</v>
      </c>
      <c r="I445" s="310">
        <f>'Eingabe Meldungen'!K124</f>
        <v>0</v>
      </c>
      <c r="J445" s="313"/>
      <c r="K445" s="312">
        <f>IF(Tabelle1[[#This Row],[Bezahlt]]="JA",#REF!,0)</f>
        <v>0</v>
      </c>
    </row>
    <row r="446" spans="2:12" s="316" customFormat="1" ht="18" customHeight="1" x14ac:dyDescent="0.2">
      <c r="B446" s="309">
        <f>'Eingabe Meldungen'!A447</f>
        <v>0</v>
      </c>
      <c r="C446" s="310">
        <f>'Eingabe Meldungen'!C447</f>
        <v>0</v>
      </c>
      <c r="D446" s="310">
        <f>'Eingabe Meldungen'!D447</f>
        <v>0</v>
      </c>
      <c r="E446" s="311">
        <f>'Eingabe Meldungen'!J447</f>
        <v>0</v>
      </c>
      <c r="F446" s="310" t="e">
        <f>VLOOKUP(B446,Ausschreibung!$B$4:$I$35,4,FALSE)</f>
        <v>#N/A</v>
      </c>
      <c r="G446" s="312" t="e">
        <f t="shared" si="12"/>
        <v>#REF!</v>
      </c>
      <c r="H446" s="312" t="e">
        <f>IF(#REF!="Ergocup",8,"DHM")</f>
        <v>#REF!</v>
      </c>
      <c r="I446" s="310">
        <f>'Eingabe Meldungen'!K147</f>
        <v>0</v>
      </c>
      <c r="J446" s="313"/>
      <c r="K446" s="312">
        <f>IF(Tabelle1[[#This Row],[Bezahlt]]="JA",#REF!,0)</f>
        <v>0</v>
      </c>
    </row>
    <row r="447" spans="2:12" s="316" customFormat="1" ht="18" customHeight="1" x14ac:dyDescent="0.2">
      <c r="B447" s="309">
        <f>'Eingabe Meldungen'!A448</f>
        <v>0</v>
      </c>
      <c r="C447" s="310">
        <f>'Eingabe Meldungen'!C448</f>
        <v>0</v>
      </c>
      <c r="D447" s="310">
        <f>'Eingabe Meldungen'!D448</f>
        <v>0</v>
      </c>
      <c r="E447" s="311">
        <f>'Eingabe Meldungen'!J448</f>
        <v>0</v>
      </c>
      <c r="F447" s="310" t="e">
        <f>VLOOKUP(B447,Ausschreibung!$B$4:$I$35,4,FALSE)</f>
        <v>#N/A</v>
      </c>
      <c r="G447" s="312" t="e">
        <f t="shared" si="12"/>
        <v>#REF!</v>
      </c>
      <c r="H447" s="312" t="e">
        <f>IF(#REF!="Ergocup",8,"DHM")</f>
        <v>#REF!</v>
      </c>
      <c r="I447" s="310">
        <f>'Eingabe Meldungen'!K159</f>
        <v>0</v>
      </c>
      <c r="J447" s="313"/>
      <c r="K447" s="312">
        <f>IF(Tabelle1[[#This Row],[Bezahlt]]="JA",#REF!,0)</f>
        <v>0</v>
      </c>
    </row>
    <row r="448" spans="2:12" ht="13.8" x14ac:dyDescent="0.2">
      <c r="B448" s="309">
        <f>'Eingabe Meldungen'!A449</f>
        <v>0</v>
      </c>
      <c r="C448" s="310">
        <f>'Eingabe Meldungen'!C449</f>
        <v>0</v>
      </c>
      <c r="D448" s="310">
        <f>'Eingabe Meldungen'!D449</f>
        <v>0</v>
      </c>
      <c r="E448" s="311">
        <f>'Eingabe Meldungen'!J449</f>
        <v>0</v>
      </c>
      <c r="F448" s="310" t="e">
        <f>VLOOKUP(B448,Ausschreibung!$B$4:$I$35,4,FALSE)</f>
        <v>#N/A</v>
      </c>
      <c r="G448" s="189"/>
      <c r="H448" s="189"/>
      <c r="I448" s="40"/>
      <c r="J448" s="258"/>
      <c r="K448" s="189"/>
    </row>
    <row r="449" spans="2:11" ht="13.8" x14ac:dyDescent="0.2">
      <c r="B449" s="309">
        <f>'Eingabe Meldungen'!A450</f>
        <v>0</v>
      </c>
      <c r="C449" s="310">
        <f>'Eingabe Meldungen'!C450</f>
        <v>0</v>
      </c>
      <c r="D449" s="310">
        <f>'Eingabe Meldungen'!D450</f>
        <v>0</v>
      </c>
      <c r="E449" s="311">
        <f>'Eingabe Meldungen'!J450</f>
        <v>0</v>
      </c>
      <c r="F449" s="310" t="e">
        <f>VLOOKUP(B449,Ausschreibung!$B$4:$I$35,4,FALSE)</f>
        <v>#N/A</v>
      </c>
      <c r="G449" s="189"/>
      <c r="H449" s="189"/>
      <c r="I449" s="40"/>
      <c r="J449" s="258"/>
      <c r="K449" s="189"/>
    </row>
    <row r="450" spans="2:11" ht="13.8" x14ac:dyDescent="0.2">
      <c r="B450" s="309">
        <f>'Eingabe Meldungen'!A451</f>
        <v>0</v>
      </c>
      <c r="C450" s="310">
        <f>'Eingabe Meldungen'!C451</f>
        <v>0</v>
      </c>
      <c r="D450" s="310">
        <f>'Eingabe Meldungen'!D451</f>
        <v>0</v>
      </c>
      <c r="E450" s="311">
        <f>'Eingabe Meldungen'!J451</f>
        <v>0</v>
      </c>
      <c r="F450" s="310" t="e">
        <f>VLOOKUP(B450,Ausschreibung!$B$4:$I$35,4,FALSE)</f>
        <v>#N/A</v>
      </c>
      <c r="G450" s="189"/>
      <c r="H450" s="189"/>
      <c r="I450" s="40"/>
      <c r="J450" s="258"/>
      <c r="K450" s="189"/>
    </row>
    <row r="451" spans="2:11" ht="13.8" x14ac:dyDescent="0.2">
      <c r="B451" s="309">
        <f>'Eingabe Meldungen'!A452</f>
        <v>0</v>
      </c>
      <c r="C451" s="310">
        <f>'Eingabe Meldungen'!C452</f>
        <v>0</v>
      </c>
      <c r="D451" s="310">
        <f>'Eingabe Meldungen'!D452</f>
        <v>0</v>
      </c>
      <c r="E451" s="311">
        <f>'Eingabe Meldungen'!J452</f>
        <v>0</v>
      </c>
      <c r="F451" s="310" t="e">
        <f>VLOOKUP(B451,Ausschreibung!$B$4:$I$35,4,FALSE)</f>
        <v>#N/A</v>
      </c>
      <c r="G451" s="189"/>
      <c r="H451" s="189"/>
      <c r="I451" s="40"/>
      <c r="J451" s="258"/>
      <c r="K451" s="189"/>
    </row>
    <row r="452" spans="2:11" ht="13.8" x14ac:dyDescent="0.2">
      <c r="B452" s="309">
        <f>'Eingabe Meldungen'!A453</f>
        <v>0</v>
      </c>
      <c r="C452" s="310">
        <f>'Eingabe Meldungen'!C453</f>
        <v>0</v>
      </c>
      <c r="D452" s="310">
        <f>'Eingabe Meldungen'!D453</f>
        <v>0</v>
      </c>
      <c r="E452" s="311">
        <f>'Eingabe Meldungen'!J453</f>
        <v>0</v>
      </c>
      <c r="F452" s="310" t="e">
        <f>VLOOKUP(B452,Ausschreibung!$B$4:$I$35,4,FALSE)</f>
        <v>#N/A</v>
      </c>
      <c r="G452" s="189"/>
      <c r="H452" s="189"/>
      <c r="I452" s="40"/>
      <c r="J452" s="258"/>
      <c r="K452" s="189"/>
    </row>
    <row r="453" spans="2:11" ht="13.8" x14ac:dyDescent="0.2">
      <c r="B453" s="309">
        <f>'Eingabe Meldungen'!A454</f>
        <v>0</v>
      </c>
      <c r="C453" s="310">
        <f>'Eingabe Meldungen'!C454</f>
        <v>0</v>
      </c>
      <c r="D453" s="310">
        <f>'Eingabe Meldungen'!D454</f>
        <v>0</v>
      </c>
      <c r="E453" s="311">
        <f>'Eingabe Meldungen'!J454</f>
        <v>0</v>
      </c>
      <c r="F453" s="310" t="e">
        <f>VLOOKUP(B453,Ausschreibung!$B$4:$I$35,4,FALSE)</f>
        <v>#N/A</v>
      </c>
      <c r="G453" s="189"/>
      <c r="H453" s="189"/>
      <c r="I453" s="40"/>
      <c r="J453" s="258"/>
      <c r="K453" s="189"/>
    </row>
    <row r="454" spans="2:11" ht="13.8" x14ac:dyDescent="0.2">
      <c r="B454" s="309">
        <f>'Eingabe Meldungen'!A455</f>
        <v>0</v>
      </c>
      <c r="C454" s="310">
        <f>'Eingabe Meldungen'!C455</f>
        <v>0</v>
      </c>
      <c r="D454" s="310">
        <f>'Eingabe Meldungen'!D455</f>
        <v>0</v>
      </c>
      <c r="E454" s="311">
        <f>'Eingabe Meldungen'!J455</f>
        <v>0</v>
      </c>
      <c r="F454" s="310" t="e">
        <f>VLOOKUP(B454,Ausschreibung!$B$4:$I$35,4,FALSE)</f>
        <v>#N/A</v>
      </c>
      <c r="G454" s="189"/>
      <c r="H454" s="189"/>
      <c r="I454" s="40"/>
      <c r="J454" s="258"/>
      <c r="K454" s="189"/>
    </row>
    <row r="455" spans="2:11" ht="13.8" x14ac:dyDescent="0.2">
      <c r="B455" s="309">
        <f>'Eingabe Meldungen'!A456</f>
        <v>0</v>
      </c>
      <c r="C455" s="310">
        <f>'Eingabe Meldungen'!C456</f>
        <v>0</v>
      </c>
      <c r="D455" s="310">
        <f>'Eingabe Meldungen'!D456</f>
        <v>0</v>
      </c>
      <c r="E455" s="311">
        <f>'Eingabe Meldungen'!J456</f>
        <v>0</v>
      </c>
      <c r="F455" s="310" t="e">
        <f>VLOOKUP(B455,Ausschreibung!$B$4:$I$35,4,FALSE)</f>
        <v>#N/A</v>
      </c>
      <c r="G455" s="189"/>
      <c r="H455" s="189"/>
      <c r="I455" s="40"/>
      <c r="J455" s="258"/>
      <c r="K455" s="189"/>
    </row>
    <row r="456" spans="2:11" ht="13.8" x14ac:dyDescent="0.2">
      <c r="B456" s="309">
        <f>'Eingabe Meldungen'!A457</f>
        <v>0</v>
      </c>
      <c r="C456" s="310">
        <f>'Eingabe Meldungen'!C457</f>
        <v>0</v>
      </c>
      <c r="D456" s="310">
        <f>'Eingabe Meldungen'!D457</f>
        <v>0</v>
      </c>
      <c r="E456" s="311">
        <f>'Eingabe Meldungen'!J457</f>
        <v>0</v>
      </c>
      <c r="F456" s="310" t="e">
        <f>VLOOKUP(B456,Ausschreibung!$B$4:$I$35,4,FALSE)</f>
        <v>#N/A</v>
      </c>
      <c r="G456" s="189"/>
      <c r="H456" s="189"/>
      <c r="I456" s="40"/>
      <c r="J456" s="258"/>
      <c r="K456" s="189"/>
    </row>
    <row r="457" spans="2:11" ht="13.8" x14ac:dyDescent="0.2">
      <c r="B457" s="309">
        <f>'Eingabe Meldungen'!A458</f>
        <v>0</v>
      </c>
      <c r="C457" s="310">
        <f>'Eingabe Meldungen'!C458</f>
        <v>0</v>
      </c>
      <c r="D457" s="310">
        <f>'Eingabe Meldungen'!D458</f>
        <v>0</v>
      </c>
      <c r="E457" s="311">
        <f>'Eingabe Meldungen'!J458</f>
        <v>0</v>
      </c>
      <c r="F457" s="310" t="e">
        <f>VLOOKUP(B457,Ausschreibung!$B$4:$I$35,4,FALSE)</f>
        <v>#N/A</v>
      </c>
      <c r="G457" s="189"/>
      <c r="H457" s="189"/>
      <c r="I457" s="40"/>
      <c r="J457" s="258"/>
      <c r="K457" s="189"/>
    </row>
    <row r="458" spans="2:11" ht="13.8" x14ac:dyDescent="0.2">
      <c r="B458" s="309">
        <f>'Eingabe Meldungen'!A459</f>
        <v>0</v>
      </c>
      <c r="C458" s="310">
        <f>'Eingabe Meldungen'!C459</f>
        <v>0</v>
      </c>
      <c r="D458" s="310">
        <f>'Eingabe Meldungen'!D459</f>
        <v>0</v>
      </c>
      <c r="E458" s="311">
        <f>'Eingabe Meldungen'!J459</f>
        <v>0</v>
      </c>
      <c r="F458" s="310" t="e">
        <f>VLOOKUP(B458,Ausschreibung!$B$4:$I$35,4,FALSE)</f>
        <v>#N/A</v>
      </c>
      <c r="G458" s="189"/>
      <c r="H458" s="189"/>
      <c r="I458" s="40"/>
      <c r="J458" s="258"/>
      <c r="K458" s="189"/>
    </row>
    <row r="459" spans="2:11" ht="13.8" x14ac:dyDescent="0.2">
      <c r="B459" s="309">
        <f>'Eingabe Meldungen'!A460</f>
        <v>0</v>
      </c>
      <c r="C459" s="310">
        <f>'Eingabe Meldungen'!C460</f>
        <v>0</v>
      </c>
      <c r="D459" s="310">
        <f>'Eingabe Meldungen'!D460</f>
        <v>0</v>
      </c>
      <c r="E459" s="311">
        <f>'Eingabe Meldungen'!J460</f>
        <v>0</v>
      </c>
      <c r="F459" s="310" t="e">
        <f>VLOOKUP(B459,Ausschreibung!$B$4:$I$35,4,FALSE)</f>
        <v>#N/A</v>
      </c>
      <c r="G459" s="189"/>
      <c r="H459" s="189"/>
      <c r="I459" s="40"/>
      <c r="J459" s="258"/>
      <c r="K459" s="189"/>
    </row>
    <row r="460" spans="2:11" ht="13.8" x14ac:dyDescent="0.2">
      <c r="B460" s="309">
        <f>'Eingabe Meldungen'!A461</f>
        <v>0</v>
      </c>
      <c r="C460" s="310">
        <f>'Eingabe Meldungen'!C461</f>
        <v>0</v>
      </c>
      <c r="D460" s="310">
        <f>'Eingabe Meldungen'!D461</f>
        <v>0</v>
      </c>
      <c r="E460" s="311">
        <f>'Eingabe Meldungen'!J461</f>
        <v>0</v>
      </c>
      <c r="F460" s="310" t="e">
        <f>VLOOKUP(B460,Ausschreibung!$B$4:$I$35,4,FALSE)</f>
        <v>#N/A</v>
      </c>
      <c r="G460" s="189"/>
      <c r="H460" s="189"/>
      <c r="I460" s="40"/>
      <c r="J460" s="258"/>
      <c r="K460" s="189"/>
    </row>
    <row r="461" spans="2:11" ht="13.8" x14ac:dyDescent="0.2">
      <c r="B461" s="309">
        <f>'Eingabe Meldungen'!A462</f>
        <v>0</v>
      </c>
      <c r="C461" s="310">
        <f>'Eingabe Meldungen'!C462</f>
        <v>0</v>
      </c>
      <c r="D461" s="310">
        <f>'Eingabe Meldungen'!D462</f>
        <v>0</v>
      </c>
      <c r="E461" s="311">
        <f>'Eingabe Meldungen'!J462</f>
        <v>0</v>
      </c>
      <c r="F461" s="310" t="e">
        <f>VLOOKUP(B461,Ausschreibung!$B$4:$I$35,4,FALSE)</f>
        <v>#N/A</v>
      </c>
      <c r="G461" s="189"/>
      <c r="H461" s="189"/>
      <c r="I461" s="40"/>
      <c r="J461" s="258"/>
      <c r="K461" s="189"/>
    </row>
    <row r="462" spans="2:11" ht="13.8" x14ac:dyDescent="0.2">
      <c r="B462" s="309">
        <f>'Eingabe Meldungen'!A463</f>
        <v>0</v>
      </c>
      <c r="C462" s="310">
        <f>'Eingabe Meldungen'!C463</f>
        <v>0</v>
      </c>
      <c r="D462" s="310">
        <f>'Eingabe Meldungen'!D463</f>
        <v>0</v>
      </c>
      <c r="E462" s="311">
        <f>'Eingabe Meldungen'!J463</f>
        <v>0</v>
      </c>
      <c r="F462" s="310" t="e">
        <f>VLOOKUP(B462,Ausschreibung!$B$4:$I$35,4,FALSE)</f>
        <v>#N/A</v>
      </c>
      <c r="G462" s="189"/>
      <c r="H462" s="189"/>
      <c r="I462" s="40"/>
      <c r="J462" s="258"/>
      <c r="K462" s="189"/>
    </row>
    <row r="463" spans="2:11" ht="13.8" x14ac:dyDescent="0.2">
      <c r="B463" s="309">
        <f>'Eingabe Meldungen'!A464</f>
        <v>0</v>
      </c>
      <c r="C463" s="310">
        <f>'Eingabe Meldungen'!C464</f>
        <v>0</v>
      </c>
      <c r="D463" s="310">
        <f>'Eingabe Meldungen'!D464</f>
        <v>0</v>
      </c>
      <c r="E463" s="311">
        <f>'Eingabe Meldungen'!J464</f>
        <v>0</v>
      </c>
      <c r="F463" s="310" t="e">
        <f>VLOOKUP(B463,Ausschreibung!$B$4:$I$35,4,FALSE)</f>
        <v>#N/A</v>
      </c>
      <c r="G463" s="189"/>
      <c r="H463" s="189"/>
      <c r="I463" s="40"/>
      <c r="J463" s="258"/>
      <c r="K463" s="189"/>
    </row>
    <row r="464" spans="2:11" ht="13.8" x14ac:dyDescent="0.2">
      <c r="B464" s="309">
        <f>'Eingabe Meldungen'!A465</f>
        <v>0</v>
      </c>
      <c r="C464" s="310">
        <f>'Eingabe Meldungen'!C465</f>
        <v>0</v>
      </c>
      <c r="D464" s="310">
        <f>'Eingabe Meldungen'!D465</f>
        <v>0</v>
      </c>
      <c r="E464" s="311">
        <f>'Eingabe Meldungen'!J465</f>
        <v>0</v>
      </c>
      <c r="F464" s="310" t="e">
        <f>VLOOKUP(B464,Ausschreibung!$B$4:$I$35,4,FALSE)</f>
        <v>#N/A</v>
      </c>
      <c r="G464" s="189"/>
      <c r="H464" s="189"/>
      <c r="I464" s="40"/>
      <c r="J464" s="258"/>
      <c r="K464" s="189"/>
    </row>
    <row r="465" spans="2:11" ht="13.8" x14ac:dyDescent="0.2">
      <c r="B465" s="309">
        <f>'Eingabe Meldungen'!A466</f>
        <v>0</v>
      </c>
      <c r="C465" s="310">
        <f>'Eingabe Meldungen'!C466</f>
        <v>0</v>
      </c>
      <c r="D465" s="310">
        <f>'Eingabe Meldungen'!D466</f>
        <v>0</v>
      </c>
      <c r="E465" s="311">
        <f>'Eingabe Meldungen'!J466</f>
        <v>0</v>
      </c>
      <c r="F465" s="310" t="e">
        <f>VLOOKUP(B465,Ausschreibung!$B$4:$I$35,4,FALSE)</f>
        <v>#N/A</v>
      </c>
      <c r="G465" s="189"/>
      <c r="H465" s="189"/>
      <c r="I465" s="40"/>
      <c r="J465" s="258"/>
      <c r="K465" s="189"/>
    </row>
    <row r="466" spans="2:11" ht="13.8" x14ac:dyDescent="0.2">
      <c r="B466" s="309">
        <f>'Eingabe Meldungen'!A467</f>
        <v>0</v>
      </c>
      <c r="C466" s="310">
        <f>'Eingabe Meldungen'!C467</f>
        <v>0</v>
      </c>
      <c r="D466" s="310">
        <f>'Eingabe Meldungen'!D467</f>
        <v>0</v>
      </c>
      <c r="E466" s="311">
        <f>'Eingabe Meldungen'!J467</f>
        <v>0</v>
      </c>
      <c r="F466" s="310" t="e">
        <f>VLOOKUP(B466,Ausschreibung!$B$4:$I$35,4,FALSE)</f>
        <v>#N/A</v>
      </c>
      <c r="G466" s="189"/>
      <c r="H466" s="189"/>
      <c r="I466" s="40"/>
      <c r="J466" s="258"/>
      <c r="K466" s="189"/>
    </row>
    <row r="467" spans="2:11" ht="13.8" x14ac:dyDescent="0.2">
      <c r="B467" s="309">
        <f>'Eingabe Meldungen'!A468</f>
        <v>0</v>
      </c>
      <c r="C467" s="310">
        <f>'Eingabe Meldungen'!C468</f>
        <v>0</v>
      </c>
      <c r="D467" s="310">
        <f>'Eingabe Meldungen'!D468</f>
        <v>0</v>
      </c>
      <c r="E467" s="311">
        <f>'Eingabe Meldungen'!J468</f>
        <v>0</v>
      </c>
      <c r="F467" s="310" t="e">
        <f>VLOOKUP(B467,Ausschreibung!$B$4:$I$35,4,FALSE)</f>
        <v>#N/A</v>
      </c>
      <c r="G467" s="189"/>
      <c r="H467" s="189"/>
      <c r="I467" s="40"/>
      <c r="J467" s="258"/>
      <c r="K467" s="189"/>
    </row>
    <row r="468" spans="2:11" ht="13.8" x14ac:dyDescent="0.2">
      <c r="B468" s="309">
        <f>'Eingabe Meldungen'!A469</f>
        <v>0</v>
      </c>
      <c r="C468" s="310">
        <f>'Eingabe Meldungen'!C469</f>
        <v>0</v>
      </c>
      <c r="D468" s="310">
        <f>'Eingabe Meldungen'!D469</f>
        <v>0</v>
      </c>
      <c r="E468" s="311">
        <f>'Eingabe Meldungen'!J469</f>
        <v>0</v>
      </c>
      <c r="F468" s="310" t="e">
        <f>VLOOKUP(B468,Ausschreibung!$B$4:$I$35,4,FALSE)</f>
        <v>#N/A</v>
      </c>
      <c r="G468" s="189"/>
      <c r="H468" s="189"/>
      <c r="I468" s="40"/>
      <c r="J468" s="258"/>
      <c r="K468" s="189"/>
    </row>
    <row r="469" spans="2:11" ht="13.8" x14ac:dyDescent="0.2">
      <c r="B469" s="309">
        <f>'Eingabe Meldungen'!A470</f>
        <v>0</v>
      </c>
      <c r="C469" s="310">
        <f>'Eingabe Meldungen'!C470</f>
        <v>0</v>
      </c>
      <c r="D469" s="310">
        <f>'Eingabe Meldungen'!D470</f>
        <v>0</v>
      </c>
      <c r="E469" s="311">
        <f>'Eingabe Meldungen'!J470</f>
        <v>0</v>
      </c>
      <c r="F469" s="310" t="e">
        <f>VLOOKUP(B469,Ausschreibung!$B$4:$I$35,4,FALSE)</f>
        <v>#N/A</v>
      </c>
      <c r="G469" s="189"/>
      <c r="H469" s="189"/>
      <c r="I469" s="40"/>
      <c r="J469" s="258"/>
      <c r="K469" s="189"/>
    </row>
    <row r="470" spans="2:11" ht="13.8" x14ac:dyDescent="0.2">
      <c r="B470" s="309">
        <f>'Eingabe Meldungen'!A471</f>
        <v>0</v>
      </c>
      <c r="C470" s="310">
        <f>'Eingabe Meldungen'!C471</f>
        <v>0</v>
      </c>
      <c r="D470" s="310">
        <f>'Eingabe Meldungen'!D471</f>
        <v>0</v>
      </c>
      <c r="E470" s="311">
        <f>'Eingabe Meldungen'!J471</f>
        <v>0</v>
      </c>
      <c r="F470" s="310" t="e">
        <f>VLOOKUP(B470,Ausschreibung!$B$4:$I$35,4,FALSE)</f>
        <v>#N/A</v>
      </c>
      <c r="G470" s="189"/>
      <c r="H470" s="189"/>
      <c r="I470" s="40"/>
      <c r="J470" s="258"/>
      <c r="K470" s="189"/>
    </row>
    <row r="471" spans="2:11" ht="13.8" x14ac:dyDescent="0.2">
      <c r="B471" s="309">
        <f>'Eingabe Meldungen'!A472</f>
        <v>0</v>
      </c>
      <c r="C471" s="310">
        <f>'Eingabe Meldungen'!C472</f>
        <v>0</v>
      </c>
      <c r="D471" s="310">
        <f>'Eingabe Meldungen'!D472</f>
        <v>0</v>
      </c>
      <c r="E471" s="311">
        <f>'Eingabe Meldungen'!J472</f>
        <v>0</v>
      </c>
      <c r="F471" s="310" t="e">
        <f>VLOOKUP(B471,Ausschreibung!$B$4:$I$35,4,FALSE)</f>
        <v>#N/A</v>
      </c>
      <c r="G471" s="189"/>
      <c r="H471" s="189"/>
      <c r="I471" s="40"/>
      <c r="J471" s="258"/>
      <c r="K471" s="189"/>
    </row>
    <row r="472" spans="2:11" ht="13.8" x14ac:dyDescent="0.2">
      <c r="B472" s="309">
        <f>'Eingabe Meldungen'!A473</f>
        <v>0</v>
      </c>
      <c r="C472" s="310">
        <f>'Eingabe Meldungen'!C473</f>
        <v>0</v>
      </c>
      <c r="D472" s="310">
        <f>'Eingabe Meldungen'!D473</f>
        <v>0</v>
      </c>
      <c r="E472" s="311">
        <f>'Eingabe Meldungen'!J473</f>
        <v>0</v>
      </c>
      <c r="F472" s="310" t="e">
        <f>VLOOKUP(B472,Ausschreibung!$B$4:$I$35,4,FALSE)</f>
        <v>#N/A</v>
      </c>
      <c r="G472" s="189"/>
      <c r="H472" s="189"/>
      <c r="I472" s="40"/>
      <c r="J472" s="258"/>
      <c r="K472" s="189"/>
    </row>
    <row r="473" spans="2:11" ht="13.8" x14ac:dyDescent="0.2">
      <c r="B473" s="309">
        <f>'Eingabe Meldungen'!A474</f>
        <v>0</v>
      </c>
      <c r="C473" s="310">
        <f>'Eingabe Meldungen'!C474</f>
        <v>0</v>
      </c>
      <c r="D473" s="310">
        <f>'Eingabe Meldungen'!D474</f>
        <v>0</v>
      </c>
      <c r="E473" s="311">
        <f>'Eingabe Meldungen'!J474</f>
        <v>0</v>
      </c>
      <c r="F473" s="310" t="e">
        <f>VLOOKUP(B473,Ausschreibung!$B$4:$I$35,4,FALSE)</f>
        <v>#N/A</v>
      </c>
      <c r="G473" s="189"/>
      <c r="H473" s="189"/>
      <c r="I473" s="40"/>
      <c r="J473" s="258"/>
      <c r="K473" s="189"/>
    </row>
    <row r="474" spans="2:11" ht="13.8" x14ac:dyDescent="0.2">
      <c r="B474" s="309">
        <f>'Eingabe Meldungen'!A475</f>
        <v>0</v>
      </c>
      <c r="C474" s="310">
        <f>'Eingabe Meldungen'!C475</f>
        <v>0</v>
      </c>
      <c r="D474" s="310">
        <f>'Eingabe Meldungen'!D475</f>
        <v>0</v>
      </c>
      <c r="E474" s="311">
        <f>'Eingabe Meldungen'!J475</f>
        <v>0</v>
      </c>
      <c r="F474" s="310" t="e">
        <f>VLOOKUP(B474,Ausschreibung!$B$4:$I$35,4,FALSE)</f>
        <v>#N/A</v>
      </c>
      <c r="G474" s="189"/>
      <c r="H474" s="189"/>
      <c r="I474" s="40"/>
      <c r="J474" s="258"/>
      <c r="K474" s="189"/>
    </row>
    <row r="475" spans="2:11" ht="13.8" x14ac:dyDescent="0.2">
      <c r="B475" s="309">
        <f>'Eingabe Meldungen'!A476</f>
        <v>0</v>
      </c>
      <c r="C475" s="310">
        <f>'Eingabe Meldungen'!C476</f>
        <v>0</v>
      </c>
      <c r="D475" s="310">
        <f>'Eingabe Meldungen'!D476</f>
        <v>0</v>
      </c>
      <c r="E475" s="311">
        <f>'Eingabe Meldungen'!J476</f>
        <v>0</v>
      </c>
      <c r="F475" s="310" t="e">
        <f>VLOOKUP(B475,Ausschreibung!$B$4:$I$35,4,FALSE)</f>
        <v>#N/A</v>
      </c>
      <c r="G475" s="189"/>
      <c r="H475" s="189"/>
      <c r="I475" s="40"/>
      <c r="J475" s="258"/>
      <c r="K475" s="189"/>
    </row>
    <row r="476" spans="2:11" ht="13.8" x14ac:dyDescent="0.2">
      <c r="B476" s="309">
        <f>'Eingabe Meldungen'!A477</f>
        <v>0</v>
      </c>
      <c r="C476" s="310">
        <f>'Eingabe Meldungen'!C477</f>
        <v>0</v>
      </c>
      <c r="D476" s="310">
        <f>'Eingabe Meldungen'!D477</f>
        <v>0</v>
      </c>
      <c r="E476" s="311">
        <f>'Eingabe Meldungen'!J477</f>
        <v>0</v>
      </c>
      <c r="F476" s="310" t="e">
        <f>VLOOKUP(B476,Ausschreibung!$B$4:$I$35,4,FALSE)</f>
        <v>#N/A</v>
      </c>
      <c r="G476" s="189"/>
      <c r="H476" s="189"/>
      <c r="I476" s="40"/>
      <c r="J476" s="258"/>
      <c r="K476" s="189"/>
    </row>
    <row r="477" spans="2:11" ht="13.8" x14ac:dyDescent="0.2">
      <c r="B477" s="309">
        <f>'Eingabe Meldungen'!A478</f>
        <v>0</v>
      </c>
      <c r="C477" s="310">
        <f>'Eingabe Meldungen'!C478</f>
        <v>0</v>
      </c>
      <c r="D477" s="310">
        <f>'Eingabe Meldungen'!D478</f>
        <v>0</v>
      </c>
      <c r="E477" s="311">
        <f>'Eingabe Meldungen'!J478</f>
        <v>0</v>
      </c>
      <c r="F477" s="310" t="e">
        <f>VLOOKUP(B477,Ausschreibung!$B$4:$I$35,4,FALSE)</f>
        <v>#N/A</v>
      </c>
      <c r="G477" s="189"/>
      <c r="H477" s="189"/>
      <c r="I477" s="40"/>
      <c r="J477" s="258"/>
      <c r="K477" s="189"/>
    </row>
    <row r="478" spans="2:11" ht="13.8" x14ac:dyDescent="0.2">
      <c r="B478" s="309">
        <f>'Eingabe Meldungen'!A479</f>
        <v>0</v>
      </c>
      <c r="C478" s="310">
        <f>'Eingabe Meldungen'!C479</f>
        <v>0</v>
      </c>
      <c r="D478" s="310">
        <f>'Eingabe Meldungen'!D479</f>
        <v>0</v>
      </c>
      <c r="E478" s="311">
        <f>'Eingabe Meldungen'!J479</f>
        <v>0</v>
      </c>
      <c r="F478" s="310" t="e">
        <f>VLOOKUP(B478,Ausschreibung!$B$4:$I$35,4,FALSE)</f>
        <v>#N/A</v>
      </c>
      <c r="G478" s="189"/>
      <c r="H478" s="189"/>
      <c r="I478" s="40"/>
      <c r="J478" s="258"/>
      <c r="K478" s="189"/>
    </row>
    <row r="479" spans="2:11" ht="13.8" x14ac:dyDescent="0.2">
      <c r="B479" s="309">
        <f>'Eingabe Meldungen'!A480</f>
        <v>0</v>
      </c>
      <c r="C479" s="310">
        <f>'Eingabe Meldungen'!C480</f>
        <v>0</v>
      </c>
      <c r="D479" s="310">
        <f>'Eingabe Meldungen'!D480</f>
        <v>0</v>
      </c>
      <c r="E479" s="311">
        <f>'Eingabe Meldungen'!J480</f>
        <v>0</v>
      </c>
      <c r="F479" s="310" t="e">
        <f>VLOOKUP(B479,Ausschreibung!$B$4:$I$35,4,FALSE)</f>
        <v>#N/A</v>
      </c>
      <c r="G479" s="189"/>
      <c r="H479" s="189"/>
      <c r="I479" s="40"/>
      <c r="J479" s="258"/>
      <c r="K479" s="189"/>
    </row>
    <row r="480" spans="2:11" ht="13.8" x14ac:dyDescent="0.2">
      <c r="B480" s="309">
        <f>'Eingabe Meldungen'!A481</f>
        <v>0</v>
      </c>
      <c r="C480" s="310">
        <f>'Eingabe Meldungen'!C481</f>
        <v>0</v>
      </c>
      <c r="D480" s="310">
        <f>'Eingabe Meldungen'!D481</f>
        <v>0</v>
      </c>
      <c r="E480" s="311">
        <f>'Eingabe Meldungen'!J481</f>
        <v>0</v>
      </c>
      <c r="F480" s="310" t="e">
        <f>VLOOKUP(B480,Ausschreibung!$B$4:$I$35,4,FALSE)</f>
        <v>#N/A</v>
      </c>
      <c r="G480" s="189"/>
      <c r="H480" s="189"/>
      <c r="I480" s="40"/>
      <c r="J480" s="258"/>
      <c r="K480" s="189"/>
    </row>
    <row r="481" spans="2:11" ht="13.8" x14ac:dyDescent="0.2">
      <c r="B481" s="309">
        <f>'Eingabe Meldungen'!A482</f>
        <v>0</v>
      </c>
      <c r="C481" s="310">
        <f>'Eingabe Meldungen'!C482</f>
        <v>0</v>
      </c>
      <c r="D481" s="310">
        <f>'Eingabe Meldungen'!D482</f>
        <v>0</v>
      </c>
      <c r="E481" s="311">
        <f>'Eingabe Meldungen'!J482</f>
        <v>0</v>
      </c>
      <c r="F481" s="310" t="e">
        <f>VLOOKUP(B481,Ausschreibung!$B$4:$I$35,4,FALSE)</f>
        <v>#N/A</v>
      </c>
      <c r="G481" s="189"/>
      <c r="H481" s="189"/>
      <c r="I481" s="40"/>
      <c r="J481" s="258"/>
      <c r="K481" s="189"/>
    </row>
    <row r="482" spans="2:11" ht="13.8" x14ac:dyDescent="0.2">
      <c r="B482" s="309">
        <f>'Eingabe Meldungen'!A483</f>
        <v>0</v>
      </c>
      <c r="C482" s="310">
        <f>'Eingabe Meldungen'!C483</f>
        <v>0</v>
      </c>
      <c r="D482" s="310">
        <f>'Eingabe Meldungen'!D483</f>
        <v>0</v>
      </c>
      <c r="E482" s="311">
        <f>'Eingabe Meldungen'!J483</f>
        <v>0</v>
      </c>
      <c r="F482" s="310" t="e">
        <f>VLOOKUP(B482,Ausschreibung!$B$4:$I$35,4,FALSE)</f>
        <v>#N/A</v>
      </c>
      <c r="G482" s="189"/>
      <c r="H482" s="189"/>
      <c r="I482" s="40"/>
      <c r="J482" s="258"/>
      <c r="K482" s="189"/>
    </row>
    <row r="483" spans="2:11" ht="13.8" x14ac:dyDescent="0.2">
      <c r="B483" s="309">
        <f>'Eingabe Meldungen'!A484</f>
        <v>0</v>
      </c>
      <c r="C483" s="310">
        <f>'Eingabe Meldungen'!C484</f>
        <v>0</v>
      </c>
      <c r="D483" s="310">
        <f>'Eingabe Meldungen'!D484</f>
        <v>0</v>
      </c>
      <c r="E483" s="311">
        <f>'Eingabe Meldungen'!J484</f>
        <v>0</v>
      </c>
      <c r="F483" s="310" t="e">
        <f>VLOOKUP(B483,Ausschreibung!$B$4:$I$35,4,FALSE)</f>
        <v>#N/A</v>
      </c>
      <c r="G483" s="189"/>
      <c r="H483" s="189"/>
      <c r="I483" s="40"/>
      <c r="J483" s="258"/>
      <c r="K483" s="189"/>
    </row>
    <row r="484" spans="2:11" ht="13.8" x14ac:dyDescent="0.2">
      <c r="B484" s="309">
        <f>'Eingabe Meldungen'!A485</f>
        <v>0</v>
      </c>
      <c r="C484" s="310">
        <f>'Eingabe Meldungen'!C485</f>
        <v>0</v>
      </c>
      <c r="D484" s="310">
        <f>'Eingabe Meldungen'!D485</f>
        <v>0</v>
      </c>
      <c r="E484" s="311">
        <f>'Eingabe Meldungen'!J485</f>
        <v>0</v>
      </c>
      <c r="F484" s="310" t="e">
        <f>VLOOKUP(B484,Ausschreibung!$B$4:$I$35,4,FALSE)</f>
        <v>#N/A</v>
      </c>
      <c r="G484" s="189"/>
      <c r="H484" s="189"/>
      <c r="I484" s="40"/>
      <c r="J484" s="258"/>
      <c r="K484" s="189"/>
    </row>
    <row r="485" spans="2:11" ht="13.8" x14ac:dyDescent="0.2">
      <c r="B485" s="309">
        <f>'Eingabe Meldungen'!A486</f>
        <v>0</v>
      </c>
      <c r="C485" s="310">
        <f>'Eingabe Meldungen'!C486</f>
        <v>0</v>
      </c>
      <c r="D485" s="310">
        <f>'Eingabe Meldungen'!D486</f>
        <v>0</v>
      </c>
      <c r="E485" s="311">
        <f>'Eingabe Meldungen'!J486</f>
        <v>0</v>
      </c>
      <c r="F485" s="310" t="e">
        <f>VLOOKUP(B485,Ausschreibung!$B$4:$I$35,4,FALSE)</f>
        <v>#N/A</v>
      </c>
      <c r="G485" s="189"/>
      <c r="H485" s="189"/>
      <c r="I485" s="40"/>
      <c r="J485" s="258"/>
      <c r="K485" s="189"/>
    </row>
    <row r="486" spans="2:11" ht="13.8" x14ac:dyDescent="0.2">
      <c r="B486" s="309">
        <f>'Eingabe Meldungen'!A487</f>
        <v>0</v>
      </c>
      <c r="C486" s="310">
        <f>'Eingabe Meldungen'!C487</f>
        <v>0</v>
      </c>
      <c r="D486" s="310">
        <f>'Eingabe Meldungen'!D487</f>
        <v>0</v>
      </c>
      <c r="E486" s="311">
        <f>'Eingabe Meldungen'!J487</f>
        <v>0</v>
      </c>
      <c r="F486" s="310" t="e">
        <f>VLOOKUP(B486,Ausschreibung!$B$4:$I$35,4,FALSE)</f>
        <v>#N/A</v>
      </c>
      <c r="G486" s="189"/>
      <c r="H486" s="189"/>
      <c r="I486" s="40"/>
      <c r="J486" s="258"/>
      <c r="K486" s="189"/>
    </row>
    <row r="487" spans="2:11" ht="13.8" x14ac:dyDescent="0.2">
      <c r="B487" s="309">
        <f>'Eingabe Meldungen'!A488</f>
        <v>0</v>
      </c>
      <c r="C487" s="310">
        <f>'Eingabe Meldungen'!C488</f>
        <v>0</v>
      </c>
      <c r="D487" s="310">
        <f>'Eingabe Meldungen'!D488</f>
        <v>0</v>
      </c>
      <c r="E487" s="311">
        <f>'Eingabe Meldungen'!J488</f>
        <v>0</v>
      </c>
      <c r="F487" s="310" t="e">
        <f>VLOOKUP(B487,Ausschreibung!$B$4:$I$35,4,FALSE)</f>
        <v>#N/A</v>
      </c>
      <c r="G487" s="189"/>
      <c r="H487" s="189"/>
      <c r="I487" s="40"/>
      <c r="J487" s="258"/>
      <c r="K487" s="189"/>
    </row>
    <row r="488" spans="2:11" ht="13.8" x14ac:dyDescent="0.2">
      <c r="B488" s="309">
        <f>'Eingabe Meldungen'!A489</f>
        <v>0</v>
      </c>
      <c r="C488" s="310">
        <f>'Eingabe Meldungen'!C489</f>
        <v>0</v>
      </c>
      <c r="D488" s="310">
        <f>'Eingabe Meldungen'!D489</f>
        <v>0</v>
      </c>
      <c r="E488" s="311">
        <f>'Eingabe Meldungen'!J489</f>
        <v>0</v>
      </c>
      <c r="F488" s="310" t="e">
        <f>VLOOKUP(B488,Ausschreibung!$B$4:$I$35,4,FALSE)</f>
        <v>#N/A</v>
      </c>
      <c r="G488" s="189"/>
      <c r="H488" s="189"/>
      <c r="I488" s="40"/>
      <c r="J488" s="258"/>
      <c r="K488" s="189"/>
    </row>
    <row r="489" spans="2:11" ht="13.8" x14ac:dyDescent="0.2">
      <c r="B489" s="309">
        <f>'Eingabe Meldungen'!A490</f>
        <v>0</v>
      </c>
      <c r="C489" s="310">
        <f>'Eingabe Meldungen'!C490</f>
        <v>0</v>
      </c>
      <c r="D489" s="310">
        <f>'Eingabe Meldungen'!D490</f>
        <v>0</v>
      </c>
      <c r="E489" s="311">
        <f>'Eingabe Meldungen'!J490</f>
        <v>0</v>
      </c>
      <c r="F489" s="310" t="e">
        <f>VLOOKUP(B489,Ausschreibung!$B$4:$I$35,4,FALSE)</f>
        <v>#N/A</v>
      </c>
      <c r="G489" s="189"/>
      <c r="H489" s="189"/>
      <c r="I489" s="40"/>
      <c r="J489" s="258"/>
      <c r="K489" s="189"/>
    </row>
    <row r="490" spans="2:11" ht="13.8" x14ac:dyDescent="0.2">
      <c r="B490" s="309">
        <f>'Eingabe Meldungen'!A491</f>
        <v>0</v>
      </c>
      <c r="C490" s="310">
        <f>'Eingabe Meldungen'!C491</f>
        <v>0</v>
      </c>
      <c r="D490" s="310">
        <f>'Eingabe Meldungen'!D491</f>
        <v>0</v>
      </c>
      <c r="E490" s="311">
        <f>'Eingabe Meldungen'!J491</f>
        <v>0</v>
      </c>
      <c r="F490" s="310" t="e">
        <f>VLOOKUP(B490,Ausschreibung!$B$4:$I$35,4,FALSE)</f>
        <v>#N/A</v>
      </c>
      <c r="G490" s="189"/>
      <c r="H490" s="189"/>
      <c r="I490" s="40"/>
      <c r="J490" s="258"/>
      <c r="K490" s="189"/>
    </row>
    <row r="491" spans="2:11" ht="13.8" x14ac:dyDescent="0.2">
      <c r="B491" s="309">
        <f>'Eingabe Meldungen'!A492</f>
        <v>0</v>
      </c>
      <c r="C491" s="310">
        <f>'Eingabe Meldungen'!C492</f>
        <v>0</v>
      </c>
      <c r="D491" s="310">
        <f>'Eingabe Meldungen'!D492</f>
        <v>0</v>
      </c>
      <c r="E491" s="311">
        <f>'Eingabe Meldungen'!J492</f>
        <v>0</v>
      </c>
      <c r="F491" s="310" t="e">
        <f>VLOOKUP(B491,Ausschreibung!$B$4:$I$35,4,FALSE)</f>
        <v>#N/A</v>
      </c>
      <c r="G491" s="189"/>
      <c r="H491" s="189"/>
      <c r="I491" s="40"/>
      <c r="J491" s="258"/>
      <c r="K491" s="189"/>
    </row>
    <row r="492" spans="2:11" ht="13.8" x14ac:dyDescent="0.2">
      <c r="B492" s="309">
        <f>'Eingabe Meldungen'!A493</f>
        <v>0</v>
      </c>
      <c r="C492" s="310">
        <f>'Eingabe Meldungen'!C493</f>
        <v>0</v>
      </c>
      <c r="D492" s="310">
        <f>'Eingabe Meldungen'!D493</f>
        <v>0</v>
      </c>
      <c r="E492" s="311">
        <f>'Eingabe Meldungen'!J493</f>
        <v>0</v>
      </c>
      <c r="F492" s="310" t="e">
        <f>VLOOKUP(B492,Ausschreibung!$B$4:$I$35,4,FALSE)</f>
        <v>#N/A</v>
      </c>
      <c r="G492" s="189"/>
      <c r="H492" s="189"/>
      <c r="I492" s="40"/>
      <c r="J492" s="258"/>
      <c r="K492" s="189"/>
    </row>
    <row r="493" spans="2:11" ht="13.8" x14ac:dyDescent="0.2">
      <c r="B493" s="309">
        <f>'Eingabe Meldungen'!A494</f>
        <v>0</v>
      </c>
      <c r="C493" s="310">
        <f>'Eingabe Meldungen'!C494</f>
        <v>0</v>
      </c>
      <c r="D493" s="310">
        <f>'Eingabe Meldungen'!D494</f>
        <v>0</v>
      </c>
      <c r="E493" s="311">
        <f>'Eingabe Meldungen'!J494</f>
        <v>0</v>
      </c>
      <c r="F493" s="310" t="e">
        <f>VLOOKUP(B493,Ausschreibung!$B$4:$I$35,4,FALSE)</f>
        <v>#N/A</v>
      </c>
      <c r="G493" s="189"/>
      <c r="H493" s="189"/>
      <c r="I493" s="40"/>
      <c r="J493" s="258"/>
      <c r="K493" s="189"/>
    </row>
    <row r="494" spans="2:11" ht="13.8" x14ac:dyDescent="0.2">
      <c r="B494" s="309">
        <f>'Eingabe Meldungen'!A495</f>
        <v>0</v>
      </c>
      <c r="C494" s="310">
        <f>'Eingabe Meldungen'!C495</f>
        <v>0</v>
      </c>
      <c r="D494" s="310">
        <f>'Eingabe Meldungen'!D495</f>
        <v>0</v>
      </c>
      <c r="E494" s="311">
        <f>'Eingabe Meldungen'!J495</f>
        <v>0</v>
      </c>
      <c r="F494" s="310" t="e">
        <f>VLOOKUP(B494,Ausschreibung!$B$4:$I$35,4,FALSE)</f>
        <v>#N/A</v>
      </c>
      <c r="G494" s="189"/>
      <c r="H494" s="189"/>
      <c r="I494" s="40"/>
      <c r="J494" s="258"/>
      <c r="K494" s="189"/>
    </row>
    <row r="495" spans="2:11" ht="13.8" x14ac:dyDescent="0.2">
      <c r="B495" s="309">
        <f>'Eingabe Meldungen'!A496</f>
        <v>0</v>
      </c>
      <c r="C495" s="310">
        <f>'Eingabe Meldungen'!C496</f>
        <v>0</v>
      </c>
      <c r="D495" s="310">
        <f>'Eingabe Meldungen'!D496</f>
        <v>0</v>
      </c>
      <c r="E495" s="311">
        <f>'Eingabe Meldungen'!J496</f>
        <v>0</v>
      </c>
      <c r="F495" s="310" t="e">
        <f>VLOOKUP(B495,Ausschreibung!$B$4:$I$35,4,FALSE)</f>
        <v>#N/A</v>
      </c>
      <c r="G495" s="189"/>
      <c r="H495" s="189"/>
      <c r="I495" s="40"/>
      <c r="J495" s="258"/>
      <c r="K495" s="189"/>
    </row>
    <row r="496" spans="2:11" ht="13.8" x14ac:dyDescent="0.2">
      <c r="B496" s="309">
        <f>'Eingabe Meldungen'!A497</f>
        <v>0</v>
      </c>
      <c r="C496" s="310">
        <f>'Eingabe Meldungen'!C497</f>
        <v>0</v>
      </c>
      <c r="D496" s="310">
        <f>'Eingabe Meldungen'!D497</f>
        <v>0</v>
      </c>
      <c r="E496" s="311">
        <f>'Eingabe Meldungen'!J497</f>
        <v>0</v>
      </c>
      <c r="F496" s="310" t="e">
        <f>VLOOKUP(B496,Ausschreibung!$B$4:$I$35,4,FALSE)</f>
        <v>#N/A</v>
      </c>
      <c r="G496" s="189"/>
      <c r="H496" s="189"/>
      <c r="I496" s="40"/>
      <c r="J496" s="258"/>
      <c r="K496" s="189"/>
    </row>
    <row r="497" spans="2:11" ht="13.8" x14ac:dyDescent="0.2">
      <c r="B497" s="309">
        <f>'Eingabe Meldungen'!A498</f>
        <v>0</v>
      </c>
      <c r="C497" s="310">
        <f>'Eingabe Meldungen'!C498</f>
        <v>0</v>
      </c>
      <c r="D497" s="310">
        <f>'Eingabe Meldungen'!D498</f>
        <v>0</v>
      </c>
      <c r="E497" s="311">
        <f>'Eingabe Meldungen'!J498</f>
        <v>0</v>
      </c>
      <c r="F497" s="310" t="e">
        <f>VLOOKUP(B497,Ausschreibung!$B$4:$I$35,4,FALSE)</f>
        <v>#N/A</v>
      </c>
      <c r="G497" s="189"/>
      <c r="H497" s="189"/>
      <c r="I497" s="40"/>
      <c r="J497" s="258"/>
      <c r="K497" s="189"/>
    </row>
    <row r="498" spans="2:11" ht="13.8" x14ac:dyDescent="0.2">
      <c r="B498" s="309">
        <f>'Eingabe Meldungen'!A499</f>
        <v>0</v>
      </c>
      <c r="C498" s="310">
        <f>'Eingabe Meldungen'!C499</f>
        <v>0</v>
      </c>
      <c r="D498" s="310">
        <f>'Eingabe Meldungen'!D499</f>
        <v>0</v>
      </c>
      <c r="E498" s="311">
        <f>'Eingabe Meldungen'!J499</f>
        <v>0</v>
      </c>
      <c r="F498" s="310" t="e">
        <f>VLOOKUP(B498,Ausschreibung!$B$4:$I$35,4,FALSE)</f>
        <v>#N/A</v>
      </c>
      <c r="G498" s="189"/>
      <c r="H498" s="189"/>
      <c r="I498" s="40"/>
      <c r="J498" s="258"/>
      <c r="K498" s="189"/>
    </row>
    <row r="499" spans="2:11" ht="13.8" x14ac:dyDescent="0.2">
      <c r="B499" s="309">
        <f>'Eingabe Meldungen'!A500</f>
        <v>0</v>
      </c>
      <c r="C499" s="310">
        <f>'Eingabe Meldungen'!C500</f>
        <v>0</v>
      </c>
      <c r="D499" s="310">
        <f>'Eingabe Meldungen'!D500</f>
        <v>0</v>
      </c>
      <c r="E499" s="311">
        <f>'Eingabe Meldungen'!J500</f>
        <v>0</v>
      </c>
      <c r="F499" s="310" t="e">
        <f>VLOOKUP(B499,Ausschreibung!$B$4:$I$35,4,FALSE)</f>
        <v>#N/A</v>
      </c>
      <c r="G499" s="189"/>
      <c r="H499" s="189"/>
      <c r="I499" s="40"/>
      <c r="J499" s="258"/>
      <c r="K499" s="189"/>
    </row>
    <row r="500" spans="2:11" ht="13.8" x14ac:dyDescent="0.2">
      <c r="B500" s="309">
        <f>'Eingabe Meldungen'!A501</f>
        <v>0</v>
      </c>
      <c r="C500" s="310">
        <f>'Eingabe Meldungen'!C501</f>
        <v>0</v>
      </c>
      <c r="D500" s="310">
        <f>'Eingabe Meldungen'!D501</f>
        <v>0</v>
      </c>
      <c r="E500" s="311">
        <f>'Eingabe Meldungen'!J501</f>
        <v>0</v>
      </c>
      <c r="F500" s="310" t="e">
        <f>VLOOKUP(B500,Ausschreibung!$B$4:$I$35,4,FALSE)</f>
        <v>#N/A</v>
      </c>
      <c r="G500" s="189"/>
      <c r="H500" s="189"/>
      <c r="I500" s="40"/>
      <c r="J500" s="258"/>
      <c r="K500" s="189"/>
    </row>
    <row r="501" spans="2:11" ht="13.8" x14ac:dyDescent="0.2">
      <c r="B501" s="309">
        <f>'Eingabe Meldungen'!A502</f>
        <v>0</v>
      </c>
      <c r="C501" s="310">
        <f>'Eingabe Meldungen'!C502</f>
        <v>0</v>
      </c>
      <c r="D501" s="310">
        <f>'Eingabe Meldungen'!D502</f>
        <v>0</v>
      </c>
      <c r="E501" s="311">
        <f>'Eingabe Meldungen'!J502</f>
        <v>0</v>
      </c>
      <c r="F501" s="310" t="e">
        <f>VLOOKUP(B501,Ausschreibung!$B$4:$I$35,4,FALSE)</f>
        <v>#N/A</v>
      </c>
      <c r="G501" s="189"/>
      <c r="H501" s="189"/>
      <c r="I501" s="40"/>
      <c r="J501" s="258"/>
      <c r="K501" s="189"/>
    </row>
    <row r="502" spans="2:11" ht="13.8" x14ac:dyDescent="0.2">
      <c r="B502" s="309">
        <f>'Eingabe Meldungen'!A503</f>
        <v>0</v>
      </c>
      <c r="C502" s="310">
        <f>'Eingabe Meldungen'!C503</f>
        <v>0</v>
      </c>
      <c r="D502" s="310">
        <f>'Eingabe Meldungen'!D503</f>
        <v>0</v>
      </c>
      <c r="E502" s="311">
        <f>'Eingabe Meldungen'!J503</f>
        <v>0</v>
      </c>
      <c r="F502" s="310" t="e">
        <f>VLOOKUP(B502,Ausschreibung!$B$4:$I$35,4,FALSE)</f>
        <v>#N/A</v>
      </c>
      <c r="G502" s="189"/>
      <c r="H502" s="189"/>
      <c r="I502" s="40"/>
      <c r="J502" s="258"/>
      <c r="K502" s="189"/>
    </row>
    <row r="503" spans="2:11" ht="13.8" x14ac:dyDescent="0.2">
      <c r="B503" s="309">
        <f>'Eingabe Meldungen'!A504</f>
        <v>0</v>
      </c>
      <c r="C503" s="310">
        <f>'Eingabe Meldungen'!C504</f>
        <v>0</v>
      </c>
      <c r="D503" s="310">
        <f>'Eingabe Meldungen'!D504</f>
        <v>0</v>
      </c>
      <c r="E503" s="311">
        <f>'Eingabe Meldungen'!J504</f>
        <v>0</v>
      </c>
      <c r="F503" s="310" t="e">
        <f>VLOOKUP(B503,Ausschreibung!$B$4:$I$35,4,FALSE)</f>
        <v>#N/A</v>
      </c>
      <c r="G503" s="189"/>
      <c r="H503" s="189"/>
      <c r="I503" s="40"/>
      <c r="J503" s="258"/>
      <c r="K503" s="189"/>
    </row>
    <row r="504" spans="2:11" ht="13.8" x14ac:dyDescent="0.2">
      <c r="B504" s="309">
        <f>'Eingabe Meldungen'!A505</f>
        <v>0</v>
      </c>
      <c r="C504" s="310">
        <f>'Eingabe Meldungen'!C505</f>
        <v>0</v>
      </c>
      <c r="D504" s="310">
        <f>'Eingabe Meldungen'!D505</f>
        <v>0</v>
      </c>
      <c r="E504" s="311">
        <f>'Eingabe Meldungen'!J505</f>
        <v>0</v>
      </c>
      <c r="F504" s="310" t="e">
        <f>VLOOKUP(B504,Ausschreibung!$B$4:$I$35,4,FALSE)</f>
        <v>#N/A</v>
      </c>
      <c r="G504" s="189"/>
      <c r="H504" s="189"/>
      <c r="I504" s="40"/>
      <c r="J504" s="258"/>
      <c r="K504" s="189"/>
    </row>
    <row r="505" spans="2:11" ht="13.8" x14ac:dyDescent="0.2">
      <c r="B505" s="309">
        <f>'Eingabe Meldungen'!A506</f>
        <v>0</v>
      </c>
      <c r="C505" s="310">
        <f>'Eingabe Meldungen'!C506</f>
        <v>0</v>
      </c>
      <c r="D505" s="310">
        <f>'Eingabe Meldungen'!D506</f>
        <v>0</v>
      </c>
      <c r="E505" s="311">
        <f>'Eingabe Meldungen'!J506</f>
        <v>0</v>
      </c>
      <c r="F505" s="310" t="e">
        <f>VLOOKUP(B505,Ausschreibung!$B$4:$I$35,4,FALSE)</f>
        <v>#N/A</v>
      </c>
      <c r="G505" s="189"/>
      <c r="H505" s="189"/>
      <c r="I505" s="40"/>
      <c r="J505" s="258"/>
      <c r="K505" s="189"/>
    </row>
    <row r="506" spans="2:11" ht="13.8" x14ac:dyDescent="0.2">
      <c r="B506" s="309">
        <f>'Eingabe Meldungen'!A507</f>
        <v>0</v>
      </c>
      <c r="C506" s="310">
        <f>'Eingabe Meldungen'!C507</f>
        <v>0</v>
      </c>
      <c r="D506" s="310">
        <f>'Eingabe Meldungen'!D507</f>
        <v>0</v>
      </c>
      <c r="E506" s="311">
        <f>'Eingabe Meldungen'!J507</f>
        <v>0</v>
      </c>
      <c r="F506" s="310" t="e">
        <f>VLOOKUP(B506,Ausschreibung!$B$4:$I$35,4,FALSE)</f>
        <v>#N/A</v>
      </c>
      <c r="G506" s="189"/>
      <c r="H506" s="189"/>
      <c r="I506" s="40"/>
      <c r="J506" s="258"/>
      <c r="K506" s="189"/>
    </row>
    <row r="507" spans="2:11" ht="13.8" x14ac:dyDescent="0.2">
      <c r="B507" s="309">
        <f>'Eingabe Meldungen'!A508</f>
        <v>0</v>
      </c>
      <c r="C507" s="310">
        <f>'Eingabe Meldungen'!C508</f>
        <v>0</v>
      </c>
      <c r="D507" s="310">
        <f>'Eingabe Meldungen'!D508</f>
        <v>0</v>
      </c>
      <c r="E507" s="311">
        <f>'Eingabe Meldungen'!J508</f>
        <v>0</v>
      </c>
      <c r="F507" s="310" t="e">
        <f>VLOOKUP(B507,Ausschreibung!$B$4:$I$35,4,FALSE)</f>
        <v>#N/A</v>
      </c>
      <c r="G507" s="189"/>
      <c r="H507" s="189"/>
      <c r="I507" s="40"/>
      <c r="J507" s="258"/>
      <c r="K507" s="189"/>
    </row>
    <row r="508" spans="2:11" ht="13.8" x14ac:dyDescent="0.2">
      <c r="B508" s="309">
        <f>'Eingabe Meldungen'!A509</f>
        <v>0</v>
      </c>
      <c r="C508" s="310">
        <f>'Eingabe Meldungen'!C509</f>
        <v>0</v>
      </c>
      <c r="D508" s="310">
        <f>'Eingabe Meldungen'!D509</f>
        <v>0</v>
      </c>
      <c r="E508" s="311">
        <f>'Eingabe Meldungen'!J509</f>
        <v>0</v>
      </c>
      <c r="F508" s="310" t="e">
        <f>VLOOKUP(B508,Ausschreibung!$B$4:$I$35,4,FALSE)</f>
        <v>#N/A</v>
      </c>
      <c r="G508" s="189"/>
      <c r="H508" s="189"/>
      <c r="I508" s="40"/>
      <c r="J508" s="258"/>
      <c r="K508" s="189"/>
    </row>
    <row r="509" spans="2:11" ht="13.8" x14ac:dyDescent="0.2">
      <c r="B509" s="309">
        <f>'Eingabe Meldungen'!A510</f>
        <v>0</v>
      </c>
      <c r="C509" s="310">
        <f>'Eingabe Meldungen'!C510</f>
        <v>0</v>
      </c>
      <c r="D509" s="310">
        <f>'Eingabe Meldungen'!D510</f>
        <v>0</v>
      </c>
      <c r="E509" s="311">
        <f>'Eingabe Meldungen'!J510</f>
        <v>0</v>
      </c>
      <c r="F509" s="310" t="e">
        <f>VLOOKUP(B509,Ausschreibung!$B$4:$I$35,4,FALSE)</f>
        <v>#N/A</v>
      </c>
      <c r="G509" s="189"/>
      <c r="H509" s="189"/>
      <c r="I509" s="40"/>
      <c r="J509" s="258"/>
      <c r="K509" s="189"/>
    </row>
    <row r="510" spans="2:11" ht="13.8" x14ac:dyDescent="0.2">
      <c r="B510" s="309">
        <f>'Eingabe Meldungen'!A511</f>
        <v>0</v>
      </c>
      <c r="C510" s="310">
        <f>'Eingabe Meldungen'!C511</f>
        <v>0</v>
      </c>
      <c r="D510" s="310">
        <f>'Eingabe Meldungen'!D511</f>
        <v>0</v>
      </c>
      <c r="E510" s="311">
        <f>'Eingabe Meldungen'!J511</f>
        <v>0</v>
      </c>
      <c r="F510" s="310" t="e">
        <f>VLOOKUP(B510,Ausschreibung!$B$4:$I$35,4,FALSE)</f>
        <v>#N/A</v>
      </c>
      <c r="G510" s="189"/>
      <c r="H510" s="189"/>
      <c r="I510" s="40"/>
      <c r="J510" s="258"/>
      <c r="K510" s="189"/>
    </row>
    <row r="511" spans="2:11" ht="13.8" x14ac:dyDescent="0.2">
      <c r="B511" s="309">
        <f>'Eingabe Meldungen'!A512</f>
        <v>0</v>
      </c>
      <c r="C511" s="310">
        <f>'Eingabe Meldungen'!C512</f>
        <v>0</v>
      </c>
      <c r="D511" s="310">
        <f>'Eingabe Meldungen'!D512</f>
        <v>0</v>
      </c>
      <c r="E511" s="311">
        <f>'Eingabe Meldungen'!J512</f>
        <v>0</v>
      </c>
      <c r="F511" s="310" t="e">
        <f>VLOOKUP(B511,Ausschreibung!$B$4:$I$35,4,FALSE)</f>
        <v>#N/A</v>
      </c>
      <c r="G511" s="189"/>
      <c r="H511" s="189"/>
      <c r="I511" s="40"/>
      <c r="J511" s="258"/>
      <c r="K511" s="189"/>
    </row>
    <row r="512" spans="2:11" ht="13.8" x14ac:dyDescent="0.2">
      <c r="B512" s="309">
        <f>'Eingabe Meldungen'!A513</f>
        <v>0</v>
      </c>
      <c r="C512" s="310">
        <f>'Eingabe Meldungen'!C513</f>
        <v>0</v>
      </c>
      <c r="D512" s="310">
        <f>'Eingabe Meldungen'!D513</f>
        <v>0</v>
      </c>
      <c r="E512" s="311">
        <f>'Eingabe Meldungen'!J513</f>
        <v>0</v>
      </c>
      <c r="F512" s="310" t="e">
        <f>VLOOKUP(B512,Ausschreibung!$B$4:$I$35,4,FALSE)</f>
        <v>#N/A</v>
      </c>
      <c r="G512" s="189"/>
      <c r="H512" s="189"/>
      <c r="I512" s="40"/>
      <c r="J512" s="258"/>
      <c r="K512" s="189"/>
    </row>
    <row r="513" spans="2:11" ht="13.8" x14ac:dyDescent="0.2">
      <c r="B513" s="309">
        <f>'Eingabe Meldungen'!A514</f>
        <v>0</v>
      </c>
      <c r="C513" s="310">
        <f>'Eingabe Meldungen'!C514</f>
        <v>0</v>
      </c>
      <c r="D513" s="310">
        <f>'Eingabe Meldungen'!D514</f>
        <v>0</v>
      </c>
      <c r="E513" s="311">
        <f>'Eingabe Meldungen'!J514</f>
        <v>0</v>
      </c>
      <c r="F513" s="310" t="e">
        <f>VLOOKUP(B513,Ausschreibung!$B$4:$I$35,4,FALSE)</f>
        <v>#N/A</v>
      </c>
      <c r="G513" s="189"/>
      <c r="H513" s="189"/>
      <c r="I513" s="40"/>
      <c r="J513" s="258"/>
      <c r="K513" s="189"/>
    </row>
    <row r="514" spans="2:11" ht="13.8" x14ac:dyDescent="0.2">
      <c r="B514" s="309">
        <f>'Eingabe Meldungen'!A515</f>
        <v>0</v>
      </c>
      <c r="C514" s="310">
        <f>'Eingabe Meldungen'!C515</f>
        <v>0</v>
      </c>
      <c r="D514" s="310">
        <f>'Eingabe Meldungen'!D515</f>
        <v>0</v>
      </c>
      <c r="E514" s="311">
        <f>'Eingabe Meldungen'!J515</f>
        <v>0</v>
      </c>
      <c r="F514" s="310" t="e">
        <f>VLOOKUP(B514,Ausschreibung!$B$4:$I$35,4,FALSE)</f>
        <v>#N/A</v>
      </c>
      <c r="G514" s="189"/>
      <c r="H514" s="189"/>
      <c r="I514" s="40"/>
      <c r="J514" s="258"/>
      <c r="K514" s="189"/>
    </row>
    <row r="515" spans="2:11" ht="13.8" x14ac:dyDescent="0.2">
      <c r="B515" s="309">
        <f>'Eingabe Meldungen'!A516</f>
        <v>0</v>
      </c>
      <c r="C515" s="310">
        <f>'Eingabe Meldungen'!C516</f>
        <v>0</v>
      </c>
      <c r="D515" s="310">
        <f>'Eingabe Meldungen'!D516</f>
        <v>0</v>
      </c>
      <c r="E515" s="311">
        <f>'Eingabe Meldungen'!J516</f>
        <v>0</v>
      </c>
      <c r="F515" s="310" t="e">
        <f>VLOOKUP(B515,Ausschreibung!$B$4:$I$35,4,FALSE)</f>
        <v>#N/A</v>
      </c>
      <c r="G515" s="189"/>
      <c r="H515" s="189"/>
      <c r="I515" s="40"/>
      <c r="J515" s="258"/>
      <c r="K515" s="189"/>
    </row>
    <row r="516" spans="2:11" ht="13.8" x14ac:dyDescent="0.2">
      <c r="B516" s="309">
        <f>'Eingabe Meldungen'!A517</f>
        <v>0</v>
      </c>
      <c r="C516" s="310">
        <f>'Eingabe Meldungen'!C517</f>
        <v>0</v>
      </c>
      <c r="D516" s="310">
        <f>'Eingabe Meldungen'!D517</f>
        <v>0</v>
      </c>
      <c r="E516" s="311">
        <f>'Eingabe Meldungen'!J517</f>
        <v>0</v>
      </c>
      <c r="F516" s="310" t="e">
        <f>VLOOKUP(B516,Ausschreibung!$B$4:$I$35,4,FALSE)</f>
        <v>#N/A</v>
      </c>
      <c r="G516" s="189"/>
      <c r="H516" s="189"/>
      <c r="I516" s="40"/>
      <c r="J516" s="258"/>
      <c r="K516" s="189"/>
    </row>
    <row r="517" spans="2:11" ht="13.8" x14ac:dyDescent="0.2">
      <c r="B517" s="309">
        <f>'Eingabe Meldungen'!A518</f>
        <v>0</v>
      </c>
      <c r="C517" s="310">
        <f>'Eingabe Meldungen'!C518</f>
        <v>0</v>
      </c>
      <c r="D517" s="310">
        <f>'Eingabe Meldungen'!D518</f>
        <v>0</v>
      </c>
      <c r="E517" s="311">
        <f>'Eingabe Meldungen'!J518</f>
        <v>0</v>
      </c>
      <c r="F517" s="310" t="e">
        <f>VLOOKUP(B517,Ausschreibung!$B$4:$I$35,4,FALSE)</f>
        <v>#N/A</v>
      </c>
      <c r="G517" s="189"/>
      <c r="H517" s="189"/>
      <c r="I517" s="40"/>
      <c r="J517" s="258"/>
      <c r="K517" s="189"/>
    </row>
    <row r="518" spans="2:11" ht="13.8" x14ac:dyDescent="0.2">
      <c r="B518" s="309">
        <f>'Eingabe Meldungen'!A519</f>
        <v>0</v>
      </c>
      <c r="C518" s="310">
        <f>'Eingabe Meldungen'!C519</f>
        <v>0</v>
      </c>
      <c r="D518" s="310">
        <f>'Eingabe Meldungen'!D519</f>
        <v>0</v>
      </c>
      <c r="E518" s="311">
        <f>'Eingabe Meldungen'!J519</f>
        <v>0</v>
      </c>
      <c r="F518" s="310" t="e">
        <f>VLOOKUP(B518,Ausschreibung!$B$4:$I$35,4,FALSE)</f>
        <v>#N/A</v>
      </c>
      <c r="G518" s="189"/>
      <c r="H518" s="189"/>
      <c r="I518" s="40"/>
      <c r="J518" s="258"/>
      <c r="K518" s="189"/>
    </row>
    <row r="519" spans="2:11" ht="13.8" x14ac:dyDescent="0.2">
      <c r="B519" s="309">
        <f>'Eingabe Meldungen'!A520</f>
        <v>0</v>
      </c>
      <c r="C519" s="310">
        <f>'Eingabe Meldungen'!C520</f>
        <v>0</v>
      </c>
      <c r="D519" s="310">
        <f>'Eingabe Meldungen'!D520</f>
        <v>0</v>
      </c>
      <c r="E519" s="311">
        <f>'Eingabe Meldungen'!J520</f>
        <v>0</v>
      </c>
      <c r="F519" s="310" t="e">
        <f>VLOOKUP(B519,Ausschreibung!$B$4:$I$35,4,FALSE)</f>
        <v>#N/A</v>
      </c>
      <c r="G519" s="189"/>
      <c r="H519" s="189"/>
      <c r="I519" s="40"/>
      <c r="J519" s="258"/>
      <c r="K519" s="189"/>
    </row>
    <row r="520" spans="2:11" ht="13.8" x14ac:dyDescent="0.2">
      <c r="B520" s="309">
        <f>'Eingabe Meldungen'!A521</f>
        <v>0</v>
      </c>
      <c r="C520" s="310">
        <f>'Eingabe Meldungen'!C521</f>
        <v>0</v>
      </c>
      <c r="D520" s="310">
        <f>'Eingabe Meldungen'!D521</f>
        <v>0</v>
      </c>
      <c r="E520" s="311">
        <f>'Eingabe Meldungen'!J521</f>
        <v>0</v>
      </c>
      <c r="F520" s="310" t="e">
        <f>VLOOKUP(B520,Ausschreibung!$B$4:$I$35,4,FALSE)</f>
        <v>#N/A</v>
      </c>
      <c r="G520" s="189"/>
      <c r="H520" s="189"/>
      <c r="I520" s="40"/>
      <c r="J520" s="258"/>
      <c r="K520" s="189"/>
    </row>
    <row r="521" spans="2:11" ht="13.8" x14ac:dyDescent="0.2">
      <c r="B521" s="309">
        <f>'Eingabe Meldungen'!A522</f>
        <v>0</v>
      </c>
      <c r="C521" s="310">
        <f>'Eingabe Meldungen'!C522</f>
        <v>0</v>
      </c>
      <c r="D521" s="310">
        <f>'Eingabe Meldungen'!D522</f>
        <v>0</v>
      </c>
      <c r="E521" s="311">
        <f>'Eingabe Meldungen'!J522</f>
        <v>0</v>
      </c>
      <c r="F521" s="310" t="e">
        <f>VLOOKUP(B521,Ausschreibung!$B$4:$I$35,4,FALSE)</f>
        <v>#N/A</v>
      </c>
      <c r="G521" s="189"/>
      <c r="H521" s="189"/>
      <c r="I521" s="40"/>
      <c r="J521" s="258"/>
      <c r="K521" s="189"/>
    </row>
    <row r="522" spans="2:11" ht="13.8" x14ac:dyDescent="0.2">
      <c r="B522" s="309">
        <f>'Eingabe Meldungen'!A523</f>
        <v>0</v>
      </c>
      <c r="C522" s="310">
        <f>'Eingabe Meldungen'!C523</f>
        <v>0</v>
      </c>
      <c r="D522" s="310">
        <f>'Eingabe Meldungen'!D523</f>
        <v>0</v>
      </c>
      <c r="E522" s="311">
        <f>'Eingabe Meldungen'!J523</f>
        <v>0</v>
      </c>
      <c r="F522" s="310" t="e">
        <f>VLOOKUP(B522,Ausschreibung!$B$4:$I$35,4,FALSE)</f>
        <v>#N/A</v>
      </c>
      <c r="G522" s="189"/>
      <c r="H522" s="189"/>
      <c r="I522" s="40"/>
      <c r="J522" s="258"/>
      <c r="K522" s="189"/>
    </row>
    <row r="523" spans="2:11" ht="13.8" x14ac:dyDescent="0.2">
      <c r="B523" s="309">
        <f>'Eingabe Meldungen'!A524</f>
        <v>0</v>
      </c>
      <c r="C523" s="310">
        <f>'Eingabe Meldungen'!C524</f>
        <v>0</v>
      </c>
      <c r="D523" s="310">
        <f>'Eingabe Meldungen'!D524</f>
        <v>0</v>
      </c>
      <c r="E523" s="311">
        <f>'Eingabe Meldungen'!J524</f>
        <v>0</v>
      </c>
      <c r="F523" s="310" t="e">
        <f>VLOOKUP(B523,Ausschreibung!$B$4:$I$35,4,FALSE)</f>
        <v>#N/A</v>
      </c>
      <c r="G523" s="189"/>
      <c r="H523" s="189"/>
      <c r="I523" s="40"/>
      <c r="J523" s="258"/>
      <c r="K523" s="189"/>
    </row>
    <row r="524" spans="2:11" ht="13.8" x14ac:dyDescent="0.2">
      <c r="B524" s="309">
        <f>'Eingabe Meldungen'!A525</f>
        <v>0</v>
      </c>
      <c r="C524" s="310">
        <f>'Eingabe Meldungen'!C525</f>
        <v>0</v>
      </c>
      <c r="D524" s="310">
        <f>'Eingabe Meldungen'!D525</f>
        <v>0</v>
      </c>
      <c r="E524" s="311">
        <f>'Eingabe Meldungen'!J525</f>
        <v>0</v>
      </c>
      <c r="F524" s="310" t="e">
        <f>VLOOKUP(B524,Ausschreibung!$B$4:$I$35,4,FALSE)</f>
        <v>#N/A</v>
      </c>
      <c r="G524" s="189"/>
      <c r="H524" s="189"/>
      <c r="I524" s="40"/>
      <c r="J524" s="258"/>
      <c r="K524" s="189"/>
    </row>
    <row r="525" spans="2:11" ht="13.8" x14ac:dyDescent="0.2">
      <c r="B525" s="309">
        <f>'Eingabe Meldungen'!A526</f>
        <v>0</v>
      </c>
      <c r="C525" s="310">
        <f>'Eingabe Meldungen'!C526</f>
        <v>0</v>
      </c>
      <c r="D525" s="310">
        <f>'Eingabe Meldungen'!D526</f>
        <v>0</v>
      </c>
      <c r="E525" s="311">
        <f>'Eingabe Meldungen'!J526</f>
        <v>0</v>
      </c>
      <c r="F525" s="310" t="e">
        <f>VLOOKUP(B525,Ausschreibung!$B$4:$I$35,4,FALSE)</f>
        <v>#N/A</v>
      </c>
      <c r="G525" s="189"/>
      <c r="H525" s="189"/>
      <c r="I525" s="40"/>
      <c r="J525" s="258"/>
      <c r="K525" s="189"/>
    </row>
    <row r="526" spans="2:11" ht="13.8" x14ac:dyDescent="0.2">
      <c r="B526" s="309">
        <f>'Eingabe Meldungen'!A527</f>
        <v>0</v>
      </c>
      <c r="C526" s="310">
        <f>'Eingabe Meldungen'!C527</f>
        <v>0</v>
      </c>
      <c r="D526" s="310">
        <f>'Eingabe Meldungen'!D527</f>
        <v>0</v>
      </c>
      <c r="E526" s="311">
        <f>'Eingabe Meldungen'!J527</f>
        <v>0</v>
      </c>
      <c r="F526" s="310" t="e">
        <f>VLOOKUP(B526,Ausschreibung!$B$4:$I$35,4,FALSE)</f>
        <v>#N/A</v>
      </c>
      <c r="G526" s="189"/>
      <c r="H526" s="189"/>
      <c r="I526" s="40"/>
      <c r="J526" s="258"/>
      <c r="K526" s="189"/>
    </row>
    <row r="527" spans="2:11" ht="13.8" x14ac:dyDescent="0.2">
      <c r="B527" s="309">
        <f>'Eingabe Meldungen'!A528</f>
        <v>0</v>
      </c>
      <c r="C527" s="310">
        <f>'Eingabe Meldungen'!C528</f>
        <v>0</v>
      </c>
      <c r="D527" s="310">
        <f>'Eingabe Meldungen'!D528</f>
        <v>0</v>
      </c>
      <c r="E527" s="311">
        <f>'Eingabe Meldungen'!J528</f>
        <v>0</v>
      </c>
      <c r="F527" s="310" t="e">
        <f>VLOOKUP(B527,Ausschreibung!$B$4:$I$35,4,FALSE)</f>
        <v>#N/A</v>
      </c>
      <c r="G527" s="189"/>
      <c r="H527" s="189"/>
      <c r="I527" s="40"/>
      <c r="J527" s="258"/>
      <c r="K527" s="189"/>
    </row>
    <row r="528" spans="2:11" ht="13.8" x14ac:dyDescent="0.2">
      <c r="B528" s="309">
        <f>'Eingabe Meldungen'!A529</f>
        <v>0</v>
      </c>
      <c r="C528" s="310">
        <f>'Eingabe Meldungen'!C529</f>
        <v>0</v>
      </c>
      <c r="D528" s="310">
        <f>'Eingabe Meldungen'!D529</f>
        <v>0</v>
      </c>
      <c r="E528" s="311">
        <f>'Eingabe Meldungen'!J529</f>
        <v>0</v>
      </c>
      <c r="F528" s="310" t="e">
        <f>VLOOKUP(B528,Ausschreibung!$B$4:$I$35,4,FALSE)</f>
        <v>#N/A</v>
      </c>
      <c r="G528" s="189"/>
      <c r="H528" s="189"/>
      <c r="I528" s="40"/>
      <c r="J528" s="258"/>
      <c r="K528" s="189"/>
    </row>
    <row r="529" spans="2:11" ht="13.8" x14ac:dyDescent="0.2">
      <c r="B529" s="309">
        <f>'Eingabe Meldungen'!A530</f>
        <v>0</v>
      </c>
      <c r="C529" s="310">
        <f>'Eingabe Meldungen'!C530</f>
        <v>0</v>
      </c>
      <c r="D529" s="310">
        <f>'Eingabe Meldungen'!D530</f>
        <v>0</v>
      </c>
      <c r="E529" s="311">
        <f>'Eingabe Meldungen'!J530</f>
        <v>0</v>
      </c>
      <c r="F529" s="310" t="e">
        <f>VLOOKUP(B529,Ausschreibung!$B$4:$I$35,4,FALSE)</f>
        <v>#N/A</v>
      </c>
      <c r="G529" s="189"/>
      <c r="H529" s="189"/>
      <c r="I529" s="40"/>
      <c r="J529" s="258"/>
      <c r="K529" s="189"/>
    </row>
    <row r="530" spans="2:11" ht="13.8" x14ac:dyDescent="0.2">
      <c r="B530" s="309">
        <f>'Eingabe Meldungen'!A531</f>
        <v>0</v>
      </c>
      <c r="C530" s="310">
        <f>'Eingabe Meldungen'!C531</f>
        <v>0</v>
      </c>
      <c r="D530" s="310">
        <f>'Eingabe Meldungen'!D531</f>
        <v>0</v>
      </c>
      <c r="E530" s="311">
        <f>'Eingabe Meldungen'!J531</f>
        <v>0</v>
      </c>
      <c r="F530" s="310" t="e">
        <f>VLOOKUP(B530,Ausschreibung!$B$4:$I$35,4,FALSE)</f>
        <v>#N/A</v>
      </c>
      <c r="G530" s="189"/>
      <c r="H530" s="189"/>
      <c r="I530" s="40"/>
      <c r="J530" s="258"/>
      <c r="K530" s="189"/>
    </row>
    <row r="531" spans="2:11" ht="13.8" x14ac:dyDescent="0.2">
      <c r="B531" s="309">
        <f>'Eingabe Meldungen'!A532</f>
        <v>0</v>
      </c>
      <c r="C531" s="310">
        <f>'Eingabe Meldungen'!C532</f>
        <v>0</v>
      </c>
      <c r="D531" s="310">
        <f>'Eingabe Meldungen'!D532</f>
        <v>0</v>
      </c>
      <c r="E531" s="311">
        <f>'Eingabe Meldungen'!J532</f>
        <v>0</v>
      </c>
      <c r="F531" s="310" t="e">
        <f>VLOOKUP(B531,Ausschreibung!$B$4:$I$35,4,FALSE)</f>
        <v>#N/A</v>
      </c>
      <c r="G531" s="189"/>
      <c r="H531" s="189"/>
      <c r="I531" s="40"/>
      <c r="J531" s="258"/>
      <c r="K531" s="189"/>
    </row>
    <row r="532" spans="2:11" ht="13.8" x14ac:dyDescent="0.2">
      <c r="B532" s="309">
        <f>'Eingabe Meldungen'!A533</f>
        <v>0</v>
      </c>
      <c r="C532" s="310">
        <f>'Eingabe Meldungen'!C533</f>
        <v>0</v>
      </c>
      <c r="D532" s="310">
        <f>'Eingabe Meldungen'!D533</f>
        <v>0</v>
      </c>
      <c r="E532" s="311">
        <f>'Eingabe Meldungen'!J533</f>
        <v>0</v>
      </c>
      <c r="F532" s="310" t="e">
        <f>VLOOKUP(B532,Ausschreibung!$B$4:$I$35,4,FALSE)</f>
        <v>#N/A</v>
      </c>
      <c r="G532" s="189"/>
      <c r="H532" s="189"/>
      <c r="I532" s="40"/>
      <c r="J532" s="258"/>
      <c r="K532" s="189"/>
    </row>
    <row r="533" spans="2:11" ht="13.8" x14ac:dyDescent="0.2">
      <c r="B533" s="309">
        <f>'Eingabe Meldungen'!A534</f>
        <v>0</v>
      </c>
      <c r="C533" s="310">
        <f>'Eingabe Meldungen'!C534</f>
        <v>0</v>
      </c>
      <c r="D533" s="310">
        <f>'Eingabe Meldungen'!D534</f>
        <v>0</v>
      </c>
      <c r="E533" s="311">
        <f>'Eingabe Meldungen'!J534</f>
        <v>0</v>
      </c>
      <c r="F533" s="310" t="e">
        <f>VLOOKUP(B533,Ausschreibung!$B$4:$I$35,4,FALSE)</f>
        <v>#N/A</v>
      </c>
      <c r="G533" s="189"/>
      <c r="H533" s="189"/>
      <c r="I533" s="40"/>
      <c r="J533" s="258"/>
      <c r="K533" s="189"/>
    </row>
    <row r="534" spans="2:11" ht="13.8" x14ac:dyDescent="0.2">
      <c r="B534" s="309">
        <f>'Eingabe Meldungen'!A535</f>
        <v>0</v>
      </c>
      <c r="C534" s="310">
        <f>'Eingabe Meldungen'!C535</f>
        <v>0</v>
      </c>
      <c r="D534" s="310">
        <f>'Eingabe Meldungen'!D535</f>
        <v>0</v>
      </c>
      <c r="E534" s="311">
        <f>'Eingabe Meldungen'!J535</f>
        <v>0</v>
      </c>
      <c r="F534" s="310" t="e">
        <f>VLOOKUP(B534,Ausschreibung!$B$4:$I$35,4,FALSE)</f>
        <v>#N/A</v>
      </c>
      <c r="G534" s="189"/>
      <c r="H534" s="189"/>
      <c r="I534" s="40"/>
      <c r="J534" s="258"/>
      <c r="K534" s="189"/>
    </row>
    <row r="535" spans="2:11" ht="13.8" x14ac:dyDescent="0.2">
      <c r="B535" s="309">
        <f>'Eingabe Meldungen'!A536</f>
        <v>0</v>
      </c>
      <c r="C535" s="310">
        <f>'Eingabe Meldungen'!C536</f>
        <v>0</v>
      </c>
      <c r="D535" s="310">
        <f>'Eingabe Meldungen'!D536</f>
        <v>0</v>
      </c>
      <c r="E535" s="311">
        <f>'Eingabe Meldungen'!J536</f>
        <v>0</v>
      </c>
      <c r="F535" s="310" t="e">
        <f>VLOOKUP(B535,Ausschreibung!$B$4:$I$35,4,FALSE)</f>
        <v>#N/A</v>
      </c>
      <c r="G535" s="189"/>
      <c r="H535" s="189"/>
      <c r="I535" s="40"/>
      <c r="J535" s="258"/>
      <c r="K535" s="189"/>
    </row>
    <row r="536" spans="2:11" ht="13.8" x14ac:dyDescent="0.2">
      <c r="B536" s="309">
        <f>'Eingabe Meldungen'!A537</f>
        <v>0</v>
      </c>
      <c r="C536" s="310">
        <f>'Eingabe Meldungen'!C537</f>
        <v>0</v>
      </c>
      <c r="D536" s="310">
        <f>'Eingabe Meldungen'!D537</f>
        <v>0</v>
      </c>
      <c r="E536" s="311">
        <f>'Eingabe Meldungen'!J537</f>
        <v>0</v>
      </c>
      <c r="F536" s="310" t="e">
        <f>VLOOKUP(B536,Ausschreibung!$B$4:$I$35,4,FALSE)</f>
        <v>#N/A</v>
      </c>
      <c r="G536" s="189"/>
      <c r="H536" s="189"/>
      <c r="I536" s="40"/>
      <c r="J536" s="258"/>
      <c r="K536" s="189"/>
    </row>
    <row r="537" spans="2:11" ht="13.8" x14ac:dyDescent="0.2">
      <c r="B537" s="309">
        <f>'Eingabe Meldungen'!A538</f>
        <v>0</v>
      </c>
      <c r="C537" s="310">
        <f>'Eingabe Meldungen'!C538</f>
        <v>0</v>
      </c>
      <c r="D537" s="310">
        <f>'Eingabe Meldungen'!D538</f>
        <v>0</v>
      </c>
      <c r="E537" s="311">
        <f>'Eingabe Meldungen'!J538</f>
        <v>0</v>
      </c>
      <c r="F537" s="310" t="e">
        <f>VLOOKUP(B537,Ausschreibung!$B$4:$I$35,4,FALSE)</f>
        <v>#N/A</v>
      </c>
      <c r="G537" s="189"/>
      <c r="H537" s="189"/>
      <c r="I537" s="40"/>
      <c r="J537" s="258"/>
      <c r="K537" s="189"/>
    </row>
    <row r="538" spans="2:11" ht="13.8" x14ac:dyDescent="0.2">
      <c r="B538" s="309">
        <f>'Eingabe Meldungen'!A539</f>
        <v>0</v>
      </c>
      <c r="C538" s="310">
        <f>'Eingabe Meldungen'!C539</f>
        <v>0</v>
      </c>
      <c r="D538" s="310">
        <f>'Eingabe Meldungen'!D539</f>
        <v>0</v>
      </c>
      <c r="E538" s="311">
        <f>'Eingabe Meldungen'!J539</f>
        <v>0</v>
      </c>
      <c r="F538" s="310" t="e">
        <f>VLOOKUP(B538,Ausschreibung!$B$4:$I$35,4,FALSE)</f>
        <v>#N/A</v>
      </c>
      <c r="G538" s="189"/>
      <c r="H538" s="189"/>
      <c r="I538" s="40"/>
      <c r="J538" s="258"/>
      <c r="K538" s="189"/>
    </row>
    <row r="539" spans="2:11" ht="13.8" x14ac:dyDescent="0.2">
      <c r="B539" s="309">
        <f>'Eingabe Meldungen'!A540</f>
        <v>0</v>
      </c>
      <c r="C539" s="310">
        <f>'Eingabe Meldungen'!C540</f>
        <v>0</v>
      </c>
      <c r="D539" s="310">
        <f>'Eingabe Meldungen'!D540</f>
        <v>0</v>
      </c>
      <c r="E539" s="311">
        <f>'Eingabe Meldungen'!J540</f>
        <v>0</v>
      </c>
      <c r="F539" s="310" t="e">
        <f>VLOOKUP(B539,Ausschreibung!$B$4:$I$35,4,FALSE)</f>
        <v>#N/A</v>
      </c>
      <c r="G539" s="189"/>
      <c r="H539" s="189"/>
      <c r="I539" s="40"/>
      <c r="J539" s="258"/>
      <c r="K539" s="189"/>
    </row>
    <row r="540" spans="2:11" ht="13.8" x14ac:dyDescent="0.2">
      <c r="B540" s="309">
        <f>'Eingabe Meldungen'!A541</f>
        <v>0</v>
      </c>
      <c r="C540" s="310">
        <f>'Eingabe Meldungen'!C541</f>
        <v>0</v>
      </c>
      <c r="D540" s="310">
        <f>'Eingabe Meldungen'!D541</f>
        <v>0</v>
      </c>
      <c r="E540" s="311">
        <f>'Eingabe Meldungen'!J541</f>
        <v>0</v>
      </c>
      <c r="F540" s="310" t="e">
        <f>VLOOKUP(B540,Ausschreibung!$B$4:$I$35,4,FALSE)</f>
        <v>#N/A</v>
      </c>
      <c r="G540" s="189"/>
      <c r="H540" s="189"/>
      <c r="I540" s="40"/>
      <c r="J540" s="258"/>
      <c r="K540" s="189"/>
    </row>
    <row r="541" spans="2:11" ht="13.8" x14ac:dyDescent="0.2">
      <c r="B541" s="309">
        <f>'Eingabe Meldungen'!A542</f>
        <v>0</v>
      </c>
      <c r="C541" s="310">
        <f>'Eingabe Meldungen'!C542</f>
        <v>0</v>
      </c>
      <c r="D541" s="310">
        <f>'Eingabe Meldungen'!D542</f>
        <v>0</v>
      </c>
      <c r="E541" s="311">
        <f>'Eingabe Meldungen'!J542</f>
        <v>0</v>
      </c>
      <c r="F541" s="310" t="e">
        <f>VLOOKUP(B541,Ausschreibung!$B$4:$I$35,4,FALSE)</f>
        <v>#N/A</v>
      </c>
      <c r="G541" s="189"/>
      <c r="H541" s="189"/>
      <c r="I541" s="40"/>
      <c r="J541" s="258"/>
      <c r="K541" s="189"/>
    </row>
    <row r="542" spans="2:11" ht="13.8" x14ac:dyDescent="0.2">
      <c r="B542" s="309">
        <f>'Eingabe Meldungen'!A543</f>
        <v>0</v>
      </c>
      <c r="C542" s="310">
        <f>'Eingabe Meldungen'!C543</f>
        <v>0</v>
      </c>
      <c r="D542" s="310">
        <f>'Eingabe Meldungen'!D543</f>
        <v>0</v>
      </c>
      <c r="E542" s="311">
        <f>'Eingabe Meldungen'!J543</f>
        <v>0</v>
      </c>
      <c r="F542" s="310" t="e">
        <f>VLOOKUP(B542,Ausschreibung!$B$4:$I$35,4,FALSE)</f>
        <v>#N/A</v>
      </c>
      <c r="G542" s="189"/>
      <c r="H542" s="189"/>
      <c r="I542" s="40"/>
      <c r="J542" s="258"/>
      <c r="K542" s="189"/>
    </row>
    <row r="543" spans="2:11" ht="13.8" x14ac:dyDescent="0.2">
      <c r="B543" s="309">
        <f>'Eingabe Meldungen'!A544</f>
        <v>0</v>
      </c>
      <c r="C543" s="310">
        <f>'Eingabe Meldungen'!C544</f>
        <v>0</v>
      </c>
      <c r="D543" s="310">
        <f>'Eingabe Meldungen'!D544</f>
        <v>0</v>
      </c>
      <c r="E543" s="311">
        <f>'Eingabe Meldungen'!J544</f>
        <v>0</v>
      </c>
      <c r="F543" s="310" t="e">
        <f>VLOOKUP(B543,Ausschreibung!$B$4:$I$35,4,FALSE)</f>
        <v>#N/A</v>
      </c>
      <c r="G543" s="189"/>
      <c r="H543" s="189"/>
      <c r="I543" s="40"/>
      <c r="J543" s="258"/>
      <c r="K543" s="189"/>
    </row>
    <row r="544" spans="2:11" ht="13.8" x14ac:dyDescent="0.2">
      <c r="B544" s="309">
        <f>'Eingabe Meldungen'!A545</f>
        <v>0</v>
      </c>
      <c r="C544" s="310">
        <f>'Eingabe Meldungen'!C545</f>
        <v>0</v>
      </c>
      <c r="D544" s="310">
        <f>'Eingabe Meldungen'!D545</f>
        <v>0</v>
      </c>
      <c r="E544" s="311">
        <f>'Eingabe Meldungen'!J545</f>
        <v>0</v>
      </c>
      <c r="F544" s="310" t="e">
        <f>VLOOKUP(B544,Ausschreibung!$B$4:$I$35,4,FALSE)</f>
        <v>#N/A</v>
      </c>
      <c r="G544" s="189"/>
      <c r="H544" s="189"/>
      <c r="I544" s="40"/>
      <c r="J544" s="258"/>
      <c r="K544" s="189"/>
    </row>
    <row r="545" spans="2:11" ht="13.8" x14ac:dyDescent="0.2">
      <c r="B545" s="309">
        <f>'Eingabe Meldungen'!A546</f>
        <v>0</v>
      </c>
      <c r="C545" s="310">
        <f>'Eingabe Meldungen'!C546</f>
        <v>0</v>
      </c>
      <c r="D545" s="310">
        <f>'Eingabe Meldungen'!D546</f>
        <v>0</v>
      </c>
      <c r="E545" s="311">
        <f>'Eingabe Meldungen'!J546</f>
        <v>0</v>
      </c>
      <c r="F545" s="310" t="e">
        <f>VLOOKUP(B545,Ausschreibung!$B$4:$I$35,4,FALSE)</f>
        <v>#N/A</v>
      </c>
      <c r="G545" s="189"/>
      <c r="H545" s="189"/>
      <c r="I545" s="40"/>
      <c r="J545" s="258"/>
      <c r="K545" s="189"/>
    </row>
    <row r="546" spans="2:11" ht="13.8" x14ac:dyDescent="0.2">
      <c r="B546" s="309">
        <f>'Eingabe Meldungen'!A547</f>
        <v>0</v>
      </c>
      <c r="C546" s="310">
        <f>'Eingabe Meldungen'!C547</f>
        <v>0</v>
      </c>
      <c r="D546" s="310">
        <f>'Eingabe Meldungen'!D547</f>
        <v>0</v>
      </c>
      <c r="E546" s="311">
        <f>'Eingabe Meldungen'!J547</f>
        <v>0</v>
      </c>
      <c r="F546" s="310" t="e">
        <f>VLOOKUP(B546,Ausschreibung!$B$4:$I$35,4,FALSE)</f>
        <v>#N/A</v>
      </c>
      <c r="G546" s="189"/>
      <c r="H546" s="189"/>
      <c r="I546" s="40"/>
      <c r="J546" s="258"/>
      <c r="K546" s="189"/>
    </row>
    <row r="547" spans="2:11" ht="13.8" x14ac:dyDescent="0.2">
      <c r="B547" s="309">
        <f>'Eingabe Meldungen'!A548</f>
        <v>0</v>
      </c>
      <c r="C547" s="310">
        <f>'Eingabe Meldungen'!C548</f>
        <v>0</v>
      </c>
      <c r="D547" s="310">
        <f>'Eingabe Meldungen'!D548</f>
        <v>0</v>
      </c>
      <c r="E547" s="311">
        <f>'Eingabe Meldungen'!J548</f>
        <v>0</v>
      </c>
      <c r="F547" s="310" t="e">
        <f>VLOOKUP(B547,Ausschreibung!$B$4:$I$35,4,FALSE)</f>
        <v>#N/A</v>
      </c>
      <c r="G547" s="189"/>
      <c r="H547" s="189"/>
      <c r="I547" s="40"/>
      <c r="J547" s="258"/>
      <c r="K547" s="189"/>
    </row>
    <row r="548" spans="2:11" ht="13.8" x14ac:dyDescent="0.2">
      <c r="B548" s="309">
        <f>'Eingabe Meldungen'!A549</f>
        <v>0</v>
      </c>
      <c r="C548" s="310">
        <f>'Eingabe Meldungen'!C549</f>
        <v>0</v>
      </c>
      <c r="D548" s="310">
        <f>'Eingabe Meldungen'!D549</f>
        <v>0</v>
      </c>
      <c r="E548" s="311">
        <f>'Eingabe Meldungen'!J549</f>
        <v>0</v>
      </c>
      <c r="F548" s="310" t="e">
        <f>VLOOKUP(B548,Ausschreibung!$B$4:$I$35,4,FALSE)</f>
        <v>#N/A</v>
      </c>
      <c r="G548" s="189"/>
      <c r="H548" s="189"/>
      <c r="I548" s="40"/>
      <c r="J548" s="258"/>
      <c r="K548" s="189"/>
    </row>
    <row r="549" spans="2:11" ht="13.8" x14ac:dyDescent="0.2">
      <c r="B549" s="309">
        <f>'Eingabe Meldungen'!A550</f>
        <v>0</v>
      </c>
      <c r="C549" s="310">
        <f>'Eingabe Meldungen'!C550</f>
        <v>0</v>
      </c>
      <c r="D549" s="310">
        <f>'Eingabe Meldungen'!D550</f>
        <v>0</v>
      </c>
      <c r="E549" s="311">
        <f>'Eingabe Meldungen'!J550</f>
        <v>0</v>
      </c>
      <c r="F549" s="310" t="e">
        <f>VLOOKUP(B549,Ausschreibung!$B$4:$I$35,4,FALSE)</f>
        <v>#N/A</v>
      </c>
      <c r="G549" s="189"/>
      <c r="H549" s="189"/>
      <c r="I549" s="40"/>
      <c r="J549" s="258"/>
      <c r="K549" s="189"/>
    </row>
    <row r="550" spans="2:11" ht="13.8" x14ac:dyDescent="0.2">
      <c r="B550" s="309">
        <f>'Eingabe Meldungen'!A551</f>
        <v>0</v>
      </c>
      <c r="C550" s="310">
        <f>'Eingabe Meldungen'!C551</f>
        <v>0</v>
      </c>
      <c r="D550" s="310">
        <f>'Eingabe Meldungen'!D551</f>
        <v>0</v>
      </c>
      <c r="E550" s="311">
        <f>'Eingabe Meldungen'!J551</f>
        <v>0</v>
      </c>
      <c r="F550" s="310" t="e">
        <f>VLOOKUP(B550,Ausschreibung!$B$4:$I$35,4,FALSE)</f>
        <v>#N/A</v>
      </c>
      <c r="G550" s="189"/>
      <c r="H550" s="189"/>
      <c r="I550" s="40"/>
      <c r="J550" s="258"/>
      <c r="K550" s="189"/>
    </row>
  </sheetData>
  <customSheetViews>
    <customSheetView guid="{391ED413-B519-42B5-B0F8-A9E49CD8514B}" scale="130" showAutoFilter="1">
      <pane ySplit="1" topLeftCell="A2" activePane="bottomLeft" state="frozen"/>
      <selection pane="bottomLeft" activeCell="B1" sqref="B1:D23"/>
      <pageMargins left="0.11811023622047245" right="0.11811023622047245" top="0.39370078740157483" bottom="0.39370078740157483" header="0.31496062992125984" footer="0.31496062992125984"/>
      <pageSetup paperSize="9" scale="75" orientation="landscape" r:id="rId1"/>
      <autoFilter ref="D1:H192" xr:uid="{87297753-1DEF-428A-80C8-6E2FC20865A2}"/>
    </customSheetView>
  </customSheetViews>
  <printOptions horizontalCentered="1"/>
  <pageMargins left="0.11811023622047245" right="0.11811023622047245" top="0.39370078740157483" bottom="0.59055118110236227" header="0.31496062992125984" footer="0.31496062992125984"/>
  <pageSetup paperSize="9" orientation="landscape" r:id="rId2"/>
  <headerFooter>
    <oddFooter>&amp;LKassenliste&amp;CSeite &amp;P vom &amp;N&amp;R&amp;D</oddFooter>
  </headerFooter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>
    <tabColor theme="5" tint="0.39997558519241921"/>
  </sheetPr>
  <dimension ref="B1:G25"/>
  <sheetViews>
    <sheetView workbookViewId="0">
      <selection activeCell="J22" sqref="J22"/>
    </sheetView>
  </sheetViews>
  <sheetFormatPr baseColWidth="10" defaultRowHeight="12.6" x14ac:dyDescent="0.2"/>
  <cols>
    <col min="1" max="1" width="2.453125" customWidth="1"/>
    <col min="2" max="2" width="31.26953125" customWidth="1"/>
    <col min="3" max="4" width="16.36328125" customWidth="1"/>
    <col min="5" max="5" width="20.90625" customWidth="1"/>
    <col min="6" max="7" width="15.6328125" customWidth="1"/>
  </cols>
  <sheetData>
    <row r="1" spans="2:7" ht="13.2" thickBot="1" x14ac:dyDescent="0.25"/>
    <row r="2" spans="2:7" x14ac:dyDescent="0.2">
      <c r="B2" s="186" t="s">
        <v>55</v>
      </c>
      <c r="C2" s="187" t="s">
        <v>57</v>
      </c>
      <c r="D2" s="187" t="s">
        <v>61</v>
      </c>
      <c r="E2" s="188" t="s">
        <v>53</v>
      </c>
      <c r="F2" s="188" t="s">
        <v>58</v>
      </c>
      <c r="G2" s="42" t="s">
        <v>59</v>
      </c>
    </row>
    <row r="3" spans="2:7" x14ac:dyDescent="0.2">
      <c r="B3" s="47" t="s">
        <v>76</v>
      </c>
      <c r="C3" s="41">
        <f>(COUNTIF('Eingabe Meldungen'!$J$2:$J$244,'Kasse Verein'!B3)-D3)</f>
        <v>0</v>
      </c>
      <c r="D3" s="41">
        <f>(COUNTIFS('Eingabe Meldungen'!A3:$A$244,35,'Eingabe Meldungen'!J3:$J$244,'Kasse Verein'!B3)/2)</f>
        <v>0</v>
      </c>
      <c r="E3" s="41" t="e">
        <f>COUNTIFS('Eingabe Meldungen'!J3:$J$244,'Kasse Verein'!B3,'Eingabe Meldungen'!#REF!,'Kasse Verein'!$E$2)</f>
        <v>#REF!</v>
      </c>
      <c r="F3" s="50" t="e">
        <f t="shared" ref="F3:F24" si="0">(C3*8)+(E3*8*2)-(D3*8)</f>
        <v>#REF!</v>
      </c>
      <c r="G3" s="51"/>
    </row>
    <row r="4" spans="2:7" x14ac:dyDescent="0.2">
      <c r="B4" s="47" t="s">
        <v>77</v>
      </c>
      <c r="C4" s="41">
        <f>(COUNTIF('Eingabe Meldungen'!$J$2:$J$244,'Kasse Verein'!B4)-D4)</f>
        <v>10</v>
      </c>
      <c r="D4" s="41">
        <f>(COUNTIFS('Eingabe Meldungen'!A4:$A$244,35,'Eingabe Meldungen'!J4:$J$244,'Kasse Verein'!B4)/2)</f>
        <v>0</v>
      </c>
      <c r="E4" s="41" t="e">
        <f>COUNTIFS('Eingabe Meldungen'!J4:$J$244,'Kasse Verein'!B4,'Eingabe Meldungen'!#REF!,'Kasse Verein'!$E$2)</f>
        <v>#REF!</v>
      </c>
      <c r="F4" s="50" t="e">
        <f>(C4*8)+(E4*8*2)-(D4*8)</f>
        <v>#REF!</v>
      </c>
      <c r="G4" s="51"/>
    </row>
    <row r="5" spans="2:7" x14ac:dyDescent="0.2">
      <c r="B5" s="47"/>
      <c r="C5" s="41">
        <f>(COUNTIF('Eingabe Meldungen'!$J$2:$J$244,'Kasse Verein'!B5)-D5)</f>
        <v>0</v>
      </c>
      <c r="D5" s="41">
        <f>(COUNTIFS('Eingabe Meldungen'!A5:$A$244,35,'Eingabe Meldungen'!J5:$J$244,'Kasse Verein'!B5)/2)</f>
        <v>0</v>
      </c>
      <c r="E5" s="41" t="e">
        <f>COUNTIFS('Eingabe Meldungen'!J5:$J$244,'Kasse Verein'!B5,'Eingabe Meldungen'!#REF!,'Kasse Verein'!$E$2)</f>
        <v>#REF!</v>
      </c>
      <c r="F5" s="50" t="e">
        <f t="shared" si="0"/>
        <v>#REF!</v>
      </c>
      <c r="G5" s="51"/>
    </row>
    <row r="6" spans="2:7" x14ac:dyDescent="0.2">
      <c r="B6" s="48"/>
      <c r="C6" s="41">
        <f>(COUNTIF('Eingabe Meldungen'!$J$2:$J$244,'Kasse Verein'!B6)-D6)</f>
        <v>0</v>
      </c>
      <c r="D6" s="41">
        <f>(COUNTIFS('Eingabe Meldungen'!A6:$A$244,35,'Eingabe Meldungen'!J6:$J$244,'Kasse Verein'!B6)/2)</f>
        <v>0</v>
      </c>
      <c r="E6" s="41" t="e">
        <f>COUNTIFS('Eingabe Meldungen'!J6:$J$244,'Kasse Verein'!B6,'Eingabe Meldungen'!#REF!,'Kasse Verein'!$E$2)</f>
        <v>#REF!</v>
      </c>
      <c r="F6" s="50" t="e">
        <f t="shared" si="0"/>
        <v>#REF!</v>
      </c>
      <c r="G6" s="51"/>
    </row>
    <row r="7" spans="2:7" x14ac:dyDescent="0.2">
      <c r="B7" s="48"/>
      <c r="C7" s="41">
        <f>(COUNTIF('Eingabe Meldungen'!$J$2:$J$244,'Kasse Verein'!B7)-D7)</f>
        <v>0</v>
      </c>
      <c r="D7" s="41">
        <f>(COUNTIFS('Eingabe Meldungen'!A7:$A$244,35,'Eingabe Meldungen'!J7:$J$244,'Kasse Verein'!B7)/2)</f>
        <v>0</v>
      </c>
      <c r="E7" s="41" t="e">
        <f>COUNTIFS('Eingabe Meldungen'!J8:$J$244,'Kasse Verein'!B7,'Eingabe Meldungen'!#REF!,'Kasse Verein'!$E$2)</f>
        <v>#REF!</v>
      </c>
      <c r="F7" s="50" t="e">
        <f t="shared" si="0"/>
        <v>#REF!</v>
      </c>
      <c r="G7" s="51"/>
    </row>
    <row r="8" spans="2:7" x14ac:dyDescent="0.2">
      <c r="B8" s="48"/>
      <c r="C8" s="41">
        <f>(COUNTIF('Eingabe Meldungen'!$J$2:$J$244,'Kasse Verein'!B8)-D8)</f>
        <v>0</v>
      </c>
      <c r="D8" s="41">
        <f>(COUNTIFS('Eingabe Meldungen'!A8:$A$244,35,'Eingabe Meldungen'!J8:$J$244,'Kasse Verein'!B8)/2)</f>
        <v>0</v>
      </c>
      <c r="E8" s="41" t="e">
        <f>COUNTIFS('Eingabe Meldungen'!J9:$J$244,'Kasse Verein'!B8,'Eingabe Meldungen'!#REF!,'Kasse Verein'!$E$2)</f>
        <v>#REF!</v>
      </c>
      <c r="F8" s="50" t="e">
        <f t="shared" si="0"/>
        <v>#REF!</v>
      </c>
      <c r="G8" s="51"/>
    </row>
    <row r="9" spans="2:7" x14ac:dyDescent="0.2">
      <c r="B9" s="48"/>
      <c r="C9" s="41">
        <f>(COUNTIF('Eingabe Meldungen'!$J$2:$J$244,'Kasse Verein'!B9)-D9)</f>
        <v>0</v>
      </c>
      <c r="D9" s="41">
        <f>(COUNTIFS('Eingabe Meldungen'!A9:$A$244,35,'Eingabe Meldungen'!J9:$J$244,'Kasse Verein'!B9)/2)</f>
        <v>0</v>
      </c>
      <c r="E9" s="41" t="e">
        <f>COUNTIFS('Eingabe Meldungen'!J10:$J$244,'Kasse Verein'!B9,'Eingabe Meldungen'!#REF!,'Kasse Verein'!$E$2)</f>
        <v>#REF!</v>
      </c>
      <c r="F9" s="50" t="e">
        <f t="shared" si="0"/>
        <v>#REF!</v>
      </c>
      <c r="G9" s="51"/>
    </row>
    <row r="10" spans="2:7" x14ac:dyDescent="0.2">
      <c r="B10" s="48"/>
      <c r="C10" s="41">
        <f>(COUNTIF('Eingabe Meldungen'!$J$2:$J$244,'Kasse Verein'!B10)-D10)</f>
        <v>0</v>
      </c>
      <c r="D10" s="41">
        <f>(COUNTIFS('Eingabe Meldungen'!A10:$A$244,35,'Eingabe Meldungen'!J10:$J$244,'Kasse Verein'!B10)/2)</f>
        <v>0</v>
      </c>
      <c r="E10" s="41" t="e">
        <f>COUNTIFS('Eingabe Meldungen'!J11:$J$244,'Kasse Verein'!B10,'Eingabe Meldungen'!#REF!,'Kasse Verein'!$E$2)</f>
        <v>#REF!</v>
      </c>
      <c r="F10" s="50" t="e">
        <f t="shared" si="0"/>
        <v>#REF!</v>
      </c>
      <c r="G10" s="51"/>
    </row>
    <row r="11" spans="2:7" x14ac:dyDescent="0.2">
      <c r="B11" s="47"/>
      <c r="C11" s="41">
        <f>(COUNTIF('Eingabe Meldungen'!$J$2:$J$244,'Kasse Verein'!B11)-D11)</f>
        <v>0</v>
      </c>
      <c r="D11" s="41">
        <f>(COUNTIFS('Eingabe Meldungen'!A11:$A$244,35,'Eingabe Meldungen'!J11:$J$244,'Kasse Verein'!B11)/2)</f>
        <v>0</v>
      </c>
      <c r="E11" s="41" t="e">
        <f>COUNTIFS('Eingabe Meldungen'!J12:$J$244,'Kasse Verein'!B11,'Eingabe Meldungen'!#REF!,'Kasse Verein'!$E$2)</f>
        <v>#REF!</v>
      </c>
      <c r="F11" s="50" t="e">
        <f t="shared" si="0"/>
        <v>#REF!</v>
      </c>
      <c r="G11" s="51"/>
    </row>
    <row r="12" spans="2:7" x14ac:dyDescent="0.2">
      <c r="B12" s="48"/>
      <c r="C12" s="41">
        <f>(COUNTIF('Eingabe Meldungen'!$J$2:$J$244,'Kasse Verein'!B12)-D12)</f>
        <v>0</v>
      </c>
      <c r="D12" s="41">
        <f>(COUNTIFS('Eingabe Meldungen'!A12:$A$244,35,'Eingabe Meldungen'!J12:$J$244,'Kasse Verein'!B12)/2)</f>
        <v>0</v>
      </c>
      <c r="E12" s="41" t="e">
        <f>COUNTIFS('Eingabe Meldungen'!J13:$J$244,'Kasse Verein'!B12,'Eingabe Meldungen'!#REF!,'Kasse Verein'!$E$2)</f>
        <v>#REF!</v>
      </c>
      <c r="F12" s="50" t="e">
        <f t="shared" si="0"/>
        <v>#REF!</v>
      </c>
      <c r="G12" s="51"/>
    </row>
    <row r="13" spans="2:7" x14ac:dyDescent="0.2">
      <c r="B13" s="48"/>
      <c r="C13" s="41">
        <f>(COUNTIF('Eingabe Meldungen'!$J$2:$J$244,'Kasse Verein'!B13)-D13)</f>
        <v>0</v>
      </c>
      <c r="D13" s="41">
        <f>(COUNTIFS('Eingabe Meldungen'!A13:$A$244,35,'Eingabe Meldungen'!J13:$J$244,'Kasse Verein'!B13)/2)</f>
        <v>0</v>
      </c>
      <c r="E13" s="41" t="e">
        <f>COUNTIFS('Eingabe Meldungen'!J15:$J$244,'Kasse Verein'!B13,'Eingabe Meldungen'!#REF!,'Kasse Verein'!$E$2)</f>
        <v>#REF!</v>
      </c>
      <c r="F13" s="50" t="e">
        <f t="shared" si="0"/>
        <v>#REF!</v>
      </c>
      <c r="G13" s="51"/>
    </row>
    <row r="14" spans="2:7" x14ac:dyDescent="0.2">
      <c r="B14" s="48"/>
      <c r="C14" s="41">
        <f>(COUNTIF('Eingabe Meldungen'!$J$2:$J$244,'Kasse Verein'!B14)-D14)</f>
        <v>0</v>
      </c>
      <c r="D14" s="41">
        <f>(COUNTIFS('Eingabe Meldungen'!A14:$A$244,35,'Eingabe Meldungen'!J14:$J$244,'Kasse Verein'!B14)/2)</f>
        <v>0</v>
      </c>
      <c r="E14" s="41" t="e">
        <f>COUNTIFS('Eingabe Meldungen'!J16:$J$244,'Kasse Verein'!B14,'Eingabe Meldungen'!#REF!,'Kasse Verein'!$E$2)</f>
        <v>#REF!</v>
      </c>
      <c r="F14" s="50" t="e">
        <f t="shared" si="0"/>
        <v>#REF!</v>
      </c>
      <c r="G14" s="51"/>
    </row>
    <row r="15" spans="2:7" x14ac:dyDescent="0.2">
      <c r="B15" s="48"/>
      <c r="C15" s="41">
        <f>(COUNTIF('Eingabe Meldungen'!$J$2:$J$244,'Kasse Verein'!B15)-D15)</f>
        <v>0</v>
      </c>
      <c r="D15" s="41">
        <f>(COUNTIFS('Eingabe Meldungen'!A15:$A$244,35,'Eingabe Meldungen'!J15:$J$244,'Kasse Verein'!B15)/2)</f>
        <v>0</v>
      </c>
      <c r="E15" s="41" t="e">
        <f>COUNTIFS('Eingabe Meldungen'!J17:$J$244,'Kasse Verein'!B15,'Eingabe Meldungen'!#REF!,'Kasse Verein'!$E$2)</f>
        <v>#REF!</v>
      </c>
      <c r="F15" s="50" t="e">
        <f t="shared" si="0"/>
        <v>#REF!</v>
      </c>
      <c r="G15" s="51"/>
    </row>
    <row r="16" spans="2:7" x14ac:dyDescent="0.2">
      <c r="B16" s="48"/>
      <c r="C16" s="41">
        <f>(COUNTIF('Eingabe Meldungen'!$J$2:$J$244,'Kasse Verein'!B16)-D16)</f>
        <v>0</v>
      </c>
      <c r="D16" s="41">
        <f>(COUNTIFS('Eingabe Meldungen'!A16:$A$244,35,'Eingabe Meldungen'!J16:$J$244,'Kasse Verein'!B16)/2)</f>
        <v>0</v>
      </c>
      <c r="E16" s="41" t="e">
        <f>COUNTIFS('Eingabe Meldungen'!J18:$J$244,'Kasse Verein'!B16,'Eingabe Meldungen'!#REF!,'Kasse Verein'!$E$2)</f>
        <v>#REF!</v>
      </c>
      <c r="F16" s="50" t="e">
        <f t="shared" si="0"/>
        <v>#REF!</v>
      </c>
      <c r="G16" s="51"/>
    </row>
    <row r="17" spans="2:7" x14ac:dyDescent="0.2">
      <c r="B17" s="48"/>
      <c r="C17" s="41">
        <f>(COUNTIF('Eingabe Meldungen'!$J$2:$J$244,'Kasse Verein'!B17)-D17)</f>
        <v>0</v>
      </c>
      <c r="D17" s="41">
        <f>(COUNTIFS('Eingabe Meldungen'!A17:$A$244,35,'Eingabe Meldungen'!J17:$J$244,'Kasse Verein'!B17)/2)</f>
        <v>0</v>
      </c>
      <c r="E17" s="41" t="e">
        <f>COUNTIFS('Eingabe Meldungen'!J19:$J$244,'Kasse Verein'!B17,'Eingabe Meldungen'!#REF!,'Kasse Verein'!$E$2)</f>
        <v>#REF!</v>
      </c>
      <c r="F17" s="50" t="e">
        <f t="shared" si="0"/>
        <v>#REF!</v>
      </c>
      <c r="G17" s="51"/>
    </row>
    <row r="18" spans="2:7" x14ac:dyDescent="0.2">
      <c r="B18" s="48"/>
      <c r="C18" s="41">
        <f>(COUNTIF('Eingabe Meldungen'!$J$2:$J$244,'Kasse Verein'!B18)-D18)</f>
        <v>0</v>
      </c>
      <c r="D18" s="41">
        <f>(COUNTIFS('Eingabe Meldungen'!A18:$A$244,35,'Eingabe Meldungen'!J18:$J$244,'Kasse Verein'!B18)/2)</f>
        <v>0</v>
      </c>
      <c r="E18" s="41" t="e">
        <f>COUNTIFS('Eingabe Meldungen'!J20:$J$244,'Kasse Verein'!B18,'Eingabe Meldungen'!#REF!,'Kasse Verein'!$E$2)</f>
        <v>#REF!</v>
      </c>
      <c r="F18" s="50" t="e">
        <f t="shared" si="0"/>
        <v>#REF!</v>
      </c>
      <c r="G18" s="51"/>
    </row>
    <row r="19" spans="2:7" x14ac:dyDescent="0.2">
      <c r="B19" s="47"/>
      <c r="C19" s="41">
        <f>(COUNTIF('Eingabe Meldungen'!$J$2:$J$244,'Kasse Verein'!B19)-D19)</f>
        <v>0</v>
      </c>
      <c r="D19" s="41">
        <f>(COUNTIFS('Eingabe Meldungen'!A19:$A$244,35,'Eingabe Meldungen'!J19:$J$244,'Kasse Verein'!B19)/2)</f>
        <v>0</v>
      </c>
      <c r="E19" s="41" t="e">
        <f>COUNTIFS('Eingabe Meldungen'!J21:$J$244,'Kasse Verein'!B19,'Eingabe Meldungen'!#REF!,'Kasse Verein'!$E$2)</f>
        <v>#REF!</v>
      </c>
      <c r="F19" s="50" t="e">
        <f t="shared" si="0"/>
        <v>#REF!</v>
      </c>
      <c r="G19" s="51"/>
    </row>
    <row r="20" spans="2:7" x14ac:dyDescent="0.2">
      <c r="B20" s="48"/>
      <c r="C20" s="41">
        <f>(COUNTIF('Eingabe Meldungen'!$J$2:$J$244,'Kasse Verein'!B20)-D20)</f>
        <v>0</v>
      </c>
      <c r="D20" s="41">
        <f>(COUNTIFS('Eingabe Meldungen'!A20:$A$244,35,'Eingabe Meldungen'!J20:$J$244,'Kasse Verein'!B20)/2)</f>
        <v>0</v>
      </c>
      <c r="E20" s="41" t="e">
        <f>COUNTIFS('Eingabe Meldungen'!J22:$J$244,'Kasse Verein'!B20,'Eingabe Meldungen'!#REF!,'Kasse Verein'!$E$2)</f>
        <v>#REF!</v>
      </c>
      <c r="F20" s="50" t="e">
        <f t="shared" si="0"/>
        <v>#REF!</v>
      </c>
      <c r="G20" s="51"/>
    </row>
    <row r="21" spans="2:7" x14ac:dyDescent="0.2">
      <c r="B21" s="48"/>
      <c r="C21" s="41">
        <f>(COUNTIF('Eingabe Meldungen'!$J$2:$J$244,'Kasse Verein'!B21)-D21)</f>
        <v>0</v>
      </c>
      <c r="D21" s="41">
        <f>(COUNTIFS('Eingabe Meldungen'!A21:$A$244,35,'Eingabe Meldungen'!J21:$J$244,'Kasse Verein'!B21)/2)</f>
        <v>0</v>
      </c>
      <c r="E21" s="41" t="e">
        <f>COUNTIFS('Eingabe Meldungen'!J23:$J$244,'Kasse Verein'!B21,'Eingabe Meldungen'!#REF!,'Kasse Verein'!$E$2)</f>
        <v>#REF!</v>
      </c>
      <c r="F21" s="50" t="e">
        <f t="shared" si="0"/>
        <v>#REF!</v>
      </c>
      <c r="G21" s="51"/>
    </row>
    <row r="22" spans="2:7" x14ac:dyDescent="0.2">
      <c r="B22" s="48"/>
      <c r="C22" s="41">
        <f>(COUNTIF('Eingabe Meldungen'!$J$2:$J$244,'Kasse Verein'!B22)-D22)</f>
        <v>0</v>
      </c>
      <c r="D22" s="41">
        <f>(COUNTIFS('Eingabe Meldungen'!A22:$A$244,35,'Eingabe Meldungen'!J22:$J$244,'Kasse Verein'!B22)/2)</f>
        <v>0</v>
      </c>
      <c r="E22" s="41" t="e">
        <f>COUNTIFS('Eingabe Meldungen'!J24:$J$244,'Kasse Verein'!B22,'Eingabe Meldungen'!#REF!,'Kasse Verein'!$E$2)</f>
        <v>#REF!</v>
      </c>
      <c r="F22" s="50" t="e">
        <f t="shared" si="0"/>
        <v>#REF!</v>
      </c>
      <c r="G22" s="51"/>
    </row>
    <row r="23" spans="2:7" x14ac:dyDescent="0.2">
      <c r="B23" s="48"/>
      <c r="C23" s="41">
        <f>(COUNTIF('Eingabe Meldungen'!$J$2:$J$244,'Kasse Verein'!B23)-D23)</f>
        <v>0</v>
      </c>
      <c r="D23" s="41">
        <f>(COUNTIFS('Eingabe Meldungen'!A23:$A$244,35,'Eingabe Meldungen'!J23:$J$244,'Kasse Verein'!B23)/2)</f>
        <v>0</v>
      </c>
      <c r="E23" s="41" t="e">
        <f>COUNTIFS('Eingabe Meldungen'!J25:$J$244,'Kasse Verein'!B23,'Eingabe Meldungen'!#REF!,'Kasse Verein'!$E$2)</f>
        <v>#REF!</v>
      </c>
      <c r="F23" s="50" t="e">
        <f t="shared" si="0"/>
        <v>#REF!</v>
      </c>
      <c r="G23" s="51"/>
    </row>
    <row r="24" spans="2:7" x14ac:dyDescent="0.2">
      <c r="B24" s="48"/>
      <c r="C24" s="41">
        <f>(COUNTIF('Eingabe Meldungen'!$J$2:$J$244,'Kasse Verein'!B24)-D24)</f>
        <v>0</v>
      </c>
      <c r="D24" s="41">
        <f>(COUNTIFS('Eingabe Meldungen'!A24:$A$244,35,'Eingabe Meldungen'!J24:$J$244,'Kasse Verein'!B24)/2)</f>
        <v>0</v>
      </c>
      <c r="E24" s="41" t="e">
        <f>COUNTIFS('Eingabe Meldungen'!J26:$J$244,'Kasse Verein'!B24,'Eingabe Meldungen'!#REF!,'Kasse Verein'!$E$2)</f>
        <v>#REF!</v>
      </c>
      <c r="F24" s="50" t="e">
        <f t="shared" si="0"/>
        <v>#REF!</v>
      </c>
      <c r="G24" s="51"/>
    </row>
    <row r="25" spans="2:7" ht="13.2" thickBot="1" x14ac:dyDescent="0.25">
      <c r="B25" s="49" t="s">
        <v>60</v>
      </c>
      <c r="C25" s="45">
        <f>SUM(C3:C24)</f>
        <v>10</v>
      </c>
      <c r="D25" s="45">
        <f>SUM(D3:D24)</f>
        <v>0</v>
      </c>
      <c r="E25" s="45" t="e">
        <f>SUM(E3:E24)</f>
        <v>#REF!</v>
      </c>
      <c r="F25" s="52" t="e">
        <f>SUM(F3:F24)</f>
        <v>#REF!</v>
      </c>
      <c r="G25" s="53">
        <f>SUM(G3:G24)</f>
        <v>0</v>
      </c>
    </row>
  </sheetData>
  <customSheetViews>
    <customSheetView guid="{391ED413-B519-42B5-B0F8-A9E49CD8514B}" state="hidden">
      <selection activeCell="J22" sqref="J22"/>
      <pageMargins left="0.70866141732283472" right="0.70866141732283472" top="0.78740157480314965" bottom="0.78740157480314965" header="0.31496062992125984" footer="0.31496062992125984"/>
      <pageSetup paperSize="9" orientation="landscape" r:id="rId1"/>
    </customSheetView>
  </customSheetViews>
  <pageMargins left="0.70866141732283472" right="0.70866141732283472" top="0.78740157480314965" bottom="0.78740157480314965" header="0.31496062992125984" footer="0.31496062992125984"/>
  <pageSetup paperSize="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>
    <tabColor rgb="FFFFC000"/>
    <pageSetUpPr fitToPage="1"/>
  </sheetPr>
  <dimension ref="B1:AB749"/>
  <sheetViews>
    <sheetView topLeftCell="A58" zoomScaleNormal="100" workbookViewId="0">
      <pane ySplit="2" topLeftCell="A108" activePane="bottomLeft" state="frozen"/>
      <selection activeCell="A58" sqref="A58"/>
      <selection pane="bottomLeft" activeCell="J62" sqref="J62"/>
    </sheetView>
  </sheetViews>
  <sheetFormatPr baseColWidth="10" defaultRowHeight="12.6" x14ac:dyDescent="0.2"/>
  <cols>
    <col min="1" max="1" width="2.453125" customWidth="1"/>
    <col min="2" max="2" width="18.90625" customWidth="1"/>
    <col min="3" max="3" width="18.6328125" customWidth="1"/>
    <col min="4" max="4" width="14.36328125" customWidth="1"/>
    <col min="5" max="5" width="32.08984375" customWidth="1"/>
    <col min="6" max="6" width="22.90625" customWidth="1"/>
    <col min="7" max="7" width="16" hidden="1" customWidth="1"/>
    <col min="8" max="8" width="14.453125" hidden="1" customWidth="1"/>
    <col min="9" max="9" width="30.453125" customWidth="1"/>
    <col min="10" max="10" width="16.08984375" customWidth="1"/>
    <col min="11" max="11" width="12.6328125" hidden="1" customWidth="1"/>
    <col min="12" max="12" width="12.6328125" customWidth="1"/>
    <col min="13" max="13" width="16.26953125" customWidth="1"/>
    <col min="14" max="14" width="24.36328125" hidden="1" customWidth="1"/>
    <col min="15" max="15" width="16.08984375" customWidth="1"/>
    <col min="16" max="16" width="15.08984375" customWidth="1"/>
    <col min="17" max="17" width="16" customWidth="1"/>
    <col min="18" max="18" width="14.90625" customWidth="1"/>
    <col min="19" max="19" width="30.90625" customWidth="1"/>
    <col min="20" max="20" width="4.453125" customWidth="1"/>
    <col min="21" max="21" width="11"/>
    <col min="22" max="23" width="15.453125" customWidth="1"/>
    <col min="24" max="25" width="18.6328125" customWidth="1"/>
    <col min="26" max="26" width="21.08984375" customWidth="1"/>
    <col min="27" max="27" width="12.7265625" customWidth="1"/>
    <col min="28" max="28" width="24.6328125" customWidth="1"/>
  </cols>
  <sheetData>
    <row r="1" spans="2:25" ht="24.75" hidden="1" customHeight="1" thickBot="1" x14ac:dyDescent="0.25">
      <c r="B1" s="13" t="s">
        <v>0</v>
      </c>
      <c r="C1" s="13" t="s">
        <v>74</v>
      </c>
      <c r="D1" s="13" t="s">
        <v>15</v>
      </c>
      <c r="E1" s="13"/>
      <c r="F1" s="13"/>
      <c r="G1" s="13"/>
      <c r="H1" s="13"/>
      <c r="I1" s="13"/>
      <c r="J1" s="13"/>
      <c r="T1" s="11"/>
      <c r="U1" s="11"/>
      <c r="W1" s="13"/>
      <c r="X1" s="13"/>
      <c r="Y1" s="13"/>
    </row>
    <row r="2" spans="2:25" ht="27.75" hidden="1" customHeight="1" x14ac:dyDescent="0.2">
      <c r="B2" s="26">
        <v>5</v>
      </c>
      <c r="C2" s="65" t="str">
        <f>VLOOKUP(B2,Ausschreibung!$B$5:$I$35,2,FALSE)</f>
        <v>Ergocup</v>
      </c>
      <c r="D2" s="27">
        <f>VLOOKUP(B2,Ausschreibung!$B$5:$I$35,3,FALSE)</f>
        <v>0.50277777777777777</v>
      </c>
      <c r="E2" s="68" t="str">
        <f>VLOOKUP(B2,Ausschreibung!$B$5:$I$35,4,FALSE)</f>
        <v>Mädchen U14</v>
      </c>
      <c r="F2" s="68" t="str">
        <f>VLOOKUP(B2,Ausschreibung!$B$5:$I$35,5,FALSE)</f>
        <v>Lgw. bis 50 kg</v>
      </c>
      <c r="G2" s="65" t="str">
        <f>VLOOKUP(B2,Ausschreibung!$B$5:$I$35,6,FALSE)</f>
        <v>13 und jünger</v>
      </c>
      <c r="H2" s="65" t="str">
        <f>VLOOKUP(B2,Ausschreibung!$B$5:$I$35,8,FALSE)</f>
        <v>1000 m</v>
      </c>
      <c r="I2" s="28" t="s">
        <v>30</v>
      </c>
      <c r="J2" s="65"/>
      <c r="T2" s="11"/>
      <c r="U2" s="11"/>
      <c r="W2" s="16"/>
      <c r="X2" s="16"/>
    </row>
    <row r="3" spans="2:25" hidden="1" x14ac:dyDescent="0.2">
      <c r="B3" s="19" t="s">
        <v>1</v>
      </c>
      <c r="C3" s="18" t="s">
        <v>2</v>
      </c>
      <c r="D3" s="17" t="s">
        <v>49</v>
      </c>
      <c r="E3" s="25" t="s">
        <v>16</v>
      </c>
      <c r="F3" s="17" t="s">
        <v>18</v>
      </c>
      <c r="G3" s="73" t="s">
        <v>50</v>
      </c>
      <c r="H3" s="17" t="s">
        <v>51</v>
      </c>
      <c r="I3" s="30" t="s">
        <v>17</v>
      </c>
      <c r="J3" s="17"/>
      <c r="T3" s="11"/>
      <c r="U3" s="11"/>
      <c r="W3" s="16"/>
      <c r="X3" s="16"/>
    </row>
    <row r="4" spans="2:25" hidden="1" x14ac:dyDescent="0.2">
      <c r="B4" s="20" t="str">
        <f t="array" ref="B4">IF(ISERROR(INDEX('Eingabe Meldungen'!$C$2:$C$492,LARGE(('Eingabe Meldungen'!$A$2:$A$492=$B$2)*(ROW('Eingabe Meldungen'!$A$2:$A$492)-1),COUNTIF('Eingabe Meldungen'!$A$2:$A$492,$B$2)+1-ROW('Eingabe Meldungen'!A1)))),"",INDEX('Eingabe Meldungen'!$C$2:$C$492,LARGE(('Eingabe Meldungen'!$A$2:$A$492=$B$2)*(ROW('Eingabe Meldungen'!$A$2:$A$492)-1),COUNTIF('Eingabe Meldungen'!$A$2:$A$492,$B$2)+1-ROW('Eingabe Meldungen'!A1))))</f>
        <v>Schilling</v>
      </c>
      <c r="C4" t="str">
        <f t="array" ref="C4">IF(ISERROR(INDEX('Eingabe Meldungen'!$D$2:$D$492,LARGE(('Eingabe Meldungen'!$A$2:$A$492=$B$2)*(ROW('Eingabe Meldungen'!$A$2:$A$492)-1),COUNTIF('Eingabe Meldungen'!$A$2:$A$492,$B$2)+1-ROW('Eingabe Meldungen'!A1)))),"",INDEX('Eingabe Meldungen'!$D$2:$D$492,LARGE(('Eingabe Meldungen'!$A$2:$A$492=$B$2)*(ROW('Eingabe Meldungen'!$A$2:$A$492)-1),COUNTIF('Eingabe Meldungen'!$A$2:$A$492,$B$2)+1-ROW('Eingabe Meldungen'!A1))))</f>
        <v>Amelie</v>
      </c>
      <c r="D4" s="11">
        <f t="array" ref="D4">IF(B4&lt;&gt;"",INDEX('Eingabe Meldungen'!$C$2:$H$492,MATCH(B4&amp;C4,'Eingabe Meldungen'!$C$2:$C$492&amp;'Eingabe Meldungen'!$D$2:$D$492,0),6),"")</f>
        <v>2007</v>
      </c>
      <c r="E4" s="11" t="str">
        <f t="array" ref="E4">IF(B4&lt;&gt;"",INDEX('Eingabe Meldungen'!$C$2:$H$492,MATCH(B4&amp;C4,'Eingabe Meldungen'!$C$2:$C$492&amp;'Eingabe Meldungen'!$D$2:$D$492,0),4),"")</f>
        <v>Lgw. bis 50 kg</v>
      </c>
      <c r="F4" s="66">
        <v>1</v>
      </c>
      <c r="G4" s="74"/>
      <c r="H4" t="e">
        <f>RANK(G4,$G$4:$G$19,1)</f>
        <v>#N/A</v>
      </c>
      <c r="I4" s="21" t="str">
        <f t="array" ref="I4">IF(B4&lt;&gt;"",INDEX('Eingabe Meldungen'!$C$2:$J$492,MATCH(B4&amp;C4,'Eingabe Meldungen'!$C$2:$C$492&amp;'Eingabe Meldungen'!$D$2:$D$492,0),8),"")</f>
        <v>RC Nürtingen</v>
      </c>
      <c r="T4" s="11"/>
      <c r="U4" s="11"/>
      <c r="Y4" s="15"/>
    </row>
    <row r="5" spans="2:25" ht="13.5" hidden="1" customHeight="1" x14ac:dyDescent="0.2">
      <c r="B5" s="20" t="str">
        <f t="array" ref="B5">IF(ISERROR(INDEX('Eingabe Meldungen'!$C$2:$C$492,LARGE(('Eingabe Meldungen'!$A$2:$A$492=$B$2)*(ROW('Eingabe Meldungen'!$A$2:$A$492)-1),COUNTIF('Eingabe Meldungen'!$A$2:$A$492,$B$2)+1-ROW('Eingabe Meldungen'!A2)))),"",INDEX('Eingabe Meldungen'!$C$2:$C$492,LARGE(('Eingabe Meldungen'!$A$2:$A$492=$B$2)*(ROW('Eingabe Meldungen'!$A$2:$A$492)-1),COUNTIF('Eingabe Meldungen'!$A$2:$A$492,$B$2)+1-ROW('Eingabe Meldungen'!A2))))</f>
        <v>Deimel</v>
      </c>
      <c r="C5" t="str">
        <f t="array" ref="C5">IF(ISERROR(INDEX('Eingabe Meldungen'!$D$2:$D$492,LARGE(('Eingabe Meldungen'!$A$2:$A$492=$B$2)*(ROW('Eingabe Meldungen'!$A$2:$A$492)-1),COUNTIF('Eingabe Meldungen'!$A$2:$A$492,$B$2)+1-ROW('Eingabe Meldungen'!A2)))),"",INDEX('Eingabe Meldungen'!$D$2:$D$492,LARGE(('Eingabe Meldungen'!$A$2:$A$492=$B$2)*(ROW('Eingabe Meldungen'!$A$2:$A$492)-1),COUNTIF('Eingabe Meldungen'!$A$2:$A$492,$B$2)+1-ROW('Eingabe Meldungen'!A2))))</f>
        <v>Johanna</v>
      </c>
      <c r="D5" s="11">
        <f t="array" ref="D5">IF(B5&lt;&gt;"",INDEX('Eingabe Meldungen'!$C$2:$H$492,MATCH(B5&amp;C5,'Eingabe Meldungen'!$C$2:$C$492&amp;'Eingabe Meldungen'!$D$2:$D$492,0),6),"")</f>
        <v>2007</v>
      </c>
      <c r="E5" s="11" t="str">
        <f t="array" ref="E5">IF(B5&lt;&gt;"",INDEX('Eingabe Meldungen'!$C$2:$H$492,MATCH(B5&amp;C5,'Eingabe Meldungen'!$C$2:$C$492&amp;'Eingabe Meldungen'!$D$2:$D$492,0),4),"")</f>
        <v>Lgw. bis 50 kg</v>
      </c>
      <c r="F5" s="15">
        <v>2</v>
      </c>
      <c r="G5" s="74"/>
      <c r="H5" t="e">
        <f t="shared" ref="H5:H19" si="0">RANK(G5,$G$4:$G$19,1)</f>
        <v>#N/A</v>
      </c>
      <c r="I5" s="21" t="str">
        <f t="array" ref="I5">IF(B5&lt;&gt;"",INDEX('Eingabe Meldungen'!$C$2:$J$492,MATCH(B5&amp;C5,'Eingabe Meldungen'!$C$2:$C$492&amp;'Eingabe Meldungen'!$D$2:$D$492,0),8),"")</f>
        <v>Mannheimer RV "Amicitia"</v>
      </c>
      <c r="T5" s="11"/>
      <c r="U5" s="11"/>
      <c r="Y5" s="15"/>
    </row>
    <row r="6" spans="2:25" hidden="1" x14ac:dyDescent="0.2">
      <c r="B6" s="20" t="str">
        <f t="array" ref="B6">IF(ISERROR(INDEX('Eingabe Meldungen'!$C$2:$C$492,LARGE(('Eingabe Meldungen'!$A$2:$A$492=$B$2)*(ROW('Eingabe Meldungen'!$A$2:$A$492)-1),COUNTIF('Eingabe Meldungen'!$A$2:$A$492,$B$2)+1-ROW('Eingabe Meldungen'!A3)))),"",INDEX('Eingabe Meldungen'!$C$2:$C$492,LARGE(('Eingabe Meldungen'!$A$2:$A$492=$B$2)*(ROW('Eingabe Meldungen'!$A$2:$A$492)-1),COUNTIF('Eingabe Meldungen'!$A$2:$A$492,$B$2)+1-ROW('Eingabe Meldungen'!A3))))</f>
        <v>Warning</v>
      </c>
      <c r="C6" t="str">
        <f t="array" ref="C6">IF(ISERROR(INDEX('Eingabe Meldungen'!$D$2:$D$492,LARGE(('Eingabe Meldungen'!$A$2:$A$492=$B$2)*(ROW('Eingabe Meldungen'!$A$2:$A$492)-1),COUNTIF('Eingabe Meldungen'!$A$2:$A$492,$B$2)+1-ROW('Eingabe Meldungen'!A3)))),"",INDEX('Eingabe Meldungen'!$D$2:$D$492,LARGE(('Eingabe Meldungen'!$A$2:$A$492=$B$2)*(ROW('Eingabe Meldungen'!$A$2:$A$492)-1),COUNTIF('Eingabe Meldungen'!$A$2:$A$492,$B$2)+1-ROW('Eingabe Meldungen'!A3))))</f>
        <v>Johanna</v>
      </c>
      <c r="D6" s="11">
        <f t="array" ref="D6">IF(B6&lt;&gt;"",INDEX('Eingabe Meldungen'!$C$2:$H$492,MATCH(B6&amp;C6,'Eingabe Meldungen'!$C$2:$C$492&amp;'Eingabe Meldungen'!$D$2:$D$492,0),6),"")</f>
        <v>2007</v>
      </c>
      <c r="E6" s="11" t="str">
        <f t="array" ref="E6">IF(B6&lt;&gt;"",INDEX('Eingabe Meldungen'!$C$2:$H$492,MATCH(B6&amp;C6,'Eingabe Meldungen'!$C$2:$C$492&amp;'Eingabe Meldungen'!$D$2:$D$492,0),4),"")</f>
        <v>Lgw. bis 50 kg</v>
      </c>
      <c r="F6" s="15">
        <v>3</v>
      </c>
      <c r="G6" s="75"/>
      <c r="H6" t="e">
        <f t="shared" si="0"/>
        <v>#N/A</v>
      </c>
      <c r="I6" s="21" t="str">
        <f t="array" ref="I6">IF(B6&lt;&gt;"",INDEX('Eingabe Meldungen'!$C$2:$J$492,MATCH(B6&amp;C6,'Eingabe Meldungen'!$C$2:$C$492&amp;'Eingabe Meldungen'!$D$2:$D$492,0),8),"")</f>
        <v>Stuttgart-Cannstatter RC</v>
      </c>
      <c r="T6" s="11"/>
      <c r="U6" s="11"/>
      <c r="Y6" s="15"/>
    </row>
    <row r="7" spans="2:25" hidden="1" x14ac:dyDescent="0.2">
      <c r="B7" s="20" t="str">
        <f t="array" ref="B7">IF(ISERROR(INDEX('Eingabe Meldungen'!$C$2:$C$492,LARGE(('Eingabe Meldungen'!$A$2:$A$492=$B$2)*(ROW('Eingabe Meldungen'!$A$2:$A$492)-1),COUNTIF('Eingabe Meldungen'!$A$2:$A$492,$B$2)+1-ROW('Eingabe Meldungen'!A4)))),"",INDEX('Eingabe Meldungen'!$C$2:$C$492,LARGE(('Eingabe Meldungen'!$A$2:$A$492=$B$2)*(ROW('Eingabe Meldungen'!$A$2:$A$492)-1),COUNTIF('Eingabe Meldungen'!$A$2:$A$492,$B$2)+1-ROW('Eingabe Meldungen'!A4))))</f>
        <v>Jonescheit</v>
      </c>
      <c r="C7" t="str">
        <f t="array" ref="C7">IF(ISERROR(INDEX('Eingabe Meldungen'!$D$2:$D$492,LARGE(('Eingabe Meldungen'!$A$2:$A$492=$B$2)*(ROW('Eingabe Meldungen'!$A$2:$A$492)-1),COUNTIF('Eingabe Meldungen'!$A$2:$A$492,$B$2)+1-ROW('Eingabe Meldungen'!A4)))),"",INDEX('Eingabe Meldungen'!$D$2:$D$492,LARGE(('Eingabe Meldungen'!$A$2:$A$492=$B$2)*(ROW('Eingabe Meldungen'!$A$2:$A$492)-1),COUNTIF('Eingabe Meldungen'!$A$2:$A$492,$B$2)+1-ROW('Eingabe Meldungen'!A4))))</f>
        <v>Zoë</v>
      </c>
      <c r="D7" s="11">
        <f t="array" ref="D7">IF(B7&lt;&gt;"",INDEX('Eingabe Meldungen'!$C$2:$H$492,MATCH(B7&amp;C7,'Eingabe Meldungen'!$C$2:$C$492&amp;'Eingabe Meldungen'!$D$2:$D$492,0),6),"")</f>
        <v>2007</v>
      </c>
      <c r="E7" s="11" t="str">
        <f t="array" ref="E7">IF(B7&lt;&gt;"",INDEX('Eingabe Meldungen'!$C$2:$H$492,MATCH(B7&amp;C7,'Eingabe Meldungen'!$C$2:$C$492&amp;'Eingabe Meldungen'!$D$2:$D$492,0),4),"")</f>
        <v>Lgw. bis 50 kg</v>
      </c>
      <c r="F7" s="15">
        <v>4</v>
      </c>
      <c r="G7" s="75"/>
      <c r="H7" t="e">
        <f t="shared" si="0"/>
        <v>#N/A</v>
      </c>
      <c r="I7" s="21" t="str">
        <f t="array" ref="I7">IF(B7&lt;&gt;"",INDEX('Eingabe Meldungen'!$C$2:$J$492,MATCH(B7&amp;C7,'Eingabe Meldungen'!$C$2:$C$492&amp;'Eingabe Meldungen'!$D$2:$D$492,0),8),"")</f>
        <v>Mannheimer RV "Amicitia"</v>
      </c>
      <c r="T7" s="11"/>
      <c r="U7" s="11"/>
      <c r="Y7" s="15"/>
    </row>
    <row r="8" spans="2:25" hidden="1" x14ac:dyDescent="0.2">
      <c r="B8" s="20" t="str">
        <f t="array" ref="B8">IF(ISERROR(INDEX('Eingabe Meldungen'!$C$2:$C$492,LARGE(('Eingabe Meldungen'!$A$2:$A$492=$B$2)*(ROW('Eingabe Meldungen'!$A$2:$A$492)-1),COUNTIF('Eingabe Meldungen'!$A$2:$A$492,$B$2)+1-ROW('Eingabe Meldungen'!A5)))),"",INDEX('Eingabe Meldungen'!$C$2:$C$492,LARGE(('Eingabe Meldungen'!$A$2:$A$492=$B$2)*(ROW('Eingabe Meldungen'!$A$2:$A$492)-1),COUNTIF('Eingabe Meldungen'!$A$2:$A$492,$B$2)+1-ROW('Eingabe Meldungen'!A5))))</f>
        <v>Grünewald</v>
      </c>
      <c r="C8" t="str">
        <f t="array" ref="C8">IF(ISERROR(INDEX('Eingabe Meldungen'!$D$2:$D$492,LARGE(('Eingabe Meldungen'!$A$2:$A$492=$B$2)*(ROW('Eingabe Meldungen'!$A$2:$A$492)-1),COUNTIF('Eingabe Meldungen'!$A$2:$A$492,$B$2)+1-ROW('Eingabe Meldungen'!A5)))),"",INDEX('Eingabe Meldungen'!$D$2:$D$492,LARGE(('Eingabe Meldungen'!$A$2:$A$492=$B$2)*(ROW('Eingabe Meldungen'!$A$2:$A$492)-1),COUNTIF('Eingabe Meldungen'!$A$2:$A$492,$B$2)+1-ROW('Eingabe Meldungen'!A5))))</f>
        <v>Julika</v>
      </c>
      <c r="D8" s="11">
        <f t="array" ref="D8">IF(B8&lt;&gt;"",INDEX('Eingabe Meldungen'!$C$2:$H$492,MATCH(B8&amp;C8,'Eingabe Meldungen'!$C$2:$C$492&amp;'Eingabe Meldungen'!$D$2:$D$492,0),6),"")</f>
        <v>2008</v>
      </c>
      <c r="E8" s="11" t="str">
        <f t="array" ref="E8">IF(B8&lt;&gt;"",INDEX('Eingabe Meldungen'!$C$2:$H$492,MATCH(B8&amp;C8,'Eingabe Meldungen'!$C$2:$C$492&amp;'Eingabe Meldungen'!$D$2:$D$492,0),4),"")</f>
        <v>Lgw. bis 50 kg</v>
      </c>
      <c r="F8" s="15">
        <v>5</v>
      </c>
      <c r="G8" s="75"/>
      <c r="H8" t="e">
        <f t="shared" si="0"/>
        <v>#N/A</v>
      </c>
      <c r="I8" s="21" t="str">
        <f t="array" ref="I8">IF(B8&lt;&gt;"",INDEX('Eingabe Meldungen'!$C$2:$J$492,MATCH(B8&amp;C8,'Eingabe Meldungen'!$C$2:$C$492&amp;'Eingabe Meldungen'!$D$2:$D$492,0),8),"")</f>
        <v>Marbacher Ruderverein</v>
      </c>
      <c r="T8" s="11"/>
      <c r="U8" s="11"/>
      <c r="Y8" s="15"/>
    </row>
    <row r="9" spans="2:25" hidden="1" x14ac:dyDescent="0.2">
      <c r="B9" s="20" t="str">
        <f t="array" ref="B9">IF(ISERROR(INDEX('Eingabe Meldungen'!$C$2:$C$492,LARGE(('Eingabe Meldungen'!$A$2:$A$492=$B$2)*(ROW('Eingabe Meldungen'!$A$2:$A$492)-1),COUNTIF('Eingabe Meldungen'!$A$2:$A$492,$B$2)+1-ROW('Eingabe Meldungen'!A6)))),"",INDEX('Eingabe Meldungen'!$C$2:$C$492,LARGE(('Eingabe Meldungen'!$A$2:$A$492=$B$2)*(ROW('Eingabe Meldungen'!$A$2:$A$492)-1),COUNTIF('Eingabe Meldungen'!$A$2:$A$492,$B$2)+1-ROW('Eingabe Meldungen'!A6))))</f>
        <v/>
      </c>
      <c r="C9" t="str">
        <f t="array" ref="C9">IF(ISERROR(INDEX('Eingabe Meldungen'!$D$2:$D$492,LARGE(('Eingabe Meldungen'!$A$2:$A$492=$B$2)*(ROW('Eingabe Meldungen'!$A$2:$A$492)-1),COUNTIF('Eingabe Meldungen'!$A$2:$A$492,$B$2)+1-ROW('Eingabe Meldungen'!A6)))),"",INDEX('Eingabe Meldungen'!$D$2:$D$492,LARGE(('Eingabe Meldungen'!$A$2:$A$492=$B$2)*(ROW('Eingabe Meldungen'!$A$2:$A$492)-1),COUNTIF('Eingabe Meldungen'!$A$2:$A$492,$B$2)+1-ROW('Eingabe Meldungen'!A6))))</f>
        <v/>
      </c>
      <c r="D9" s="11" t="str">
        <f t="array" ref="D9">IF(B9&lt;&gt;"",INDEX('Eingabe Meldungen'!$C$2:$H$492,MATCH(B9&amp;C9,'Eingabe Meldungen'!$C$2:$C$492&amp;'Eingabe Meldungen'!$D$2:$D$492,0),6),"")</f>
        <v/>
      </c>
      <c r="E9" s="11" t="str">
        <f t="array" ref="E9">IF(B9&lt;&gt;"",INDEX('Eingabe Meldungen'!$C$2:$H$492,MATCH(B9&amp;C9,'Eingabe Meldungen'!$C$2:$C$492&amp;'Eingabe Meldungen'!$D$2:$D$492,0),4),"")</f>
        <v/>
      </c>
      <c r="F9" s="15">
        <v>6</v>
      </c>
      <c r="G9" s="75"/>
      <c r="H9" t="e">
        <f t="shared" si="0"/>
        <v>#N/A</v>
      </c>
      <c r="I9" s="21" t="str">
        <f t="array" ref="I9">IF(B9&lt;&gt;"",INDEX('Eingabe Meldungen'!$C$2:$J$492,MATCH(B9&amp;C9,'Eingabe Meldungen'!$C$2:$C$492&amp;'Eingabe Meldungen'!$D$2:$D$492,0),8),"")</f>
        <v/>
      </c>
      <c r="T9" s="11"/>
      <c r="U9" s="11"/>
      <c r="Y9" s="15"/>
    </row>
    <row r="10" spans="2:25" hidden="1" x14ac:dyDescent="0.2">
      <c r="B10" s="20" t="str">
        <f t="array" ref="B10">IF(ISERROR(INDEX('Eingabe Meldungen'!$C$2:$C$492,LARGE(('Eingabe Meldungen'!$A$2:$A$492=$B$2)*(ROW('Eingabe Meldungen'!$A$2:$A$492)-1),COUNTIF('Eingabe Meldungen'!$A$2:$A$492,$B$2)+1-ROW('Eingabe Meldungen'!A8)))),"",INDEX('Eingabe Meldungen'!$C$2:$C$492,LARGE(('Eingabe Meldungen'!$A$2:$A$492=$B$2)*(ROW('Eingabe Meldungen'!$A$2:$A$492)-1),COUNTIF('Eingabe Meldungen'!$A$2:$A$492,$B$2)+1-ROW('Eingabe Meldungen'!A8))))</f>
        <v/>
      </c>
      <c r="C10" t="str">
        <f t="array" ref="C10">IF(ISERROR(INDEX('Eingabe Meldungen'!$D$2:$D$492,LARGE(('Eingabe Meldungen'!$A$2:$A$492=$B$2)*(ROW('Eingabe Meldungen'!$A$2:$A$492)-1),COUNTIF('Eingabe Meldungen'!$A$2:$A$492,$B$2)+1-ROW('Eingabe Meldungen'!A8)))),"",INDEX('Eingabe Meldungen'!$D$2:$D$492,LARGE(('Eingabe Meldungen'!$A$2:$A$492=$B$2)*(ROW('Eingabe Meldungen'!$A$2:$A$492)-1),COUNTIF('Eingabe Meldungen'!$A$2:$A$492,$B$2)+1-ROW('Eingabe Meldungen'!A8))))</f>
        <v/>
      </c>
      <c r="D10" s="11" t="str">
        <f t="array" ref="D10">IF(B10&lt;&gt;"",INDEX('Eingabe Meldungen'!$C$2:$H$492,MATCH(B10&amp;C10,'Eingabe Meldungen'!$C$2:$C$492&amp;'Eingabe Meldungen'!$D$2:$D$492,0),6),"")</f>
        <v/>
      </c>
      <c r="E10" s="11" t="str">
        <f t="array" ref="E10">IF(B10&lt;&gt;"",INDEX('Eingabe Meldungen'!$C$2:$H$492,MATCH(B10&amp;C10,'Eingabe Meldungen'!$C$2:$C$492&amp;'Eingabe Meldungen'!$D$2:$D$492,0),4),"")</f>
        <v/>
      </c>
      <c r="F10" s="15">
        <v>7</v>
      </c>
      <c r="G10" s="75"/>
      <c r="H10" t="e">
        <f t="shared" si="0"/>
        <v>#N/A</v>
      </c>
      <c r="I10" s="21" t="str">
        <f t="array" ref="I10">IF(B10&lt;&gt;"",INDEX('Eingabe Meldungen'!$C$2:$J$492,MATCH(B10&amp;C10,'Eingabe Meldungen'!$C$2:$C$492&amp;'Eingabe Meldungen'!$D$2:$D$492,0),8),"")</f>
        <v/>
      </c>
      <c r="T10" s="11"/>
      <c r="U10" s="11"/>
      <c r="Y10" s="15"/>
    </row>
    <row r="11" spans="2:25" hidden="1" x14ac:dyDescent="0.2">
      <c r="B11" s="20" t="str">
        <f t="array" ref="B11">IF(ISERROR(INDEX('Eingabe Meldungen'!$C$2:$C$492,LARGE(('Eingabe Meldungen'!$A$2:$A$492=$B$2)*(ROW('Eingabe Meldungen'!$A$2:$A$492)-1),COUNTIF('Eingabe Meldungen'!$A$2:$A$492,$B$2)+1-ROW('Eingabe Meldungen'!A9)))),"",INDEX('Eingabe Meldungen'!$C$2:$C$492,LARGE(('Eingabe Meldungen'!$A$2:$A$492=$B$2)*(ROW('Eingabe Meldungen'!$A$2:$A$492)-1),COUNTIF('Eingabe Meldungen'!$A$2:$A$492,$B$2)+1-ROW('Eingabe Meldungen'!A9))))</f>
        <v/>
      </c>
      <c r="C11" t="str">
        <f t="array" ref="C11">IF(ISERROR(INDEX('Eingabe Meldungen'!$D$2:$D$492,LARGE(('Eingabe Meldungen'!$A$2:$A$492=$B$2)*(ROW('Eingabe Meldungen'!$A$2:$A$492)-1),COUNTIF('Eingabe Meldungen'!$A$2:$A$492,$B$2)+1-ROW('Eingabe Meldungen'!A9)))),"",INDEX('Eingabe Meldungen'!$D$2:$D$492,LARGE(('Eingabe Meldungen'!$A$2:$A$492=$B$2)*(ROW('Eingabe Meldungen'!$A$2:$A$492)-1),COUNTIF('Eingabe Meldungen'!$A$2:$A$492,$B$2)+1-ROW('Eingabe Meldungen'!A9))))</f>
        <v/>
      </c>
      <c r="D11" s="11" t="str">
        <f t="array" ref="D11">IF(B11&lt;&gt;"",INDEX('Eingabe Meldungen'!$C$2:$H$492,MATCH(B11&amp;C11,'Eingabe Meldungen'!$C$2:$C$492&amp;'Eingabe Meldungen'!$D$2:$D$492,0),6),"")</f>
        <v/>
      </c>
      <c r="E11" s="11" t="str">
        <f t="array" ref="E11">IF(B11&lt;&gt;"",INDEX('Eingabe Meldungen'!$C$2:$H$492,MATCH(B11&amp;C11,'Eingabe Meldungen'!$C$2:$C$492&amp;'Eingabe Meldungen'!$D$2:$D$492,0),4),"")</f>
        <v/>
      </c>
      <c r="F11" s="15">
        <v>8</v>
      </c>
      <c r="G11" s="75"/>
      <c r="H11" t="e">
        <f t="shared" si="0"/>
        <v>#N/A</v>
      </c>
      <c r="I11" s="21" t="str">
        <f t="array" ref="I11">IF(B11&lt;&gt;"",INDEX('Eingabe Meldungen'!$C$2:$J$492,MATCH(B11&amp;C11,'Eingabe Meldungen'!$C$2:$C$492&amp;'Eingabe Meldungen'!$D$2:$D$492,0),8),"")</f>
        <v/>
      </c>
      <c r="T11" s="11"/>
      <c r="U11" s="11"/>
      <c r="Y11" s="15"/>
    </row>
    <row r="12" spans="2:25" hidden="1" x14ac:dyDescent="0.2">
      <c r="B12" s="20" t="str">
        <f t="array" ref="B12">IF(ISERROR(INDEX('Eingabe Meldungen'!$C$2:$C$492,LARGE(('Eingabe Meldungen'!$A$2:$A$492=$B$2)*(ROW('Eingabe Meldungen'!$A$2:$A$492)-1),COUNTIF('Eingabe Meldungen'!$A$2:$A$492,$B$2)+1-ROW('Eingabe Meldungen'!A10)))),"",INDEX('Eingabe Meldungen'!$C$2:$C$492,LARGE(('Eingabe Meldungen'!$A$2:$A$492=$B$2)*(ROW('Eingabe Meldungen'!$A$2:$A$492)-1),COUNTIF('Eingabe Meldungen'!$A$2:$A$492,$B$2)+1-ROW('Eingabe Meldungen'!A10))))</f>
        <v/>
      </c>
      <c r="C12" t="str">
        <f t="array" ref="C12">IF(ISERROR(INDEX('Eingabe Meldungen'!$D$2:$D$492,LARGE(('Eingabe Meldungen'!$A$2:$A$492=$B$2)*(ROW('Eingabe Meldungen'!$A$2:$A$492)-1),COUNTIF('Eingabe Meldungen'!$A$2:$A$492,$B$2)+1-ROW('Eingabe Meldungen'!A10)))),"",INDEX('Eingabe Meldungen'!$D$2:$D$492,LARGE(('Eingabe Meldungen'!$A$2:$A$492=$B$2)*(ROW('Eingabe Meldungen'!$A$2:$A$492)-1),COUNTIF('Eingabe Meldungen'!$A$2:$A$492,$B$2)+1-ROW('Eingabe Meldungen'!A10))))</f>
        <v/>
      </c>
      <c r="D12" s="11" t="str">
        <f t="array" ref="D12">IF(B12&lt;&gt;"",INDEX('Eingabe Meldungen'!$C$2:$H$492,MATCH(B12&amp;C12,'Eingabe Meldungen'!$C$2:$C$492&amp;'Eingabe Meldungen'!$D$2:$D$492,0),6),"")</f>
        <v/>
      </c>
      <c r="E12" s="11" t="str">
        <f t="array" ref="E12">IF(B12&lt;&gt;"",INDEX('Eingabe Meldungen'!$C$2:$H$492,MATCH(B12&amp;C12,'Eingabe Meldungen'!$C$2:$C$492&amp;'Eingabe Meldungen'!$D$2:$D$492,0),4),"")</f>
        <v/>
      </c>
      <c r="F12" s="15">
        <v>9</v>
      </c>
      <c r="G12" s="75"/>
      <c r="H12" t="e">
        <f t="shared" si="0"/>
        <v>#N/A</v>
      </c>
      <c r="I12" s="21" t="str">
        <f t="array" ref="I12">IF(B12&lt;&gt;"",INDEX('Eingabe Meldungen'!$C$2:$J$492,MATCH(B12&amp;C12,'Eingabe Meldungen'!$C$2:$C$492&amp;'Eingabe Meldungen'!$D$2:$D$492,0),8),"")</f>
        <v/>
      </c>
      <c r="T12" s="11"/>
      <c r="U12" s="11"/>
      <c r="Y12" s="15"/>
    </row>
    <row r="13" spans="2:25" hidden="1" x14ac:dyDescent="0.2">
      <c r="B13" s="20" t="str">
        <f t="array" ref="B13">IF(ISERROR(INDEX('Eingabe Meldungen'!$C$2:$C$492,LARGE(('Eingabe Meldungen'!$A$2:$A$492=$B$2)*(ROW('Eingabe Meldungen'!$A$2:$A$492)-1),COUNTIF('Eingabe Meldungen'!$A$2:$A$492,$B$2)+1-ROW('Eingabe Meldungen'!A11)))),"",INDEX('Eingabe Meldungen'!$C$2:$C$492,LARGE(('Eingabe Meldungen'!$A$2:$A$492=$B$2)*(ROW('Eingabe Meldungen'!$A$2:$A$492)-1),COUNTIF('Eingabe Meldungen'!$A$2:$A$492,$B$2)+1-ROW('Eingabe Meldungen'!A11))))</f>
        <v/>
      </c>
      <c r="C13" t="str">
        <f t="array" ref="C13">IF(ISERROR(INDEX('Eingabe Meldungen'!$D$2:$D$492,LARGE(('Eingabe Meldungen'!$A$2:$A$492=$B$2)*(ROW('Eingabe Meldungen'!$A$2:$A$492)-1),COUNTIF('Eingabe Meldungen'!$A$2:$A$492,$B$2)+1-ROW('Eingabe Meldungen'!A11)))),"",INDEX('Eingabe Meldungen'!$D$2:$D$492,LARGE(('Eingabe Meldungen'!$A$2:$A$492=$B$2)*(ROW('Eingabe Meldungen'!$A$2:$A$492)-1),COUNTIF('Eingabe Meldungen'!$A$2:$A$492,$B$2)+1-ROW('Eingabe Meldungen'!A11))))</f>
        <v/>
      </c>
      <c r="D13" s="11" t="str">
        <f t="array" ref="D13">IF(B13&lt;&gt;"",INDEX('Eingabe Meldungen'!$C$2:$H$492,MATCH(B13&amp;C13,'Eingabe Meldungen'!$C$2:$C$492&amp;'Eingabe Meldungen'!$D$2:$D$492,0),6),"")</f>
        <v/>
      </c>
      <c r="E13" s="11" t="str">
        <f t="array" ref="E13">IF(B13&lt;&gt;"",INDEX('Eingabe Meldungen'!$C$2:$H$492,MATCH(B13&amp;C13,'Eingabe Meldungen'!$C$2:$C$492&amp;'Eingabe Meldungen'!$D$2:$D$492,0),4),"")</f>
        <v/>
      </c>
      <c r="F13" s="15">
        <v>10</v>
      </c>
      <c r="G13" s="75"/>
      <c r="H13" t="e">
        <f t="shared" si="0"/>
        <v>#N/A</v>
      </c>
      <c r="I13" s="21" t="str">
        <f t="array" ref="I13">IF(B13&lt;&gt;"",INDEX('Eingabe Meldungen'!$C$2:$J$492,MATCH(B13&amp;C13,'Eingabe Meldungen'!$C$2:$C$492&amp;'Eingabe Meldungen'!$D$2:$D$492,0),8),"")</f>
        <v/>
      </c>
      <c r="T13" s="11"/>
      <c r="U13" s="11"/>
      <c r="Y13" s="15"/>
    </row>
    <row r="14" spans="2:25" hidden="1" x14ac:dyDescent="0.2">
      <c r="B14" s="20" t="str">
        <f t="array" ref="B14">IF(ISERROR(INDEX('Eingabe Meldungen'!$C$2:$C$492,LARGE(('Eingabe Meldungen'!$A$2:$A$492=$B$2)*(ROW('Eingabe Meldungen'!$A$2:$A$492)-1),COUNTIF('Eingabe Meldungen'!$A$2:$A$492,$B$2)+1-ROW('Eingabe Meldungen'!A12)))),"",INDEX('Eingabe Meldungen'!$C$2:$C$492,LARGE(('Eingabe Meldungen'!$A$2:$A$492=$B$2)*(ROW('Eingabe Meldungen'!$A$2:$A$492)-1),COUNTIF('Eingabe Meldungen'!$A$2:$A$492,$B$2)+1-ROW('Eingabe Meldungen'!A12))))</f>
        <v/>
      </c>
      <c r="C14" t="str">
        <f t="array" ref="C14">IF(ISERROR(INDEX('Eingabe Meldungen'!$D$2:$D$492,LARGE(('Eingabe Meldungen'!$A$2:$A$492=$B$2)*(ROW('Eingabe Meldungen'!$A$2:$A$492)-1),COUNTIF('Eingabe Meldungen'!$A$2:$A$492,$B$2)+1-ROW('Eingabe Meldungen'!A12)))),"",INDEX('Eingabe Meldungen'!$D$2:$D$492,LARGE(('Eingabe Meldungen'!$A$2:$A$492=$B$2)*(ROW('Eingabe Meldungen'!$A$2:$A$492)-1),COUNTIF('Eingabe Meldungen'!$A$2:$A$492,$B$2)+1-ROW('Eingabe Meldungen'!A12))))</f>
        <v/>
      </c>
      <c r="D14" s="11" t="str">
        <f t="array" ref="D14">IF(B14&lt;&gt;"",INDEX('Eingabe Meldungen'!$C$2:$H$492,MATCH(B14&amp;C14,'Eingabe Meldungen'!$C$2:$C$492&amp;'Eingabe Meldungen'!$D$2:$D$492,0),6),"")</f>
        <v/>
      </c>
      <c r="E14" s="11" t="str">
        <f t="array" ref="E14">IF(B14&lt;&gt;"",INDEX('Eingabe Meldungen'!$C$2:$H$492,MATCH(B14&amp;C14,'Eingabe Meldungen'!$C$2:$C$492&amp;'Eingabe Meldungen'!$D$2:$D$492,0),4),"")</f>
        <v/>
      </c>
      <c r="F14" s="15">
        <v>11</v>
      </c>
      <c r="G14" s="75"/>
      <c r="H14" t="e">
        <f t="shared" si="0"/>
        <v>#N/A</v>
      </c>
      <c r="I14" s="21" t="str">
        <f t="array" ref="I14">IF(B14&lt;&gt;"",INDEX('Eingabe Meldungen'!$C$2:$J$492,MATCH(B14&amp;C14,'Eingabe Meldungen'!$C$2:$C$492&amp;'Eingabe Meldungen'!$D$2:$D$492,0),8),"")</f>
        <v/>
      </c>
      <c r="T14" s="11"/>
      <c r="U14" s="11"/>
      <c r="Y14" s="15"/>
    </row>
    <row r="15" spans="2:25" hidden="1" x14ac:dyDescent="0.2">
      <c r="B15" s="20" t="str">
        <f t="array" ref="B15">IF(ISERROR(INDEX('Eingabe Meldungen'!$C$2:$C$492,LARGE(('Eingabe Meldungen'!$A$2:$A$492=$B$2)*(ROW('Eingabe Meldungen'!$A$2:$A$492)-1),COUNTIF('Eingabe Meldungen'!$A$2:$A$492,$B$2)+1-ROW('Eingabe Meldungen'!A13)))),"",INDEX('Eingabe Meldungen'!$C$2:$C$492,LARGE(('Eingabe Meldungen'!$A$2:$A$492=$B$2)*(ROW('Eingabe Meldungen'!$A$2:$A$492)-1),COUNTIF('Eingabe Meldungen'!$A$2:$A$492,$B$2)+1-ROW('Eingabe Meldungen'!A13))))</f>
        <v/>
      </c>
      <c r="C15" t="str">
        <f t="array" ref="C15">IF(ISERROR(INDEX('Eingabe Meldungen'!$D$2:$D$492,LARGE(('Eingabe Meldungen'!$A$2:$A$492=$B$2)*(ROW('Eingabe Meldungen'!$A$2:$A$492)-1),COUNTIF('Eingabe Meldungen'!$A$2:$A$492,$B$2)+1-ROW('Eingabe Meldungen'!A13)))),"",INDEX('Eingabe Meldungen'!$D$2:$D$492,LARGE(('Eingabe Meldungen'!$A$2:$A$492=$B$2)*(ROW('Eingabe Meldungen'!$A$2:$A$492)-1),COUNTIF('Eingabe Meldungen'!$A$2:$A$492,$B$2)+1-ROW('Eingabe Meldungen'!A13))))</f>
        <v/>
      </c>
      <c r="D15" s="11" t="str">
        <f t="array" ref="D15">IF(B15&lt;&gt;"",INDEX('Eingabe Meldungen'!$C$2:$H$492,MATCH(B15&amp;C15,'Eingabe Meldungen'!$C$2:$C$492&amp;'Eingabe Meldungen'!$D$2:$D$492,0),6),"")</f>
        <v/>
      </c>
      <c r="E15" s="11" t="str">
        <f t="array" ref="E15">IF(B15&lt;&gt;"",INDEX('Eingabe Meldungen'!$C$2:$H$492,MATCH(B15&amp;C15,'Eingabe Meldungen'!$C$2:$C$492&amp;'Eingabe Meldungen'!$D$2:$D$492,0),4),"")</f>
        <v/>
      </c>
      <c r="F15" s="15">
        <v>12</v>
      </c>
      <c r="G15" s="75"/>
      <c r="H15" t="e">
        <f t="shared" si="0"/>
        <v>#N/A</v>
      </c>
      <c r="I15" s="21" t="str">
        <f t="array" ref="I15">IF(B15&lt;&gt;"",INDEX('Eingabe Meldungen'!$C$2:$J$492,MATCH(B15&amp;C15,'Eingabe Meldungen'!$C$2:$C$492&amp;'Eingabe Meldungen'!$D$2:$D$492,0),8),"")</f>
        <v/>
      </c>
      <c r="T15" s="11"/>
      <c r="U15" s="11"/>
      <c r="Y15" s="15"/>
    </row>
    <row r="16" spans="2:25" hidden="1" x14ac:dyDescent="0.2">
      <c r="B16" s="20" t="str">
        <f t="array" ref="B16">IF(ISERROR(INDEX('Eingabe Meldungen'!$C$2:$C$492,LARGE(('Eingabe Meldungen'!$A$2:$A$492=$B$2)*(ROW('Eingabe Meldungen'!$A$2:$A$492)-1),COUNTIF('Eingabe Meldungen'!$A$2:$A$492,$B$2)+1-ROW('Eingabe Meldungen'!A14)))),"",INDEX('Eingabe Meldungen'!$C$2:$C$492,LARGE(('Eingabe Meldungen'!$A$2:$A$492=$B$2)*(ROW('Eingabe Meldungen'!$A$2:$A$492)-1),COUNTIF('Eingabe Meldungen'!$A$2:$A$492,$B$2)+1-ROW('Eingabe Meldungen'!A14))))</f>
        <v/>
      </c>
      <c r="C16" t="str">
        <f t="array" ref="C16">IF(ISERROR(INDEX('Eingabe Meldungen'!$D$2:$D$492,LARGE(('Eingabe Meldungen'!$A$2:$A$492=$B$2)*(ROW('Eingabe Meldungen'!$A$2:$A$492)-1),COUNTIF('Eingabe Meldungen'!$A$2:$A$492,$B$2)+1-ROW('Eingabe Meldungen'!A14)))),"",INDEX('Eingabe Meldungen'!$D$2:$D$492,LARGE(('Eingabe Meldungen'!$A$2:$A$492=$B$2)*(ROW('Eingabe Meldungen'!$A$2:$A$492)-1),COUNTIF('Eingabe Meldungen'!$A$2:$A$492,$B$2)+1-ROW('Eingabe Meldungen'!A14))))</f>
        <v/>
      </c>
      <c r="D16" s="11" t="str">
        <f t="array" ref="D16">IF(B16&lt;&gt;"",INDEX('Eingabe Meldungen'!$C$2:$H$492,MATCH(B16&amp;C16,'Eingabe Meldungen'!$C$2:$C$492&amp;'Eingabe Meldungen'!$D$2:$D$492,0),6),"")</f>
        <v/>
      </c>
      <c r="E16" s="11" t="str">
        <f t="array" ref="E16">IF(B16&lt;&gt;"",INDEX('Eingabe Meldungen'!$C$2:$H$492,MATCH(B16&amp;C16,'Eingabe Meldungen'!$C$2:$C$492&amp;'Eingabe Meldungen'!$D$2:$D$492,0),4),"")</f>
        <v/>
      </c>
      <c r="F16" s="15">
        <v>13</v>
      </c>
      <c r="G16" s="75"/>
      <c r="H16" t="e">
        <f t="shared" si="0"/>
        <v>#N/A</v>
      </c>
      <c r="I16" s="21" t="str">
        <f t="array" ref="I16">IF(B16&lt;&gt;"",INDEX('Eingabe Meldungen'!$C$2:$J$492,MATCH(B16&amp;C16,'Eingabe Meldungen'!$C$2:$C$492&amp;'Eingabe Meldungen'!$D$2:$D$492,0),8),"")</f>
        <v/>
      </c>
      <c r="T16" s="11"/>
      <c r="U16" s="11"/>
      <c r="Y16" s="15"/>
    </row>
    <row r="17" spans="2:25" hidden="1" x14ac:dyDescent="0.2">
      <c r="B17" s="20" t="str">
        <f t="array" ref="B17">IF(ISERROR(INDEX('Eingabe Meldungen'!$C$2:$C$492,LARGE(('Eingabe Meldungen'!$A$2:$A$492=$B$2)*(ROW('Eingabe Meldungen'!$A$2:$A$492)-1),COUNTIF('Eingabe Meldungen'!$A$2:$A$492,$B$2)+1-ROW('Eingabe Meldungen'!A15)))),"",INDEX('Eingabe Meldungen'!$C$2:$C$492,LARGE(('Eingabe Meldungen'!$A$2:$A$492=$B$2)*(ROW('Eingabe Meldungen'!$A$2:$A$492)-1),COUNTIF('Eingabe Meldungen'!$A$2:$A$492,$B$2)+1-ROW('Eingabe Meldungen'!A15))))</f>
        <v/>
      </c>
      <c r="C17" t="str">
        <f t="array" ref="C17">IF(ISERROR(INDEX('Eingabe Meldungen'!$D$2:$D$492,LARGE(('Eingabe Meldungen'!$A$2:$A$492=$B$2)*(ROW('Eingabe Meldungen'!$A$2:$A$492)-1),COUNTIF('Eingabe Meldungen'!$A$2:$A$492,$B$2)+1-ROW('Eingabe Meldungen'!A15)))),"",INDEX('Eingabe Meldungen'!$D$2:$D$492,LARGE(('Eingabe Meldungen'!$A$2:$A$492=$B$2)*(ROW('Eingabe Meldungen'!$A$2:$A$492)-1),COUNTIF('Eingabe Meldungen'!$A$2:$A$492,$B$2)+1-ROW('Eingabe Meldungen'!A15))))</f>
        <v/>
      </c>
      <c r="D17" s="11" t="str">
        <f t="array" ref="D17">IF(B17&lt;&gt;"",INDEX('Eingabe Meldungen'!$C$2:$H$492,MATCH(B17&amp;C17,'Eingabe Meldungen'!$C$2:$C$492&amp;'Eingabe Meldungen'!$D$2:$D$492,0),6),"")</f>
        <v/>
      </c>
      <c r="E17" s="11" t="str">
        <f t="array" ref="E17">IF(B17&lt;&gt;"",INDEX('Eingabe Meldungen'!$C$2:$H$492,MATCH(B17&amp;C17,'Eingabe Meldungen'!$C$2:$C$492&amp;'Eingabe Meldungen'!$D$2:$D$492,0),4),"")</f>
        <v/>
      </c>
      <c r="F17" s="15">
        <v>14</v>
      </c>
      <c r="G17" s="75"/>
      <c r="H17" t="e">
        <f t="shared" si="0"/>
        <v>#N/A</v>
      </c>
      <c r="I17" s="21" t="str">
        <f t="array" ref="I17">IF(B17&lt;&gt;"",INDEX('Eingabe Meldungen'!$C$2:$J$492,MATCH(B17&amp;C17,'Eingabe Meldungen'!$C$2:$C$492&amp;'Eingabe Meldungen'!$D$2:$D$492,0),8),"")</f>
        <v/>
      </c>
      <c r="T17" s="11"/>
      <c r="U17" s="11"/>
      <c r="Y17" s="15"/>
    </row>
    <row r="18" spans="2:25" hidden="1" x14ac:dyDescent="0.2">
      <c r="B18" s="20" t="str">
        <f t="array" ref="B18">IF(ISERROR(INDEX('Eingabe Meldungen'!$C$2:$C$492,LARGE(('Eingabe Meldungen'!$A$2:$A$492=$B$2)*(ROW('Eingabe Meldungen'!$A$2:$A$492)-1),COUNTIF('Eingabe Meldungen'!$A$2:$A$492,$B$2)+1-ROW('Eingabe Meldungen'!A16)))),"",INDEX('Eingabe Meldungen'!$C$2:$C$492,LARGE(('Eingabe Meldungen'!$A$2:$A$492=$B$2)*(ROW('Eingabe Meldungen'!$A$2:$A$492)-1),COUNTIF('Eingabe Meldungen'!$A$2:$A$492,$B$2)+1-ROW('Eingabe Meldungen'!A16))))</f>
        <v/>
      </c>
      <c r="C18" t="str">
        <f t="array" ref="C18">IF(ISERROR(INDEX('Eingabe Meldungen'!$D$2:$D$492,LARGE(('Eingabe Meldungen'!$A$2:$A$492=$B$2)*(ROW('Eingabe Meldungen'!$A$2:$A$492)-1),COUNTIF('Eingabe Meldungen'!$A$2:$A$492,$B$2)+1-ROW('Eingabe Meldungen'!A16)))),"",INDEX('Eingabe Meldungen'!$D$2:$D$492,LARGE(('Eingabe Meldungen'!$A$2:$A$492=$B$2)*(ROW('Eingabe Meldungen'!$A$2:$A$492)-1),COUNTIF('Eingabe Meldungen'!$A$2:$A$492,$B$2)+1-ROW('Eingabe Meldungen'!A16))))</f>
        <v/>
      </c>
      <c r="D18" s="11" t="str">
        <f t="array" ref="D18">IF(B18&lt;&gt;"",INDEX('Eingabe Meldungen'!$C$2:$H$492,MATCH(B18&amp;C18,'Eingabe Meldungen'!$C$2:$C$492&amp;'Eingabe Meldungen'!$D$2:$D$492,0),6),"")</f>
        <v/>
      </c>
      <c r="E18" s="11" t="str">
        <f t="array" ref="E18">IF(B18&lt;&gt;"",INDEX('Eingabe Meldungen'!$C$2:$H$492,MATCH(B18&amp;C18,'Eingabe Meldungen'!$C$2:$C$492&amp;'Eingabe Meldungen'!$D$2:$D$492,0),4),"")</f>
        <v/>
      </c>
      <c r="F18" s="15">
        <v>15</v>
      </c>
      <c r="G18" s="75"/>
      <c r="H18" t="e">
        <f t="shared" si="0"/>
        <v>#N/A</v>
      </c>
      <c r="I18" s="21" t="str">
        <f t="array" ref="I18">IF(B18&lt;&gt;"",INDEX('Eingabe Meldungen'!$C$2:$J$492,MATCH(B18&amp;C18,'Eingabe Meldungen'!$C$2:$C$492&amp;'Eingabe Meldungen'!$D$2:$D$492,0),8),"")</f>
        <v/>
      </c>
      <c r="N18" s="11"/>
      <c r="O18" s="11"/>
      <c r="P18" s="15"/>
      <c r="Q18" s="11"/>
      <c r="S18" s="11"/>
      <c r="T18" s="11"/>
      <c r="U18" s="11"/>
      <c r="Y18" s="15"/>
    </row>
    <row r="19" spans="2:25" ht="13.2" hidden="1" thickBot="1" x14ac:dyDescent="0.25">
      <c r="B19" s="22" t="str">
        <f t="array" ref="B19">IF(ISERROR(INDEX('Eingabe Meldungen'!$C$2:$C$492,LARGE(('Eingabe Meldungen'!$A$2:$A$492=$B$2)*(ROW('Eingabe Meldungen'!$A$2:$A$492)-1),COUNTIF('Eingabe Meldungen'!$A$2:$A$492,$B$2)+1-ROW('Eingabe Meldungen'!A17)))),"",INDEX('Eingabe Meldungen'!$C$2:$C$492,LARGE(('Eingabe Meldungen'!$A$2:$A$492=$B$2)*(ROW('Eingabe Meldungen'!$A$2:$A$492)-1),COUNTIF('Eingabe Meldungen'!$A$2:$A$492,$B$2)+1-ROW('Eingabe Meldungen'!A17))))</f>
        <v/>
      </c>
      <c r="C19" s="14" t="str">
        <f t="array" ref="C19">IF(ISERROR(INDEX('Eingabe Meldungen'!$D$2:$D$492,LARGE(('Eingabe Meldungen'!$A$2:$A$492=$B$2)*(ROW('Eingabe Meldungen'!$A$2:$A$492)-1),COUNTIF('Eingabe Meldungen'!$A$2:$A$492,$B$2)+1-ROW('Eingabe Meldungen'!A17)))),"",INDEX('Eingabe Meldungen'!$D$2:$D$492,LARGE(('Eingabe Meldungen'!$A$2:$A$492=$B$2)*(ROW('Eingabe Meldungen'!$A$2:$A$492)-1),COUNTIF('Eingabe Meldungen'!$A$2:$A$492,$B$2)+1-ROW('Eingabe Meldungen'!A17))))</f>
        <v/>
      </c>
      <c r="D19" s="12" t="str">
        <f t="array" ref="D19">IF(B19&lt;&gt;"",INDEX('Eingabe Meldungen'!$C$2:$H$492,MATCH(B19&amp;C19,'Eingabe Meldungen'!$C$2:$C$492&amp;'Eingabe Meldungen'!$D$2:$D$492,0),6),"")</f>
        <v/>
      </c>
      <c r="E19" s="12" t="str">
        <f t="array" ref="E19">IF(B19&lt;&gt;"",INDEX('Eingabe Meldungen'!$C$2:$H$492,MATCH(B19&amp;C19,'Eingabe Meldungen'!$C$2:$C$492&amp;'Eingabe Meldungen'!$D$2:$D$492,0),4),"")</f>
        <v/>
      </c>
      <c r="F19" s="84">
        <v>16</v>
      </c>
      <c r="G19" s="76"/>
      <c r="H19" s="14" t="e">
        <f t="shared" si="0"/>
        <v>#N/A</v>
      </c>
      <c r="I19" s="23" t="str">
        <f t="array" ref="I19">IF(B19&lt;&gt;"",INDEX('Eingabe Meldungen'!$C$2:$J$492,MATCH(B19&amp;C19,'Eingabe Meldungen'!$C$2:$C$492&amp;'Eingabe Meldungen'!$D$2:$D$492,0),8),"")</f>
        <v/>
      </c>
      <c r="J19" s="14"/>
      <c r="N19" s="11"/>
      <c r="O19" s="11"/>
      <c r="P19" s="15"/>
      <c r="Q19" s="11"/>
      <c r="S19" s="11"/>
      <c r="T19" s="11"/>
      <c r="U19" s="11"/>
      <c r="Y19" s="15"/>
    </row>
    <row r="20" spans="2:25" hidden="1" x14ac:dyDescent="0.2">
      <c r="D20" s="11"/>
      <c r="F20" s="15"/>
      <c r="G20" s="11"/>
      <c r="N20" s="11"/>
      <c r="O20" s="11"/>
      <c r="P20" s="15"/>
      <c r="Q20" s="11"/>
      <c r="S20" s="11"/>
      <c r="T20" s="11"/>
      <c r="U20" s="11"/>
      <c r="Y20" s="15"/>
    </row>
    <row r="21" spans="2:25" ht="28.5" hidden="1" customHeight="1" x14ac:dyDescent="0.2">
      <c r="B21" s="26">
        <f>B2+1</f>
        <v>6</v>
      </c>
      <c r="C21" s="65" t="str">
        <f>VLOOKUP(B21,Ausschreibung!$B$5:$I$35,2,FALSE)</f>
        <v>Ergocup</v>
      </c>
      <c r="D21" s="27">
        <f>VLOOKUP(B21,Ausschreibung!$B$5:$I$35,3,FALSE)</f>
        <v>0.5083333333333333</v>
      </c>
      <c r="E21" s="68" t="str">
        <f>VLOOKUP(B21,Ausschreibung!$B$5:$I$35,4,FALSE)</f>
        <v>Mädchen U14</v>
      </c>
      <c r="F21" s="68" t="str">
        <f>VLOOKUP(B21,Ausschreibung!$B$5:$I$35,5,FALSE)</f>
        <v>-</v>
      </c>
      <c r="G21" s="65" t="str">
        <f>VLOOKUP(B21,Ausschreibung!$B$5:$I$35,6,FALSE)</f>
        <v>13 und jünger</v>
      </c>
      <c r="H21" s="65" t="str">
        <f>VLOOKUP(B21,Ausschreibung!$B$5:$I$35,8,FALSE)</f>
        <v>1000 m</v>
      </c>
      <c r="I21" s="28" t="s">
        <v>30</v>
      </c>
      <c r="J21" s="65"/>
      <c r="N21" s="11"/>
      <c r="O21" s="11"/>
      <c r="P21" s="15"/>
      <c r="Q21" s="11"/>
      <c r="S21" s="11"/>
      <c r="T21" s="11"/>
      <c r="U21" s="11"/>
    </row>
    <row r="22" spans="2:25" ht="14.25" hidden="1" customHeight="1" thickBot="1" x14ac:dyDescent="0.25">
      <c r="B22" s="19" t="s">
        <v>1</v>
      </c>
      <c r="C22" s="18" t="s">
        <v>2</v>
      </c>
      <c r="D22" s="17" t="s">
        <v>49</v>
      </c>
      <c r="E22" s="25" t="s">
        <v>16</v>
      </c>
      <c r="F22" s="17" t="s">
        <v>18</v>
      </c>
      <c r="G22" s="73" t="s">
        <v>50</v>
      </c>
      <c r="H22" s="17" t="s">
        <v>51</v>
      </c>
      <c r="I22" s="30" t="s">
        <v>17</v>
      </c>
      <c r="J22" s="17"/>
      <c r="N22" s="11"/>
      <c r="O22" s="11"/>
      <c r="P22" s="15"/>
      <c r="Q22" s="11"/>
      <c r="S22" s="11"/>
      <c r="T22" s="11"/>
      <c r="U22" s="11"/>
    </row>
    <row r="23" spans="2:25" hidden="1" x14ac:dyDescent="0.2">
      <c r="B23" s="67" t="str">
        <f t="array" ref="B23">IF(ISERROR(INDEX('Eingabe Meldungen'!$C$2:$C$492,LARGE(('Eingabe Meldungen'!$A$2:$A$492=$B$21)*(ROW('Eingabe Meldungen'!$A$2:$A$492)-1),COUNTIF('Eingabe Meldungen'!$A$2:$A$492,$B$21)+1-ROW('Eingabe Meldungen'!A1)))),"",INDEX('Eingabe Meldungen'!$C$2:$C$492,LARGE(('Eingabe Meldungen'!$A$2:$A$492=$B$21)*(ROW('Eingabe Meldungen'!$A$2:$A$492)-1),COUNTIF('Eingabe Meldungen'!$A$2:$A$492,$B$21)+1-ROW('Eingabe Meldungen'!A1))))</f>
        <v>Gathmann</v>
      </c>
      <c r="C23" s="46" t="str">
        <f t="array" ref="C23">IF(ISERROR(INDEX('Eingabe Meldungen'!$D$2:$D$492,LARGE(('Eingabe Meldungen'!$A$2:$A$492=$B$21)*(ROW('Eingabe Meldungen'!$A$2:$A$492)-1),COUNTIF('Eingabe Meldungen'!$A$2:$A$492,$B$21)+1-ROW('Eingabe Meldungen'!A1)))),"",INDEX('Eingabe Meldungen'!$D$2:$D$492,LARGE(('Eingabe Meldungen'!$A$2:$A$492=$B$21)*(ROW('Eingabe Meldungen'!$A$2:$A$492)-1),COUNTIF('Eingabe Meldungen'!$A$2:$A$492,$B$21)+1-ROW('Eingabe Meldungen'!A1))))</f>
        <v>Johanna</v>
      </c>
      <c r="D23" s="77">
        <f t="array" ref="D23">IF(B23&lt;&gt;"",INDEX('Eingabe Meldungen'!$C$2:$H$492,MATCH(B23&amp;C23,'Eingabe Meldungen'!$C$2:$C$492&amp;'Eingabe Meldungen'!$D$2:$D$492,0),6),"")</f>
        <v>2007</v>
      </c>
      <c r="E23" s="77" t="str">
        <f t="array" ref="E23">IF(B23&lt;&gt;"",INDEX('Eingabe Meldungen'!$C$2:$H$492,MATCH(B23&amp;C23,'Eingabe Meldungen'!$C$2:$C$492&amp;'Eingabe Meldungen'!$D$2:$D$492,0),4),"")</f>
        <v>-</v>
      </c>
      <c r="F23" s="78">
        <v>1</v>
      </c>
      <c r="G23" s="80"/>
      <c r="H23" s="46" t="e">
        <f>RANK(G23,$G$23:$G$38,1)</f>
        <v>#N/A</v>
      </c>
      <c r="I23" s="79" t="str">
        <f t="array" ref="I23">IF(B23&lt;&gt;"",INDEX('Eingabe Meldungen'!$C$2:$J$492,MATCH(B23&amp;C23,'Eingabe Meldungen'!$C$2:$C$492&amp;'Eingabe Meldungen'!$D$2:$D$492,0),8),"")</f>
        <v>Stuttgart-Cannstatter RC</v>
      </c>
      <c r="J23" s="46"/>
      <c r="N23" s="11"/>
      <c r="O23" s="11"/>
      <c r="P23" s="15"/>
      <c r="Q23" s="11"/>
      <c r="S23" s="11"/>
      <c r="T23" s="11"/>
      <c r="U23" s="11"/>
      <c r="Y23" s="15"/>
    </row>
    <row r="24" spans="2:25" hidden="1" x14ac:dyDescent="0.2">
      <c r="B24" s="20" t="str">
        <f t="array" ref="B24">IF(ISERROR(INDEX('Eingabe Meldungen'!$C$2:$C$492,LARGE(('Eingabe Meldungen'!$A$2:$A$492=$B$21)*(ROW('Eingabe Meldungen'!$A$2:$A$492)-1),COUNTIF('Eingabe Meldungen'!$A$2:$A$492,$B$21)+1-ROW('Eingabe Meldungen'!A2)))),"",INDEX('Eingabe Meldungen'!$C$2:$C$492,LARGE(('Eingabe Meldungen'!$A$2:$A$492=$B$21)*(ROW('Eingabe Meldungen'!$A$2:$A$492)-1),COUNTIF('Eingabe Meldungen'!$A$2:$A$492,$B$21)+1-ROW('Eingabe Meldungen'!A2))))</f>
        <v>Schulze</v>
      </c>
      <c r="C24" t="str">
        <f t="array" ref="C24">IF(ISERROR(INDEX('Eingabe Meldungen'!$D$2:$D$492,LARGE(('Eingabe Meldungen'!$A$2:$A$492=$B$21)*(ROW('Eingabe Meldungen'!$A$2:$A$492)-1),COUNTIF('Eingabe Meldungen'!$A$2:$A$492,$B$21)+1-ROW('Eingabe Meldungen'!A2)))),"",INDEX('Eingabe Meldungen'!$D$2:$D$492,LARGE(('Eingabe Meldungen'!$A$2:$A$492=$B$21)*(ROW('Eingabe Meldungen'!$A$2:$A$492)-1),COUNTIF('Eingabe Meldungen'!$A$2:$A$492,$B$21)+1-ROW('Eingabe Meldungen'!A2))))</f>
        <v>Lisann</v>
      </c>
      <c r="D24" s="11">
        <f t="array" ref="D24">IF(B24&lt;&gt;"",INDEX('Eingabe Meldungen'!$C$2:$H$492,MATCH(B24&amp;C24,'Eingabe Meldungen'!$C$2:$C$492&amp;'Eingabe Meldungen'!$D$2:$D$492,0),6),"")</f>
        <v>2007</v>
      </c>
      <c r="E24" s="11" t="str">
        <f t="array" ref="E24">IF(B24&lt;&gt;"",INDEX('Eingabe Meldungen'!$C$2:$H$492,MATCH(B24&amp;C24,'Eingabe Meldungen'!$C$2:$C$492&amp;'Eingabe Meldungen'!$D$2:$D$492,0),4),"")</f>
        <v>-</v>
      </c>
      <c r="F24" s="15">
        <v>2</v>
      </c>
      <c r="G24" s="74"/>
      <c r="H24" t="e">
        <f t="shared" ref="H24:H38" si="1">RANK(G24,$G$23:$G$38,1)</f>
        <v>#N/A</v>
      </c>
      <c r="I24" s="21" t="str">
        <f t="array" ref="I24">IF(B24&lt;&gt;"",INDEX('Eingabe Meldungen'!$C$2:$J$492,MATCH(B24&amp;C24,'Eingabe Meldungen'!$C$2:$C$492&amp;'Eingabe Meldungen'!$D$2:$D$492,0),8),"")</f>
        <v>Mannheimer RV "Amicitia"</v>
      </c>
      <c r="N24" s="11"/>
      <c r="O24" s="11"/>
      <c r="P24" s="15"/>
      <c r="Q24" s="11"/>
      <c r="S24" s="11"/>
      <c r="T24" s="11"/>
      <c r="U24" s="11"/>
      <c r="Y24" s="15"/>
    </row>
    <row r="25" spans="2:25" hidden="1" x14ac:dyDescent="0.2">
      <c r="B25" s="20" t="str">
        <f t="array" ref="B25">IF(ISERROR(INDEX('Eingabe Meldungen'!$C$2:$C$492,LARGE(('Eingabe Meldungen'!$A$2:$A$492=$B$21)*(ROW('Eingabe Meldungen'!$A$2:$A$492)-1),COUNTIF('Eingabe Meldungen'!$A$2:$A$492,$B$21)+1-ROW('Eingabe Meldungen'!A3)))),"",INDEX('Eingabe Meldungen'!$C$2:$C$492,LARGE(('Eingabe Meldungen'!$A$2:$A$492=$B$21)*(ROW('Eingabe Meldungen'!$A$2:$A$492)-1),COUNTIF('Eingabe Meldungen'!$A$2:$A$492,$B$21)+1-ROW('Eingabe Meldungen'!A3))))</f>
        <v>Lehmann</v>
      </c>
      <c r="C25" t="str">
        <f t="array" ref="C25">IF(ISERROR(INDEX('Eingabe Meldungen'!$D$2:$D$492,LARGE(('Eingabe Meldungen'!$A$2:$A$492=$B$21)*(ROW('Eingabe Meldungen'!$A$2:$A$492)-1),COUNTIF('Eingabe Meldungen'!$A$2:$A$492,$B$21)+1-ROW('Eingabe Meldungen'!A3)))),"",INDEX('Eingabe Meldungen'!$D$2:$D$492,LARGE(('Eingabe Meldungen'!$A$2:$A$492=$B$21)*(ROW('Eingabe Meldungen'!$A$2:$A$492)-1),COUNTIF('Eingabe Meldungen'!$A$2:$A$492,$B$21)+1-ROW('Eingabe Meldungen'!A3))))</f>
        <v>Madeleine</v>
      </c>
      <c r="D25" s="11">
        <f t="array" ref="D25">IF(B25&lt;&gt;"",INDEX('Eingabe Meldungen'!$C$2:$H$492,MATCH(B25&amp;C25,'Eingabe Meldungen'!$C$2:$C$492&amp;'Eingabe Meldungen'!$D$2:$D$492,0),6),"")</f>
        <v>2007</v>
      </c>
      <c r="E25" s="11" t="str">
        <f t="array" ref="E25">IF(B25&lt;&gt;"",INDEX('Eingabe Meldungen'!$C$2:$H$492,MATCH(B25&amp;C25,'Eingabe Meldungen'!$C$2:$C$492&amp;'Eingabe Meldungen'!$D$2:$D$492,0),4),"")</f>
        <v>-</v>
      </c>
      <c r="F25" s="15">
        <v>3</v>
      </c>
      <c r="G25" s="75"/>
      <c r="H25" t="e">
        <f t="shared" si="1"/>
        <v>#N/A</v>
      </c>
      <c r="I25" s="21" t="str">
        <f t="array" ref="I25">IF(B25&lt;&gt;"",INDEX('Eingabe Meldungen'!$C$2:$J$492,MATCH(B25&amp;C25,'Eingabe Meldungen'!$C$2:$C$492&amp;'Eingabe Meldungen'!$D$2:$D$492,0),8),"")</f>
        <v>RV Waldsee</v>
      </c>
      <c r="N25" s="11"/>
      <c r="O25" s="11"/>
      <c r="P25" s="15"/>
      <c r="Q25" s="11"/>
      <c r="S25" s="11"/>
      <c r="T25" s="11"/>
      <c r="U25" s="11"/>
      <c r="Y25" s="15"/>
    </row>
    <row r="26" spans="2:25" hidden="1" x14ac:dyDescent="0.2">
      <c r="B26" s="20" t="str">
        <f t="array" ref="B26">IF(ISERROR(INDEX('Eingabe Meldungen'!$C$2:$C$492,LARGE(('Eingabe Meldungen'!$A$2:$A$492=$B$21)*(ROW('Eingabe Meldungen'!$A$2:$A$492)-1),COUNTIF('Eingabe Meldungen'!$A$2:$A$492,$B$21)+1-ROW('Eingabe Meldungen'!A4)))),"",INDEX('Eingabe Meldungen'!$C$2:$C$492,LARGE(('Eingabe Meldungen'!$A$2:$A$492=$B$21)*(ROW('Eingabe Meldungen'!$A$2:$A$492)-1),COUNTIF('Eingabe Meldungen'!$A$2:$A$492,$B$21)+1-ROW('Eingabe Meldungen'!A4))))</f>
        <v>Vurdu</v>
      </c>
      <c r="C26" t="str">
        <f t="array" ref="C26">IF(ISERROR(INDEX('Eingabe Meldungen'!$D$2:$D$492,LARGE(('Eingabe Meldungen'!$A$2:$A$492=$B$21)*(ROW('Eingabe Meldungen'!$A$2:$A$492)-1),COUNTIF('Eingabe Meldungen'!$A$2:$A$492,$B$21)+1-ROW('Eingabe Meldungen'!A4)))),"",INDEX('Eingabe Meldungen'!$D$2:$D$492,LARGE(('Eingabe Meldungen'!$A$2:$A$492=$B$21)*(ROW('Eingabe Meldungen'!$A$2:$A$492)-1),COUNTIF('Eingabe Meldungen'!$A$2:$A$492,$B$21)+1-ROW('Eingabe Meldungen'!A4))))</f>
        <v>Zehra</v>
      </c>
      <c r="D26" s="11">
        <f t="array" ref="D26">IF(B26&lt;&gt;"",INDEX('Eingabe Meldungen'!$C$2:$H$492,MATCH(B26&amp;C26,'Eingabe Meldungen'!$C$2:$C$492&amp;'Eingabe Meldungen'!$D$2:$D$492,0),6),"")</f>
        <v>2007</v>
      </c>
      <c r="E26" s="11" t="str">
        <f t="array" ref="E26">IF(B26&lt;&gt;"",INDEX('Eingabe Meldungen'!$C$2:$H$492,MATCH(B26&amp;C26,'Eingabe Meldungen'!$C$2:$C$492&amp;'Eingabe Meldungen'!$D$2:$D$492,0),4),"")</f>
        <v>-</v>
      </c>
      <c r="F26" s="15">
        <v>4</v>
      </c>
      <c r="G26" s="75"/>
      <c r="H26" t="e">
        <f t="shared" si="1"/>
        <v>#N/A</v>
      </c>
      <c r="I26" s="21" t="str">
        <f t="array" ref="I26">IF(B26&lt;&gt;"",INDEX('Eingabe Meldungen'!$C$2:$J$492,MATCH(B26&amp;C26,'Eingabe Meldungen'!$C$2:$C$492&amp;'Eingabe Meldungen'!$D$2:$D$492,0),8),"")</f>
        <v>Mannheimer RV "Amicitia"</v>
      </c>
      <c r="N26" s="11"/>
      <c r="O26" s="11"/>
      <c r="P26" s="15"/>
      <c r="Q26" s="11"/>
      <c r="S26" s="11"/>
      <c r="T26" s="11"/>
      <c r="U26" s="11"/>
      <c r="Y26" s="15"/>
    </row>
    <row r="27" spans="2:25" hidden="1" x14ac:dyDescent="0.2">
      <c r="B27" s="20" t="str">
        <f t="array" ref="B27">IF(ISERROR(INDEX('Eingabe Meldungen'!$C$2:$C$492,LARGE(('Eingabe Meldungen'!$A$2:$A$492=$B$21)*(ROW('Eingabe Meldungen'!$A$2:$A$492)-1),COUNTIF('Eingabe Meldungen'!$A$2:$A$492,$B$21)+1-ROW('Eingabe Meldungen'!A5)))),"",INDEX('Eingabe Meldungen'!$C$2:$C$492,LARGE(('Eingabe Meldungen'!$A$2:$A$492=$B$21)*(ROW('Eingabe Meldungen'!$A$2:$A$492)-1),COUNTIF('Eingabe Meldungen'!$A$2:$A$492,$B$21)+1-ROW('Eingabe Meldungen'!A5))))</f>
        <v>Zirn</v>
      </c>
      <c r="C27" t="str">
        <f t="array" ref="C27">IF(ISERROR(INDEX('Eingabe Meldungen'!$D$2:$D$492,LARGE(('Eingabe Meldungen'!$A$2:$A$492=$B$21)*(ROW('Eingabe Meldungen'!$A$2:$A$492)-1),COUNTIF('Eingabe Meldungen'!$A$2:$A$492,$B$21)+1-ROW('Eingabe Meldungen'!A5)))),"",INDEX('Eingabe Meldungen'!$D$2:$D$492,LARGE(('Eingabe Meldungen'!$A$2:$A$492=$B$21)*(ROW('Eingabe Meldungen'!$A$2:$A$492)-1),COUNTIF('Eingabe Meldungen'!$A$2:$A$492,$B$21)+1-ROW('Eingabe Meldungen'!A5))))</f>
        <v>Maja</v>
      </c>
      <c r="D27" s="11">
        <f t="array" ref="D27">IF(B27&lt;&gt;"",INDEX('Eingabe Meldungen'!$C$2:$H$492,MATCH(B27&amp;C27,'Eingabe Meldungen'!$C$2:$C$492&amp;'Eingabe Meldungen'!$D$2:$D$492,0),6),"")</f>
        <v>2008</v>
      </c>
      <c r="E27" s="11" t="str">
        <f t="array" ref="E27">IF(B27&lt;&gt;"",INDEX('Eingabe Meldungen'!$C$2:$H$492,MATCH(B27&amp;C27,'Eingabe Meldungen'!$C$2:$C$492&amp;'Eingabe Meldungen'!$D$2:$D$492,0),4),"")</f>
        <v>-</v>
      </c>
      <c r="F27" s="15">
        <v>5</v>
      </c>
      <c r="G27" s="75"/>
      <c r="H27" t="e">
        <f t="shared" si="1"/>
        <v>#N/A</v>
      </c>
      <c r="I27" s="21" t="str">
        <f t="array" ref="I27">IF(B27&lt;&gt;"",INDEX('Eingabe Meldungen'!$C$2:$J$492,MATCH(B27&amp;C27,'Eingabe Meldungen'!$C$2:$C$492&amp;'Eingabe Meldungen'!$D$2:$D$492,0),8),"")</f>
        <v>RV Waldsee</v>
      </c>
      <c r="N27" s="11"/>
      <c r="O27" s="11"/>
      <c r="P27" s="15"/>
      <c r="Q27" s="11"/>
      <c r="S27" s="11"/>
      <c r="T27" s="11"/>
      <c r="U27" s="11"/>
      <c r="Y27" s="15"/>
    </row>
    <row r="28" spans="2:25" hidden="1" x14ac:dyDescent="0.2">
      <c r="B28" s="20" t="str">
        <f t="array" ref="B28">IF(ISERROR(INDEX('Eingabe Meldungen'!$C$2:$C$492,LARGE(('Eingabe Meldungen'!$A$2:$A$492=$B$21)*(ROW('Eingabe Meldungen'!$A$2:$A$492)-1),COUNTIF('Eingabe Meldungen'!$A$2:$A$492,$B$21)+1-ROW('Eingabe Meldungen'!A6)))),"",INDEX('Eingabe Meldungen'!$C$2:$C$492,LARGE(('Eingabe Meldungen'!$A$2:$A$492=$B$21)*(ROW('Eingabe Meldungen'!$A$2:$A$492)-1),COUNTIF('Eingabe Meldungen'!$A$2:$A$492,$B$21)+1-ROW('Eingabe Meldungen'!A6))))</f>
        <v/>
      </c>
      <c r="C28" t="str">
        <f t="array" ref="C28">IF(ISERROR(INDEX('Eingabe Meldungen'!$D$2:$D$492,LARGE(('Eingabe Meldungen'!$A$2:$A$492=$B$21)*(ROW('Eingabe Meldungen'!$A$2:$A$492)-1),COUNTIF('Eingabe Meldungen'!$A$2:$A$492,$B$21)+1-ROW('Eingabe Meldungen'!A6)))),"",INDEX('Eingabe Meldungen'!$D$2:$D$492,LARGE(('Eingabe Meldungen'!$A$2:$A$492=$B$21)*(ROW('Eingabe Meldungen'!$A$2:$A$492)-1),COUNTIF('Eingabe Meldungen'!$A$2:$A$492,$B$21)+1-ROW('Eingabe Meldungen'!A6))))</f>
        <v/>
      </c>
      <c r="D28" s="11" t="str">
        <f t="array" ref="D28">IF(B28&lt;&gt;"",INDEX('Eingabe Meldungen'!$C$2:$H$492,MATCH(B28&amp;C28,'Eingabe Meldungen'!$C$2:$C$492&amp;'Eingabe Meldungen'!$D$2:$D$492,0),6),"")</f>
        <v/>
      </c>
      <c r="E28" s="11" t="str">
        <f t="array" ref="E28">IF(B28&lt;&gt;"",INDEX('Eingabe Meldungen'!$C$2:$H$492,MATCH(B28&amp;C28,'Eingabe Meldungen'!$C$2:$C$492&amp;'Eingabe Meldungen'!$D$2:$D$492,0),4),"")</f>
        <v/>
      </c>
      <c r="F28" s="15">
        <v>6</v>
      </c>
      <c r="G28" s="75"/>
      <c r="H28" t="e">
        <f t="shared" si="1"/>
        <v>#N/A</v>
      </c>
      <c r="I28" s="21" t="str">
        <f t="array" ref="I28">IF(B28&lt;&gt;"",INDEX('Eingabe Meldungen'!$C$2:$J$492,MATCH(B28&amp;C28,'Eingabe Meldungen'!$C$2:$C$492&amp;'Eingabe Meldungen'!$D$2:$D$492,0),8),"")</f>
        <v/>
      </c>
      <c r="N28" s="11"/>
      <c r="O28" s="11"/>
      <c r="P28" s="15"/>
      <c r="Q28" s="11"/>
      <c r="S28" s="11"/>
      <c r="T28" s="11"/>
      <c r="U28" s="11"/>
      <c r="Y28" s="15"/>
    </row>
    <row r="29" spans="2:25" hidden="1" x14ac:dyDescent="0.2">
      <c r="B29" s="20" t="str">
        <f t="array" ref="B29">IF(ISERROR(INDEX('Eingabe Meldungen'!$C$2:$C$492,LARGE(('Eingabe Meldungen'!$A$2:$A$492=$B$21)*(ROW('Eingabe Meldungen'!$A$2:$A$492)-1),COUNTIF('Eingabe Meldungen'!$A$2:$A$492,$B$21)+1-ROW('Eingabe Meldungen'!A8)))),"",INDEX('Eingabe Meldungen'!$C$2:$C$492,LARGE(('Eingabe Meldungen'!$A$2:$A$492=$B$21)*(ROW('Eingabe Meldungen'!$A$2:$A$492)-1),COUNTIF('Eingabe Meldungen'!$A$2:$A$492,$B$21)+1-ROW('Eingabe Meldungen'!A8))))</f>
        <v/>
      </c>
      <c r="C29" t="str">
        <f t="array" ref="C29">IF(ISERROR(INDEX('Eingabe Meldungen'!$D$2:$D$492,LARGE(('Eingabe Meldungen'!$A$2:$A$492=$B$21)*(ROW('Eingabe Meldungen'!$A$2:$A$492)-1),COUNTIF('Eingabe Meldungen'!$A$2:$A$492,$B$21)+1-ROW('Eingabe Meldungen'!A8)))),"",INDEX('Eingabe Meldungen'!$D$2:$D$492,LARGE(('Eingabe Meldungen'!$A$2:$A$492=$B$21)*(ROW('Eingabe Meldungen'!$A$2:$A$492)-1),COUNTIF('Eingabe Meldungen'!$A$2:$A$492,$B$21)+1-ROW('Eingabe Meldungen'!A8))))</f>
        <v/>
      </c>
      <c r="D29" s="11" t="str">
        <f t="array" ref="D29">IF(B29&lt;&gt;"",INDEX('Eingabe Meldungen'!$C$2:$H$492,MATCH(B29&amp;C29,'Eingabe Meldungen'!$C$2:$C$492&amp;'Eingabe Meldungen'!$D$2:$D$492,0),6),"")</f>
        <v/>
      </c>
      <c r="E29" s="11" t="str">
        <f t="array" ref="E29">IF(B29&lt;&gt;"",INDEX('Eingabe Meldungen'!$C$2:$H$492,MATCH(B29&amp;C29,'Eingabe Meldungen'!$C$2:$C$492&amp;'Eingabe Meldungen'!$D$2:$D$492,0),4),"")</f>
        <v/>
      </c>
      <c r="F29" s="15">
        <v>7</v>
      </c>
      <c r="G29" s="75"/>
      <c r="H29" t="e">
        <f t="shared" si="1"/>
        <v>#N/A</v>
      </c>
      <c r="I29" s="21" t="str">
        <f t="array" ref="I29">IF(B29&lt;&gt;"",INDEX('Eingabe Meldungen'!$C$2:$J$492,MATCH(B29&amp;C29,'Eingabe Meldungen'!$C$2:$C$492&amp;'Eingabe Meldungen'!$D$2:$D$492,0),8),"")</f>
        <v/>
      </c>
      <c r="N29" s="11"/>
      <c r="O29" s="11"/>
      <c r="P29" s="15"/>
      <c r="Q29" s="11"/>
      <c r="S29" s="11"/>
      <c r="T29" s="11"/>
      <c r="U29" s="11"/>
      <c r="Y29" s="15"/>
    </row>
    <row r="30" spans="2:25" hidden="1" x14ac:dyDescent="0.2">
      <c r="B30" s="20" t="str">
        <f t="array" ref="B30">IF(ISERROR(INDEX('Eingabe Meldungen'!$C$2:$C$492,LARGE(('Eingabe Meldungen'!$A$2:$A$492=$B$21)*(ROW('Eingabe Meldungen'!$A$2:$A$492)-1),COUNTIF('Eingabe Meldungen'!$A$2:$A$492,$B$21)+1-ROW('Eingabe Meldungen'!A9)))),"",INDEX('Eingabe Meldungen'!$C$2:$C$492,LARGE(('Eingabe Meldungen'!$A$2:$A$492=$B$21)*(ROW('Eingabe Meldungen'!$A$2:$A$492)-1),COUNTIF('Eingabe Meldungen'!$A$2:$A$492,$B$21)+1-ROW('Eingabe Meldungen'!A9))))</f>
        <v/>
      </c>
      <c r="C30" t="str">
        <f t="array" ref="C30">IF(ISERROR(INDEX('Eingabe Meldungen'!$D$2:$D$492,LARGE(('Eingabe Meldungen'!$A$2:$A$492=$B$21)*(ROW('Eingabe Meldungen'!$A$2:$A$492)-1),COUNTIF('Eingabe Meldungen'!$A$2:$A$492,$B$21)+1-ROW('Eingabe Meldungen'!A9)))),"",INDEX('Eingabe Meldungen'!$D$2:$D$492,LARGE(('Eingabe Meldungen'!$A$2:$A$492=$B$21)*(ROW('Eingabe Meldungen'!$A$2:$A$492)-1),COUNTIF('Eingabe Meldungen'!$A$2:$A$492,$B$21)+1-ROW('Eingabe Meldungen'!A9))))</f>
        <v/>
      </c>
      <c r="D30" s="11" t="str">
        <f t="array" ref="D30">IF(B30&lt;&gt;"",INDEX('Eingabe Meldungen'!$C$2:$H$492,MATCH(B30&amp;C30,'Eingabe Meldungen'!$C$2:$C$492&amp;'Eingabe Meldungen'!$D$2:$D$492,0),6),"")</f>
        <v/>
      </c>
      <c r="E30" s="11" t="str">
        <f t="array" ref="E30">IF(B30&lt;&gt;"",INDEX('Eingabe Meldungen'!$C$2:$H$492,MATCH(B30&amp;C30,'Eingabe Meldungen'!$C$2:$C$492&amp;'Eingabe Meldungen'!$D$2:$D$492,0),4),"")</f>
        <v/>
      </c>
      <c r="F30" s="15">
        <v>8</v>
      </c>
      <c r="G30" s="75"/>
      <c r="H30" t="e">
        <f t="shared" si="1"/>
        <v>#N/A</v>
      </c>
      <c r="I30" s="21" t="str">
        <f t="array" ref="I30">IF(B30&lt;&gt;"",INDEX('Eingabe Meldungen'!$C$2:$J$492,MATCH(B30&amp;C30,'Eingabe Meldungen'!$C$2:$C$492&amp;'Eingabe Meldungen'!$D$2:$D$492,0),8),"")</f>
        <v/>
      </c>
      <c r="N30" s="11"/>
      <c r="O30" s="11"/>
      <c r="P30" s="15"/>
      <c r="Q30" s="11"/>
      <c r="S30" s="11"/>
      <c r="T30" s="11"/>
      <c r="U30" s="11"/>
      <c r="Y30" s="15"/>
    </row>
    <row r="31" spans="2:25" hidden="1" x14ac:dyDescent="0.2">
      <c r="B31" s="20" t="str">
        <f t="array" ref="B31">IF(ISERROR(INDEX('Eingabe Meldungen'!$C$2:$C$492,LARGE(('Eingabe Meldungen'!$A$2:$A$492=$B$21)*(ROW('Eingabe Meldungen'!$A$2:$A$492)-1),COUNTIF('Eingabe Meldungen'!$A$2:$A$492,$B$21)+1-ROW('Eingabe Meldungen'!A10)))),"",INDEX('Eingabe Meldungen'!$C$2:$C$492,LARGE(('Eingabe Meldungen'!$A$2:$A$492=$B$21)*(ROW('Eingabe Meldungen'!$A$2:$A$492)-1),COUNTIF('Eingabe Meldungen'!$A$2:$A$492,$B$21)+1-ROW('Eingabe Meldungen'!A10))))</f>
        <v/>
      </c>
      <c r="C31" t="str">
        <f t="array" ref="C31">IF(ISERROR(INDEX('Eingabe Meldungen'!$D$2:$D$492,LARGE(('Eingabe Meldungen'!$A$2:$A$492=$B$21)*(ROW('Eingabe Meldungen'!$A$2:$A$492)-1),COUNTIF('Eingabe Meldungen'!$A$2:$A$492,$B$21)+1-ROW('Eingabe Meldungen'!A10)))),"",INDEX('Eingabe Meldungen'!$D$2:$D$492,LARGE(('Eingabe Meldungen'!$A$2:$A$492=$B$21)*(ROW('Eingabe Meldungen'!$A$2:$A$492)-1),COUNTIF('Eingabe Meldungen'!$A$2:$A$492,$B$21)+1-ROW('Eingabe Meldungen'!A10))))</f>
        <v/>
      </c>
      <c r="D31" s="11" t="str">
        <f t="array" ref="D31">IF(B31&lt;&gt;"",INDEX('Eingabe Meldungen'!$C$2:$H$492,MATCH(B31&amp;C31,'Eingabe Meldungen'!$C$2:$C$492&amp;'Eingabe Meldungen'!$D$2:$D$492,0),6),"")</f>
        <v/>
      </c>
      <c r="E31" s="11" t="str">
        <f t="array" ref="E31">IF(B31&lt;&gt;"",INDEX('Eingabe Meldungen'!$C$2:$H$492,MATCH(B31&amp;C31,'Eingabe Meldungen'!$C$2:$C$492&amp;'Eingabe Meldungen'!$D$2:$D$492,0),4),"")</f>
        <v/>
      </c>
      <c r="F31" s="15">
        <v>9</v>
      </c>
      <c r="G31" s="75"/>
      <c r="H31" t="e">
        <f t="shared" si="1"/>
        <v>#N/A</v>
      </c>
      <c r="I31" s="21" t="str">
        <f t="array" ref="I31">IF(B31&lt;&gt;"",INDEX('Eingabe Meldungen'!$C$2:$J$492,MATCH(B31&amp;C31,'Eingabe Meldungen'!$C$2:$C$492&amp;'Eingabe Meldungen'!$D$2:$D$492,0),8),"")</f>
        <v/>
      </c>
      <c r="N31" s="11"/>
      <c r="O31" s="11"/>
      <c r="P31" s="15"/>
      <c r="Q31" s="11"/>
      <c r="S31" s="11"/>
      <c r="T31" s="11"/>
      <c r="U31" s="11"/>
      <c r="Y31" s="15"/>
    </row>
    <row r="32" spans="2:25" hidden="1" x14ac:dyDescent="0.2">
      <c r="B32" s="20" t="str">
        <f t="array" ref="B32">IF(ISERROR(INDEX('Eingabe Meldungen'!$C$2:$C$492,LARGE(('Eingabe Meldungen'!$A$2:$A$492=$B$21)*(ROW('Eingabe Meldungen'!$A$2:$A$492)-1),COUNTIF('Eingabe Meldungen'!$A$2:$A$492,$B$21)+1-ROW('Eingabe Meldungen'!A11)))),"",INDEX('Eingabe Meldungen'!$C$2:$C$492,LARGE(('Eingabe Meldungen'!$A$2:$A$492=$B$21)*(ROW('Eingabe Meldungen'!$A$2:$A$492)-1),COUNTIF('Eingabe Meldungen'!$A$2:$A$492,$B$21)+1-ROW('Eingabe Meldungen'!A11))))</f>
        <v/>
      </c>
      <c r="C32" t="str">
        <f t="array" ref="C32">IF(ISERROR(INDEX('Eingabe Meldungen'!$D$2:$D$492,LARGE(('Eingabe Meldungen'!$A$2:$A$492=$B$21)*(ROW('Eingabe Meldungen'!$A$2:$A$492)-1),COUNTIF('Eingabe Meldungen'!$A$2:$A$492,$B$21)+1-ROW('Eingabe Meldungen'!A11)))),"",INDEX('Eingabe Meldungen'!$D$2:$D$492,LARGE(('Eingabe Meldungen'!$A$2:$A$492=$B$21)*(ROW('Eingabe Meldungen'!$A$2:$A$492)-1),COUNTIF('Eingabe Meldungen'!$A$2:$A$492,$B$21)+1-ROW('Eingabe Meldungen'!A11))))</f>
        <v/>
      </c>
      <c r="D32" s="11" t="str">
        <f t="array" ref="D32">IF(B32&lt;&gt;"",INDEX('Eingabe Meldungen'!$C$2:$H$492,MATCH(B32&amp;C32,'Eingabe Meldungen'!$C$2:$C$492&amp;'Eingabe Meldungen'!$D$2:$D$492,0),6),"")</f>
        <v/>
      </c>
      <c r="E32" s="11" t="str">
        <f t="array" ref="E32">IF(B32&lt;&gt;"",INDEX('Eingabe Meldungen'!$C$2:$H$492,MATCH(B32&amp;C32,'Eingabe Meldungen'!$C$2:$C$492&amp;'Eingabe Meldungen'!$D$2:$D$492,0),4),"")</f>
        <v/>
      </c>
      <c r="F32" s="15">
        <v>10</v>
      </c>
      <c r="G32" s="75"/>
      <c r="H32" t="e">
        <f t="shared" si="1"/>
        <v>#N/A</v>
      </c>
      <c r="I32" s="21" t="str">
        <f t="array" ref="I32">IF(B32&lt;&gt;"",INDEX('Eingabe Meldungen'!$C$2:$J$492,MATCH(B32&amp;C32,'Eingabe Meldungen'!$C$2:$C$492&amp;'Eingabe Meldungen'!$D$2:$D$492,0),8),"")</f>
        <v/>
      </c>
      <c r="T32" s="11"/>
      <c r="U32" s="11"/>
      <c r="Y32" s="15"/>
    </row>
    <row r="33" spans="2:25" hidden="1" x14ac:dyDescent="0.2">
      <c r="B33" s="20" t="str">
        <f t="array" ref="B33">IF(ISERROR(INDEX('Eingabe Meldungen'!$C$2:$C$492,LARGE(('Eingabe Meldungen'!$A$2:$A$492=$B$21)*(ROW('Eingabe Meldungen'!$A$2:$A$492)-1),COUNTIF('Eingabe Meldungen'!$A$2:$A$492,$B$21)+1-ROW('Eingabe Meldungen'!A12)))),"",INDEX('Eingabe Meldungen'!$C$2:$C$492,LARGE(('Eingabe Meldungen'!$A$2:$A$492=$B$21)*(ROW('Eingabe Meldungen'!$A$2:$A$492)-1),COUNTIF('Eingabe Meldungen'!$A$2:$A$492,$B$21)+1-ROW('Eingabe Meldungen'!A12))))</f>
        <v/>
      </c>
      <c r="C33" t="str">
        <f t="array" ref="C33">IF(ISERROR(INDEX('Eingabe Meldungen'!$D$2:$D$492,LARGE(('Eingabe Meldungen'!$A$2:$A$492=$B$21)*(ROW('Eingabe Meldungen'!$A$2:$A$492)-1),COUNTIF('Eingabe Meldungen'!$A$2:$A$492,$B$21)+1-ROW('Eingabe Meldungen'!A12)))),"",INDEX('Eingabe Meldungen'!$D$2:$D$492,LARGE(('Eingabe Meldungen'!$A$2:$A$492=$B$21)*(ROW('Eingabe Meldungen'!$A$2:$A$492)-1),COUNTIF('Eingabe Meldungen'!$A$2:$A$492,$B$21)+1-ROW('Eingabe Meldungen'!A12))))</f>
        <v/>
      </c>
      <c r="D33" s="11" t="str">
        <f t="array" ref="D33">IF(B33&lt;&gt;"",INDEX('Eingabe Meldungen'!$C$2:$H$492,MATCH(B33&amp;C33,'Eingabe Meldungen'!$C$2:$C$492&amp;'Eingabe Meldungen'!$D$2:$D$492,0),6),"")</f>
        <v/>
      </c>
      <c r="E33" s="11" t="str">
        <f t="array" ref="E33">IF(B33&lt;&gt;"",INDEX('Eingabe Meldungen'!$C$2:$H$492,MATCH(B33&amp;C33,'Eingabe Meldungen'!$C$2:$C$492&amp;'Eingabe Meldungen'!$D$2:$D$492,0),4),"")</f>
        <v/>
      </c>
      <c r="F33" s="15">
        <v>11</v>
      </c>
      <c r="G33" s="75"/>
      <c r="H33" t="e">
        <f t="shared" si="1"/>
        <v>#N/A</v>
      </c>
      <c r="I33" s="21" t="str">
        <f t="array" ref="I33">IF(B33&lt;&gt;"",INDEX('Eingabe Meldungen'!$C$2:$J$492,MATCH(B33&amp;C33,'Eingabe Meldungen'!$C$2:$C$492&amp;'Eingabe Meldungen'!$D$2:$D$492,0),8),"")</f>
        <v/>
      </c>
      <c r="T33" s="11"/>
      <c r="U33" s="11"/>
      <c r="Y33" s="15"/>
    </row>
    <row r="34" spans="2:25" hidden="1" x14ac:dyDescent="0.2">
      <c r="B34" s="20" t="str">
        <f t="array" ref="B34">IF(ISERROR(INDEX('Eingabe Meldungen'!$C$2:$C$492,LARGE(('Eingabe Meldungen'!$A$2:$A$492=$B$21)*(ROW('Eingabe Meldungen'!$A$2:$A$492)-1),COUNTIF('Eingabe Meldungen'!$A$2:$A$492,$B$21)+1-ROW('Eingabe Meldungen'!A13)))),"",INDEX('Eingabe Meldungen'!$C$2:$C$492,LARGE(('Eingabe Meldungen'!$A$2:$A$492=$B$21)*(ROW('Eingabe Meldungen'!$A$2:$A$492)-1),COUNTIF('Eingabe Meldungen'!$A$2:$A$492,$B$21)+1-ROW('Eingabe Meldungen'!A13))))</f>
        <v/>
      </c>
      <c r="C34" t="str">
        <f t="array" ref="C34">IF(ISERROR(INDEX('Eingabe Meldungen'!$D$2:$D$492,LARGE(('Eingabe Meldungen'!$A$2:$A$492=$B$21)*(ROW('Eingabe Meldungen'!$A$2:$A$492)-1),COUNTIF('Eingabe Meldungen'!$A$2:$A$492,$B$21)+1-ROW('Eingabe Meldungen'!A13)))),"",INDEX('Eingabe Meldungen'!$D$2:$D$492,LARGE(('Eingabe Meldungen'!$A$2:$A$492=$B$21)*(ROW('Eingabe Meldungen'!$A$2:$A$492)-1),COUNTIF('Eingabe Meldungen'!$A$2:$A$492,$B$21)+1-ROW('Eingabe Meldungen'!A13))))</f>
        <v/>
      </c>
      <c r="D34" s="11" t="str">
        <f t="array" ref="D34">IF(B34&lt;&gt;"",INDEX('Eingabe Meldungen'!$C$2:$H$492,MATCH(B34&amp;C34,'Eingabe Meldungen'!$C$2:$C$492&amp;'Eingabe Meldungen'!$D$2:$D$492,0),6),"")</f>
        <v/>
      </c>
      <c r="E34" s="11" t="str">
        <f t="array" ref="E34">IF(B34&lt;&gt;"",INDEX('Eingabe Meldungen'!$C$2:$H$492,MATCH(B34&amp;C34,'Eingabe Meldungen'!$C$2:$C$492&amp;'Eingabe Meldungen'!$D$2:$D$492,0),4),"")</f>
        <v/>
      </c>
      <c r="F34" s="15">
        <v>12</v>
      </c>
      <c r="G34" s="75"/>
      <c r="H34" t="e">
        <f t="shared" si="1"/>
        <v>#N/A</v>
      </c>
      <c r="I34" s="21" t="str">
        <f t="array" ref="I34">IF(B34&lt;&gt;"",INDEX('Eingabe Meldungen'!$C$2:$J$492,MATCH(B34&amp;C34,'Eingabe Meldungen'!$C$2:$C$492&amp;'Eingabe Meldungen'!$D$2:$D$492,0),8),"")</f>
        <v/>
      </c>
      <c r="T34" s="11"/>
      <c r="U34" s="11"/>
      <c r="Y34" s="15"/>
    </row>
    <row r="35" spans="2:25" hidden="1" x14ac:dyDescent="0.2">
      <c r="B35" s="20" t="str">
        <f t="array" ref="B35">IF(ISERROR(INDEX('Eingabe Meldungen'!$C$2:$C$492,LARGE(('Eingabe Meldungen'!$A$2:$A$492=$B$21)*(ROW('Eingabe Meldungen'!$A$2:$A$492)-1),COUNTIF('Eingabe Meldungen'!$A$2:$A$492,$B$21)+1-ROW('Eingabe Meldungen'!A14)))),"",INDEX('Eingabe Meldungen'!$C$2:$C$492,LARGE(('Eingabe Meldungen'!$A$2:$A$492=$B$21)*(ROW('Eingabe Meldungen'!$A$2:$A$492)-1),COUNTIF('Eingabe Meldungen'!$A$2:$A$492,$B$21)+1-ROW('Eingabe Meldungen'!A14))))</f>
        <v/>
      </c>
      <c r="C35" t="str">
        <f t="array" ref="C35">IF(ISERROR(INDEX('Eingabe Meldungen'!$D$2:$D$492,LARGE(('Eingabe Meldungen'!$A$2:$A$492=$B$21)*(ROW('Eingabe Meldungen'!$A$2:$A$492)-1),COUNTIF('Eingabe Meldungen'!$A$2:$A$492,$B$21)+1-ROW('Eingabe Meldungen'!A14)))),"",INDEX('Eingabe Meldungen'!$D$2:$D$492,LARGE(('Eingabe Meldungen'!$A$2:$A$492=$B$21)*(ROW('Eingabe Meldungen'!$A$2:$A$492)-1),COUNTIF('Eingabe Meldungen'!$A$2:$A$492,$B$21)+1-ROW('Eingabe Meldungen'!A14))))</f>
        <v/>
      </c>
      <c r="D35" s="11" t="str">
        <f t="array" ref="D35">IF(B35&lt;&gt;"",INDEX('Eingabe Meldungen'!$C$2:$H$492,MATCH(B35&amp;C35,'Eingabe Meldungen'!$C$2:$C$492&amp;'Eingabe Meldungen'!$D$2:$D$492,0),6),"")</f>
        <v/>
      </c>
      <c r="E35" s="11" t="str">
        <f t="array" ref="E35">IF(B35&lt;&gt;"",INDEX('Eingabe Meldungen'!$C$2:$H$492,MATCH(B35&amp;C35,'Eingabe Meldungen'!$C$2:$C$492&amp;'Eingabe Meldungen'!$D$2:$D$492,0),4),"")</f>
        <v/>
      </c>
      <c r="F35" s="15">
        <v>13</v>
      </c>
      <c r="G35" s="75"/>
      <c r="H35" t="e">
        <f t="shared" si="1"/>
        <v>#N/A</v>
      </c>
      <c r="I35" s="21" t="str">
        <f t="array" ref="I35">IF(B35&lt;&gt;"",INDEX('Eingabe Meldungen'!$C$2:$J$492,MATCH(B35&amp;C35,'Eingabe Meldungen'!$C$2:$C$492&amp;'Eingabe Meldungen'!$D$2:$D$492,0),8),"")</f>
        <v/>
      </c>
      <c r="T35" s="11"/>
      <c r="U35" s="11"/>
      <c r="Y35" s="15"/>
    </row>
    <row r="36" spans="2:25" hidden="1" x14ac:dyDescent="0.2">
      <c r="B36" s="20" t="str">
        <f t="array" ref="B36">IF(ISERROR(INDEX('Eingabe Meldungen'!$C$2:$C$492,LARGE(('Eingabe Meldungen'!$A$2:$A$492=$B$21)*(ROW('Eingabe Meldungen'!$A$2:$A$492)-1),COUNTIF('Eingabe Meldungen'!$A$2:$A$492,$B$21)+1-ROW('Eingabe Meldungen'!A15)))),"",INDEX('Eingabe Meldungen'!$C$2:$C$492,LARGE(('Eingabe Meldungen'!$A$2:$A$492=$B$21)*(ROW('Eingabe Meldungen'!$A$2:$A$492)-1),COUNTIF('Eingabe Meldungen'!$A$2:$A$492,$B$21)+1-ROW('Eingabe Meldungen'!A15))))</f>
        <v/>
      </c>
      <c r="C36" t="str">
        <f t="array" ref="C36">IF(ISERROR(INDEX('Eingabe Meldungen'!$D$2:$D$492,LARGE(('Eingabe Meldungen'!$A$2:$A$492=$B$21)*(ROW('Eingabe Meldungen'!$A$2:$A$492)-1),COUNTIF('Eingabe Meldungen'!$A$2:$A$492,$B$21)+1-ROW('Eingabe Meldungen'!A15)))),"",INDEX('Eingabe Meldungen'!$D$2:$D$492,LARGE(('Eingabe Meldungen'!$A$2:$A$492=$B$21)*(ROW('Eingabe Meldungen'!$A$2:$A$492)-1),COUNTIF('Eingabe Meldungen'!$A$2:$A$492,$B$21)+1-ROW('Eingabe Meldungen'!A15))))</f>
        <v/>
      </c>
      <c r="D36" s="11" t="str">
        <f t="array" ref="D36">IF(B36&lt;&gt;"",INDEX('Eingabe Meldungen'!$C$2:$H$492,MATCH(B36&amp;C36,'Eingabe Meldungen'!$C$2:$C$492&amp;'Eingabe Meldungen'!$D$2:$D$492,0),6),"")</f>
        <v/>
      </c>
      <c r="E36" s="11" t="str">
        <f t="array" ref="E36">IF(B36&lt;&gt;"",INDEX('Eingabe Meldungen'!$C$2:$H$492,MATCH(B36&amp;C36,'Eingabe Meldungen'!$C$2:$C$492&amp;'Eingabe Meldungen'!$D$2:$D$492,0),4),"")</f>
        <v/>
      </c>
      <c r="F36" s="15">
        <v>14</v>
      </c>
      <c r="G36" s="75"/>
      <c r="H36" t="e">
        <f t="shared" si="1"/>
        <v>#N/A</v>
      </c>
      <c r="I36" s="21" t="str">
        <f t="array" ref="I36">IF(B36&lt;&gt;"",INDEX('Eingabe Meldungen'!$C$2:$J$492,MATCH(B36&amp;C36,'Eingabe Meldungen'!$C$2:$C$492&amp;'Eingabe Meldungen'!$D$2:$D$492,0),8),"")</f>
        <v/>
      </c>
      <c r="T36" s="11"/>
      <c r="U36" s="11"/>
      <c r="Y36" s="15"/>
    </row>
    <row r="37" spans="2:25" hidden="1" x14ac:dyDescent="0.2">
      <c r="B37" s="20" t="str">
        <f t="array" ref="B37">IF(ISERROR(INDEX('Eingabe Meldungen'!$C$2:$C$492,LARGE(('Eingabe Meldungen'!$A$2:$A$492=$B$21)*(ROW('Eingabe Meldungen'!$A$2:$A$492)-1),COUNTIF('Eingabe Meldungen'!$A$2:$A$492,$B$21)+1-ROW('Eingabe Meldungen'!A16)))),"",INDEX('Eingabe Meldungen'!$C$2:$C$492,LARGE(('Eingabe Meldungen'!$A$2:$A$492=$B$21)*(ROW('Eingabe Meldungen'!$A$2:$A$492)-1),COUNTIF('Eingabe Meldungen'!$A$2:$A$492,$B$21)+1-ROW('Eingabe Meldungen'!A16))))</f>
        <v/>
      </c>
      <c r="C37" t="str">
        <f t="array" ref="C37">IF(ISERROR(INDEX('Eingabe Meldungen'!$D$2:$D$492,LARGE(('Eingabe Meldungen'!$A$2:$A$492=$B$21)*(ROW('Eingabe Meldungen'!$A$2:$A$492)-1),COUNTIF('Eingabe Meldungen'!$A$2:$A$492,$B$21)+1-ROW('Eingabe Meldungen'!A16)))),"",INDEX('Eingabe Meldungen'!$D$2:$D$492,LARGE(('Eingabe Meldungen'!$A$2:$A$492=$B$21)*(ROW('Eingabe Meldungen'!$A$2:$A$492)-1),COUNTIF('Eingabe Meldungen'!$A$2:$A$492,$B$21)+1-ROW('Eingabe Meldungen'!A16))))</f>
        <v/>
      </c>
      <c r="D37" s="11" t="str">
        <f t="array" ref="D37">IF(B37&lt;&gt;"",INDEX('Eingabe Meldungen'!$C$2:$H$492,MATCH(B37&amp;C37,'Eingabe Meldungen'!$C$2:$C$492&amp;'Eingabe Meldungen'!$D$2:$D$492,0),6),"")</f>
        <v/>
      </c>
      <c r="E37" s="11" t="str">
        <f t="array" ref="E37">IF(B37&lt;&gt;"",INDEX('Eingabe Meldungen'!$C$2:$H$492,MATCH(B37&amp;C37,'Eingabe Meldungen'!$C$2:$C$492&amp;'Eingabe Meldungen'!$D$2:$D$492,0),4),"")</f>
        <v/>
      </c>
      <c r="F37" s="15">
        <v>15</v>
      </c>
      <c r="G37" s="75"/>
      <c r="H37" t="e">
        <f t="shared" si="1"/>
        <v>#N/A</v>
      </c>
      <c r="I37" s="21" t="str">
        <f t="array" ref="I37">IF(B37&lt;&gt;"",INDEX('Eingabe Meldungen'!$C$2:$J$492,MATCH(B37&amp;C37,'Eingabe Meldungen'!$C$2:$C$492&amp;'Eingabe Meldungen'!$D$2:$D$492,0),8),"")</f>
        <v/>
      </c>
      <c r="T37" s="11"/>
      <c r="U37" s="11"/>
      <c r="Y37" s="15"/>
    </row>
    <row r="38" spans="2:25" ht="13.2" hidden="1" thickBot="1" x14ac:dyDescent="0.25">
      <c r="B38" s="22" t="str">
        <f t="array" ref="B38">IF(ISERROR(INDEX('Eingabe Meldungen'!$C$2:$C$492,LARGE(('Eingabe Meldungen'!$A$2:$A$492=$B$21)*(ROW('Eingabe Meldungen'!$A$2:$A$492)-1),COUNTIF('Eingabe Meldungen'!$A$2:$A$492,$B$21)+1-ROW('Eingabe Meldungen'!A17)))),"",INDEX('Eingabe Meldungen'!$C$2:$C$492,LARGE(('Eingabe Meldungen'!$A$2:$A$492=$B$21)*(ROW('Eingabe Meldungen'!$A$2:$A$492)-1),COUNTIF('Eingabe Meldungen'!$A$2:$A$492,$B$21)+1-ROW('Eingabe Meldungen'!A17))))</f>
        <v/>
      </c>
      <c r="C38" s="14" t="str">
        <f t="array" ref="C38">IF(ISERROR(INDEX('Eingabe Meldungen'!$D$2:$D$492,LARGE(('Eingabe Meldungen'!$A$2:$A$492=$B$21)*(ROW('Eingabe Meldungen'!$A$2:$A$492)-1),COUNTIF('Eingabe Meldungen'!$A$2:$A$492,$B$21)+1-ROW('Eingabe Meldungen'!A17)))),"",INDEX('Eingabe Meldungen'!$D$2:$D$492,LARGE(('Eingabe Meldungen'!$A$2:$A$492=$B$21)*(ROW('Eingabe Meldungen'!$A$2:$A$492)-1),COUNTIF('Eingabe Meldungen'!$A$2:$A$492,$B$21)+1-ROW('Eingabe Meldungen'!A17))))</f>
        <v/>
      </c>
      <c r="D38" s="12" t="str">
        <f t="array" ref="D38">IF(B38&lt;&gt;"",INDEX('Eingabe Meldungen'!$C$2:$H$492,MATCH(B38&amp;C38,'Eingabe Meldungen'!$C$2:$C$492&amp;'Eingabe Meldungen'!$D$2:$D$492,0),6),"")</f>
        <v/>
      </c>
      <c r="E38" s="12" t="str">
        <f t="array" ref="E38">IF(B38&lt;&gt;"",INDEX('Eingabe Meldungen'!$C$2:$H$492,MATCH(B38&amp;C38,'Eingabe Meldungen'!$C$2:$C$492&amp;'Eingabe Meldungen'!$D$2:$D$492,0),4),"")</f>
        <v/>
      </c>
      <c r="F38" s="84">
        <v>16</v>
      </c>
      <c r="G38" s="76"/>
      <c r="H38" s="14" t="e">
        <f t="shared" si="1"/>
        <v>#N/A</v>
      </c>
      <c r="I38" s="23" t="str">
        <f t="array" ref="I38">IF(B38&lt;&gt;"",INDEX('Eingabe Meldungen'!$C$2:$J$492,MATCH(B38&amp;C38,'Eingabe Meldungen'!$C$2:$C$492&amp;'Eingabe Meldungen'!$D$2:$D$492,0),8),"")</f>
        <v/>
      </c>
      <c r="J38" s="14"/>
      <c r="T38" s="11"/>
      <c r="U38" s="11"/>
      <c r="Y38" s="15"/>
    </row>
    <row r="39" spans="2:25" hidden="1" x14ac:dyDescent="0.2">
      <c r="B39" s="31"/>
      <c r="C39" s="31"/>
      <c r="D39" s="11"/>
      <c r="E39" s="11"/>
      <c r="F39" s="66"/>
      <c r="G39" s="11"/>
      <c r="I39" s="11"/>
      <c r="T39" s="11"/>
      <c r="U39" s="11"/>
      <c r="Y39" s="15"/>
    </row>
    <row r="40" spans="2:25" ht="27.75" hidden="1" customHeight="1" x14ac:dyDescent="0.2">
      <c r="B40" s="94">
        <v>1</v>
      </c>
      <c r="C40" s="95" t="str">
        <f>VLOOKUP(B40,Ausschreibung!$B$5:$I$35,2,FALSE)</f>
        <v>Ergocup</v>
      </c>
      <c r="D40" s="96">
        <f>VLOOKUP(B40,Ausschreibung!$B$5:$I$35,3,FALSE)</f>
        <v>0.375</v>
      </c>
      <c r="E40" s="97" t="str">
        <f>VLOOKUP(B40,Ausschreibung!$B$5:$I$35,4,FALSE)</f>
        <v>Masters A-H, weiblich  </v>
      </c>
      <c r="F40" s="97" t="str">
        <f>VLOOKUP(B40,Ausschreibung!$B$5:$I$35,5,FALSE)</f>
        <v>-</v>
      </c>
      <c r="G40" s="95" t="str">
        <f>VLOOKUP(B40,Ausschreibung!$B$5:$I$35,6,FALSE)</f>
        <v>27 und älter  </v>
      </c>
      <c r="H40" s="95" t="str">
        <f>VLOOKUP(B40,Ausschreibung!$B$5:$I$35,8,FALSE)</f>
        <v>30 min.</v>
      </c>
      <c r="I40" s="98" t="s">
        <v>30</v>
      </c>
      <c r="J40" s="95"/>
      <c r="T40" s="11"/>
      <c r="U40" s="11"/>
      <c r="Y40" s="15"/>
    </row>
    <row r="41" spans="2:25" hidden="1" x14ac:dyDescent="0.2">
      <c r="B41" s="19" t="s">
        <v>1</v>
      </c>
      <c r="C41" s="18" t="s">
        <v>2</v>
      </c>
      <c r="D41" s="17" t="s">
        <v>49</v>
      </c>
      <c r="E41" s="25" t="s">
        <v>16</v>
      </c>
      <c r="F41" s="17" t="s">
        <v>18</v>
      </c>
      <c r="G41" s="73" t="s">
        <v>50</v>
      </c>
      <c r="H41" s="17" t="s">
        <v>51</v>
      </c>
      <c r="I41" s="30" t="s">
        <v>17</v>
      </c>
      <c r="J41" s="17"/>
      <c r="T41" s="11"/>
      <c r="U41" s="11"/>
      <c r="Y41" s="15"/>
    </row>
    <row r="42" spans="2:25" hidden="1" x14ac:dyDescent="0.2">
      <c r="B42" s="20" t="str">
        <f t="array" ref="B42">IF(ISERROR(INDEX('Eingabe Meldungen'!$C$2:$C$492,LARGE(('Eingabe Meldungen'!$A$2:$A$492=$B$40)*(ROW('Eingabe Meldungen'!$A$2:$A$492)-1),COUNTIF('Eingabe Meldungen'!$A$2:$A$492,$B$40)+1-ROW('Eingabe Meldungen'!A1)))),"",INDEX('Eingabe Meldungen'!$C$2:$C$492,LARGE(('Eingabe Meldungen'!$A$2:$A$492=$B$40)*(ROW('Eingabe Meldungen'!$A$2:$A$492)-1),COUNTIF('Eingabe Meldungen'!$A$2:$A$492,$B$40)+1-ROW('Eingabe Meldungen'!A1))))</f>
        <v>Reinert</v>
      </c>
      <c r="C42" t="str">
        <f t="array" ref="C42">IF(ISERROR(INDEX('Eingabe Meldungen'!$D$2:$D$492,LARGE(('Eingabe Meldungen'!$A$2:$A$492=$B$40)*(ROW('Eingabe Meldungen'!$A$2:$A$492)-1),COUNTIF('Eingabe Meldungen'!$A$2:$A$492,$B$40)+1-ROW('Eingabe Meldungen'!A1)))),"",INDEX('Eingabe Meldungen'!$D$2:$D$492,LARGE(('Eingabe Meldungen'!$A$2:$A$492=$B$40)*(ROW('Eingabe Meldungen'!$A$2:$A$492)-1),COUNTIF('Eingabe Meldungen'!$A$2:$A$492,$B$40)+1-ROW('Eingabe Meldungen'!A1))))</f>
        <v>Ingrid</v>
      </c>
      <c r="D42" s="11">
        <f t="array" ref="D42">IF(B42&lt;&gt;"",INDEX('Eingabe Meldungen'!$C$2:$H$492,MATCH(B42&amp;C42,'Eingabe Meldungen'!$C$2:$C$492&amp;'Eingabe Meldungen'!$D$2:$D$492,0),6),"")</f>
        <v>1960</v>
      </c>
      <c r="E42" s="11" t="str">
        <f t="array" ref="E42">IF(B42&lt;&gt;"",INDEX('Eingabe Meldungen'!$C$2:$H$492,MATCH(B42&amp;C42,'Eingabe Meldungen'!$C$2:$C$492&amp;'Eingabe Meldungen'!$D$2:$D$492,0),4),"")</f>
        <v>F</v>
      </c>
      <c r="F42" s="66">
        <v>1</v>
      </c>
      <c r="G42" s="74"/>
      <c r="H42" t="e">
        <f>RANK(G42,$G$42:$G$57,1)</f>
        <v>#N/A</v>
      </c>
      <c r="I42" s="21" t="str">
        <f t="array" ref="I42">IF(B42&lt;&gt;"",INDEX('Eingabe Meldungen'!$C$2:$J$492,MATCH(B42&amp;C42,'Eingabe Meldungen'!$C$2:$C$492&amp;'Eingabe Meldungen'!$D$2:$D$492,0),8),"")</f>
        <v>HRG Schwaben</v>
      </c>
      <c r="T42" s="11"/>
      <c r="U42" s="11"/>
      <c r="Y42" s="15"/>
    </row>
    <row r="43" spans="2:25" hidden="1" x14ac:dyDescent="0.2">
      <c r="B43" s="20" t="str">
        <f t="array" ref="B43">IF(ISERROR(INDEX('Eingabe Meldungen'!$C$2:$C$492,LARGE(('Eingabe Meldungen'!$A$2:$A$492=$B$40)*(ROW('Eingabe Meldungen'!$A$2:$A$492)-1),COUNTIF('Eingabe Meldungen'!$A$2:$A$492,$B$40)+1-ROW('Eingabe Meldungen'!A2)))),"",INDEX('Eingabe Meldungen'!$C$2:$C$492,LARGE(('Eingabe Meldungen'!$A$2:$A$492=$B$40)*(ROW('Eingabe Meldungen'!$A$2:$A$492)-1),COUNTIF('Eingabe Meldungen'!$A$2:$A$492,$B$40)+1-ROW('Eingabe Meldungen'!A2))))</f>
        <v>Schmidt</v>
      </c>
      <c r="C43" t="str">
        <f t="array" ref="C43">IF(ISERROR(INDEX('Eingabe Meldungen'!$D$2:$D$492,LARGE(('Eingabe Meldungen'!$A$2:$A$492=$B$40)*(ROW('Eingabe Meldungen'!$A$2:$A$492)-1),COUNTIF('Eingabe Meldungen'!$A$2:$A$492,$B$40)+1-ROW('Eingabe Meldungen'!A2)))),"",INDEX('Eingabe Meldungen'!$D$2:$D$492,LARGE(('Eingabe Meldungen'!$A$2:$A$492=$B$40)*(ROW('Eingabe Meldungen'!$A$2:$A$492)-1),COUNTIF('Eingabe Meldungen'!$A$2:$A$492,$B$40)+1-ROW('Eingabe Meldungen'!A2))))</f>
        <v>Henriette</v>
      </c>
      <c r="D43" s="11">
        <f t="array" ref="D43">IF(B43&lt;&gt;"",INDEX('Eingabe Meldungen'!$C$2:$H$492,MATCH(B43&amp;C43,'Eingabe Meldungen'!$C$2:$C$492&amp;'Eingabe Meldungen'!$D$2:$D$492,0),6),"")</f>
        <v>1965</v>
      </c>
      <c r="E43" s="11" t="str">
        <f t="array" ref="E43">IF(B43&lt;&gt;"",INDEX('Eingabe Meldungen'!$C$2:$H$492,MATCH(B43&amp;C43,'Eingabe Meldungen'!$C$2:$C$492&amp;'Eingabe Meldungen'!$D$2:$D$492,0),4),"")</f>
        <v>D</v>
      </c>
      <c r="F43" s="15">
        <v>2</v>
      </c>
      <c r="G43" s="74"/>
      <c r="H43" t="e">
        <f t="shared" ref="H43:H57" si="2">RANK(G43,$G$42:$G$57,1)</f>
        <v>#N/A</v>
      </c>
      <c r="I43" s="21" t="str">
        <f t="array" ref="I43">IF(B43&lt;&gt;"",INDEX('Eingabe Meldungen'!$C$2:$J$492,MATCH(B43&amp;C43,'Eingabe Meldungen'!$C$2:$C$492&amp;'Eingabe Meldungen'!$D$2:$D$492,0),8),"")</f>
        <v>Marbacher Ruderverein</v>
      </c>
      <c r="T43" s="11"/>
      <c r="U43" s="11"/>
      <c r="Y43" s="15"/>
    </row>
    <row r="44" spans="2:25" hidden="1" x14ac:dyDescent="0.2">
      <c r="B44" s="20" t="str">
        <f t="array" ref="B44">IF(ISERROR(INDEX('Eingabe Meldungen'!$C$2:$C$492,LARGE(('Eingabe Meldungen'!$A$2:$A$492=$B$40)*(ROW('Eingabe Meldungen'!$A$2:$A$492)-1),COUNTIF('Eingabe Meldungen'!$A$2:$A$492,$B$40)+1-ROW('Eingabe Meldungen'!A3)))),"",INDEX('Eingabe Meldungen'!$C$2:$C$492,LARGE(('Eingabe Meldungen'!$A$2:$A$492=$B$40)*(ROW('Eingabe Meldungen'!$A$2:$A$492)-1),COUNTIF('Eingabe Meldungen'!$A$2:$A$492,$B$40)+1-ROW('Eingabe Meldungen'!A3))))</f>
        <v>Young</v>
      </c>
      <c r="C44" t="str">
        <f t="array" ref="C44">IF(ISERROR(INDEX('Eingabe Meldungen'!$D$2:$D$492,LARGE(('Eingabe Meldungen'!$A$2:$A$492=$B$40)*(ROW('Eingabe Meldungen'!$A$2:$A$492)-1),COUNTIF('Eingabe Meldungen'!$A$2:$A$492,$B$40)+1-ROW('Eingabe Meldungen'!A3)))),"",INDEX('Eingabe Meldungen'!$D$2:$D$492,LARGE(('Eingabe Meldungen'!$A$2:$A$492=$B$40)*(ROW('Eingabe Meldungen'!$A$2:$A$492)-1),COUNTIF('Eingabe Meldungen'!$A$2:$A$492,$B$40)+1-ROW('Eingabe Meldungen'!A3))))</f>
        <v>Susan</v>
      </c>
      <c r="D44" s="11">
        <f t="array" ref="D44">IF(B44&lt;&gt;"",INDEX('Eingabe Meldungen'!$C$2:$H$492,MATCH(B44&amp;C44,'Eingabe Meldungen'!$C$2:$C$492&amp;'Eingabe Meldungen'!$D$2:$D$492,0),6),"")</f>
        <v>1965</v>
      </c>
      <c r="E44" s="11" t="str">
        <f t="array" ref="E44">IF(B44&lt;&gt;"",INDEX('Eingabe Meldungen'!$C$2:$H$492,MATCH(B44&amp;C44,'Eingabe Meldungen'!$C$2:$C$492&amp;'Eingabe Meldungen'!$D$2:$D$492,0),4),"")</f>
        <v>D</v>
      </c>
      <c r="F44" s="15">
        <v>3</v>
      </c>
      <c r="G44" s="75"/>
      <c r="H44" t="e">
        <f t="shared" si="2"/>
        <v>#N/A</v>
      </c>
      <c r="I44" s="21" t="str">
        <f t="array" ref="I44">IF(B44&lt;&gt;"",INDEX('Eingabe Meldungen'!$C$2:$J$492,MATCH(B44&amp;C44,'Eingabe Meldungen'!$C$2:$C$492&amp;'Eingabe Meldungen'!$D$2:$D$492,0),8),"")</f>
        <v>Sub7 IRC</v>
      </c>
      <c r="N44" s="11"/>
      <c r="O44" s="11"/>
      <c r="P44" s="15"/>
      <c r="Q44" s="11"/>
      <c r="S44" s="11"/>
      <c r="T44" s="11"/>
      <c r="U44" s="11"/>
      <c r="Y44" s="15"/>
    </row>
    <row r="45" spans="2:25" hidden="1" x14ac:dyDescent="0.2">
      <c r="B45" s="20" t="str">
        <f t="array" ref="B45">IF(ISERROR(INDEX('Eingabe Meldungen'!$C$2:$C$492,LARGE(('Eingabe Meldungen'!$A$2:$A$492=$B$40)*(ROW('Eingabe Meldungen'!$A$2:$A$492)-1),COUNTIF('Eingabe Meldungen'!$A$2:$A$492,$B$40)+1-ROW('Eingabe Meldungen'!A4)))),"",INDEX('Eingabe Meldungen'!$C$2:$C$492,LARGE(('Eingabe Meldungen'!$A$2:$A$492=$B$40)*(ROW('Eingabe Meldungen'!$A$2:$A$492)-1),COUNTIF('Eingabe Meldungen'!$A$2:$A$492,$B$40)+1-ROW('Eingabe Meldungen'!A4))))</f>
        <v>Breitenbücher</v>
      </c>
      <c r="C45" t="str">
        <f t="array" ref="C45">IF(ISERROR(INDEX('Eingabe Meldungen'!$D$2:$D$492,LARGE(('Eingabe Meldungen'!$A$2:$A$492=$B$40)*(ROW('Eingabe Meldungen'!$A$2:$A$492)-1),COUNTIF('Eingabe Meldungen'!$A$2:$A$492,$B$40)+1-ROW('Eingabe Meldungen'!A4)))),"",INDEX('Eingabe Meldungen'!$D$2:$D$492,LARGE(('Eingabe Meldungen'!$A$2:$A$492=$B$40)*(ROW('Eingabe Meldungen'!$A$2:$A$492)-1),COUNTIF('Eingabe Meldungen'!$A$2:$A$492,$B$40)+1-ROW('Eingabe Meldungen'!A4))))</f>
        <v>Heike</v>
      </c>
      <c r="D45" s="11">
        <f t="array" ref="D45">IF(B45&lt;&gt;"",INDEX('Eingabe Meldungen'!$C$2:$H$492,MATCH(B45&amp;C45,'Eingabe Meldungen'!$C$2:$C$492&amp;'Eingabe Meldungen'!$D$2:$D$492,0),6),"")</f>
        <v>1967</v>
      </c>
      <c r="E45" s="11" t="str">
        <f t="array" ref="E45">IF(B45&lt;&gt;"",INDEX('Eingabe Meldungen'!$C$2:$H$492,MATCH(B45&amp;C45,'Eingabe Meldungen'!$C$2:$C$492&amp;'Eingabe Meldungen'!$D$2:$D$492,0),4),"")</f>
        <v>D</v>
      </c>
      <c r="F45" s="15">
        <v>4</v>
      </c>
      <c r="G45" s="75"/>
      <c r="H45" t="e">
        <f t="shared" si="2"/>
        <v>#N/A</v>
      </c>
      <c r="I45" s="21" t="str">
        <f t="array" ref="I45">IF(B45&lt;&gt;"",INDEX('Eingabe Meldungen'!$C$2:$J$492,MATCH(B45&amp;C45,'Eingabe Meldungen'!$C$2:$C$492&amp;'Eingabe Meldungen'!$D$2:$D$492,0),8),"")</f>
        <v>Marbacher Ruderverein</v>
      </c>
      <c r="N45" s="11"/>
      <c r="O45" s="11"/>
      <c r="P45" s="15"/>
      <c r="Q45" s="11"/>
      <c r="S45" s="11"/>
      <c r="T45" s="11"/>
      <c r="U45" s="11"/>
      <c r="Y45" s="15"/>
    </row>
    <row r="46" spans="2:25" ht="15.75" hidden="1" customHeight="1" x14ac:dyDescent="0.2">
      <c r="B46" s="20" t="str">
        <f t="array" ref="B46">IF(ISERROR(INDEX('Eingabe Meldungen'!$C$2:$C$492,LARGE(('Eingabe Meldungen'!$A$2:$A$492=$B$40)*(ROW('Eingabe Meldungen'!$A$2:$A$492)-1),COUNTIF('Eingabe Meldungen'!$A$2:$A$492,$B$40)+1-ROW('Eingabe Meldungen'!A5)))),"",INDEX('Eingabe Meldungen'!$C$2:$C$492,LARGE(('Eingabe Meldungen'!$A$2:$A$492=$B$40)*(ROW('Eingabe Meldungen'!$A$2:$A$492)-1),COUNTIF('Eingabe Meldungen'!$A$2:$A$492,$B$40)+1-ROW('Eingabe Meldungen'!A5))))</f>
        <v>Schmidt</v>
      </c>
      <c r="C46" t="str">
        <f t="array" ref="C46">IF(ISERROR(INDEX('Eingabe Meldungen'!$D$2:$D$492,LARGE(('Eingabe Meldungen'!$A$2:$A$492=$B$40)*(ROW('Eingabe Meldungen'!$A$2:$A$492)-1),COUNTIF('Eingabe Meldungen'!$A$2:$A$492,$B$40)+1-ROW('Eingabe Meldungen'!A5)))),"",INDEX('Eingabe Meldungen'!$D$2:$D$492,LARGE(('Eingabe Meldungen'!$A$2:$A$492=$B$40)*(ROW('Eingabe Meldungen'!$A$2:$A$492)-1),COUNTIF('Eingabe Meldungen'!$A$2:$A$492,$B$40)+1-ROW('Eingabe Meldungen'!A5))))</f>
        <v>Uta</v>
      </c>
      <c r="D46" s="11">
        <f t="array" ref="D46">IF(B46&lt;&gt;"",INDEX('Eingabe Meldungen'!$C$2:$H$492,MATCH(B46&amp;C46,'Eingabe Meldungen'!$C$2:$C$492&amp;'Eingabe Meldungen'!$D$2:$D$492,0),6),"")</f>
        <v>1972</v>
      </c>
      <c r="E46" s="11" t="str">
        <f t="array" ref="E46">IF(B46&lt;&gt;"",INDEX('Eingabe Meldungen'!$C$2:$H$492,MATCH(B46&amp;C46,'Eingabe Meldungen'!$C$2:$C$492&amp;'Eingabe Meldungen'!$D$2:$D$492,0),4),"")</f>
        <v>C</v>
      </c>
      <c r="F46" s="15">
        <v>5</v>
      </c>
      <c r="G46" s="75"/>
      <c r="H46" t="e">
        <f t="shared" si="2"/>
        <v>#N/A</v>
      </c>
      <c r="I46" s="21" t="str">
        <f t="array" ref="I46">IF(B46&lt;&gt;"",INDEX('Eingabe Meldungen'!$C$2:$J$492,MATCH(B46&amp;C46,'Eingabe Meldungen'!$C$2:$C$492&amp;'Eingabe Meldungen'!$D$2:$D$492,0),8),"")</f>
        <v>Marbacher Ruderverein</v>
      </c>
      <c r="N46" s="11"/>
      <c r="O46" s="11"/>
      <c r="P46" s="15"/>
      <c r="Q46" s="11"/>
      <c r="S46" s="11"/>
      <c r="T46" s="11"/>
      <c r="U46" s="11"/>
      <c r="Y46" s="15"/>
    </row>
    <row r="47" spans="2:25" hidden="1" x14ac:dyDescent="0.2">
      <c r="B47" s="20" t="str">
        <f t="array" ref="B47">IF(ISERROR(INDEX('Eingabe Meldungen'!$C$2:$C$492,LARGE(('Eingabe Meldungen'!$A$2:$A$492=$B$40)*(ROW('Eingabe Meldungen'!$A$2:$A$492)-1),COUNTIF('Eingabe Meldungen'!$A$2:$A$492,$B$40)+1-ROW('Eingabe Meldungen'!A6)))),"",INDEX('Eingabe Meldungen'!$C$2:$C$492,LARGE(('Eingabe Meldungen'!$A$2:$A$492=$B$40)*(ROW('Eingabe Meldungen'!$A$2:$A$492)-1),COUNTIF('Eingabe Meldungen'!$A$2:$A$492,$B$40)+1-ROW('Eingabe Meldungen'!A6))))</f>
        <v>Vogt</v>
      </c>
      <c r="C47" t="str">
        <f t="array" ref="C47">IF(ISERROR(INDEX('Eingabe Meldungen'!$D$2:$D$492,LARGE(('Eingabe Meldungen'!$A$2:$A$492=$B$40)*(ROW('Eingabe Meldungen'!$A$2:$A$492)-1),COUNTIF('Eingabe Meldungen'!$A$2:$A$492,$B$40)+1-ROW('Eingabe Meldungen'!A6)))),"",INDEX('Eingabe Meldungen'!$D$2:$D$492,LARGE(('Eingabe Meldungen'!$A$2:$A$492=$B$40)*(ROW('Eingabe Meldungen'!$A$2:$A$492)-1),COUNTIF('Eingabe Meldungen'!$A$2:$A$492,$B$40)+1-ROW('Eingabe Meldungen'!A6))))</f>
        <v>Antje</v>
      </c>
      <c r="D47" s="11">
        <f t="array" ref="D47">IF(B47&lt;&gt;"",INDEX('Eingabe Meldungen'!$C$2:$H$492,MATCH(B47&amp;C47,'Eingabe Meldungen'!$C$2:$C$492&amp;'Eingabe Meldungen'!$D$2:$D$492,0),6),"")</f>
        <v>1975</v>
      </c>
      <c r="E47" s="11" t="str">
        <f t="array" ref="E47">IF(B47&lt;&gt;"",INDEX('Eingabe Meldungen'!$C$2:$H$492,MATCH(B47&amp;C47,'Eingabe Meldungen'!$C$2:$C$492&amp;'Eingabe Meldungen'!$D$2:$D$492,0),4),"")</f>
        <v>C</v>
      </c>
      <c r="F47" s="15">
        <v>6</v>
      </c>
      <c r="G47" s="75"/>
      <c r="H47" t="e">
        <f t="shared" si="2"/>
        <v>#N/A</v>
      </c>
      <c r="I47" s="21" t="str">
        <f t="array" ref="I47">IF(B47&lt;&gt;"",INDEX('Eingabe Meldungen'!$C$2:$J$492,MATCH(B47&amp;C47,'Eingabe Meldungen'!$C$2:$C$492&amp;'Eingabe Meldungen'!$D$2:$D$492,0),8),"")</f>
        <v>HRG Schwaben</v>
      </c>
      <c r="N47" s="11"/>
      <c r="O47" s="11"/>
      <c r="P47" s="15"/>
      <c r="Q47" s="11"/>
      <c r="S47" s="11"/>
      <c r="T47" s="11"/>
      <c r="U47" s="11"/>
      <c r="Y47" s="15"/>
    </row>
    <row r="48" spans="2:25" hidden="1" x14ac:dyDescent="0.2">
      <c r="B48" s="20" t="str">
        <f t="array" ref="B48">IF(ISERROR(INDEX('Eingabe Meldungen'!$C$2:$C$492,LARGE(('Eingabe Meldungen'!$A$2:$A$492=$B$40)*(ROW('Eingabe Meldungen'!$A$2:$A$492)-1),COUNTIF('Eingabe Meldungen'!$A$2:$A$492,$B$40)+1-ROW('Eingabe Meldungen'!A8)))),"",INDEX('Eingabe Meldungen'!$C$2:$C$492,LARGE(('Eingabe Meldungen'!$A$2:$A$492=$B$40)*(ROW('Eingabe Meldungen'!$A$2:$A$492)-1),COUNTIF('Eingabe Meldungen'!$A$2:$A$492,$B$40)+1-ROW('Eingabe Meldungen'!A8))))</f>
        <v>Wöppel</v>
      </c>
      <c r="C48" t="str">
        <f t="array" ref="C48">IF(ISERROR(INDEX('Eingabe Meldungen'!$D$2:$D$492,LARGE(('Eingabe Meldungen'!$A$2:$A$492=$B$40)*(ROW('Eingabe Meldungen'!$A$2:$A$492)-1),COUNTIF('Eingabe Meldungen'!$A$2:$A$492,$B$40)+1-ROW('Eingabe Meldungen'!A8)))),"",INDEX('Eingabe Meldungen'!$D$2:$D$492,LARGE(('Eingabe Meldungen'!$A$2:$A$492=$B$40)*(ROW('Eingabe Meldungen'!$A$2:$A$492)-1),COUNTIF('Eingabe Meldungen'!$A$2:$A$492,$B$40)+1-ROW('Eingabe Meldungen'!A8))))</f>
        <v>Stefanie</v>
      </c>
      <c r="D48" s="11">
        <f t="array" ref="D48">IF(B48&lt;&gt;"",INDEX('Eingabe Meldungen'!$C$2:$H$492,MATCH(B48&amp;C48,'Eingabe Meldungen'!$C$2:$C$492&amp;'Eingabe Meldungen'!$D$2:$D$492,0),6),"")</f>
        <v>1971</v>
      </c>
      <c r="E48" s="11" t="str">
        <f t="array" ref="E48">IF(B48&lt;&gt;"",INDEX('Eingabe Meldungen'!$C$2:$H$492,MATCH(B48&amp;C48,'Eingabe Meldungen'!$C$2:$C$492&amp;'Eingabe Meldungen'!$D$2:$D$492,0),4),"")</f>
        <v>C</v>
      </c>
      <c r="F48" s="15">
        <v>7</v>
      </c>
      <c r="G48" s="75"/>
      <c r="H48" t="e">
        <f t="shared" si="2"/>
        <v>#N/A</v>
      </c>
      <c r="I48" s="21" t="str">
        <f t="array" ref="I48">IF(B48&lt;&gt;"",INDEX('Eingabe Meldungen'!$C$2:$J$492,MATCH(B48&amp;C48,'Eingabe Meldungen'!$C$2:$C$492&amp;'Eingabe Meldungen'!$D$2:$D$492,0),8),"")</f>
        <v xml:space="preserve">WSV Schifferclub Neckarrems </v>
      </c>
      <c r="N48" s="11"/>
      <c r="O48" s="11"/>
      <c r="P48" s="15"/>
      <c r="Q48" s="11"/>
      <c r="S48" s="11"/>
      <c r="T48" s="11"/>
      <c r="U48" s="11"/>
      <c r="Y48" s="15"/>
    </row>
    <row r="49" spans="2:25" hidden="1" x14ac:dyDescent="0.2">
      <c r="B49" s="20" t="str">
        <f t="array" ref="B49">IF(ISERROR(INDEX('Eingabe Meldungen'!$C$2:$C$492,LARGE(('Eingabe Meldungen'!$A$2:$A$492=$B$40)*(ROW('Eingabe Meldungen'!$A$2:$A$492)-1),COUNTIF('Eingabe Meldungen'!$A$2:$A$492,$B$40)+1-ROW('Eingabe Meldungen'!A9)))),"",INDEX('Eingabe Meldungen'!$C$2:$C$492,LARGE(('Eingabe Meldungen'!$A$2:$A$492=$B$40)*(ROW('Eingabe Meldungen'!$A$2:$A$492)-1),COUNTIF('Eingabe Meldungen'!$A$2:$A$492,$B$40)+1-ROW('Eingabe Meldungen'!A9))))</f>
        <v/>
      </c>
      <c r="C49" t="str">
        <f t="array" ref="C49">IF(ISERROR(INDEX('Eingabe Meldungen'!$D$2:$D$492,LARGE(('Eingabe Meldungen'!$A$2:$A$492=$B$40)*(ROW('Eingabe Meldungen'!$A$2:$A$492)-1),COUNTIF('Eingabe Meldungen'!$A$2:$A$492,$B$40)+1-ROW('Eingabe Meldungen'!A9)))),"",INDEX('Eingabe Meldungen'!$D$2:$D$492,LARGE(('Eingabe Meldungen'!$A$2:$A$492=$B$40)*(ROW('Eingabe Meldungen'!$A$2:$A$492)-1),COUNTIF('Eingabe Meldungen'!$A$2:$A$492,$B$40)+1-ROW('Eingabe Meldungen'!A9))))</f>
        <v/>
      </c>
      <c r="D49" s="11" t="str">
        <f t="array" ref="D49">IF(B49&lt;&gt;"",INDEX('Eingabe Meldungen'!$C$2:$H$492,MATCH(B49&amp;C49,'Eingabe Meldungen'!$C$2:$C$492&amp;'Eingabe Meldungen'!$D$2:$D$492,0),6),"")</f>
        <v/>
      </c>
      <c r="E49" s="11" t="str">
        <f t="array" ref="E49">IF(B49&lt;&gt;"",INDEX('Eingabe Meldungen'!$C$2:$H$492,MATCH(B49&amp;C49,'Eingabe Meldungen'!$C$2:$C$492&amp;'Eingabe Meldungen'!$D$2:$D$492,0),4),"")</f>
        <v/>
      </c>
      <c r="F49" s="15">
        <v>8</v>
      </c>
      <c r="G49" s="75"/>
      <c r="H49" t="e">
        <f t="shared" si="2"/>
        <v>#N/A</v>
      </c>
      <c r="I49" s="21" t="str">
        <f t="array" ref="I49">IF(B49&lt;&gt;"",INDEX('Eingabe Meldungen'!$C$2:$J$492,MATCH(B49&amp;C49,'Eingabe Meldungen'!$C$2:$C$492&amp;'Eingabe Meldungen'!$D$2:$D$492,0),8),"")</f>
        <v/>
      </c>
      <c r="N49" s="11"/>
      <c r="O49" s="11"/>
      <c r="P49" s="15"/>
      <c r="Q49" s="11"/>
      <c r="S49" s="11"/>
      <c r="T49" s="11"/>
      <c r="U49" s="11"/>
      <c r="Y49" s="15"/>
    </row>
    <row r="50" spans="2:25" hidden="1" x14ac:dyDescent="0.2">
      <c r="B50" s="20" t="str">
        <f t="array" ref="B50">IF(ISERROR(INDEX('Eingabe Meldungen'!$C$2:$C$492,LARGE(('Eingabe Meldungen'!$A$2:$A$492=$B$40)*(ROW('Eingabe Meldungen'!$A$2:$A$492)-1),COUNTIF('Eingabe Meldungen'!$A$2:$A$492,$B$40)+1-ROW('Eingabe Meldungen'!A10)))),"",INDEX('Eingabe Meldungen'!$C$2:$C$492,LARGE(('Eingabe Meldungen'!$A$2:$A$492=$B$40)*(ROW('Eingabe Meldungen'!$A$2:$A$492)-1),COUNTIF('Eingabe Meldungen'!$A$2:$A$492,$B$40)+1-ROW('Eingabe Meldungen'!A10))))</f>
        <v/>
      </c>
      <c r="C50" t="str">
        <f t="array" ref="C50">IF(ISERROR(INDEX('Eingabe Meldungen'!$D$2:$D$492,LARGE(('Eingabe Meldungen'!$A$2:$A$492=$B$40)*(ROW('Eingabe Meldungen'!$A$2:$A$492)-1),COUNTIF('Eingabe Meldungen'!$A$2:$A$492,$B$40)+1-ROW('Eingabe Meldungen'!A10)))),"",INDEX('Eingabe Meldungen'!$D$2:$D$492,LARGE(('Eingabe Meldungen'!$A$2:$A$492=$B$40)*(ROW('Eingabe Meldungen'!$A$2:$A$492)-1),COUNTIF('Eingabe Meldungen'!$A$2:$A$492,$B$40)+1-ROW('Eingabe Meldungen'!A10))))</f>
        <v/>
      </c>
      <c r="D50" s="11" t="str">
        <f t="array" ref="D50">IF(B50&lt;&gt;"",INDEX('Eingabe Meldungen'!$C$2:$H$492,MATCH(B50&amp;C50,'Eingabe Meldungen'!$C$2:$C$492&amp;'Eingabe Meldungen'!$D$2:$D$492,0),6),"")</f>
        <v/>
      </c>
      <c r="E50" s="11" t="str">
        <f t="array" ref="E50">IF(B50&lt;&gt;"",INDEX('Eingabe Meldungen'!$C$2:$H$492,MATCH(B50&amp;C50,'Eingabe Meldungen'!$C$2:$C$492&amp;'Eingabe Meldungen'!$D$2:$D$492,0),4),"")</f>
        <v/>
      </c>
      <c r="F50" s="15">
        <v>9</v>
      </c>
      <c r="G50" s="75"/>
      <c r="H50" t="e">
        <f t="shared" si="2"/>
        <v>#N/A</v>
      </c>
      <c r="I50" s="21" t="str">
        <f t="array" ref="I50">IF(B50&lt;&gt;"",INDEX('Eingabe Meldungen'!$C$2:$J$492,MATCH(B50&amp;C50,'Eingabe Meldungen'!$C$2:$C$492&amp;'Eingabe Meldungen'!$D$2:$D$492,0),8),"")</f>
        <v/>
      </c>
      <c r="N50" s="11"/>
      <c r="O50" s="11"/>
      <c r="P50" s="15"/>
      <c r="Q50" s="11"/>
      <c r="S50" s="11"/>
      <c r="T50" s="11"/>
      <c r="U50" s="11"/>
      <c r="Y50" s="15"/>
    </row>
    <row r="51" spans="2:25" hidden="1" x14ac:dyDescent="0.2">
      <c r="B51" s="20" t="str">
        <f t="array" ref="B51">IF(ISERROR(INDEX('Eingabe Meldungen'!$C$2:$C$492,LARGE(('Eingabe Meldungen'!$A$2:$A$492=$B$40)*(ROW('Eingabe Meldungen'!$A$2:$A$492)-1),COUNTIF('Eingabe Meldungen'!$A$2:$A$492,$B$40)+1-ROW('Eingabe Meldungen'!A11)))),"",INDEX('Eingabe Meldungen'!$C$2:$C$492,LARGE(('Eingabe Meldungen'!$A$2:$A$492=$B$40)*(ROW('Eingabe Meldungen'!$A$2:$A$492)-1),COUNTIF('Eingabe Meldungen'!$A$2:$A$492,$B$40)+1-ROW('Eingabe Meldungen'!A11))))</f>
        <v/>
      </c>
      <c r="C51" t="str">
        <f t="array" ref="C51">IF(ISERROR(INDEX('Eingabe Meldungen'!$D$2:$D$492,LARGE(('Eingabe Meldungen'!$A$2:$A$492=$B$40)*(ROW('Eingabe Meldungen'!$A$2:$A$492)-1),COUNTIF('Eingabe Meldungen'!$A$2:$A$492,$B$40)+1-ROW('Eingabe Meldungen'!A11)))),"",INDEX('Eingabe Meldungen'!$D$2:$D$492,LARGE(('Eingabe Meldungen'!$A$2:$A$492=$B$40)*(ROW('Eingabe Meldungen'!$A$2:$A$492)-1),COUNTIF('Eingabe Meldungen'!$A$2:$A$492,$B$40)+1-ROW('Eingabe Meldungen'!A11))))</f>
        <v/>
      </c>
      <c r="D51" s="11" t="str">
        <f t="array" ref="D51">IF(B51&lt;&gt;"",INDEX('Eingabe Meldungen'!$C$2:$H$492,MATCH(B51&amp;C51,'Eingabe Meldungen'!$C$2:$C$492&amp;'Eingabe Meldungen'!$D$2:$D$492,0),6),"")</f>
        <v/>
      </c>
      <c r="E51" s="11" t="str">
        <f t="array" ref="E51">IF(B51&lt;&gt;"",INDEX('Eingabe Meldungen'!$C$2:$H$492,MATCH(B51&amp;C51,'Eingabe Meldungen'!$C$2:$C$492&amp;'Eingabe Meldungen'!$D$2:$D$492,0),4),"")</f>
        <v/>
      </c>
      <c r="F51" s="15">
        <v>10</v>
      </c>
      <c r="G51" s="75"/>
      <c r="H51" t="e">
        <f t="shared" si="2"/>
        <v>#N/A</v>
      </c>
      <c r="I51" s="21" t="str">
        <f t="array" ref="I51">IF(B51&lt;&gt;"",INDEX('Eingabe Meldungen'!$C$2:$J$492,MATCH(B51&amp;C51,'Eingabe Meldungen'!$C$2:$C$492&amp;'Eingabe Meldungen'!$D$2:$D$492,0),8),"")</f>
        <v/>
      </c>
      <c r="N51" s="11"/>
      <c r="O51" s="11"/>
      <c r="P51" s="15"/>
      <c r="Q51" s="11"/>
      <c r="S51" s="11"/>
      <c r="T51" s="11"/>
      <c r="U51" s="11"/>
      <c r="Y51" s="15"/>
    </row>
    <row r="52" spans="2:25" ht="15" hidden="1" customHeight="1" x14ac:dyDescent="0.2">
      <c r="B52" s="20" t="str">
        <f t="array" ref="B52">IF(ISERROR(INDEX('Eingabe Meldungen'!$C$2:$C$492,LARGE(('Eingabe Meldungen'!$A$2:$A$492=$B$40)*(ROW('Eingabe Meldungen'!$A$2:$A$492)-1),COUNTIF('Eingabe Meldungen'!$A$2:$A$492,$B$40)+1-ROW('Eingabe Meldungen'!A12)))),"",INDEX('Eingabe Meldungen'!$C$2:$C$492,LARGE(('Eingabe Meldungen'!$A$2:$A$492=$B$40)*(ROW('Eingabe Meldungen'!$A$2:$A$492)-1),COUNTIF('Eingabe Meldungen'!$A$2:$A$492,$B$40)+1-ROW('Eingabe Meldungen'!A12))))</f>
        <v/>
      </c>
      <c r="C52" t="str">
        <f t="array" ref="C52">IF(ISERROR(INDEX('Eingabe Meldungen'!$D$2:$D$492,LARGE(('Eingabe Meldungen'!$A$2:$A$492=$B$40)*(ROW('Eingabe Meldungen'!$A$2:$A$492)-1),COUNTIF('Eingabe Meldungen'!$A$2:$A$492,$B$40)+1-ROW('Eingabe Meldungen'!A12)))),"",INDEX('Eingabe Meldungen'!$D$2:$D$492,LARGE(('Eingabe Meldungen'!$A$2:$A$492=$B$40)*(ROW('Eingabe Meldungen'!$A$2:$A$492)-1),COUNTIF('Eingabe Meldungen'!$A$2:$A$492,$B$40)+1-ROW('Eingabe Meldungen'!A12))))</f>
        <v/>
      </c>
      <c r="D52" s="11" t="str">
        <f t="array" ref="D52">IF(B52&lt;&gt;"",INDEX('Eingabe Meldungen'!$C$2:$H$492,MATCH(B52&amp;C52,'Eingabe Meldungen'!$C$2:$C$492&amp;'Eingabe Meldungen'!$D$2:$D$492,0),6),"")</f>
        <v/>
      </c>
      <c r="E52" s="11" t="str">
        <f t="array" ref="E52">IF(B52&lt;&gt;"",INDEX('Eingabe Meldungen'!$C$2:$H$492,MATCH(B52&amp;C52,'Eingabe Meldungen'!$C$2:$C$492&amp;'Eingabe Meldungen'!$D$2:$D$492,0),4),"")</f>
        <v/>
      </c>
      <c r="F52" s="15">
        <v>11</v>
      </c>
      <c r="G52" s="75"/>
      <c r="H52" t="e">
        <f t="shared" si="2"/>
        <v>#N/A</v>
      </c>
      <c r="I52" s="21" t="str">
        <f t="array" ref="I52">IF(B52&lt;&gt;"",INDEX('Eingabe Meldungen'!$C$2:$J$492,MATCH(B52&amp;C52,'Eingabe Meldungen'!$C$2:$C$492&amp;'Eingabe Meldungen'!$D$2:$D$492,0),8),"")</f>
        <v/>
      </c>
      <c r="N52" s="11"/>
      <c r="O52" s="11"/>
      <c r="P52" s="15"/>
      <c r="Q52" s="11"/>
      <c r="S52" s="11"/>
      <c r="T52" s="11"/>
      <c r="U52" s="11"/>
      <c r="Y52" s="15"/>
    </row>
    <row r="53" spans="2:25" ht="15" hidden="1" customHeight="1" x14ac:dyDescent="0.2">
      <c r="B53" s="20" t="str">
        <f t="array" ref="B53">IF(ISERROR(INDEX('Eingabe Meldungen'!$C$2:$C$492,LARGE(('Eingabe Meldungen'!$A$2:$A$492=$B$40)*(ROW('Eingabe Meldungen'!$A$2:$A$492)-1),COUNTIF('Eingabe Meldungen'!$A$2:$A$492,$B$40)+1-ROW('Eingabe Meldungen'!A13)))),"",INDEX('Eingabe Meldungen'!$C$2:$C$492,LARGE(('Eingabe Meldungen'!$A$2:$A$492=$B$40)*(ROW('Eingabe Meldungen'!$A$2:$A$492)-1),COUNTIF('Eingabe Meldungen'!$A$2:$A$492,$B$40)+1-ROW('Eingabe Meldungen'!A13))))</f>
        <v/>
      </c>
      <c r="C53" t="str">
        <f t="array" ref="C53">IF(ISERROR(INDEX('Eingabe Meldungen'!$D$2:$D$492,LARGE(('Eingabe Meldungen'!$A$2:$A$492=$B$40)*(ROW('Eingabe Meldungen'!$A$2:$A$492)-1),COUNTIF('Eingabe Meldungen'!$A$2:$A$492,$B$40)+1-ROW('Eingabe Meldungen'!A13)))),"",INDEX('Eingabe Meldungen'!$D$2:$D$492,LARGE(('Eingabe Meldungen'!$A$2:$A$492=$B$40)*(ROW('Eingabe Meldungen'!$A$2:$A$492)-1),COUNTIF('Eingabe Meldungen'!$A$2:$A$492,$B$40)+1-ROW('Eingabe Meldungen'!A13))))</f>
        <v/>
      </c>
      <c r="D53" s="11" t="str">
        <f t="array" ref="D53">IF(B53&lt;&gt;"",INDEX('Eingabe Meldungen'!$C$2:$H$492,MATCH(B53&amp;C53,'Eingabe Meldungen'!$C$2:$C$492&amp;'Eingabe Meldungen'!$D$2:$D$492,0),6),"")</f>
        <v/>
      </c>
      <c r="E53" s="11" t="str">
        <f t="array" ref="E53">IF(B53&lt;&gt;"",INDEX('Eingabe Meldungen'!$C$2:$H$492,MATCH(B53&amp;C53,'Eingabe Meldungen'!$C$2:$C$492&amp;'Eingabe Meldungen'!$D$2:$D$492,0),4),"")</f>
        <v/>
      </c>
      <c r="F53" s="15">
        <v>12</v>
      </c>
      <c r="G53" s="75"/>
      <c r="H53" t="e">
        <f t="shared" si="2"/>
        <v>#N/A</v>
      </c>
      <c r="I53" s="21" t="str">
        <f t="array" ref="I53">IF(B53&lt;&gt;"",INDEX('Eingabe Meldungen'!$C$2:$J$492,MATCH(B53&amp;C53,'Eingabe Meldungen'!$C$2:$C$492&amp;'Eingabe Meldungen'!$D$2:$D$492,0),8),"")</f>
        <v/>
      </c>
      <c r="N53" s="11"/>
      <c r="O53" s="11"/>
      <c r="P53" s="15"/>
      <c r="Q53" s="11"/>
      <c r="S53" s="11"/>
      <c r="T53" s="11"/>
      <c r="U53" s="11"/>
      <c r="Y53" s="15"/>
    </row>
    <row r="54" spans="2:25" hidden="1" x14ac:dyDescent="0.2">
      <c r="B54" s="20" t="str">
        <f t="array" ref="B54">IF(ISERROR(INDEX('Eingabe Meldungen'!$C$2:$C$492,LARGE(('Eingabe Meldungen'!$A$2:$A$492=$B$40)*(ROW('Eingabe Meldungen'!$A$2:$A$492)-1),COUNTIF('Eingabe Meldungen'!$A$2:$A$492,$B$40)+1-ROW('Eingabe Meldungen'!A14)))),"",INDEX('Eingabe Meldungen'!$C$2:$C$492,LARGE(('Eingabe Meldungen'!$A$2:$A$492=$B$40)*(ROW('Eingabe Meldungen'!$A$2:$A$492)-1),COUNTIF('Eingabe Meldungen'!$A$2:$A$492,$B$40)+1-ROW('Eingabe Meldungen'!A14))))</f>
        <v/>
      </c>
      <c r="C54" t="str">
        <f t="array" ref="C54">IF(ISERROR(INDEX('Eingabe Meldungen'!$D$2:$D$492,LARGE(('Eingabe Meldungen'!$A$2:$A$492=$B$40)*(ROW('Eingabe Meldungen'!$A$2:$A$492)-1),COUNTIF('Eingabe Meldungen'!$A$2:$A$492,$B$40)+1-ROW('Eingabe Meldungen'!A14)))),"",INDEX('Eingabe Meldungen'!$D$2:$D$492,LARGE(('Eingabe Meldungen'!$A$2:$A$492=$B$40)*(ROW('Eingabe Meldungen'!$A$2:$A$492)-1),COUNTIF('Eingabe Meldungen'!$A$2:$A$492,$B$40)+1-ROW('Eingabe Meldungen'!A14))))</f>
        <v/>
      </c>
      <c r="D54" s="11" t="str">
        <f t="array" ref="D54">IF(B54&lt;&gt;"",INDEX('Eingabe Meldungen'!$C$2:$H$492,MATCH(B54&amp;C54,'Eingabe Meldungen'!$C$2:$C$492&amp;'Eingabe Meldungen'!$D$2:$D$492,0),6),"")</f>
        <v/>
      </c>
      <c r="E54" s="11" t="str">
        <f t="array" ref="E54">IF(B54&lt;&gt;"",INDEX('Eingabe Meldungen'!$C$2:$H$492,MATCH(B54&amp;C54,'Eingabe Meldungen'!$C$2:$C$492&amp;'Eingabe Meldungen'!$D$2:$D$492,0),4),"")</f>
        <v/>
      </c>
      <c r="F54" s="15">
        <v>13</v>
      </c>
      <c r="G54" s="75"/>
      <c r="H54" t="e">
        <f t="shared" si="2"/>
        <v>#N/A</v>
      </c>
      <c r="I54" s="21" t="str">
        <f t="array" ref="I54">IF(B54&lt;&gt;"",INDEX('Eingabe Meldungen'!$C$2:$J$492,MATCH(B54&amp;C54,'Eingabe Meldungen'!$C$2:$C$492&amp;'Eingabe Meldungen'!$D$2:$D$492,0),8),"")</f>
        <v/>
      </c>
      <c r="N54" s="11"/>
      <c r="O54" s="11"/>
      <c r="P54" s="15"/>
      <c r="Q54" s="11"/>
      <c r="S54" s="11"/>
      <c r="T54" s="11"/>
      <c r="U54" s="11"/>
    </row>
    <row r="55" spans="2:25" hidden="1" x14ac:dyDescent="0.2">
      <c r="B55" s="20" t="str">
        <f t="array" ref="B55">IF(ISERROR(INDEX('Eingabe Meldungen'!$C$2:$C$492,LARGE(('Eingabe Meldungen'!$A$2:$A$492=$B$40)*(ROW('Eingabe Meldungen'!$A$2:$A$492)-1),COUNTIF('Eingabe Meldungen'!$A$2:$A$492,$B$40)+1-ROW('Eingabe Meldungen'!A15)))),"",INDEX('Eingabe Meldungen'!$C$2:$C$492,LARGE(('Eingabe Meldungen'!$A$2:$A$492=$B$40)*(ROW('Eingabe Meldungen'!$A$2:$A$492)-1),COUNTIF('Eingabe Meldungen'!$A$2:$A$492,$B$40)+1-ROW('Eingabe Meldungen'!A15))))</f>
        <v/>
      </c>
      <c r="C55" t="str">
        <f t="array" ref="C55">IF(ISERROR(INDEX('Eingabe Meldungen'!$D$2:$D$492,LARGE(('Eingabe Meldungen'!$A$2:$A$492=$B$40)*(ROW('Eingabe Meldungen'!$A$2:$A$492)-1),COUNTIF('Eingabe Meldungen'!$A$2:$A$492,$B$40)+1-ROW('Eingabe Meldungen'!A15)))),"",INDEX('Eingabe Meldungen'!$D$2:$D$492,LARGE(('Eingabe Meldungen'!$A$2:$A$492=$B$40)*(ROW('Eingabe Meldungen'!$A$2:$A$492)-1),COUNTIF('Eingabe Meldungen'!$A$2:$A$492,$B$40)+1-ROW('Eingabe Meldungen'!A15))))</f>
        <v/>
      </c>
      <c r="D55" s="11" t="str">
        <f t="array" ref="D55">IF(B55&lt;&gt;"",INDEX('Eingabe Meldungen'!$C$2:$H$492,MATCH(B55&amp;C55,'Eingabe Meldungen'!$C$2:$C$492&amp;'Eingabe Meldungen'!$D$2:$D$492,0),6),"")</f>
        <v/>
      </c>
      <c r="E55" s="11" t="str">
        <f t="array" ref="E55">IF(B55&lt;&gt;"",INDEX('Eingabe Meldungen'!$C$2:$H$492,MATCH(B55&amp;C55,'Eingabe Meldungen'!$C$2:$C$492&amp;'Eingabe Meldungen'!$D$2:$D$492,0),4),"")</f>
        <v/>
      </c>
      <c r="F55" s="15">
        <v>14</v>
      </c>
      <c r="G55" s="75"/>
      <c r="H55" t="e">
        <f t="shared" si="2"/>
        <v>#N/A</v>
      </c>
      <c r="I55" s="21" t="str">
        <f t="array" ref="I55">IF(B55&lt;&gt;"",INDEX('Eingabe Meldungen'!$C$2:$J$492,MATCH(B55&amp;C55,'Eingabe Meldungen'!$C$2:$C$492&amp;'Eingabe Meldungen'!$D$2:$D$492,0),8),"")</f>
        <v/>
      </c>
      <c r="N55" s="11"/>
      <c r="O55" s="11"/>
      <c r="P55" s="15"/>
      <c r="Q55" s="11"/>
      <c r="S55" s="11"/>
      <c r="T55" s="11"/>
      <c r="U55" s="11"/>
      <c r="Y55" s="15"/>
    </row>
    <row r="56" spans="2:25" hidden="1" x14ac:dyDescent="0.2">
      <c r="B56" s="20" t="str">
        <f t="array" ref="B56">IF(ISERROR(INDEX('Eingabe Meldungen'!$C$2:$C$492,LARGE(('Eingabe Meldungen'!$A$2:$A$492=$B$40)*(ROW('Eingabe Meldungen'!$A$2:$A$492)-1),COUNTIF('Eingabe Meldungen'!$A$2:$A$492,$B$40)+1-ROW('Eingabe Meldungen'!A16)))),"",INDEX('Eingabe Meldungen'!$C$2:$C$492,LARGE(('Eingabe Meldungen'!$A$2:$A$492=$B$40)*(ROW('Eingabe Meldungen'!$A$2:$A$492)-1),COUNTIF('Eingabe Meldungen'!$A$2:$A$492,$B$40)+1-ROW('Eingabe Meldungen'!A16))))</f>
        <v/>
      </c>
      <c r="C56" t="str">
        <f t="array" ref="C56">IF(ISERROR(INDEX('Eingabe Meldungen'!$D$2:$D$492,LARGE(('Eingabe Meldungen'!$A$2:$A$492=$B$40)*(ROW('Eingabe Meldungen'!$A$2:$A$492)-1),COUNTIF('Eingabe Meldungen'!$A$2:$A$492,$B$40)+1-ROW('Eingabe Meldungen'!A16)))),"",INDEX('Eingabe Meldungen'!$D$2:$D$492,LARGE(('Eingabe Meldungen'!$A$2:$A$492=$B$40)*(ROW('Eingabe Meldungen'!$A$2:$A$492)-1),COUNTIF('Eingabe Meldungen'!$A$2:$A$492,$B$40)+1-ROW('Eingabe Meldungen'!A16))))</f>
        <v/>
      </c>
      <c r="D56" s="11" t="str">
        <f t="array" ref="D56">IF(B56&lt;&gt;"",INDEX('Eingabe Meldungen'!$C$2:$H$492,MATCH(B56&amp;C56,'Eingabe Meldungen'!$C$2:$C$492&amp;'Eingabe Meldungen'!$D$2:$D$492,0),6),"")</f>
        <v/>
      </c>
      <c r="E56" s="11" t="str">
        <f t="array" ref="E56">IF(B56&lt;&gt;"",INDEX('Eingabe Meldungen'!$C$2:$H$492,MATCH(B56&amp;C56,'Eingabe Meldungen'!$C$2:$C$492&amp;'Eingabe Meldungen'!$D$2:$D$492,0),4),"")</f>
        <v/>
      </c>
      <c r="F56" s="15">
        <v>15</v>
      </c>
      <c r="G56" s="75"/>
      <c r="H56" t="e">
        <f t="shared" si="2"/>
        <v>#N/A</v>
      </c>
      <c r="I56" s="21" t="str">
        <f t="array" ref="I56">IF(B56&lt;&gt;"",INDEX('Eingabe Meldungen'!$C$2:$J$492,MATCH(B56&amp;C56,'Eingabe Meldungen'!$C$2:$C$492&amp;'Eingabe Meldungen'!$D$2:$D$492,0),8),"")</f>
        <v/>
      </c>
      <c r="N56" s="11"/>
      <c r="O56" s="11"/>
      <c r="P56" s="15"/>
      <c r="Q56" s="11"/>
      <c r="S56" s="11"/>
      <c r="T56" s="11"/>
      <c r="U56" s="11"/>
      <c r="Y56" s="15"/>
    </row>
    <row r="57" spans="2:25" ht="13.2" hidden="1" thickBot="1" x14ac:dyDescent="0.25">
      <c r="B57" s="22" t="str">
        <f t="array" ref="B57">IF(ISERROR(INDEX('Eingabe Meldungen'!$C$2:$C$492,LARGE(('Eingabe Meldungen'!$A$2:$A$492=$B$40)*(ROW('Eingabe Meldungen'!$A$2:$A$492)-1),COUNTIF('Eingabe Meldungen'!$A$2:$A$492,$B$40)+1-ROW('Eingabe Meldungen'!A17)))),"",INDEX('Eingabe Meldungen'!$C$2:$C$492,LARGE(('Eingabe Meldungen'!$A$2:$A$492=$B$40)*(ROW('Eingabe Meldungen'!$A$2:$A$492)-1),COUNTIF('Eingabe Meldungen'!$A$2:$A$492,$B$40)+1-ROW('Eingabe Meldungen'!A17))))</f>
        <v/>
      </c>
      <c r="C57" s="14" t="str">
        <f t="array" ref="C57">IF(ISERROR(INDEX('Eingabe Meldungen'!$D$2:$D$492,LARGE(('Eingabe Meldungen'!$A$2:$A$492=$B$40)*(ROW('Eingabe Meldungen'!$A$2:$A$492)-1),COUNTIF('Eingabe Meldungen'!$A$2:$A$492,$B$40)+1-ROW('Eingabe Meldungen'!A17)))),"",INDEX('Eingabe Meldungen'!$D$2:$D$492,LARGE(('Eingabe Meldungen'!$A$2:$A$492=$B$40)*(ROW('Eingabe Meldungen'!$A$2:$A$492)-1),COUNTIF('Eingabe Meldungen'!$A$2:$A$492,$B$40)+1-ROW('Eingabe Meldungen'!A17))))</f>
        <v/>
      </c>
      <c r="D57" s="12" t="str">
        <f t="array" ref="D57">IF(B57&lt;&gt;"",INDEX('Eingabe Meldungen'!$C$2:$H$492,MATCH(B57&amp;C57,'Eingabe Meldungen'!$C$2:$C$492&amp;'Eingabe Meldungen'!$D$2:$D$492,0),6),"")</f>
        <v/>
      </c>
      <c r="E57" s="12" t="str">
        <f t="array" ref="E57">IF(B57&lt;&gt;"",INDEX('Eingabe Meldungen'!$C$2:$H$492,MATCH(B57&amp;C57,'Eingabe Meldungen'!$C$2:$C$492&amp;'Eingabe Meldungen'!$D$2:$D$492,0),4),"")</f>
        <v/>
      </c>
      <c r="F57" s="84">
        <v>16</v>
      </c>
      <c r="G57" s="76"/>
      <c r="H57" s="14" t="e">
        <f t="shared" si="2"/>
        <v>#N/A</v>
      </c>
      <c r="I57" s="23" t="str">
        <f t="array" ref="I57">IF(B57&lt;&gt;"",INDEX('Eingabe Meldungen'!$C$2:$J$492,MATCH(B57&amp;C57,'Eingabe Meldungen'!$C$2:$C$492&amp;'Eingabe Meldungen'!$D$2:$D$492,0),8),"")</f>
        <v/>
      </c>
      <c r="J57" s="14"/>
      <c r="M57" s="15"/>
      <c r="O57" s="11"/>
      <c r="P57" s="10"/>
      <c r="Q57" s="11"/>
      <c r="R57" s="11"/>
      <c r="S57" s="11"/>
      <c r="T57" s="11"/>
      <c r="U57" s="11"/>
      <c r="Y57" s="15"/>
    </row>
    <row r="58" spans="2:25" ht="13.2" thickBot="1" x14ac:dyDescent="0.25">
      <c r="O58" s="11"/>
      <c r="P58" s="10"/>
      <c r="Q58" s="11"/>
      <c r="R58" s="11"/>
      <c r="S58" s="11"/>
      <c r="T58" s="11"/>
      <c r="U58" s="11"/>
      <c r="Y58" s="15"/>
    </row>
    <row r="59" spans="2:25" ht="28.2" thickBot="1" x14ac:dyDescent="0.25">
      <c r="B59" s="181" t="s">
        <v>83</v>
      </c>
      <c r="C59" s="182" t="s">
        <v>84</v>
      </c>
      <c r="D59" s="183" t="s">
        <v>80</v>
      </c>
      <c r="E59" s="183" t="s">
        <v>0</v>
      </c>
      <c r="F59" s="183" t="s">
        <v>89</v>
      </c>
      <c r="G59" s="183"/>
      <c r="H59" s="183"/>
      <c r="I59" s="183"/>
      <c r="J59" s="183" t="s">
        <v>81</v>
      </c>
      <c r="K59" s="183"/>
      <c r="L59" s="183" t="s">
        <v>82</v>
      </c>
      <c r="M59" s="184"/>
      <c r="N59" s="17"/>
      <c r="O59" s="17"/>
      <c r="P59" s="17"/>
      <c r="Q59" s="17"/>
      <c r="R59" s="17"/>
      <c r="S59" s="17"/>
      <c r="T59" s="11"/>
      <c r="U59" s="11"/>
      <c r="Y59" s="15"/>
    </row>
    <row r="60" spans="2:25" ht="28.5" customHeight="1" x14ac:dyDescent="0.2">
      <c r="B60" s="298">
        <v>3</v>
      </c>
      <c r="C60" s="299" t="str">
        <f>VLOOKUP(B60,Ausschreibung!$B$5:$I$35,2,FALSE)</f>
        <v>Ergocup</v>
      </c>
      <c r="D60" s="300">
        <f>VLOOKUP(B60,Ausschreibung!$B$5:$I$35,3,FALSE)</f>
        <v>0.4861111111111111</v>
      </c>
      <c r="E60" s="299" t="str">
        <f>VLOOKUP(B60,Ausschreibung!$B$5:$I$35,4,FALSE)</f>
        <v>Jungen U14</v>
      </c>
      <c r="F60" s="299">
        <v>75</v>
      </c>
      <c r="G60" s="299" t="str">
        <f>VLOOKUP(B60,Ausschreibung!$B$5:$I$35,6,FALSE)</f>
        <v>13 und jünger</v>
      </c>
      <c r="H60" s="299" t="str">
        <f>VLOOKUP(B60,Ausschreibung!$B$5:$I$35,8,FALSE)</f>
        <v>1000 m</v>
      </c>
      <c r="I60" s="299"/>
      <c r="J60" s="301">
        <f>D60-(2*$N$60)</f>
        <v>0.40277777777777779</v>
      </c>
      <c r="K60" s="299"/>
      <c r="L60" s="301">
        <f>D60-$N$60</f>
        <v>0.44444444444444442</v>
      </c>
      <c r="M60" s="302"/>
      <c r="N60" s="82">
        <f>60/24/60</f>
        <v>4.1666666666666664E-2</v>
      </c>
      <c r="O60" s="16"/>
      <c r="P60" s="17"/>
      <c r="Q60" s="17"/>
      <c r="R60" s="17"/>
      <c r="S60" s="17"/>
      <c r="T60" s="11"/>
      <c r="U60" s="11"/>
      <c r="Y60" s="15"/>
    </row>
    <row r="61" spans="2:25" x14ac:dyDescent="0.2">
      <c r="B61" s="176" t="s">
        <v>1</v>
      </c>
      <c r="C61" s="177" t="s">
        <v>2</v>
      </c>
      <c r="D61" s="178" t="s">
        <v>4</v>
      </c>
      <c r="E61" s="179" t="s">
        <v>16</v>
      </c>
      <c r="F61" s="178" t="s">
        <v>18</v>
      </c>
      <c r="G61" s="178" t="s">
        <v>50</v>
      </c>
      <c r="H61" s="178" t="s">
        <v>51</v>
      </c>
      <c r="I61" s="180" t="s">
        <v>17</v>
      </c>
      <c r="J61" s="178" t="s">
        <v>85</v>
      </c>
      <c r="K61" s="179"/>
      <c r="L61" s="179" t="s">
        <v>50</v>
      </c>
      <c r="M61" s="185" t="s">
        <v>87</v>
      </c>
      <c r="N61" s="11"/>
      <c r="O61" s="11"/>
      <c r="P61" s="15"/>
      <c r="Q61" s="11"/>
      <c r="T61" s="11"/>
      <c r="U61" s="11"/>
      <c r="Y61" s="15"/>
    </row>
    <row r="62" spans="2:25" x14ac:dyDescent="0.2">
      <c r="B62" s="148" t="str">
        <f t="array" ref="B62">IF(ISERROR(INDEX('Eingabe Meldungen'!$C$2:$C$492,LARGE(('Eingabe Meldungen'!$A$2:$A$492=$B$60)*(ROW('Eingabe Meldungen'!$A$2:$A$492)-1),COUNTIF('Eingabe Meldungen'!$A$2:$A$492,$B$60)+1-ROW('Eingabe Meldungen'!A1)))),"",INDEX('Eingabe Meldungen'!$C$2:$C$492,LARGE(('Eingabe Meldungen'!$A$2:$A$492=$B$60)*(ROW('Eingabe Meldungen'!$A$2:$A$492)-1),COUNTIF('Eingabe Meldungen'!$A$2:$A$492,$B$60)+1-ROW('Eingabe Meldungen'!A1))))</f>
        <v>Hartig</v>
      </c>
      <c r="C62" s="40" t="str">
        <f t="array" ref="C62">IF(ISERROR(INDEX('Eingabe Meldungen'!$D$2:$D$492,LARGE(('Eingabe Meldungen'!$A$2:$A$492=$B$60)*(ROW('Eingabe Meldungen'!$A$2:$A$492)-1),COUNTIF('Eingabe Meldungen'!$A$2:$A$492,$B$60)+1-ROW('Eingabe Meldungen'!A1)))),"",INDEX('Eingabe Meldungen'!$D$2:$D$492,LARGE(('Eingabe Meldungen'!$A$2:$A$492=$B$60)*(ROW('Eingabe Meldungen'!$A$2:$A$492)-1),COUNTIF('Eingabe Meldungen'!$A$2:$A$492,$B$60)+1-ROW('Eingabe Meldungen'!A1))))</f>
        <v>Ben</v>
      </c>
      <c r="D62" s="204">
        <f t="array" ref="D62">IF(B62&lt;&gt;"",INDEX('Eingabe Meldungen'!$C$2:$H$492,MATCH(B62&amp;C62,'Eingabe Meldungen'!$C$2:$C$492&amp;'Eingabe Meldungen'!$D$2:$D$492,0),6),"")</f>
        <v>2007</v>
      </c>
      <c r="E62" s="107" t="str">
        <f t="array" ref="E62">IF(B62&lt;&gt;"",INDEX('Eingabe Meldungen'!$C$2:$H$492,MATCH(B62&amp;C62,'Eingabe Meldungen'!$C$2:$C$492&amp;'Eingabe Meldungen'!$D$2:$D$492,0),4),"")</f>
        <v>Lgw. bis 50 kg</v>
      </c>
      <c r="F62" s="107"/>
      <c r="G62" s="149"/>
      <c r="H62" s="40" t="e">
        <f>RANK(G62,$G$62:$G$77,1)</f>
        <v>#N/A</v>
      </c>
      <c r="I62" s="107" t="str">
        <f t="array" ref="I62">IF(B62&lt;&gt;"",INDEX('Eingabe Meldungen'!$C$2:$J$492,MATCH(B62&amp;C62,'Eingabe Meldungen'!$C$2:$C$492&amp;'Eingabe Meldungen'!$D$2:$D$492,0),8),"")</f>
        <v>Heidelberger Ruderklub</v>
      </c>
      <c r="J62" s="257"/>
      <c r="K62" s="257"/>
      <c r="L62" s="257"/>
      <c r="M62" s="258"/>
      <c r="N62" s="11"/>
      <c r="O62" s="11"/>
      <c r="P62" s="15"/>
      <c r="Q62" s="11"/>
      <c r="T62" s="11"/>
      <c r="U62" s="11"/>
      <c r="Y62" s="15"/>
    </row>
    <row r="63" spans="2:25" x14ac:dyDescent="0.2">
      <c r="B63" s="148" t="str">
        <f t="array" ref="B63">IF(ISERROR(INDEX('Eingabe Meldungen'!$C$2:$C$492,LARGE(('Eingabe Meldungen'!$A$2:$A$492=$B$60)*(ROW('Eingabe Meldungen'!$A$2:$A$492)-1),COUNTIF('Eingabe Meldungen'!$A$2:$A$492,$B$60)+1-ROW('Eingabe Meldungen'!A2)))),"",INDEX('Eingabe Meldungen'!$C$2:$C$492,LARGE(('Eingabe Meldungen'!$A$2:$A$492=$B$60)*(ROW('Eingabe Meldungen'!$A$2:$A$492)-1),COUNTIF('Eingabe Meldungen'!$A$2:$A$492,$B$60)+1-ROW('Eingabe Meldungen'!A2))))</f>
        <v>Wieland</v>
      </c>
      <c r="C63" s="40" t="str">
        <f t="array" ref="C63">IF(ISERROR(INDEX('Eingabe Meldungen'!$D$2:$D$492,LARGE(('Eingabe Meldungen'!$A$2:$A$492=$B$60)*(ROW('Eingabe Meldungen'!$A$2:$A$492)-1),COUNTIF('Eingabe Meldungen'!$A$2:$A$492,$B$60)+1-ROW('Eingabe Meldungen'!A2)))),"",INDEX('Eingabe Meldungen'!$D$2:$D$492,LARGE(('Eingabe Meldungen'!$A$2:$A$492=$B$60)*(ROW('Eingabe Meldungen'!$A$2:$A$492)-1),COUNTIF('Eingabe Meldungen'!$A$2:$A$492,$B$60)+1-ROW('Eingabe Meldungen'!A2))))</f>
        <v>Lennart</v>
      </c>
      <c r="D63" s="204">
        <f t="array" ref="D63">IF(B63&lt;&gt;"",INDEX('Eingabe Meldungen'!$C$2:$H$492,MATCH(B63&amp;C63,'Eingabe Meldungen'!$C$2:$C$492&amp;'Eingabe Meldungen'!$D$2:$D$492,0),6),"")</f>
        <v>2007</v>
      </c>
      <c r="E63" s="107" t="str">
        <f t="array" ref="E63">IF(B63&lt;&gt;"",INDEX('Eingabe Meldungen'!$C$2:$H$492,MATCH(B63&amp;C63,'Eingabe Meldungen'!$C$2:$C$492&amp;'Eingabe Meldungen'!$D$2:$D$492,0),4),"")</f>
        <v>Lgw. bis 50 kg</v>
      </c>
      <c r="F63" s="107"/>
      <c r="G63" s="149"/>
      <c r="H63" s="40" t="e">
        <f t="shared" ref="H63:H95" si="3">RANK(G63,$G$62:$G$77,1)</f>
        <v>#N/A</v>
      </c>
      <c r="I63" s="107" t="str">
        <f t="array" ref="I63">IF(B63&lt;&gt;"",INDEX('Eingabe Meldungen'!$C$2:$J$492,MATCH(B63&amp;C63,'Eingabe Meldungen'!$C$2:$C$492&amp;'Eingabe Meldungen'!$D$2:$D$492,0),8),"")</f>
        <v>RV Waldsee</v>
      </c>
      <c r="J63" s="257"/>
      <c r="K63" s="257"/>
      <c r="L63" s="257"/>
      <c r="M63" s="258"/>
      <c r="N63" s="11"/>
      <c r="O63" s="11"/>
      <c r="P63" s="15"/>
      <c r="Q63" s="11"/>
      <c r="T63" s="11"/>
      <c r="U63" s="11"/>
      <c r="Y63" s="15"/>
    </row>
    <row r="64" spans="2:25" x14ac:dyDescent="0.2">
      <c r="B64" s="148" t="str">
        <f t="array" ref="B64">IF(ISERROR(INDEX('Eingabe Meldungen'!$C$2:$C$492,LARGE(('Eingabe Meldungen'!$A$2:$A$492=$B$60)*(ROW('Eingabe Meldungen'!$A$2:$A$492)-1),COUNTIF('Eingabe Meldungen'!$A$2:$A$492,$B$60)+1-ROW('Eingabe Meldungen'!A3)))),"",INDEX('Eingabe Meldungen'!$C$2:$C$492,LARGE(('Eingabe Meldungen'!$A$2:$A$492=$B$60)*(ROW('Eingabe Meldungen'!$A$2:$A$492)-1),COUNTIF('Eingabe Meldungen'!$A$2:$A$492,$B$60)+1-ROW('Eingabe Meldungen'!A3))))</f>
        <v>Sprauer</v>
      </c>
      <c r="C64" s="40" t="str">
        <f t="array" ref="C64">IF(ISERROR(INDEX('Eingabe Meldungen'!$D$2:$D$492,LARGE(('Eingabe Meldungen'!$A$2:$A$492=$B$60)*(ROW('Eingabe Meldungen'!$A$2:$A$492)-1),COUNTIF('Eingabe Meldungen'!$A$2:$A$492,$B$60)+1-ROW('Eingabe Meldungen'!A3)))),"",INDEX('Eingabe Meldungen'!$D$2:$D$492,LARGE(('Eingabe Meldungen'!$A$2:$A$492=$B$60)*(ROW('Eingabe Meldungen'!$A$2:$A$492)-1),COUNTIF('Eingabe Meldungen'!$A$2:$A$492,$B$60)+1-ROW('Eingabe Meldungen'!A3))))</f>
        <v>Levin</v>
      </c>
      <c r="D64" s="204">
        <f t="array" ref="D64">IF(B64&lt;&gt;"",INDEX('Eingabe Meldungen'!$C$2:$H$492,MATCH(B64&amp;C64,'Eingabe Meldungen'!$C$2:$C$492&amp;'Eingabe Meldungen'!$D$2:$D$492,0),6),"")</f>
        <v>2007</v>
      </c>
      <c r="E64" s="107" t="str">
        <f t="array" ref="E64">IF(B64&lt;&gt;"",INDEX('Eingabe Meldungen'!$C$2:$H$492,MATCH(B64&amp;C64,'Eingabe Meldungen'!$C$2:$C$492&amp;'Eingabe Meldungen'!$D$2:$D$492,0),4),"")</f>
        <v>Lgw. bis 50 kg</v>
      </c>
      <c r="F64" s="107"/>
      <c r="G64" s="149"/>
      <c r="H64" s="40" t="e">
        <f t="shared" si="3"/>
        <v>#N/A</v>
      </c>
      <c r="I64" s="107" t="str">
        <f t="array" ref="I64">IF(B64&lt;&gt;"",INDEX('Eingabe Meldungen'!$C$2:$J$492,MATCH(B64&amp;C64,'Eingabe Meldungen'!$C$2:$C$492&amp;'Eingabe Meldungen'!$D$2:$D$492,0),8),"")</f>
        <v>Mannheimer RV "Amicitia"</v>
      </c>
      <c r="J64" s="257"/>
      <c r="K64" s="257"/>
      <c r="L64" s="257"/>
      <c r="M64" s="258"/>
      <c r="N64" s="11"/>
      <c r="O64" s="11"/>
      <c r="P64" s="15"/>
      <c r="Q64" s="11"/>
      <c r="T64" s="11"/>
      <c r="U64" s="11"/>
      <c r="Y64" s="15"/>
    </row>
    <row r="65" spans="2:25" x14ac:dyDescent="0.2">
      <c r="B65" s="148" t="str">
        <f t="array" ref="B65">IF(ISERROR(INDEX('Eingabe Meldungen'!$C$2:$C$492,LARGE(('Eingabe Meldungen'!$A$2:$A$492=$B$60)*(ROW('Eingabe Meldungen'!$A$2:$A$492)-1),COUNTIF('Eingabe Meldungen'!$A$2:$A$492,$B$60)+1-ROW('Eingabe Meldungen'!A4)))),"",INDEX('Eingabe Meldungen'!$C$2:$C$492,LARGE(('Eingabe Meldungen'!$A$2:$A$492=$B$60)*(ROW('Eingabe Meldungen'!$A$2:$A$492)-1),COUNTIF('Eingabe Meldungen'!$A$2:$A$492,$B$60)+1-ROW('Eingabe Meldungen'!A4))))</f>
        <v>Deuter</v>
      </c>
      <c r="C65" s="40" t="str">
        <f t="array" ref="C65">IF(ISERROR(INDEX('Eingabe Meldungen'!$D$2:$D$492,LARGE(('Eingabe Meldungen'!$A$2:$A$492=$B$60)*(ROW('Eingabe Meldungen'!$A$2:$A$492)-1),COUNTIF('Eingabe Meldungen'!$A$2:$A$492,$B$60)+1-ROW('Eingabe Meldungen'!A4)))),"",INDEX('Eingabe Meldungen'!$D$2:$D$492,LARGE(('Eingabe Meldungen'!$A$2:$A$492=$B$60)*(ROW('Eingabe Meldungen'!$A$2:$A$492)-1),COUNTIF('Eingabe Meldungen'!$A$2:$A$492,$B$60)+1-ROW('Eingabe Meldungen'!A4))))</f>
        <v>Lucius</v>
      </c>
      <c r="D65" s="204">
        <f t="array" ref="D65">IF(B65&lt;&gt;"",INDEX('Eingabe Meldungen'!$C$2:$H$492,MATCH(B65&amp;C65,'Eingabe Meldungen'!$C$2:$C$492&amp;'Eingabe Meldungen'!$D$2:$D$492,0),6),"")</f>
        <v>2007</v>
      </c>
      <c r="E65" s="107" t="str">
        <f t="array" ref="E65">IF(B65&lt;&gt;"",INDEX('Eingabe Meldungen'!$C$2:$H$492,MATCH(B65&amp;C65,'Eingabe Meldungen'!$C$2:$C$492&amp;'Eingabe Meldungen'!$D$2:$D$492,0),4),"")</f>
        <v>Lgw. bis 50 kg</v>
      </c>
      <c r="F65" s="107"/>
      <c r="G65" s="149"/>
      <c r="H65" s="40" t="e">
        <f t="shared" si="3"/>
        <v>#N/A</v>
      </c>
      <c r="I65" s="107" t="str">
        <f t="array" ref="I65">IF(B65&lt;&gt;"",INDEX('Eingabe Meldungen'!$C$2:$J$492,MATCH(B65&amp;C65,'Eingabe Meldungen'!$C$2:$C$492&amp;'Eingabe Meldungen'!$D$2:$D$492,0),8),"")</f>
        <v>Mannheimer RV "Amicitia"</v>
      </c>
      <c r="J65" s="257"/>
      <c r="K65" s="257"/>
      <c r="L65" s="257"/>
      <c r="M65" s="269"/>
      <c r="N65" s="11"/>
      <c r="O65" s="11"/>
      <c r="P65" s="15"/>
      <c r="Q65" s="11"/>
      <c r="T65" s="11"/>
      <c r="U65" s="11"/>
      <c r="Y65" s="15"/>
    </row>
    <row r="66" spans="2:25" x14ac:dyDescent="0.2">
      <c r="B66" s="148" t="str">
        <f t="array" ref="B66">IF(ISERROR(INDEX('Eingabe Meldungen'!$C$2:$C$492,LARGE(('Eingabe Meldungen'!$A$2:$A$492=$B$60)*(ROW('Eingabe Meldungen'!$A$2:$A$492)-1),COUNTIF('Eingabe Meldungen'!$A$2:$A$492,$B$60)+1-ROW('Eingabe Meldungen'!A5)))),"",INDEX('Eingabe Meldungen'!$C$2:$C$492,LARGE(('Eingabe Meldungen'!$A$2:$A$492=$B$60)*(ROW('Eingabe Meldungen'!$A$2:$A$492)-1),COUNTIF('Eingabe Meldungen'!$A$2:$A$492,$B$60)+1-ROW('Eingabe Meldungen'!A5))))</f>
        <v>Roob</v>
      </c>
      <c r="C66" s="40" t="str">
        <f t="array" ref="C66">IF(ISERROR(INDEX('Eingabe Meldungen'!$D$2:$D$492,LARGE(('Eingabe Meldungen'!$A$2:$A$492=$B$60)*(ROW('Eingabe Meldungen'!$A$2:$A$492)-1),COUNTIF('Eingabe Meldungen'!$A$2:$A$492,$B$60)+1-ROW('Eingabe Meldungen'!A5)))),"",INDEX('Eingabe Meldungen'!$D$2:$D$492,LARGE(('Eingabe Meldungen'!$A$2:$A$492=$B$60)*(ROW('Eingabe Meldungen'!$A$2:$A$492)-1),COUNTIF('Eingabe Meldungen'!$A$2:$A$492,$B$60)+1-ROW('Eingabe Meldungen'!A5))))</f>
        <v>Milo</v>
      </c>
      <c r="D66" s="204">
        <f t="array" ref="D66">IF(B66&lt;&gt;"",INDEX('Eingabe Meldungen'!$C$2:$H$492,MATCH(B66&amp;C66,'Eingabe Meldungen'!$C$2:$C$492&amp;'Eingabe Meldungen'!$D$2:$D$492,0),6),"")</f>
        <v>2007</v>
      </c>
      <c r="E66" s="107" t="str">
        <f t="array" ref="E66">IF(B66&lt;&gt;"",INDEX('Eingabe Meldungen'!$C$2:$H$492,MATCH(B66&amp;C66,'Eingabe Meldungen'!$C$2:$C$492&amp;'Eingabe Meldungen'!$D$2:$D$492,0),4),"")</f>
        <v>Lgw. bis 50 kg</v>
      </c>
      <c r="F66" s="107"/>
      <c r="G66" s="149"/>
      <c r="H66" s="40" t="e">
        <f t="shared" si="3"/>
        <v>#N/A</v>
      </c>
      <c r="I66" s="107" t="str">
        <f t="array" ref="I66">IF(B66&lt;&gt;"",INDEX('Eingabe Meldungen'!$C$2:$J$492,MATCH(B66&amp;C66,'Eingabe Meldungen'!$C$2:$C$492&amp;'Eingabe Meldungen'!$D$2:$D$492,0),8),"")</f>
        <v>Mannheimer RV "Amicitia"</v>
      </c>
      <c r="J66" s="257"/>
      <c r="K66" s="257"/>
      <c r="L66" s="257"/>
      <c r="M66" s="258"/>
      <c r="N66" s="11"/>
      <c r="O66" s="11"/>
      <c r="P66" s="15"/>
      <c r="Q66" s="11"/>
      <c r="T66" s="11"/>
      <c r="U66" s="11"/>
      <c r="Y66" s="15"/>
    </row>
    <row r="67" spans="2:25" ht="12.75" customHeight="1" x14ac:dyDescent="0.2">
      <c r="B67" s="148" t="str">
        <f t="array" ref="B67">IF(ISERROR(INDEX('Eingabe Meldungen'!$C$2:$C$492,LARGE(('Eingabe Meldungen'!$A$2:$A$492=$B$60)*(ROW('Eingabe Meldungen'!$A$2:$A$492)-1),COUNTIF('Eingabe Meldungen'!$A$2:$A$492,$B$60)+1-ROW('Eingabe Meldungen'!A6)))),"",INDEX('Eingabe Meldungen'!$C$2:$C$492,LARGE(('Eingabe Meldungen'!$A$2:$A$492=$B$60)*(ROW('Eingabe Meldungen'!$A$2:$A$492)-1),COUNTIF('Eingabe Meldungen'!$A$2:$A$492,$B$60)+1-ROW('Eingabe Meldungen'!A6))))</f>
        <v>Klisch</v>
      </c>
      <c r="C67" s="40" t="str">
        <f t="array" ref="C67">IF(ISERROR(INDEX('Eingabe Meldungen'!$D$2:$D$492,LARGE(('Eingabe Meldungen'!$A$2:$A$492=$B$60)*(ROW('Eingabe Meldungen'!$A$2:$A$492)-1),COUNTIF('Eingabe Meldungen'!$A$2:$A$492,$B$60)+1-ROW('Eingabe Meldungen'!A6)))),"",INDEX('Eingabe Meldungen'!$D$2:$D$492,LARGE(('Eingabe Meldungen'!$A$2:$A$492=$B$60)*(ROW('Eingabe Meldungen'!$A$2:$A$492)-1),COUNTIF('Eingabe Meldungen'!$A$2:$A$492,$B$60)+1-ROW('Eingabe Meldungen'!A6))))</f>
        <v>Lars</v>
      </c>
      <c r="D67" s="204">
        <f t="array" ref="D67">IF(B67&lt;&gt;"",INDEX('Eingabe Meldungen'!$C$2:$H$492,MATCH(B67&amp;C67,'Eingabe Meldungen'!$C$2:$C$492&amp;'Eingabe Meldungen'!$D$2:$D$492,0),6),"")</f>
        <v>2008</v>
      </c>
      <c r="E67" s="107" t="str">
        <f t="array" ref="E67">IF(B67&lt;&gt;"",INDEX('Eingabe Meldungen'!$C$2:$H$492,MATCH(B67&amp;C67,'Eingabe Meldungen'!$C$2:$C$492&amp;'Eingabe Meldungen'!$D$2:$D$492,0),4),"")</f>
        <v>Lgw. bis 50 kg</v>
      </c>
      <c r="F67" s="107"/>
      <c r="G67" s="149"/>
      <c r="H67" s="40" t="e">
        <f t="shared" si="3"/>
        <v>#N/A</v>
      </c>
      <c r="I67" s="107" t="str">
        <f t="array" ref="I67">IF(B67&lt;&gt;"",INDEX('Eingabe Meldungen'!$C$2:$J$492,MATCH(B67&amp;C67,'Eingabe Meldungen'!$C$2:$C$492&amp;'Eingabe Meldungen'!$D$2:$D$492,0),8),"")</f>
        <v>Mannheimer RV "Amicitia"</v>
      </c>
      <c r="J67" s="257"/>
      <c r="K67" s="257"/>
      <c r="L67" s="257"/>
      <c r="M67" s="258"/>
      <c r="N67" s="11"/>
      <c r="O67" s="11"/>
      <c r="P67" s="15"/>
      <c r="Q67" s="11"/>
      <c r="T67" s="11"/>
      <c r="U67" s="11"/>
      <c r="Y67" s="15"/>
    </row>
    <row r="68" spans="2:25" ht="12.75" customHeight="1" x14ac:dyDescent="0.2">
      <c r="B68" s="148" t="str">
        <f t="array" ref="B68">IF(ISERROR(INDEX('Eingabe Meldungen'!$C$2:$C$492,LARGE(('Eingabe Meldungen'!$A$2:$A$492=$B$60)*(ROW('Eingabe Meldungen'!$A$2:$A$492)-1),COUNTIF('Eingabe Meldungen'!$A$2:$A$492,$B$60)+1-ROW('Eingabe Meldungen'!A7)))),"",INDEX('Eingabe Meldungen'!$C$2:$C$492,LARGE(('Eingabe Meldungen'!$A$2:$A$492=$B$60)*(ROW('Eingabe Meldungen'!$A$2:$A$492)-1),COUNTIF('Eingabe Meldungen'!$A$2:$A$492,$B$60)+1-ROW('Eingabe Meldungen'!A7))))</f>
        <v>Kibele</v>
      </c>
      <c r="C68" s="40" t="str">
        <f t="array" ref="C68">IF(ISERROR(INDEX('Eingabe Meldungen'!$D$2:$D$492,LARGE(('Eingabe Meldungen'!$A$2:$A$492=$B$60)*(ROW('Eingabe Meldungen'!$A$2:$A$492)-1),COUNTIF('Eingabe Meldungen'!$A$2:$A$492,$B$60)+1-ROW('Eingabe Meldungen'!A7)))),"",INDEX('Eingabe Meldungen'!$D$2:$D$492,LARGE(('Eingabe Meldungen'!$A$2:$A$492=$B$60)*(ROW('Eingabe Meldungen'!$A$2:$A$492)-1),COUNTIF('Eingabe Meldungen'!$A$2:$A$492,$B$60)+1-ROW('Eingabe Meldungen'!A7))))</f>
        <v>Leon</v>
      </c>
      <c r="D68" s="204">
        <f t="array" ref="D68">IF(B68&lt;&gt;"",INDEX('Eingabe Meldungen'!$C$2:$H$492,MATCH(B68&amp;C68,'Eingabe Meldungen'!$C$2:$C$492&amp;'Eingabe Meldungen'!$D$2:$D$492,0),6),"")</f>
        <v>2008</v>
      </c>
      <c r="E68" s="107" t="str">
        <f t="array" ref="E68">IF(B68&lt;&gt;"",INDEX('Eingabe Meldungen'!$C$2:$H$492,MATCH(B68&amp;C68,'Eingabe Meldungen'!$C$2:$C$492&amp;'Eingabe Meldungen'!$D$2:$D$492,0),4),"")</f>
        <v>Lgw. bis 50 kg</v>
      </c>
      <c r="F68" s="107"/>
      <c r="G68" s="149"/>
      <c r="H68" s="40" t="e">
        <f t="shared" si="3"/>
        <v>#N/A</v>
      </c>
      <c r="I68" s="107" t="str">
        <f t="array" ref="I68">IF(B68&lt;&gt;"",INDEX('Eingabe Meldungen'!$C$2:$J$492,MATCH(B68&amp;C68,'Eingabe Meldungen'!$C$2:$C$492&amp;'Eingabe Meldungen'!$D$2:$D$492,0),8),"")</f>
        <v>RV Waldsee</v>
      </c>
      <c r="J68" s="257"/>
      <c r="K68" s="257"/>
      <c r="L68" s="257"/>
      <c r="M68" s="258"/>
      <c r="N68" s="11"/>
      <c r="O68" s="11"/>
      <c r="P68" s="15"/>
      <c r="Q68" s="11"/>
      <c r="T68" s="11"/>
      <c r="U68" s="11"/>
      <c r="Y68" s="15"/>
    </row>
    <row r="69" spans="2:25" ht="12.75" customHeight="1" x14ac:dyDescent="0.2">
      <c r="B69" s="148" t="str">
        <f t="array" ref="B69">IF(ISERROR(INDEX('Eingabe Meldungen'!$C$2:$C$492,LARGE(('Eingabe Meldungen'!$A$2:$A$492=$B$60)*(ROW('Eingabe Meldungen'!$A$2:$A$492)-1),COUNTIF('Eingabe Meldungen'!$A$2:$A$492,$B$60)+1-ROW('Eingabe Meldungen'!A8)))),"",INDEX('Eingabe Meldungen'!$C$2:$C$492,LARGE(('Eingabe Meldungen'!$A$2:$A$492=$B$60)*(ROW('Eingabe Meldungen'!$A$2:$A$492)-1),COUNTIF('Eingabe Meldungen'!$A$2:$A$492,$B$60)+1-ROW('Eingabe Meldungen'!A8))))</f>
        <v>Dorfschmid</v>
      </c>
      <c r="C69" s="40" t="str">
        <f t="array" ref="C69">IF(ISERROR(INDEX('Eingabe Meldungen'!$D$2:$D$492,LARGE(('Eingabe Meldungen'!$A$2:$A$492=$B$60)*(ROW('Eingabe Meldungen'!$A$2:$A$492)-1),COUNTIF('Eingabe Meldungen'!$A$2:$A$492,$B$60)+1-ROW('Eingabe Meldungen'!A8)))),"",INDEX('Eingabe Meldungen'!$D$2:$D$492,LARGE(('Eingabe Meldungen'!$A$2:$A$492=$B$60)*(ROW('Eingabe Meldungen'!$A$2:$A$492)-1),COUNTIF('Eingabe Meldungen'!$A$2:$A$492,$B$60)+1-ROW('Eingabe Meldungen'!A8))))</f>
        <v>Lukas</v>
      </c>
      <c r="D69" s="204">
        <f t="array" ref="D69">IF(B69&lt;&gt;"",INDEX('Eingabe Meldungen'!$C$2:$H$492,MATCH(B69&amp;C69,'Eingabe Meldungen'!$C$2:$C$492&amp;'Eingabe Meldungen'!$D$2:$D$492,0),6),"")</f>
        <v>2008</v>
      </c>
      <c r="E69" s="107" t="str">
        <f t="array" ref="E69">IF(B69&lt;&gt;"",INDEX('Eingabe Meldungen'!$C$2:$H$492,MATCH(B69&amp;C69,'Eingabe Meldungen'!$C$2:$C$492&amp;'Eingabe Meldungen'!$D$2:$D$492,0),4),"")</f>
        <v>Lgw. bis 50 kg</v>
      </c>
      <c r="F69" s="107"/>
      <c r="G69" s="149"/>
      <c r="H69" s="40" t="e">
        <f t="shared" si="3"/>
        <v>#N/A</v>
      </c>
      <c r="I69" s="107" t="str">
        <f t="array" ref="I69">IF(B69&lt;&gt;"",INDEX('Eingabe Meldungen'!$C$2:$J$492,MATCH(B69&amp;C69,'Eingabe Meldungen'!$C$2:$C$492&amp;'Eingabe Meldungen'!$D$2:$D$492,0),8),"")</f>
        <v>RC Nürtingen</v>
      </c>
      <c r="J69" s="257"/>
      <c r="K69" s="257"/>
      <c r="L69" s="257"/>
      <c r="M69" s="258"/>
      <c r="N69" s="11"/>
      <c r="O69" s="11"/>
      <c r="P69" s="15"/>
      <c r="Q69" s="11"/>
      <c r="T69" s="11"/>
      <c r="U69" s="11"/>
      <c r="Y69" s="15"/>
    </row>
    <row r="70" spans="2:25" ht="12.75" customHeight="1" x14ac:dyDescent="0.2">
      <c r="B70" s="148" t="str">
        <f t="array" ref="B70">IF(ISERROR(INDEX('Eingabe Meldungen'!$C$2:$C$492,LARGE(('Eingabe Meldungen'!$A$2:$A$492=$B$60)*(ROW('Eingabe Meldungen'!$A$2:$A$492)-1),COUNTIF('Eingabe Meldungen'!$A$2:$A$492,$B$60)+1-ROW('Eingabe Meldungen'!A9)))),"",INDEX('Eingabe Meldungen'!$C$2:$C$492,LARGE(('Eingabe Meldungen'!$A$2:$A$492=$B$60)*(ROW('Eingabe Meldungen'!$A$2:$A$492)-1),COUNTIF('Eingabe Meldungen'!$A$2:$A$492,$B$60)+1-ROW('Eingabe Meldungen'!A9))))</f>
        <v>Hammer</v>
      </c>
      <c r="C70" s="40" t="str">
        <f t="array" ref="C70">IF(ISERROR(INDEX('Eingabe Meldungen'!$D$2:$D$492,LARGE(('Eingabe Meldungen'!$A$2:$A$492=$B$60)*(ROW('Eingabe Meldungen'!$A$2:$A$492)-1),COUNTIF('Eingabe Meldungen'!$A$2:$A$492,$B$60)+1-ROW('Eingabe Meldungen'!A9)))),"",INDEX('Eingabe Meldungen'!$D$2:$D$492,LARGE(('Eingabe Meldungen'!$A$2:$A$492=$B$60)*(ROW('Eingabe Meldungen'!$A$2:$A$492)-1),COUNTIF('Eingabe Meldungen'!$A$2:$A$492,$B$60)+1-ROW('Eingabe Meldungen'!A9))))</f>
        <v>Maximilian</v>
      </c>
      <c r="D70" s="204">
        <f t="array" ref="D70">IF(B70&lt;&gt;"",INDEX('Eingabe Meldungen'!$C$2:$H$492,MATCH(B70&amp;C70,'Eingabe Meldungen'!$C$2:$C$492&amp;'Eingabe Meldungen'!$D$2:$D$492,0),6),"")</f>
        <v>2008</v>
      </c>
      <c r="E70" s="107" t="str">
        <f t="array" ref="E70">IF(B70&lt;&gt;"",INDEX('Eingabe Meldungen'!$C$2:$H$492,MATCH(B70&amp;C70,'Eingabe Meldungen'!$C$2:$C$492&amp;'Eingabe Meldungen'!$D$2:$D$492,0),4),"")</f>
        <v>Lgw. bis 50 kg</v>
      </c>
      <c r="F70" s="107"/>
      <c r="G70" s="149"/>
      <c r="H70" s="40" t="e">
        <f t="shared" si="3"/>
        <v>#N/A</v>
      </c>
      <c r="I70" s="107" t="str">
        <f t="array" ref="I70">IF(B70&lt;&gt;"",INDEX('Eingabe Meldungen'!$C$2:$J$492,MATCH(B70&amp;C70,'Eingabe Meldungen'!$C$2:$C$492&amp;'Eingabe Meldungen'!$D$2:$D$492,0),8),"")</f>
        <v>RC Nürtingen</v>
      </c>
      <c r="J70" s="257"/>
      <c r="K70" s="257"/>
      <c r="L70" s="257"/>
      <c r="M70" s="258"/>
      <c r="N70" s="11"/>
      <c r="O70" s="11"/>
      <c r="P70" s="15"/>
      <c r="Q70" s="11"/>
      <c r="T70" s="11"/>
      <c r="U70" s="11"/>
      <c r="Y70" s="15"/>
    </row>
    <row r="71" spans="2:25" ht="12.75" customHeight="1" x14ac:dyDescent="0.2">
      <c r="B71" s="148" t="str">
        <f t="array" ref="B71">IF(ISERROR(INDEX('Eingabe Meldungen'!$C$2:$C$492,LARGE(('Eingabe Meldungen'!$A$2:$A$492=$B$60)*(ROW('Eingabe Meldungen'!$A$2:$A$492)-1),COUNTIF('Eingabe Meldungen'!$A$2:$A$492,$B$60)+1-ROW('Eingabe Meldungen'!A10)))),"",INDEX('Eingabe Meldungen'!$C$2:$C$492,LARGE(('Eingabe Meldungen'!$A$2:$A$492=$B$60)*(ROW('Eingabe Meldungen'!$A$2:$A$492)-1),COUNTIF('Eingabe Meldungen'!$A$2:$A$492,$B$60)+1-ROW('Eingabe Meldungen'!A10))))</f>
        <v>Rebmann</v>
      </c>
      <c r="C71" s="40" t="str">
        <f t="array" ref="C71">IF(ISERROR(INDEX('Eingabe Meldungen'!$D$2:$D$492,LARGE(('Eingabe Meldungen'!$A$2:$A$492=$B$60)*(ROW('Eingabe Meldungen'!$A$2:$A$492)-1),COUNTIF('Eingabe Meldungen'!$A$2:$A$492,$B$60)+1-ROW('Eingabe Meldungen'!A10)))),"",INDEX('Eingabe Meldungen'!$D$2:$D$492,LARGE(('Eingabe Meldungen'!$A$2:$A$492=$B$60)*(ROW('Eingabe Meldungen'!$A$2:$A$492)-1),COUNTIF('Eingabe Meldungen'!$A$2:$A$492,$B$60)+1-ROW('Eingabe Meldungen'!A10))))</f>
        <v>Morino</v>
      </c>
      <c r="D71" s="204">
        <f t="array" ref="D71">IF(B71&lt;&gt;"",INDEX('Eingabe Meldungen'!$C$2:$H$492,MATCH(B71&amp;C71,'Eingabe Meldungen'!$C$2:$C$492&amp;'Eingabe Meldungen'!$D$2:$D$492,0),6),"")</f>
        <v>2008</v>
      </c>
      <c r="E71" s="107" t="str">
        <f t="array" ref="E71">IF(B71&lt;&gt;"",INDEX('Eingabe Meldungen'!$C$2:$H$492,MATCH(B71&amp;C71,'Eingabe Meldungen'!$C$2:$C$492&amp;'Eingabe Meldungen'!$D$2:$D$492,0),4),"")</f>
        <v>Lgw. bis 50 kg</v>
      </c>
      <c r="F71" s="107"/>
      <c r="G71" s="149"/>
      <c r="H71" s="40" t="e">
        <f t="shared" si="3"/>
        <v>#N/A</v>
      </c>
      <c r="I71" s="107" t="str">
        <f t="array" ref="I71">IF(B71&lt;&gt;"",INDEX('Eingabe Meldungen'!$C$2:$J$492,MATCH(B71&amp;C71,'Eingabe Meldungen'!$C$2:$C$492&amp;'Eingabe Meldungen'!$D$2:$D$492,0),8),"")</f>
        <v>Marbacher Ruderverein</v>
      </c>
      <c r="J71" s="257"/>
      <c r="K71" s="257"/>
      <c r="L71" s="254"/>
      <c r="M71" s="262"/>
      <c r="O71" s="11"/>
      <c r="P71" s="10"/>
      <c r="Q71" s="11"/>
      <c r="R71" s="11"/>
      <c r="S71" s="11"/>
      <c r="T71" s="11"/>
      <c r="U71" s="11"/>
      <c r="Y71" s="15"/>
    </row>
    <row r="72" spans="2:25" ht="12.75" customHeight="1" x14ac:dyDescent="0.2">
      <c r="B72" s="148" t="str">
        <f t="array" ref="B72">IF(ISERROR(INDEX('Eingabe Meldungen'!$C$2:$C$492,LARGE(('Eingabe Meldungen'!$A$2:$A$492=$B$60)*(ROW('Eingabe Meldungen'!$A$2:$A$492)-1),COUNTIF('Eingabe Meldungen'!$A$2:$A$492,$B$60)+1-ROW('Eingabe Meldungen'!A11)))),"",INDEX('Eingabe Meldungen'!$C$2:$C$492,LARGE(('Eingabe Meldungen'!$A$2:$A$492=$B$60)*(ROW('Eingabe Meldungen'!$A$2:$A$492)-1),COUNTIF('Eingabe Meldungen'!$A$2:$A$492,$B$60)+1-ROW('Eingabe Meldungen'!A11))))</f>
        <v>Rebmann</v>
      </c>
      <c r="C72" s="40" t="str">
        <f t="array" ref="C72">IF(ISERROR(INDEX('Eingabe Meldungen'!$D$2:$D$492,LARGE(('Eingabe Meldungen'!$A$2:$A$492=$B$60)*(ROW('Eingabe Meldungen'!$A$2:$A$492)-1),COUNTIF('Eingabe Meldungen'!$A$2:$A$492,$B$60)+1-ROW('Eingabe Meldungen'!A11)))),"",INDEX('Eingabe Meldungen'!$D$2:$D$492,LARGE(('Eingabe Meldungen'!$A$2:$A$492=$B$60)*(ROW('Eingabe Meldungen'!$A$2:$A$492)-1),COUNTIF('Eingabe Meldungen'!$A$2:$A$492,$B$60)+1-ROW('Eingabe Meldungen'!A11))))</f>
        <v>Florentin</v>
      </c>
      <c r="D72" s="204">
        <f t="array" ref="D72">IF(B72&lt;&gt;"",INDEX('Eingabe Meldungen'!$C$2:$H$492,MATCH(B72&amp;C72,'Eingabe Meldungen'!$C$2:$C$492&amp;'Eingabe Meldungen'!$D$2:$D$492,0),6),"")</f>
        <v>2010</v>
      </c>
      <c r="E72" s="107" t="str">
        <f t="array" ref="E72">IF(B72&lt;&gt;"",INDEX('Eingabe Meldungen'!$C$2:$H$492,MATCH(B72&amp;C72,'Eingabe Meldungen'!$C$2:$C$492&amp;'Eingabe Meldungen'!$D$2:$D$492,0),4),"")</f>
        <v>Lgw. bis 50 kg</v>
      </c>
      <c r="F72" s="107"/>
      <c r="G72" s="149"/>
      <c r="H72" s="40" t="e">
        <f t="shared" si="3"/>
        <v>#N/A</v>
      </c>
      <c r="I72" s="107" t="str">
        <f t="array" ref="I72">IF(B72&lt;&gt;"",INDEX('Eingabe Meldungen'!$C$2:$J$492,MATCH(B72&amp;C72,'Eingabe Meldungen'!$C$2:$C$492&amp;'Eingabe Meldungen'!$D$2:$D$492,0),8),"")</f>
        <v>Marbacher Ruderverein</v>
      </c>
      <c r="J72" s="257"/>
      <c r="K72" s="264"/>
      <c r="L72" s="265"/>
      <c r="M72" s="266"/>
      <c r="N72" s="17"/>
      <c r="O72" s="17"/>
      <c r="P72" s="17"/>
      <c r="Q72" s="17"/>
      <c r="R72" s="17"/>
      <c r="S72" s="17"/>
      <c r="T72" s="11"/>
      <c r="U72" s="11"/>
      <c r="Y72" s="15"/>
    </row>
    <row r="73" spans="2:25" ht="12.75" customHeight="1" x14ac:dyDescent="0.2">
      <c r="B73" s="148" t="str">
        <f t="array" ref="B73">IF(ISERROR(INDEX('Eingabe Meldungen'!$C$2:$C$492,LARGE(('Eingabe Meldungen'!$A$2:$A$492=$B$60)*(ROW('Eingabe Meldungen'!$A$2:$A$492)-1),COUNTIF('Eingabe Meldungen'!$A$2:$A$492,$B$60)+1-ROW('Eingabe Meldungen'!A12)))),"",INDEX('Eingabe Meldungen'!$C$2:$C$492,LARGE(('Eingabe Meldungen'!$A$2:$A$492=$B$60)*(ROW('Eingabe Meldungen'!$A$2:$A$492)-1),COUNTIF('Eingabe Meldungen'!$A$2:$A$492,$B$60)+1-ROW('Eingabe Meldungen'!A12))))</f>
        <v>Sigloch</v>
      </c>
      <c r="C73" s="40" t="str">
        <f t="array" ref="C73">IF(ISERROR(INDEX('Eingabe Meldungen'!$D$2:$D$492,LARGE(('Eingabe Meldungen'!$A$2:$A$492=$B$60)*(ROW('Eingabe Meldungen'!$A$2:$A$492)-1),COUNTIF('Eingabe Meldungen'!$A$2:$A$492,$B$60)+1-ROW('Eingabe Meldungen'!A12)))),"",INDEX('Eingabe Meldungen'!$D$2:$D$492,LARGE(('Eingabe Meldungen'!$A$2:$A$492=$B$60)*(ROW('Eingabe Meldungen'!$A$2:$A$492)-1),COUNTIF('Eingabe Meldungen'!$A$2:$A$492,$B$60)+1-ROW('Eingabe Meldungen'!A12))))</f>
        <v>Malte</v>
      </c>
      <c r="D73" s="204">
        <f t="array" ref="D73">IF(B73&lt;&gt;"",INDEX('Eingabe Meldungen'!$C$2:$H$492,MATCH(B73&amp;C73,'Eingabe Meldungen'!$C$2:$C$492&amp;'Eingabe Meldungen'!$D$2:$D$492,0),6),"")</f>
        <v>2008</v>
      </c>
      <c r="E73" s="107" t="str">
        <f t="array" ref="E73">IF(B73&lt;&gt;"",INDEX('Eingabe Meldungen'!$C$2:$H$492,MATCH(B73&amp;C73,'Eingabe Meldungen'!$C$2:$C$492&amp;'Eingabe Meldungen'!$D$2:$D$492,0),4),"")</f>
        <v>Lgw. bis 50 kg</v>
      </c>
      <c r="F73" s="107"/>
      <c r="G73" s="149"/>
      <c r="H73" s="40" t="e">
        <f t="shared" si="3"/>
        <v>#N/A</v>
      </c>
      <c r="I73" s="107" t="str">
        <f t="array" ref="I73">IF(B73&lt;&gt;"",INDEX('Eingabe Meldungen'!$C$2:$J$492,MATCH(B73&amp;C73,'Eingabe Meldungen'!$C$2:$C$492&amp;'Eingabe Meldungen'!$D$2:$D$492,0),8),"")</f>
        <v xml:space="preserve">WSV Schifferclub Neckarrems </v>
      </c>
      <c r="J73" s="257"/>
      <c r="K73" s="264"/>
      <c r="L73" s="265"/>
      <c r="M73" s="266"/>
      <c r="N73" s="17"/>
      <c r="O73" s="16"/>
      <c r="P73" s="17"/>
      <c r="Q73" s="17"/>
      <c r="R73" s="17"/>
      <c r="S73" s="17"/>
      <c r="T73" s="11"/>
      <c r="U73" s="11"/>
      <c r="Y73" s="15"/>
    </row>
    <row r="74" spans="2:25" ht="12.75" customHeight="1" x14ac:dyDescent="0.2">
      <c r="B74" s="148" t="str">
        <f t="array" ref="B74">IF(ISERROR(INDEX('Eingabe Meldungen'!$C$2:$C$492,LARGE(('Eingabe Meldungen'!$A$2:$A$492=$B$60)*(ROW('Eingabe Meldungen'!$A$2:$A$492)-1),COUNTIF('Eingabe Meldungen'!$A$2:$A$492,$B$60)+1-ROW('Eingabe Meldungen'!A13)))),"",INDEX('Eingabe Meldungen'!$C$2:$C$492,LARGE(('Eingabe Meldungen'!$A$2:$A$492=$B$60)*(ROW('Eingabe Meldungen'!$A$2:$A$492)-1),COUNTIF('Eingabe Meldungen'!$A$2:$A$492,$B$60)+1-ROW('Eingabe Meldungen'!A13))))</f>
        <v/>
      </c>
      <c r="C74" s="40" t="str">
        <f t="array" ref="C74">IF(ISERROR(INDEX('Eingabe Meldungen'!$D$2:$D$492,LARGE(('Eingabe Meldungen'!$A$2:$A$492=$B$60)*(ROW('Eingabe Meldungen'!$A$2:$A$492)-1),COUNTIF('Eingabe Meldungen'!$A$2:$A$492,$B$60)+1-ROW('Eingabe Meldungen'!A13)))),"",INDEX('Eingabe Meldungen'!$D$2:$D$492,LARGE(('Eingabe Meldungen'!$A$2:$A$492=$B$60)*(ROW('Eingabe Meldungen'!$A$2:$A$492)-1),COUNTIF('Eingabe Meldungen'!$A$2:$A$492,$B$60)+1-ROW('Eingabe Meldungen'!A13))))</f>
        <v/>
      </c>
      <c r="D74" s="204" t="str">
        <f t="array" ref="D74">IF(B74&lt;&gt;"",INDEX('Eingabe Meldungen'!$C$2:$H$492,MATCH(B74&amp;C74,'Eingabe Meldungen'!$C$2:$C$492&amp;'Eingabe Meldungen'!$D$2:$D$492,0),6),"")</f>
        <v/>
      </c>
      <c r="E74" s="107" t="str">
        <f t="array" ref="E74">IF(B74&lt;&gt;"",INDEX('Eingabe Meldungen'!$C$2:$H$492,MATCH(B74&amp;C74,'Eingabe Meldungen'!$C$2:$C$492&amp;'Eingabe Meldungen'!$D$2:$D$492,0),4),"")</f>
        <v/>
      </c>
      <c r="F74" s="107"/>
      <c r="G74" s="149"/>
      <c r="H74" s="40" t="e">
        <f t="shared" si="3"/>
        <v>#N/A</v>
      </c>
      <c r="I74" s="107" t="str">
        <f t="array" ref="I74">IF(B74&lt;&gt;"",INDEX('Eingabe Meldungen'!$C$2:$J$492,MATCH(B74&amp;C74,'Eingabe Meldungen'!$C$2:$C$492&amp;'Eingabe Meldungen'!$D$2:$D$492,0),8),"")</f>
        <v/>
      </c>
      <c r="J74" s="257"/>
      <c r="K74" s="257"/>
      <c r="L74" s="254"/>
      <c r="M74" s="258"/>
      <c r="N74" s="11"/>
      <c r="O74" s="11"/>
      <c r="P74" s="15"/>
      <c r="Q74" s="11"/>
      <c r="T74" s="11"/>
      <c r="U74" s="11"/>
      <c r="Y74" s="15"/>
    </row>
    <row r="75" spans="2:25" ht="12.75" customHeight="1" x14ac:dyDescent="0.2">
      <c r="B75" s="148" t="str">
        <f t="array" ref="B75">IF(ISERROR(INDEX('Eingabe Meldungen'!$C$2:$C$492,LARGE(('Eingabe Meldungen'!$A$2:$A$492=$B$60)*(ROW('Eingabe Meldungen'!$A$2:$A$492)-1),COUNTIF('Eingabe Meldungen'!$A$2:$A$492,$B$60)+1-ROW('Eingabe Meldungen'!A14)))),"",INDEX('Eingabe Meldungen'!$C$2:$C$492,LARGE(('Eingabe Meldungen'!$A$2:$A$492=$B$60)*(ROW('Eingabe Meldungen'!$A$2:$A$492)-1),COUNTIF('Eingabe Meldungen'!$A$2:$A$492,$B$60)+1-ROW('Eingabe Meldungen'!A14))))</f>
        <v/>
      </c>
      <c r="C75" s="40" t="str">
        <f t="array" ref="C75">IF(ISERROR(INDEX('Eingabe Meldungen'!$D$2:$D$492,LARGE(('Eingabe Meldungen'!$A$2:$A$492=$B$60)*(ROW('Eingabe Meldungen'!$A$2:$A$492)-1),COUNTIF('Eingabe Meldungen'!$A$2:$A$492,$B$60)+1-ROW('Eingabe Meldungen'!A14)))),"",INDEX('Eingabe Meldungen'!$D$2:$D$492,LARGE(('Eingabe Meldungen'!$A$2:$A$492=$B$60)*(ROW('Eingabe Meldungen'!$A$2:$A$492)-1),COUNTIF('Eingabe Meldungen'!$A$2:$A$492,$B$60)+1-ROW('Eingabe Meldungen'!A14))))</f>
        <v/>
      </c>
      <c r="D75" s="204" t="str">
        <f t="array" ref="D75">IF(B75&lt;&gt;"",INDEX('Eingabe Meldungen'!$C$2:$H$492,MATCH(B75&amp;C75,'Eingabe Meldungen'!$C$2:$C$492&amp;'Eingabe Meldungen'!$D$2:$D$492,0),6),"")</f>
        <v/>
      </c>
      <c r="E75" s="107" t="str">
        <f t="array" ref="E75">IF(B75&lt;&gt;"",INDEX('Eingabe Meldungen'!$C$2:$H$492,MATCH(B75&amp;C75,'Eingabe Meldungen'!$C$2:$C$492&amp;'Eingabe Meldungen'!$D$2:$D$492,0),4),"")</f>
        <v/>
      </c>
      <c r="F75" s="107"/>
      <c r="G75" s="149"/>
      <c r="H75" s="40" t="e">
        <f t="shared" si="3"/>
        <v>#N/A</v>
      </c>
      <c r="I75" s="107" t="str">
        <f t="array" ref="I75">IF(B75&lt;&gt;"",INDEX('Eingabe Meldungen'!$C$2:$J$492,MATCH(B75&amp;C75,'Eingabe Meldungen'!$C$2:$C$492&amp;'Eingabe Meldungen'!$D$2:$D$492,0),8),"")</f>
        <v/>
      </c>
      <c r="J75" s="257"/>
      <c r="K75" s="257"/>
      <c r="L75" s="254"/>
      <c r="M75" s="258"/>
      <c r="N75" s="11"/>
      <c r="O75" s="11"/>
      <c r="P75" s="15"/>
      <c r="Q75" s="11"/>
      <c r="T75" s="11"/>
      <c r="U75" s="11"/>
      <c r="Y75" s="15"/>
    </row>
    <row r="76" spans="2:25" ht="12.75" customHeight="1" x14ac:dyDescent="0.2">
      <c r="B76" s="148" t="str">
        <f t="array" ref="B76">IF(ISERROR(INDEX('Eingabe Meldungen'!$C$2:$C$492,LARGE(('Eingabe Meldungen'!$A$2:$A$492=$B$60)*(ROW('Eingabe Meldungen'!$A$2:$A$492)-1),COUNTIF('Eingabe Meldungen'!$A$2:$A$492,$B$60)+1-ROW('Eingabe Meldungen'!A15)))),"",INDEX('Eingabe Meldungen'!$C$2:$C$492,LARGE(('Eingabe Meldungen'!$A$2:$A$492=$B$60)*(ROW('Eingabe Meldungen'!$A$2:$A$492)-1),COUNTIF('Eingabe Meldungen'!$A$2:$A$492,$B$60)+1-ROW('Eingabe Meldungen'!A15))))</f>
        <v/>
      </c>
      <c r="C76" s="40" t="str">
        <f t="array" ref="C76">IF(ISERROR(INDEX('Eingabe Meldungen'!$D$2:$D$492,LARGE(('Eingabe Meldungen'!$A$2:$A$492=$B$60)*(ROW('Eingabe Meldungen'!$A$2:$A$492)-1),COUNTIF('Eingabe Meldungen'!$A$2:$A$492,$B$60)+1-ROW('Eingabe Meldungen'!A15)))),"",INDEX('Eingabe Meldungen'!$D$2:$D$492,LARGE(('Eingabe Meldungen'!$A$2:$A$492=$B$60)*(ROW('Eingabe Meldungen'!$A$2:$A$492)-1),COUNTIF('Eingabe Meldungen'!$A$2:$A$492,$B$60)+1-ROW('Eingabe Meldungen'!A15))))</f>
        <v/>
      </c>
      <c r="D76" s="204" t="str">
        <f t="array" ref="D76">IF(B76&lt;&gt;"",INDEX('Eingabe Meldungen'!$C$2:$H$492,MATCH(B76&amp;C76,'Eingabe Meldungen'!$C$2:$C$492&amp;'Eingabe Meldungen'!$D$2:$D$492,0),6),"")</f>
        <v/>
      </c>
      <c r="E76" s="107" t="str">
        <f t="array" ref="E76">IF(B76&lt;&gt;"",INDEX('Eingabe Meldungen'!$C$2:$H$492,MATCH(B76&amp;C76,'Eingabe Meldungen'!$C$2:$C$492&amp;'Eingabe Meldungen'!$D$2:$D$492,0),4),"")</f>
        <v/>
      </c>
      <c r="F76" s="107"/>
      <c r="G76" s="149"/>
      <c r="H76" s="40" t="e">
        <f t="shared" si="3"/>
        <v>#N/A</v>
      </c>
      <c r="I76" s="107" t="str">
        <f t="array" ref="I76">IF(B76&lt;&gt;"",INDEX('Eingabe Meldungen'!$C$2:$J$492,MATCH(B76&amp;C76,'Eingabe Meldungen'!$C$2:$C$492&amp;'Eingabe Meldungen'!$D$2:$D$492,0),8),"")</f>
        <v/>
      </c>
      <c r="J76" s="257"/>
      <c r="K76" s="257"/>
      <c r="L76" s="254"/>
      <c r="M76" s="258"/>
      <c r="N76" s="11"/>
      <c r="O76" s="11"/>
      <c r="P76" s="15"/>
      <c r="Q76" s="11"/>
      <c r="T76" s="11"/>
      <c r="U76" s="11"/>
      <c r="Y76" s="15"/>
    </row>
    <row r="77" spans="2:25" ht="12.75" customHeight="1" thickBot="1" x14ac:dyDescent="0.25">
      <c r="B77" s="148" t="str">
        <f t="array" ref="B77">IF(ISERROR(INDEX('Eingabe Meldungen'!$C$2:$C$492,LARGE(('Eingabe Meldungen'!$A$2:$A$492=$B$60)*(ROW('Eingabe Meldungen'!$A$2:$A$492)-1),COUNTIF('Eingabe Meldungen'!$A$2:$A$492,$B$60)+1-ROW('Eingabe Meldungen'!A16)))),"",INDEX('Eingabe Meldungen'!$C$2:$C$492,LARGE(('Eingabe Meldungen'!$A$2:$A$492=$B$60)*(ROW('Eingabe Meldungen'!$A$2:$A$492)-1),COUNTIF('Eingabe Meldungen'!$A$2:$A$492,$B$60)+1-ROW('Eingabe Meldungen'!A16))))</f>
        <v/>
      </c>
      <c r="C77" s="40" t="str">
        <f t="array" ref="C77">IF(ISERROR(INDEX('Eingabe Meldungen'!$D$2:$D$492,LARGE(('Eingabe Meldungen'!$A$2:$A$492=$B$60)*(ROW('Eingabe Meldungen'!$A$2:$A$492)-1),COUNTIF('Eingabe Meldungen'!$A$2:$A$492,$B$60)+1-ROW('Eingabe Meldungen'!A16)))),"",INDEX('Eingabe Meldungen'!$D$2:$D$492,LARGE(('Eingabe Meldungen'!$A$2:$A$492=$B$60)*(ROW('Eingabe Meldungen'!$A$2:$A$492)-1),COUNTIF('Eingabe Meldungen'!$A$2:$A$492,$B$60)+1-ROW('Eingabe Meldungen'!A16))))</f>
        <v/>
      </c>
      <c r="D77" s="204" t="str">
        <f t="array" ref="D77">IF(B77&lt;&gt;"",INDEX('Eingabe Meldungen'!$C$2:$H$492,MATCH(B77&amp;C77,'Eingabe Meldungen'!$C$2:$C$492&amp;'Eingabe Meldungen'!$D$2:$D$492,0),6),"")</f>
        <v/>
      </c>
      <c r="E77" s="107" t="str">
        <f t="array" ref="E77">IF(B77&lt;&gt;"",INDEX('Eingabe Meldungen'!$C$2:$H$492,MATCH(B77&amp;C77,'Eingabe Meldungen'!$C$2:$C$492&amp;'Eingabe Meldungen'!$D$2:$D$492,0),4),"")</f>
        <v/>
      </c>
      <c r="F77" s="107"/>
      <c r="G77" s="149"/>
      <c r="H77" s="40" t="e">
        <f t="shared" si="3"/>
        <v>#N/A</v>
      </c>
      <c r="I77" s="107" t="str">
        <f t="array" ref="I77">IF(B77&lt;&gt;"",INDEX('Eingabe Meldungen'!$C$2:$J$492,MATCH(B77&amp;C77,'Eingabe Meldungen'!$C$2:$C$492&amp;'Eingabe Meldungen'!$D$2:$D$492,0),8),"")</f>
        <v/>
      </c>
      <c r="J77" s="259"/>
      <c r="K77" s="259"/>
      <c r="L77" s="260"/>
      <c r="M77" s="261"/>
      <c r="N77" s="11"/>
      <c r="O77" s="11"/>
      <c r="P77" s="15"/>
      <c r="Q77" s="11"/>
      <c r="T77" s="11"/>
      <c r="U77" s="11"/>
      <c r="Y77" s="15"/>
    </row>
    <row r="78" spans="2:25" ht="25.5" hidden="1" customHeight="1" x14ac:dyDescent="0.2">
      <c r="B78" s="148" t="str">
        <f t="array" ref="B78">IF(ISERROR(INDEX('Eingabe Meldungen'!$C$2:$C$492,LARGE(('Eingabe Meldungen'!$A$2:$A$492=$B$60)*(ROW('Eingabe Meldungen'!$A$2:$A$492)-1),COUNTIF('Eingabe Meldungen'!$A$2:$A$492,$B$60)+1-ROW('Eingabe Meldungen'!A17)))),"",INDEX('Eingabe Meldungen'!$C$2:$C$492,LARGE(('Eingabe Meldungen'!$A$2:$A$492=$B$60)*(ROW('Eingabe Meldungen'!$A$2:$A$492)-1),COUNTIF('Eingabe Meldungen'!$A$2:$A$492,$B$60)+1-ROW('Eingabe Meldungen'!A17))))</f>
        <v/>
      </c>
      <c r="C78" s="40" t="str">
        <f t="array" ref="C78">IF(ISERROR(INDEX('Eingabe Meldungen'!$D$2:$D$492,LARGE(('Eingabe Meldungen'!$A$2:$A$492=$B$60)*(ROW('Eingabe Meldungen'!$A$2:$A$492)-1),COUNTIF('Eingabe Meldungen'!$A$2:$A$492,$B$60)+1-ROW('Eingabe Meldungen'!A17)))),"",INDEX('Eingabe Meldungen'!$D$2:$D$492,LARGE(('Eingabe Meldungen'!$A$2:$A$492=$B$60)*(ROW('Eingabe Meldungen'!$A$2:$A$492)-1),COUNTIF('Eingabe Meldungen'!$A$2:$A$492,$B$60)+1-ROW('Eingabe Meldungen'!A17))))</f>
        <v/>
      </c>
      <c r="D78" s="204" t="str">
        <f t="array" ref="D78">IF(B78&lt;&gt;"",INDEX('Eingabe Meldungen'!$C$2:$H$492,MATCH(B78&amp;C78,'Eingabe Meldungen'!$C$2:$C$492&amp;'Eingabe Meldungen'!$D$2:$D$492,0),6),"")</f>
        <v/>
      </c>
      <c r="E78" s="107" t="str">
        <f t="array" ref="E78">IF(B78&lt;&gt;"",INDEX('Eingabe Meldungen'!$C$2:$H$492,MATCH(B78&amp;C78,'Eingabe Meldungen'!$C$2:$C$492&amp;'Eingabe Meldungen'!$D$2:$D$492,0),4),"")</f>
        <v/>
      </c>
      <c r="F78" s="107">
        <v>17</v>
      </c>
      <c r="G78" s="149"/>
      <c r="H78" s="40" t="e">
        <f t="shared" si="3"/>
        <v>#N/A</v>
      </c>
      <c r="I78" s="107" t="str">
        <f t="array" ref="I78">IF(B78&lt;&gt;"",INDEX('Eingabe Meldungen'!$C$2:$J$492,MATCH(B78&amp;C78,'Eingabe Meldungen'!$C$2:$C$492&amp;'Eingabe Meldungen'!$D$2:$D$492,0),8),"")</f>
        <v/>
      </c>
      <c r="J78" s="117"/>
      <c r="K78" s="155"/>
      <c r="L78" s="156"/>
      <c r="M78" s="157"/>
      <c r="N78" s="11"/>
      <c r="O78" s="11"/>
      <c r="P78" s="15"/>
      <c r="Q78" s="11"/>
      <c r="T78" s="11"/>
      <c r="U78" s="11"/>
      <c r="Y78" s="15"/>
    </row>
    <row r="79" spans="2:25" ht="19.5" hidden="1" customHeight="1" x14ac:dyDescent="0.2">
      <c r="B79" s="148" t="str">
        <f t="array" ref="B79">IF(ISERROR(INDEX('Eingabe Meldungen'!$C$2:$C$492,LARGE(('Eingabe Meldungen'!$A$2:$A$492=$B$60)*(ROW('Eingabe Meldungen'!$A$2:$A$492)-1),COUNTIF('Eingabe Meldungen'!$A$2:$A$492,$B$60)+1-ROW('Eingabe Meldungen'!A18)))),"",INDEX('Eingabe Meldungen'!$C$2:$C$492,LARGE(('Eingabe Meldungen'!$A$2:$A$492=$B$60)*(ROW('Eingabe Meldungen'!$A$2:$A$492)-1),COUNTIF('Eingabe Meldungen'!$A$2:$A$492,$B$60)+1-ROW('Eingabe Meldungen'!A18))))</f>
        <v/>
      </c>
      <c r="C79" s="40" t="str">
        <f t="array" ref="C79">IF(ISERROR(INDEX('Eingabe Meldungen'!$D$2:$D$492,LARGE(('Eingabe Meldungen'!$A$2:$A$492=$B$60)*(ROW('Eingabe Meldungen'!$A$2:$A$492)-1),COUNTIF('Eingabe Meldungen'!$A$2:$A$492,$B$60)+1-ROW('Eingabe Meldungen'!A18)))),"",INDEX('Eingabe Meldungen'!$D$2:$D$492,LARGE(('Eingabe Meldungen'!$A$2:$A$492=$B$60)*(ROW('Eingabe Meldungen'!$A$2:$A$492)-1),COUNTIF('Eingabe Meldungen'!$A$2:$A$492,$B$60)+1-ROW('Eingabe Meldungen'!A18))))</f>
        <v/>
      </c>
      <c r="D79" s="204" t="str">
        <f t="array" ref="D79">IF(B79&lt;&gt;"",INDEX('Eingabe Meldungen'!$C$2:$H$492,MATCH(B79&amp;C79,'Eingabe Meldungen'!$C$2:$C$492&amp;'Eingabe Meldungen'!$D$2:$D$492,0),6),"")</f>
        <v/>
      </c>
      <c r="E79" s="107" t="str">
        <f t="array" ref="E79">IF(B79&lt;&gt;"",INDEX('Eingabe Meldungen'!$C$2:$H$492,MATCH(B79&amp;C79,'Eingabe Meldungen'!$C$2:$C$492&amp;'Eingabe Meldungen'!$D$2:$D$492,0),4),"")</f>
        <v/>
      </c>
      <c r="F79" s="107">
        <v>18</v>
      </c>
      <c r="G79" s="149"/>
      <c r="H79" s="40" t="e">
        <f t="shared" si="3"/>
        <v>#N/A</v>
      </c>
      <c r="I79" s="107" t="str">
        <f t="array" ref="I79">IF(B79&lt;&gt;"",INDEX('Eingabe Meldungen'!$C$2:$J$492,MATCH(B79&amp;C79,'Eingabe Meldungen'!$C$2:$C$492&amp;'Eingabe Meldungen'!$D$2:$D$492,0),8),"")</f>
        <v/>
      </c>
      <c r="J79" s="103"/>
      <c r="K79" s="40"/>
      <c r="L79" s="151"/>
      <c r="M79" s="147"/>
      <c r="N79" s="11"/>
      <c r="O79" s="11"/>
      <c r="P79" s="15"/>
      <c r="Q79" s="11"/>
      <c r="T79" s="11"/>
      <c r="U79" s="11"/>
    </row>
    <row r="80" spans="2:25" ht="13.2" hidden="1" thickBot="1" x14ac:dyDescent="0.25">
      <c r="B80" s="148" t="str">
        <f t="array" ref="B80">IF(ISERROR(INDEX('Eingabe Meldungen'!$C$2:$C$492,LARGE(('Eingabe Meldungen'!$A$2:$A$492=$B$60)*(ROW('Eingabe Meldungen'!$A$2:$A$492)-1),COUNTIF('Eingabe Meldungen'!$A$2:$A$492,$B$60)+1-ROW('Eingabe Meldungen'!A19)))),"",INDEX('Eingabe Meldungen'!$C$2:$C$492,LARGE(('Eingabe Meldungen'!$A$2:$A$492=$B$60)*(ROW('Eingabe Meldungen'!$A$2:$A$492)-1),COUNTIF('Eingabe Meldungen'!$A$2:$A$492,$B$60)+1-ROW('Eingabe Meldungen'!A19))))</f>
        <v/>
      </c>
      <c r="C80" s="40" t="str">
        <f t="array" ref="C80">IF(ISERROR(INDEX('Eingabe Meldungen'!$D$2:$D$492,LARGE(('Eingabe Meldungen'!$A$2:$A$492=$B$60)*(ROW('Eingabe Meldungen'!$A$2:$A$492)-1),COUNTIF('Eingabe Meldungen'!$A$2:$A$492,$B$60)+1-ROW('Eingabe Meldungen'!A19)))),"",INDEX('Eingabe Meldungen'!$D$2:$D$492,LARGE(('Eingabe Meldungen'!$A$2:$A$492=$B$60)*(ROW('Eingabe Meldungen'!$A$2:$A$492)-1),COUNTIF('Eingabe Meldungen'!$A$2:$A$492,$B$60)+1-ROW('Eingabe Meldungen'!A19))))</f>
        <v/>
      </c>
      <c r="D80" s="204" t="str">
        <f t="array" ref="D80">IF(B80&lt;&gt;"",INDEX('Eingabe Meldungen'!$C$2:$H$492,MATCH(B80&amp;C80,'Eingabe Meldungen'!$C$2:$C$492&amp;'Eingabe Meldungen'!$D$2:$D$492,0),6),"")</f>
        <v/>
      </c>
      <c r="E80" s="107" t="str">
        <f t="array" ref="E80">IF(B80&lt;&gt;"",INDEX('Eingabe Meldungen'!$C$2:$H$492,MATCH(B80&amp;C80,'Eingabe Meldungen'!$C$2:$C$492&amp;'Eingabe Meldungen'!$D$2:$D$492,0),4),"")</f>
        <v/>
      </c>
      <c r="F80" s="107">
        <v>19</v>
      </c>
      <c r="G80" s="149"/>
      <c r="H80" s="40" t="e">
        <f t="shared" si="3"/>
        <v>#N/A</v>
      </c>
      <c r="I80" s="107" t="str">
        <f t="array" ref="I80">IF(B80&lt;&gt;"",INDEX('Eingabe Meldungen'!$C$2:$J$492,MATCH(B80&amp;C80,'Eingabe Meldungen'!$C$2:$C$492&amp;'Eingabe Meldungen'!$D$2:$D$492,0),8),"")</f>
        <v/>
      </c>
      <c r="J80" s="40"/>
      <c r="K80" s="40"/>
      <c r="L80" s="151"/>
      <c r="M80" s="147"/>
      <c r="N80" s="11"/>
      <c r="O80" s="11"/>
      <c r="P80" s="15"/>
      <c r="Q80" s="11"/>
      <c r="T80" s="11"/>
      <c r="U80" s="11"/>
    </row>
    <row r="81" spans="2:25" ht="13.2" hidden="1" thickBot="1" x14ac:dyDescent="0.25">
      <c r="B81" s="148" t="str">
        <f t="array" ref="B81">IF(ISERROR(INDEX('Eingabe Meldungen'!$C$2:$C$492,LARGE(('Eingabe Meldungen'!$A$2:$A$492=$B$60)*(ROW('Eingabe Meldungen'!$A$2:$A$492)-1),COUNTIF('Eingabe Meldungen'!$A$2:$A$492,$B$60)+1-ROW('Eingabe Meldungen'!A20)))),"",INDEX('Eingabe Meldungen'!$C$2:$C$492,LARGE(('Eingabe Meldungen'!$A$2:$A$492=$B$60)*(ROW('Eingabe Meldungen'!$A$2:$A$492)-1),COUNTIF('Eingabe Meldungen'!$A$2:$A$492,$B$60)+1-ROW('Eingabe Meldungen'!A20))))</f>
        <v/>
      </c>
      <c r="C81" s="40" t="str">
        <f t="array" ref="C81">IF(ISERROR(INDEX('Eingabe Meldungen'!$D$2:$D$492,LARGE(('Eingabe Meldungen'!$A$2:$A$492=$B$60)*(ROW('Eingabe Meldungen'!$A$2:$A$492)-1),COUNTIF('Eingabe Meldungen'!$A$2:$A$492,$B$60)+1-ROW('Eingabe Meldungen'!A20)))),"",INDEX('Eingabe Meldungen'!$D$2:$D$492,LARGE(('Eingabe Meldungen'!$A$2:$A$492=$B$60)*(ROW('Eingabe Meldungen'!$A$2:$A$492)-1),COUNTIF('Eingabe Meldungen'!$A$2:$A$492,$B$60)+1-ROW('Eingabe Meldungen'!A20))))</f>
        <v/>
      </c>
      <c r="D81" s="204" t="str">
        <f t="array" ref="D81">IF(B81&lt;&gt;"",INDEX('Eingabe Meldungen'!$C$2:$H$492,MATCH(B81&amp;C81,'Eingabe Meldungen'!$C$2:$C$492&amp;'Eingabe Meldungen'!$D$2:$D$492,0),6),"")</f>
        <v/>
      </c>
      <c r="E81" s="107" t="str">
        <f t="array" ref="E81">IF(B81&lt;&gt;"",INDEX('Eingabe Meldungen'!$C$2:$H$492,MATCH(B81&amp;C81,'Eingabe Meldungen'!$C$2:$C$492&amp;'Eingabe Meldungen'!$D$2:$D$492,0),4),"")</f>
        <v/>
      </c>
      <c r="F81" s="107">
        <v>20</v>
      </c>
      <c r="G81" s="149"/>
      <c r="H81" s="40" t="e">
        <f t="shared" si="3"/>
        <v>#N/A</v>
      </c>
      <c r="I81" s="107" t="str">
        <f t="array" ref="I81">IF(B81&lt;&gt;"",INDEX('Eingabe Meldungen'!$C$2:$J$492,MATCH(B81&amp;C81,'Eingabe Meldungen'!$C$2:$C$492&amp;'Eingabe Meldungen'!$D$2:$D$492,0),8),"")</f>
        <v/>
      </c>
      <c r="J81" s="40"/>
      <c r="K81" s="40"/>
      <c r="L81" s="151"/>
      <c r="M81" s="147"/>
      <c r="N81" s="11"/>
      <c r="O81" s="11"/>
      <c r="P81" s="15"/>
      <c r="Q81" s="11"/>
      <c r="T81" s="11"/>
      <c r="U81" s="11"/>
      <c r="Y81" s="15"/>
    </row>
    <row r="82" spans="2:25" ht="13.2" hidden="1" thickBot="1" x14ac:dyDescent="0.25">
      <c r="B82" s="148" t="str">
        <f t="array" ref="B82">IF(ISERROR(INDEX('Eingabe Meldungen'!$C$2:$C$492,LARGE(('Eingabe Meldungen'!$A$2:$A$492=$B$60)*(ROW('Eingabe Meldungen'!$A$2:$A$492)-1),COUNTIF('Eingabe Meldungen'!$A$2:$A$492,$B$60)+1-ROW('Eingabe Meldungen'!A21)))),"",INDEX('Eingabe Meldungen'!$C$2:$C$492,LARGE(('Eingabe Meldungen'!$A$2:$A$492=$B$60)*(ROW('Eingabe Meldungen'!$A$2:$A$492)-1),COUNTIF('Eingabe Meldungen'!$A$2:$A$492,$B$60)+1-ROW('Eingabe Meldungen'!A21))))</f>
        <v/>
      </c>
      <c r="C82" s="40" t="str">
        <f t="array" ref="C82">IF(ISERROR(INDEX('Eingabe Meldungen'!$D$2:$D$492,LARGE(('Eingabe Meldungen'!$A$2:$A$492=$B$60)*(ROW('Eingabe Meldungen'!$A$2:$A$492)-1),COUNTIF('Eingabe Meldungen'!$A$2:$A$492,$B$60)+1-ROW('Eingabe Meldungen'!A21)))),"",INDEX('Eingabe Meldungen'!$D$2:$D$492,LARGE(('Eingabe Meldungen'!$A$2:$A$492=$B$60)*(ROW('Eingabe Meldungen'!$A$2:$A$492)-1),COUNTIF('Eingabe Meldungen'!$A$2:$A$492,$B$60)+1-ROW('Eingabe Meldungen'!A21))))</f>
        <v/>
      </c>
      <c r="D82" s="204" t="str">
        <f t="array" ref="D82">IF(B82&lt;&gt;"",INDEX('Eingabe Meldungen'!$C$2:$H$492,MATCH(B82&amp;C82,'Eingabe Meldungen'!$C$2:$C$492&amp;'Eingabe Meldungen'!$D$2:$D$492,0),6),"")</f>
        <v/>
      </c>
      <c r="E82" s="107" t="str">
        <f t="array" ref="E82">IF(B82&lt;&gt;"",INDEX('Eingabe Meldungen'!$C$2:$H$492,MATCH(B82&amp;C82,'Eingabe Meldungen'!$C$2:$C$492&amp;'Eingabe Meldungen'!$D$2:$D$492,0),4),"")</f>
        <v/>
      </c>
      <c r="F82" s="107">
        <v>21</v>
      </c>
      <c r="G82" s="149"/>
      <c r="H82" s="40" t="e">
        <f t="shared" si="3"/>
        <v>#N/A</v>
      </c>
      <c r="I82" s="107" t="str">
        <f t="array" ref="I82">IF(B82&lt;&gt;"",INDEX('Eingabe Meldungen'!$C$2:$J$492,MATCH(B82&amp;C82,'Eingabe Meldungen'!$C$2:$C$492&amp;'Eingabe Meldungen'!$D$2:$D$492,0),8),"")</f>
        <v/>
      </c>
      <c r="J82" s="40"/>
      <c r="K82" s="40"/>
      <c r="L82" s="151"/>
      <c r="M82" s="147"/>
      <c r="N82" s="11"/>
      <c r="O82" s="11"/>
      <c r="P82" s="15"/>
      <c r="Q82" s="11"/>
      <c r="T82" s="11"/>
      <c r="U82" s="11"/>
      <c r="Y82" s="15"/>
    </row>
    <row r="83" spans="2:25" ht="13.2" hidden="1" thickBot="1" x14ac:dyDescent="0.25">
      <c r="B83" s="148" t="str">
        <f t="array" ref="B83">IF(ISERROR(INDEX('Eingabe Meldungen'!$C$2:$C$492,LARGE(('Eingabe Meldungen'!$A$2:$A$492=$B$60)*(ROW('Eingabe Meldungen'!$A$2:$A$492)-1),COUNTIF('Eingabe Meldungen'!$A$2:$A$492,$B$60)+1-ROW('Eingabe Meldungen'!A22)))),"",INDEX('Eingabe Meldungen'!$C$2:$C$492,LARGE(('Eingabe Meldungen'!$A$2:$A$492=$B$60)*(ROW('Eingabe Meldungen'!$A$2:$A$492)-1),COUNTIF('Eingabe Meldungen'!$A$2:$A$492,$B$60)+1-ROW('Eingabe Meldungen'!A22))))</f>
        <v/>
      </c>
      <c r="C83" s="40" t="str">
        <f t="array" ref="C83">IF(ISERROR(INDEX('Eingabe Meldungen'!$D$2:$D$492,LARGE(('Eingabe Meldungen'!$A$2:$A$492=$B$60)*(ROW('Eingabe Meldungen'!$A$2:$A$492)-1),COUNTIF('Eingabe Meldungen'!$A$2:$A$492,$B$60)+1-ROW('Eingabe Meldungen'!A22)))),"",INDEX('Eingabe Meldungen'!$D$2:$D$492,LARGE(('Eingabe Meldungen'!$A$2:$A$492=$B$60)*(ROW('Eingabe Meldungen'!$A$2:$A$492)-1),COUNTIF('Eingabe Meldungen'!$A$2:$A$492,$B$60)+1-ROW('Eingabe Meldungen'!A22))))</f>
        <v/>
      </c>
      <c r="D83" s="204" t="str">
        <f t="array" ref="D83">IF(B83&lt;&gt;"",INDEX('Eingabe Meldungen'!$C$2:$H$492,MATCH(B83&amp;C83,'Eingabe Meldungen'!$C$2:$C$492&amp;'Eingabe Meldungen'!$D$2:$D$492,0),6),"")</f>
        <v/>
      </c>
      <c r="E83" s="107" t="str">
        <f t="array" ref="E83">IF(B83&lt;&gt;"",INDEX('Eingabe Meldungen'!$C$2:$H$492,MATCH(B83&amp;C83,'Eingabe Meldungen'!$C$2:$C$492&amp;'Eingabe Meldungen'!$D$2:$D$492,0),4),"")</f>
        <v/>
      </c>
      <c r="F83" s="107">
        <v>22</v>
      </c>
      <c r="G83" s="149"/>
      <c r="H83" s="40" t="e">
        <f t="shared" si="3"/>
        <v>#N/A</v>
      </c>
      <c r="I83" s="107" t="str">
        <f t="array" ref="I83">IF(B83&lt;&gt;"",INDEX('Eingabe Meldungen'!$C$2:$J$492,MATCH(B83&amp;C83,'Eingabe Meldungen'!$C$2:$C$492&amp;'Eingabe Meldungen'!$D$2:$D$492,0),8),"")</f>
        <v/>
      </c>
      <c r="J83" s="40"/>
      <c r="K83" s="40"/>
      <c r="L83" s="151"/>
      <c r="M83" s="112"/>
      <c r="N83" s="3"/>
      <c r="O83" s="11"/>
      <c r="P83" s="10"/>
      <c r="Q83" s="11"/>
      <c r="R83" s="11"/>
      <c r="S83" s="11"/>
      <c r="T83" s="11"/>
      <c r="U83" s="11"/>
      <c r="Y83" s="15"/>
    </row>
    <row r="84" spans="2:25" ht="13.2" hidden="1" thickBot="1" x14ac:dyDescent="0.25">
      <c r="B84" s="148" t="str">
        <f t="array" ref="B84">IF(ISERROR(INDEX('Eingabe Meldungen'!$C$2:$C$492,LARGE(('Eingabe Meldungen'!$A$2:$A$492=$B$60)*(ROW('Eingabe Meldungen'!$A$2:$A$492)-1),COUNTIF('Eingabe Meldungen'!$A$2:$A$492,$B$60)+1-ROW('Eingabe Meldungen'!A23)))),"",INDEX('Eingabe Meldungen'!$C$2:$C$492,LARGE(('Eingabe Meldungen'!$A$2:$A$492=$B$60)*(ROW('Eingabe Meldungen'!$A$2:$A$492)-1),COUNTIF('Eingabe Meldungen'!$A$2:$A$492,$B$60)+1-ROW('Eingabe Meldungen'!A23))))</f>
        <v/>
      </c>
      <c r="C84" s="40" t="str">
        <f t="array" ref="C84">IF(ISERROR(INDEX('Eingabe Meldungen'!$D$2:$D$492,LARGE(('Eingabe Meldungen'!$A$2:$A$492=$B$60)*(ROW('Eingabe Meldungen'!$A$2:$A$492)-1),COUNTIF('Eingabe Meldungen'!$A$2:$A$492,$B$60)+1-ROW('Eingabe Meldungen'!A23)))),"",INDEX('Eingabe Meldungen'!$D$2:$D$492,LARGE(('Eingabe Meldungen'!$A$2:$A$492=$B$60)*(ROW('Eingabe Meldungen'!$A$2:$A$492)-1),COUNTIF('Eingabe Meldungen'!$A$2:$A$492,$B$60)+1-ROW('Eingabe Meldungen'!A23))))</f>
        <v/>
      </c>
      <c r="D84" s="204" t="str">
        <f t="array" ref="D84">IF(B84&lt;&gt;"",INDEX('Eingabe Meldungen'!$C$2:$H$492,MATCH(B84&amp;C84,'Eingabe Meldungen'!$C$2:$C$492&amp;'Eingabe Meldungen'!$D$2:$D$492,0),6),"")</f>
        <v/>
      </c>
      <c r="E84" s="107" t="str">
        <f t="array" ref="E84">IF(B84&lt;&gt;"",INDEX('Eingabe Meldungen'!$C$2:$H$492,MATCH(B84&amp;C84,'Eingabe Meldungen'!$C$2:$C$492&amp;'Eingabe Meldungen'!$D$2:$D$492,0),4),"")</f>
        <v/>
      </c>
      <c r="F84" s="107">
        <v>23</v>
      </c>
      <c r="G84" s="149"/>
      <c r="H84" s="40" t="e">
        <f t="shared" si="3"/>
        <v>#N/A</v>
      </c>
      <c r="I84" s="107" t="str">
        <f t="array" ref="I84">IF(B84&lt;&gt;"",INDEX('Eingabe Meldungen'!$C$2:$J$492,MATCH(B84&amp;C84,'Eingabe Meldungen'!$C$2:$C$492&amp;'Eingabe Meldungen'!$D$2:$D$492,0),8),"")</f>
        <v/>
      </c>
      <c r="J84" s="40"/>
      <c r="K84" s="103"/>
      <c r="L84" s="116"/>
      <c r="M84" s="113"/>
      <c r="N84" s="17"/>
      <c r="O84" s="17"/>
      <c r="P84" s="17"/>
      <c r="Q84" s="17"/>
      <c r="R84" s="17"/>
      <c r="S84" s="17"/>
      <c r="T84" s="11"/>
      <c r="U84" s="11"/>
      <c r="Y84" s="15"/>
    </row>
    <row r="85" spans="2:25" ht="13.2" hidden="1" thickBot="1" x14ac:dyDescent="0.25">
      <c r="B85" s="148" t="str">
        <f t="array" ref="B85">IF(ISERROR(INDEX('Eingabe Meldungen'!$C$2:$C$492,LARGE(('Eingabe Meldungen'!$A$2:$A$492=$B$60)*(ROW('Eingabe Meldungen'!$A$2:$A$492)-1),COUNTIF('Eingabe Meldungen'!$A$2:$A$492,$B$60)+1-ROW('Eingabe Meldungen'!A24)))),"",INDEX('Eingabe Meldungen'!$C$2:$C$492,LARGE(('Eingabe Meldungen'!$A$2:$A$492=$B$60)*(ROW('Eingabe Meldungen'!$A$2:$A$492)-1),COUNTIF('Eingabe Meldungen'!$A$2:$A$492,$B$60)+1-ROW('Eingabe Meldungen'!A24))))</f>
        <v/>
      </c>
      <c r="C85" s="40" t="str">
        <f t="array" ref="C85">IF(ISERROR(INDEX('Eingabe Meldungen'!$D$2:$D$492,LARGE(('Eingabe Meldungen'!$A$2:$A$492=$B$60)*(ROW('Eingabe Meldungen'!$A$2:$A$492)-1),COUNTIF('Eingabe Meldungen'!$A$2:$A$492,$B$60)+1-ROW('Eingabe Meldungen'!A24)))),"",INDEX('Eingabe Meldungen'!$D$2:$D$492,LARGE(('Eingabe Meldungen'!$A$2:$A$492=$B$60)*(ROW('Eingabe Meldungen'!$A$2:$A$492)-1),COUNTIF('Eingabe Meldungen'!$A$2:$A$492,$B$60)+1-ROW('Eingabe Meldungen'!A24))))</f>
        <v/>
      </c>
      <c r="D85" s="204" t="str">
        <f t="array" ref="D85">IF(B85&lt;&gt;"",INDEX('Eingabe Meldungen'!$C$2:$H$492,MATCH(B85&amp;C85,'Eingabe Meldungen'!$C$2:$C$492&amp;'Eingabe Meldungen'!$D$2:$D$492,0),6),"")</f>
        <v/>
      </c>
      <c r="E85" s="107" t="str">
        <f t="array" ref="E85">IF(B85&lt;&gt;"",INDEX('Eingabe Meldungen'!$C$2:$H$492,MATCH(B85&amp;C85,'Eingabe Meldungen'!$C$2:$C$492&amp;'Eingabe Meldungen'!$D$2:$D$492,0),4),"")</f>
        <v/>
      </c>
      <c r="F85" s="107">
        <v>24</v>
      </c>
      <c r="G85" s="149"/>
      <c r="H85" s="40" t="e">
        <f t="shared" si="3"/>
        <v>#N/A</v>
      </c>
      <c r="I85" s="107" t="str">
        <f t="array" ref="I85">IF(B85&lt;&gt;"",INDEX('Eingabe Meldungen'!$C$2:$J$492,MATCH(B85&amp;C85,'Eingabe Meldungen'!$C$2:$C$492&amp;'Eingabe Meldungen'!$D$2:$D$492,0),8),"")</f>
        <v/>
      </c>
      <c r="J85" s="40"/>
      <c r="K85" s="103"/>
      <c r="L85" s="116"/>
      <c r="M85" s="113"/>
      <c r="N85" s="17"/>
      <c r="O85" s="16"/>
      <c r="P85" s="17"/>
      <c r="Q85" s="17"/>
      <c r="R85" s="17"/>
      <c r="S85" s="17"/>
      <c r="T85" s="11"/>
      <c r="U85" s="11"/>
      <c r="Y85" s="15"/>
    </row>
    <row r="86" spans="2:25" ht="13.2" hidden="1" thickBot="1" x14ac:dyDescent="0.25">
      <c r="B86" s="148" t="str">
        <f t="array" ref="B86">IF(ISERROR(INDEX('Eingabe Meldungen'!$C$2:$C$492,LARGE(('Eingabe Meldungen'!$A$2:$A$492=$B$60)*(ROW('Eingabe Meldungen'!$A$2:$A$492)-1),COUNTIF('Eingabe Meldungen'!$A$2:$A$492,$B$60)+1-ROW('Eingabe Meldungen'!A25)))),"",INDEX('Eingabe Meldungen'!$C$2:$C$492,LARGE(('Eingabe Meldungen'!$A$2:$A$492=$B$60)*(ROW('Eingabe Meldungen'!$A$2:$A$492)-1),COUNTIF('Eingabe Meldungen'!$A$2:$A$492,$B$60)+1-ROW('Eingabe Meldungen'!A25))))</f>
        <v/>
      </c>
      <c r="C86" s="40" t="str">
        <f t="array" ref="C86">IF(ISERROR(INDEX('Eingabe Meldungen'!$D$2:$D$492,LARGE(('Eingabe Meldungen'!$A$2:$A$492=$B$60)*(ROW('Eingabe Meldungen'!$A$2:$A$492)-1),COUNTIF('Eingabe Meldungen'!$A$2:$A$492,$B$60)+1-ROW('Eingabe Meldungen'!A25)))),"",INDEX('Eingabe Meldungen'!$D$2:$D$492,LARGE(('Eingabe Meldungen'!$A$2:$A$492=$B$60)*(ROW('Eingabe Meldungen'!$A$2:$A$492)-1),COUNTIF('Eingabe Meldungen'!$A$2:$A$492,$B$60)+1-ROW('Eingabe Meldungen'!A25))))</f>
        <v/>
      </c>
      <c r="D86" s="204" t="str">
        <f t="array" ref="D86">IF(B86&lt;&gt;"",INDEX('Eingabe Meldungen'!$C$2:$H$492,MATCH(B86&amp;C86,'Eingabe Meldungen'!$C$2:$C$492&amp;'Eingabe Meldungen'!$D$2:$D$492,0),6),"")</f>
        <v/>
      </c>
      <c r="E86" s="107" t="str">
        <f t="array" ref="E86">IF(B86&lt;&gt;"",INDEX('Eingabe Meldungen'!$C$2:$H$492,MATCH(B86&amp;C86,'Eingabe Meldungen'!$C$2:$C$492&amp;'Eingabe Meldungen'!$D$2:$D$492,0),4),"")</f>
        <v/>
      </c>
      <c r="F86" s="107">
        <v>25</v>
      </c>
      <c r="G86" s="149"/>
      <c r="H86" s="40" t="e">
        <f t="shared" si="3"/>
        <v>#N/A</v>
      </c>
      <c r="I86" s="107" t="str">
        <f t="array" ref="I86">IF(B86&lt;&gt;"",INDEX('Eingabe Meldungen'!$C$2:$J$492,MATCH(B86&amp;C86,'Eingabe Meldungen'!$C$2:$C$492&amp;'Eingabe Meldungen'!$D$2:$D$492,0),8),"")</f>
        <v/>
      </c>
      <c r="J86" s="40"/>
      <c r="K86" s="40"/>
      <c r="L86" s="151"/>
      <c r="M86" s="147"/>
      <c r="N86" s="11"/>
      <c r="O86" s="11"/>
      <c r="P86" s="15"/>
      <c r="Q86" s="11"/>
      <c r="T86" s="11"/>
      <c r="U86" s="11"/>
      <c r="Y86" s="15"/>
    </row>
    <row r="87" spans="2:25" ht="13.2" hidden="1" thickBot="1" x14ac:dyDescent="0.25">
      <c r="B87" s="148" t="str">
        <f t="array" ref="B87">IF(ISERROR(INDEX('Eingabe Meldungen'!$C$2:$C$492,LARGE(('Eingabe Meldungen'!$A$2:$A$492=$B$60)*(ROW('Eingabe Meldungen'!$A$2:$A$492)-1),COUNTIF('Eingabe Meldungen'!$A$2:$A$492,$B$60)+1-ROW('Eingabe Meldungen'!A26)))),"",INDEX('Eingabe Meldungen'!$C$2:$C$492,LARGE(('Eingabe Meldungen'!$A$2:$A$492=$B$60)*(ROW('Eingabe Meldungen'!$A$2:$A$492)-1),COUNTIF('Eingabe Meldungen'!$A$2:$A$492,$B$60)+1-ROW('Eingabe Meldungen'!A26))))</f>
        <v/>
      </c>
      <c r="C87" s="40" t="str">
        <f t="array" ref="C87">IF(ISERROR(INDEX('Eingabe Meldungen'!$D$2:$D$492,LARGE(('Eingabe Meldungen'!$A$2:$A$492=$B$60)*(ROW('Eingabe Meldungen'!$A$2:$A$492)-1),COUNTIF('Eingabe Meldungen'!$A$2:$A$492,$B$60)+1-ROW('Eingabe Meldungen'!A26)))),"",INDEX('Eingabe Meldungen'!$D$2:$D$492,LARGE(('Eingabe Meldungen'!$A$2:$A$492=$B$60)*(ROW('Eingabe Meldungen'!$A$2:$A$492)-1),COUNTIF('Eingabe Meldungen'!$A$2:$A$492,$B$60)+1-ROW('Eingabe Meldungen'!A26))))</f>
        <v/>
      </c>
      <c r="D87" s="204" t="str">
        <f t="array" ref="D87">IF(B87&lt;&gt;"",INDEX('Eingabe Meldungen'!$C$2:$H$492,MATCH(B87&amp;C87,'Eingabe Meldungen'!$C$2:$C$492&amp;'Eingabe Meldungen'!$D$2:$D$492,0),6),"")</f>
        <v/>
      </c>
      <c r="E87" s="107" t="str">
        <f t="array" ref="E87">IF(B87&lt;&gt;"",INDEX('Eingabe Meldungen'!$C$2:$H$492,MATCH(B87&amp;C87,'Eingabe Meldungen'!$C$2:$C$492&amp;'Eingabe Meldungen'!$D$2:$D$492,0),4),"")</f>
        <v/>
      </c>
      <c r="F87" s="107">
        <v>26</v>
      </c>
      <c r="G87" s="149"/>
      <c r="H87" s="40" t="e">
        <f t="shared" si="3"/>
        <v>#N/A</v>
      </c>
      <c r="I87" s="107" t="str">
        <f t="array" ref="I87">IF(B87&lt;&gt;"",INDEX('Eingabe Meldungen'!$C$2:$J$492,MATCH(B87&amp;C87,'Eingabe Meldungen'!$C$2:$C$492&amp;'Eingabe Meldungen'!$D$2:$D$492,0),8),"")</f>
        <v/>
      </c>
      <c r="J87" s="40"/>
      <c r="K87" s="40"/>
      <c r="L87" s="151"/>
      <c r="M87" s="147"/>
      <c r="N87" s="11"/>
      <c r="O87" s="11"/>
      <c r="P87" s="15"/>
      <c r="Q87" s="11"/>
      <c r="T87" s="11"/>
      <c r="U87" s="11"/>
      <c r="Y87" s="15"/>
    </row>
    <row r="88" spans="2:25" ht="13.2" hidden="1" thickBot="1" x14ac:dyDescent="0.25">
      <c r="B88" s="148" t="str">
        <f t="array" ref="B88">IF(ISERROR(INDEX('Eingabe Meldungen'!$C$2:$C$492,LARGE(('Eingabe Meldungen'!$A$2:$A$492=$B$60)*(ROW('Eingabe Meldungen'!$A$2:$A$492)-1),COUNTIF('Eingabe Meldungen'!$A$2:$A$492,$B$60)+1-ROW('Eingabe Meldungen'!A27)))),"",INDEX('Eingabe Meldungen'!$C$2:$C$492,LARGE(('Eingabe Meldungen'!$A$2:$A$492=$B$60)*(ROW('Eingabe Meldungen'!$A$2:$A$492)-1),COUNTIF('Eingabe Meldungen'!$A$2:$A$492,$B$60)+1-ROW('Eingabe Meldungen'!A27))))</f>
        <v/>
      </c>
      <c r="C88" s="40" t="str">
        <f t="array" ref="C88">IF(ISERROR(INDEX('Eingabe Meldungen'!$D$2:$D$492,LARGE(('Eingabe Meldungen'!$A$2:$A$492=$B$60)*(ROW('Eingabe Meldungen'!$A$2:$A$492)-1),COUNTIF('Eingabe Meldungen'!$A$2:$A$492,$B$60)+1-ROW('Eingabe Meldungen'!A27)))),"",INDEX('Eingabe Meldungen'!$D$2:$D$492,LARGE(('Eingabe Meldungen'!$A$2:$A$492=$B$60)*(ROW('Eingabe Meldungen'!$A$2:$A$492)-1),COUNTIF('Eingabe Meldungen'!$A$2:$A$492,$B$60)+1-ROW('Eingabe Meldungen'!A27))))</f>
        <v/>
      </c>
      <c r="D88" s="204" t="str">
        <f t="array" ref="D88">IF(B88&lt;&gt;"",INDEX('Eingabe Meldungen'!$C$2:$H$492,MATCH(B88&amp;C88,'Eingabe Meldungen'!$C$2:$C$492&amp;'Eingabe Meldungen'!$D$2:$D$492,0),6),"")</f>
        <v/>
      </c>
      <c r="E88" s="107" t="str">
        <f t="array" ref="E88">IF(B88&lt;&gt;"",INDEX('Eingabe Meldungen'!$C$2:$H$492,MATCH(B88&amp;C88,'Eingabe Meldungen'!$C$2:$C$492&amp;'Eingabe Meldungen'!$D$2:$D$492,0),4),"")</f>
        <v/>
      </c>
      <c r="F88" s="107">
        <v>27</v>
      </c>
      <c r="G88" s="149"/>
      <c r="H88" s="40" t="e">
        <f t="shared" si="3"/>
        <v>#N/A</v>
      </c>
      <c r="I88" s="107" t="str">
        <f t="array" ref="I88">IF(B88&lt;&gt;"",INDEX('Eingabe Meldungen'!$C$2:$J$492,MATCH(B88&amp;C88,'Eingabe Meldungen'!$C$2:$C$492&amp;'Eingabe Meldungen'!$D$2:$D$492,0),8),"")</f>
        <v/>
      </c>
      <c r="J88" s="40"/>
      <c r="K88" s="40"/>
      <c r="L88" s="151"/>
      <c r="M88" s="147"/>
      <c r="N88" s="11"/>
      <c r="O88" s="11"/>
      <c r="P88" s="15"/>
      <c r="Q88" s="11"/>
      <c r="T88" s="11"/>
      <c r="U88" s="11"/>
      <c r="Y88" s="15"/>
    </row>
    <row r="89" spans="2:25" ht="13.2" hidden="1" thickBot="1" x14ac:dyDescent="0.25">
      <c r="B89" s="148" t="str">
        <f t="array" ref="B89">IF(ISERROR(INDEX('Eingabe Meldungen'!$C$2:$C$492,LARGE(('Eingabe Meldungen'!$A$2:$A$492=$B$60)*(ROW('Eingabe Meldungen'!$A$2:$A$492)-1),COUNTIF('Eingabe Meldungen'!$A$2:$A$492,$B$60)+1-ROW('Eingabe Meldungen'!A28)))),"",INDEX('Eingabe Meldungen'!$C$2:$C$492,LARGE(('Eingabe Meldungen'!$A$2:$A$492=$B$60)*(ROW('Eingabe Meldungen'!$A$2:$A$492)-1),COUNTIF('Eingabe Meldungen'!$A$2:$A$492,$B$60)+1-ROW('Eingabe Meldungen'!A28))))</f>
        <v/>
      </c>
      <c r="C89" s="40" t="str">
        <f t="array" ref="C89">IF(ISERROR(INDEX('Eingabe Meldungen'!$D$2:$D$492,LARGE(('Eingabe Meldungen'!$A$2:$A$492=$B$60)*(ROW('Eingabe Meldungen'!$A$2:$A$492)-1),COUNTIF('Eingabe Meldungen'!$A$2:$A$492,$B$60)+1-ROW('Eingabe Meldungen'!A28)))),"",INDEX('Eingabe Meldungen'!$D$2:$D$492,LARGE(('Eingabe Meldungen'!$A$2:$A$492=$B$60)*(ROW('Eingabe Meldungen'!$A$2:$A$492)-1),COUNTIF('Eingabe Meldungen'!$A$2:$A$492,$B$60)+1-ROW('Eingabe Meldungen'!A28))))</f>
        <v/>
      </c>
      <c r="D89" s="204" t="str">
        <f t="array" ref="D89">IF(B89&lt;&gt;"",INDEX('Eingabe Meldungen'!$C$2:$H$492,MATCH(B89&amp;C89,'Eingabe Meldungen'!$C$2:$C$492&amp;'Eingabe Meldungen'!$D$2:$D$492,0),6),"")</f>
        <v/>
      </c>
      <c r="E89" s="107" t="str">
        <f t="array" ref="E89">IF(B89&lt;&gt;"",INDEX('Eingabe Meldungen'!$C$2:$H$492,MATCH(B89&amp;C89,'Eingabe Meldungen'!$C$2:$C$492&amp;'Eingabe Meldungen'!$D$2:$D$492,0),4),"")</f>
        <v/>
      </c>
      <c r="F89" s="107">
        <v>28</v>
      </c>
      <c r="G89" s="149"/>
      <c r="H89" s="40" t="e">
        <f t="shared" si="3"/>
        <v>#N/A</v>
      </c>
      <c r="I89" s="107" t="str">
        <f t="array" ref="I89">IF(B89&lt;&gt;"",INDEX('Eingabe Meldungen'!$C$2:$J$492,MATCH(B89&amp;C89,'Eingabe Meldungen'!$C$2:$C$492&amp;'Eingabe Meldungen'!$D$2:$D$492,0),8),"")</f>
        <v/>
      </c>
      <c r="J89" s="40"/>
      <c r="K89" s="40"/>
      <c r="L89" s="151"/>
      <c r="M89" s="147"/>
      <c r="N89" s="11"/>
      <c r="O89" s="11"/>
      <c r="P89" s="15"/>
      <c r="Q89" s="11"/>
      <c r="T89" s="11"/>
      <c r="U89" s="11"/>
      <c r="Y89" s="15"/>
    </row>
    <row r="90" spans="2:25" ht="13.2" hidden="1" thickBot="1" x14ac:dyDescent="0.25">
      <c r="B90" s="148" t="str">
        <f t="array" ref="B90">IF(ISERROR(INDEX('Eingabe Meldungen'!$C$2:$C$492,LARGE(('Eingabe Meldungen'!$A$2:$A$492=$B$60)*(ROW('Eingabe Meldungen'!$A$2:$A$492)-1),COUNTIF('Eingabe Meldungen'!$A$2:$A$492,$B$60)+1-ROW('Eingabe Meldungen'!A29)))),"",INDEX('Eingabe Meldungen'!$C$2:$C$492,LARGE(('Eingabe Meldungen'!$A$2:$A$492=$B$60)*(ROW('Eingabe Meldungen'!$A$2:$A$492)-1),COUNTIF('Eingabe Meldungen'!$A$2:$A$492,$B$60)+1-ROW('Eingabe Meldungen'!A29))))</f>
        <v/>
      </c>
      <c r="C90" s="40" t="str">
        <f t="array" ref="C90">IF(ISERROR(INDEX('Eingabe Meldungen'!$D$2:$D$492,LARGE(('Eingabe Meldungen'!$A$2:$A$492=$B$60)*(ROW('Eingabe Meldungen'!$A$2:$A$492)-1),COUNTIF('Eingabe Meldungen'!$A$2:$A$492,$B$60)+1-ROW('Eingabe Meldungen'!A29)))),"",INDEX('Eingabe Meldungen'!$D$2:$D$492,LARGE(('Eingabe Meldungen'!$A$2:$A$492=$B$60)*(ROW('Eingabe Meldungen'!$A$2:$A$492)-1),COUNTIF('Eingabe Meldungen'!$A$2:$A$492,$B$60)+1-ROW('Eingabe Meldungen'!A29))))</f>
        <v/>
      </c>
      <c r="D90" s="204" t="str">
        <f t="array" ref="D90">IF(B90&lt;&gt;"",INDEX('Eingabe Meldungen'!$C$2:$H$492,MATCH(B90&amp;C90,'Eingabe Meldungen'!$C$2:$C$492&amp;'Eingabe Meldungen'!$D$2:$D$492,0),6),"")</f>
        <v/>
      </c>
      <c r="E90" s="107" t="str">
        <f t="array" ref="E90">IF(B90&lt;&gt;"",INDEX('Eingabe Meldungen'!$C$2:$H$492,MATCH(B90&amp;C90,'Eingabe Meldungen'!$C$2:$C$492&amp;'Eingabe Meldungen'!$D$2:$D$492,0),4),"")</f>
        <v/>
      </c>
      <c r="F90" s="107">
        <v>29</v>
      </c>
      <c r="G90" s="149"/>
      <c r="H90" s="40" t="e">
        <f t="shared" si="3"/>
        <v>#N/A</v>
      </c>
      <c r="I90" s="107" t="str">
        <f t="array" ref="I90">IF(B90&lt;&gt;"",INDEX('Eingabe Meldungen'!$C$2:$J$492,MATCH(B90&amp;C90,'Eingabe Meldungen'!$C$2:$C$492&amp;'Eingabe Meldungen'!$D$2:$D$492,0),8),"")</f>
        <v/>
      </c>
      <c r="J90" s="40"/>
      <c r="K90" s="40"/>
      <c r="L90" s="151"/>
      <c r="M90" s="147"/>
      <c r="N90" s="11"/>
      <c r="O90" s="11"/>
      <c r="P90" s="15"/>
      <c r="Q90" s="11"/>
      <c r="T90" s="11"/>
      <c r="U90" s="11"/>
      <c r="Y90" s="15"/>
    </row>
    <row r="91" spans="2:25" ht="13.2" hidden="1" thickBot="1" x14ac:dyDescent="0.25">
      <c r="B91" s="148" t="str">
        <f t="array" ref="B91">IF(ISERROR(INDEX('Eingabe Meldungen'!$C$2:$C$492,LARGE(('Eingabe Meldungen'!$A$2:$A$492=$B$60)*(ROW('Eingabe Meldungen'!$A$2:$A$492)-1),COUNTIF('Eingabe Meldungen'!$A$2:$A$492,$B$60)+1-ROW('Eingabe Meldungen'!A30)))),"",INDEX('Eingabe Meldungen'!$C$2:$C$492,LARGE(('Eingabe Meldungen'!$A$2:$A$492=$B$60)*(ROW('Eingabe Meldungen'!$A$2:$A$492)-1),COUNTIF('Eingabe Meldungen'!$A$2:$A$492,$B$60)+1-ROW('Eingabe Meldungen'!A30))))</f>
        <v/>
      </c>
      <c r="C91" s="40" t="str">
        <f t="array" ref="C91">IF(ISERROR(INDEX('Eingabe Meldungen'!$D$2:$D$492,LARGE(('Eingabe Meldungen'!$A$2:$A$492=$B$60)*(ROW('Eingabe Meldungen'!$A$2:$A$492)-1),COUNTIF('Eingabe Meldungen'!$A$2:$A$492,$B$60)+1-ROW('Eingabe Meldungen'!A30)))),"",INDEX('Eingabe Meldungen'!$D$2:$D$492,LARGE(('Eingabe Meldungen'!$A$2:$A$492=$B$60)*(ROW('Eingabe Meldungen'!$A$2:$A$492)-1),COUNTIF('Eingabe Meldungen'!$A$2:$A$492,$B$60)+1-ROW('Eingabe Meldungen'!A30))))</f>
        <v/>
      </c>
      <c r="D91" s="204" t="str">
        <f t="array" ref="D91">IF(B91&lt;&gt;"",INDEX('Eingabe Meldungen'!$C$2:$H$492,MATCH(B91&amp;C91,'Eingabe Meldungen'!$C$2:$C$492&amp;'Eingabe Meldungen'!$D$2:$D$492,0),6),"")</f>
        <v/>
      </c>
      <c r="E91" s="107" t="str">
        <f t="array" ref="E91">IF(B91&lt;&gt;"",INDEX('Eingabe Meldungen'!$C$2:$H$492,MATCH(B91&amp;C91,'Eingabe Meldungen'!$C$2:$C$492&amp;'Eingabe Meldungen'!$D$2:$D$492,0),4),"")</f>
        <v/>
      </c>
      <c r="F91" s="107">
        <v>30</v>
      </c>
      <c r="G91" s="149"/>
      <c r="H91" s="40" t="e">
        <f t="shared" si="3"/>
        <v>#N/A</v>
      </c>
      <c r="I91" s="107" t="str">
        <f t="array" ref="I91">IF(B91&lt;&gt;"",INDEX('Eingabe Meldungen'!$C$2:$J$492,MATCH(B91&amp;C91,'Eingabe Meldungen'!$C$2:$C$492&amp;'Eingabe Meldungen'!$D$2:$D$492,0),8),"")</f>
        <v/>
      </c>
      <c r="J91" s="40"/>
      <c r="K91" s="40"/>
      <c r="L91" s="151"/>
      <c r="M91" s="147"/>
      <c r="N91" s="11"/>
      <c r="O91" s="11"/>
      <c r="P91" s="15"/>
      <c r="Q91" s="11"/>
      <c r="T91" s="11"/>
      <c r="U91" s="11"/>
      <c r="Y91" s="15"/>
    </row>
    <row r="92" spans="2:25" ht="13.2" hidden="1" thickBot="1" x14ac:dyDescent="0.25">
      <c r="B92" s="148" t="str">
        <f t="array" ref="B92">IF(ISERROR(INDEX('Eingabe Meldungen'!$C$2:$C$492,LARGE(('Eingabe Meldungen'!$A$2:$A$492=$B$60)*(ROW('Eingabe Meldungen'!$A$2:$A$492)-1),COUNTIF('Eingabe Meldungen'!$A$2:$A$492,$B$60)+1-ROW('Eingabe Meldungen'!A31)))),"",INDEX('Eingabe Meldungen'!$C$2:$C$492,LARGE(('Eingabe Meldungen'!$A$2:$A$492=$B$60)*(ROW('Eingabe Meldungen'!$A$2:$A$492)-1),COUNTIF('Eingabe Meldungen'!$A$2:$A$492,$B$60)+1-ROW('Eingabe Meldungen'!A31))))</f>
        <v/>
      </c>
      <c r="C92" s="40" t="str">
        <f t="array" ref="C92">IF(ISERROR(INDEX('Eingabe Meldungen'!$D$2:$D$492,LARGE(('Eingabe Meldungen'!$A$2:$A$492=$B$60)*(ROW('Eingabe Meldungen'!$A$2:$A$492)-1),COUNTIF('Eingabe Meldungen'!$A$2:$A$492,$B$60)+1-ROW('Eingabe Meldungen'!A31)))),"",INDEX('Eingabe Meldungen'!$D$2:$D$492,LARGE(('Eingabe Meldungen'!$A$2:$A$492=$B$60)*(ROW('Eingabe Meldungen'!$A$2:$A$492)-1),COUNTIF('Eingabe Meldungen'!$A$2:$A$492,$B$60)+1-ROW('Eingabe Meldungen'!A31))))</f>
        <v/>
      </c>
      <c r="D92" s="204" t="str">
        <f t="array" ref="D92">IF(B92&lt;&gt;"",INDEX('Eingabe Meldungen'!$C$2:$H$492,MATCH(B92&amp;C92,'Eingabe Meldungen'!$C$2:$C$492&amp;'Eingabe Meldungen'!$D$2:$D$492,0),6),"")</f>
        <v/>
      </c>
      <c r="E92" s="107" t="str">
        <f t="array" ref="E92">IF(B92&lt;&gt;"",INDEX('Eingabe Meldungen'!$C$2:$H$492,MATCH(B92&amp;C92,'Eingabe Meldungen'!$C$2:$C$492&amp;'Eingabe Meldungen'!$D$2:$D$492,0),4),"")</f>
        <v/>
      </c>
      <c r="F92" s="107">
        <v>31</v>
      </c>
      <c r="G92" s="149"/>
      <c r="H92" s="40" t="e">
        <f t="shared" si="3"/>
        <v>#N/A</v>
      </c>
      <c r="I92" s="107" t="str">
        <f t="array" ref="I92">IF(B92&lt;&gt;"",INDEX('Eingabe Meldungen'!$C$2:$J$492,MATCH(B92&amp;C92,'Eingabe Meldungen'!$C$2:$C$492&amp;'Eingabe Meldungen'!$D$2:$D$492,0),8),"")</f>
        <v/>
      </c>
      <c r="J92" s="40"/>
      <c r="K92" s="40"/>
      <c r="L92" s="151"/>
      <c r="M92" s="147"/>
      <c r="N92" s="11"/>
      <c r="O92" s="11"/>
      <c r="P92" s="15"/>
      <c r="Q92" s="11"/>
      <c r="T92" s="11"/>
      <c r="U92" s="11"/>
      <c r="W92" s="2"/>
      <c r="X92" s="3"/>
      <c r="Y92" s="4"/>
    </row>
    <row r="93" spans="2:25" ht="12.75" hidden="1" customHeight="1" x14ac:dyDescent="0.2">
      <c r="B93" s="148" t="str">
        <f t="array" ref="B93">IF(ISERROR(INDEX('Eingabe Meldungen'!$C$2:$C$492,LARGE(('Eingabe Meldungen'!$A$2:$A$492=$B$60)*(ROW('Eingabe Meldungen'!$A$2:$A$492)-1),COUNTIF('Eingabe Meldungen'!$A$2:$A$492,$B$60)+1-ROW('Eingabe Meldungen'!A32)))),"",INDEX('Eingabe Meldungen'!$C$2:$C$492,LARGE(('Eingabe Meldungen'!$A$2:$A$492=$B$60)*(ROW('Eingabe Meldungen'!$A$2:$A$492)-1),COUNTIF('Eingabe Meldungen'!$A$2:$A$492,$B$60)+1-ROW('Eingabe Meldungen'!A32))))</f>
        <v/>
      </c>
      <c r="C93" s="40" t="str">
        <f t="array" ref="C93">IF(ISERROR(INDEX('Eingabe Meldungen'!$D$2:$D$492,LARGE(('Eingabe Meldungen'!$A$2:$A$492=$B$60)*(ROW('Eingabe Meldungen'!$A$2:$A$492)-1),COUNTIF('Eingabe Meldungen'!$A$2:$A$492,$B$60)+1-ROW('Eingabe Meldungen'!A32)))),"",INDEX('Eingabe Meldungen'!$D$2:$D$492,LARGE(('Eingabe Meldungen'!$A$2:$A$492=$B$60)*(ROW('Eingabe Meldungen'!$A$2:$A$492)-1),COUNTIF('Eingabe Meldungen'!$A$2:$A$492,$B$60)+1-ROW('Eingabe Meldungen'!A32))))</f>
        <v/>
      </c>
      <c r="D93" s="204" t="str">
        <f t="array" ref="D93">IF(B93&lt;&gt;"",INDEX('Eingabe Meldungen'!$C$2:$H$492,MATCH(B93&amp;C93,'Eingabe Meldungen'!$C$2:$C$492&amp;'Eingabe Meldungen'!$D$2:$D$492,0),6),"")</f>
        <v/>
      </c>
      <c r="E93" s="107" t="str">
        <f t="array" ref="E93">IF(B93&lt;&gt;"",INDEX('Eingabe Meldungen'!$C$2:$H$492,MATCH(B93&amp;C93,'Eingabe Meldungen'!$C$2:$C$492&amp;'Eingabe Meldungen'!$D$2:$D$492,0),4),"")</f>
        <v/>
      </c>
      <c r="F93" s="107">
        <v>32</v>
      </c>
      <c r="G93" s="149"/>
      <c r="H93" s="40" t="e">
        <f t="shared" si="3"/>
        <v>#N/A</v>
      </c>
      <c r="I93" s="107" t="str">
        <f t="array" ref="I93">IF(B93&lt;&gt;"",INDEX('Eingabe Meldungen'!$C$2:$J$492,MATCH(B93&amp;C93,'Eingabe Meldungen'!$C$2:$C$492&amp;'Eingabe Meldungen'!$D$2:$D$492,0),8),"")</f>
        <v/>
      </c>
      <c r="J93" s="40"/>
      <c r="K93" s="40"/>
      <c r="L93" s="151"/>
      <c r="M93" s="147"/>
      <c r="N93" s="11"/>
      <c r="O93" s="11"/>
      <c r="P93" s="15"/>
      <c r="Q93" s="11"/>
      <c r="T93" s="11"/>
      <c r="U93" s="11"/>
      <c r="W93" s="2"/>
      <c r="X93" s="3"/>
      <c r="Y93" s="4"/>
    </row>
    <row r="94" spans="2:25" ht="12.75" hidden="1" customHeight="1" x14ac:dyDescent="0.2">
      <c r="B94" s="148" t="str">
        <f t="array" ref="B94">IF(ISERROR(INDEX('Eingabe Meldungen'!$C$2:$C$492,LARGE(('Eingabe Meldungen'!$A$2:$A$492=$B$60)*(ROW('Eingabe Meldungen'!$A$2:$A$492)-1),COUNTIF('Eingabe Meldungen'!$A$2:$A$492,$B$60)+1-ROW('Eingabe Meldungen'!A33)))),"",INDEX('Eingabe Meldungen'!$C$2:$C$492,LARGE(('Eingabe Meldungen'!$A$2:$A$492=$B$60)*(ROW('Eingabe Meldungen'!$A$2:$A$492)-1),COUNTIF('Eingabe Meldungen'!$A$2:$A$492,$B$60)+1-ROW('Eingabe Meldungen'!A33))))</f>
        <v/>
      </c>
      <c r="C94" s="40" t="str">
        <f t="array" ref="C94">IF(ISERROR(INDEX('Eingabe Meldungen'!$D$2:$D$492,LARGE(('Eingabe Meldungen'!$A$2:$A$492=$B$60)*(ROW('Eingabe Meldungen'!$A$2:$A$492)-1),COUNTIF('Eingabe Meldungen'!$A$2:$A$492,$B$60)+1-ROW('Eingabe Meldungen'!A33)))),"",INDEX('Eingabe Meldungen'!$D$2:$D$492,LARGE(('Eingabe Meldungen'!$A$2:$A$492=$B$60)*(ROW('Eingabe Meldungen'!$A$2:$A$492)-1),COUNTIF('Eingabe Meldungen'!$A$2:$A$492,$B$60)+1-ROW('Eingabe Meldungen'!A33))))</f>
        <v/>
      </c>
      <c r="D94" s="204" t="str">
        <f t="array" ref="D94">IF(B94&lt;&gt;"",INDEX('Eingabe Meldungen'!$C$2:$H$492,MATCH(B94&amp;C94,'Eingabe Meldungen'!$C$2:$C$492&amp;'Eingabe Meldungen'!$D$2:$D$492,0),6),"")</f>
        <v/>
      </c>
      <c r="E94" s="107" t="str">
        <f t="array" ref="E94">IF(B94&lt;&gt;"",INDEX('Eingabe Meldungen'!$C$2:$H$492,MATCH(B94&amp;C94,'Eingabe Meldungen'!$C$2:$C$492&amp;'Eingabe Meldungen'!$D$2:$D$492,0),4),"")</f>
        <v/>
      </c>
      <c r="F94" s="107">
        <v>33</v>
      </c>
      <c r="G94" s="149"/>
      <c r="H94" s="40" t="e">
        <f t="shared" si="3"/>
        <v>#N/A</v>
      </c>
      <c r="I94" s="107" t="str">
        <f t="array" ref="I94">IF(B94&lt;&gt;"",INDEX('Eingabe Meldungen'!$C$2:$J$492,MATCH(B94&amp;C94,'Eingabe Meldungen'!$C$2:$C$492&amp;'Eingabe Meldungen'!$D$2:$D$492,0),8),"")</f>
        <v/>
      </c>
      <c r="J94" s="40"/>
      <c r="K94" s="40"/>
      <c r="L94" s="151"/>
      <c r="M94" s="147"/>
      <c r="N94" s="11"/>
      <c r="O94" s="11"/>
      <c r="P94" s="15"/>
      <c r="Q94" s="11"/>
      <c r="T94" s="11"/>
      <c r="U94" s="11"/>
      <c r="Y94" s="15"/>
    </row>
    <row r="95" spans="2:25" ht="12.75" hidden="1" customHeight="1" thickBot="1" x14ac:dyDescent="0.25">
      <c r="B95" s="148" t="str">
        <f t="array" ref="B95">IF(ISERROR(INDEX('Eingabe Meldungen'!$C$2:$C$492,LARGE(('Eingabe Meldungen'!$A$2:$A$492=$B$60)*(ROW('Eingabe Meldungen'!$A$2:$A$492)-1),COUNTIF('Eingabe Meldungen'!$A$2:$A$492,$B$60)+1-ROW('Eingabe Meldungen'!A34)))),"",INDEX('Eingabe Meldungen'!$C$2:$C$492,LARGE(('Eingabe Meldungen'!$A$2:$A$492=$B$60)*(ROW('Eingabe Meldungen'!$A$2:$A$492)-1),COUNTIF('Eingabe Meldungen'!$A$2:$A$492,$B$60)+1-ROW('Eingabe Meldungen'!A34))))</f>
        <v/>
      </c>
      <c r="C95" s="40" t="str">
        <f t="array" ref="C95">IF(ISERROR(INDEX('Eingabe Meldungen'!$D$2:$D$492,LARGE(('Eingabe Meldungen'!$A$2:$A$492=$B$60)*(ROW('Eingabe Meldungen'!$A$2:$A$492)-1),COUNTIF('Eingabe Meldungen'!$A$2:$A$492,$B$60)+1-ROW('Eingabe Meldungen'!A34)))),"",INDEX('Eingabe Meldungen'!$D$2:$D$492,LARGE(('Eingabe Meldungen'!$A$2:$A$492=$B$60)*(ROW('Eingabe Meldungen'!$A$2:$A$492)-1),COUNTIF('Eingabe Meldungen'!$A$2:$A$492,$B$60)+1-ROW('Eingabe Meldungen'!A34))))</f>
        <v/>
      </c>
      <c r="D95" s="204" t="str">
        <f t="array" ref="D95">IF(B95&lt;&gt;"",INDEX('Eingabe Meldungen'!$C$2:$H$492,MATCH(B95&amp;C95,'Eingabe Meldungen'!$C$2:$C$492&amp;'Eingabe Meldungen'!$D$2:$D$492,0),6),"")</f>
        <v/>
      </c>
      <c r="E95" s="107" t="str">
        <f t="array" ref="E95">IF(B95&lt;&gt;"",INDEX('Eingabe Meldungen'!$C$2:$H$492,MATCH(B95&amp;C95,'Eingabe Meldungen'!$C$2:$C$492&amp;'Eingabe Meldungen'!$D$2:$D$492,0),4),"")</f>
        <v/>
      </c>
      <c r="F95" s="107">
        <v>34</v>
      </c>
      <c r="G95" s="149"/>
      <c r="H95" s="40" t="e">
        <f t="shared" si="3"/>
        <v>#N/A</v>
      </c>
      <c r="I95" s="107" t="str">
        <f t="array" ref="I95">IF(B95&lt;&gt;"",INDEX('Eingabe Meldungen'!$C$2:$J$492,MATCH(B95&amp;C95,'Eingabe Meldungen'!$C$2:$C$492&amp;'Eingabe Meldungen'!$D$2:$D$492,0),8),"")</f>
        <v/>
      </c>
      <c r="J95" s="40"/>
      <c r="K95" s="40"/>
      <c r="L95" s="151"/>
      <c r="M95" s="147"/>
      <c r="N95" s="11"/>
      <c r="O95" s="11"/>
      <c r="P95" s="15"/>
      <c r="Q95" s="11"/>
      <c r="T95" s="11"/>
      <c r="U95" s="11"/>
      <c r="Y95" s="15"/>
    </row>
    <row r="96" spans="2:25" ht="25.5" customHeight="1" x14ac:dyDescent="0.2">
      <c r="B96" s="303">
        <v>5</v>
      </c>
      <c r="C96" s="304" t="str">
        <f>VLOOKUP(B96,Ausschreibung!$B$5:$I$35,2,FALSE)</f>
        <v>Ergocup</v>
      </c>
      <c r="D96" s="305">
        <f>VLOOKUP(B96,Ausschreibung!$B$5:$I$35,3,FALSE)</f>
        <v>0.50277777777777777</v>
      </c>
      <c r="E96" s="304" t="str">
        <f>VLOOKUP(B96,Ausschreibung!$B$5:$I$35,4,FALSE)</f>
        <v>Mädchen U14</v>
      </c>
      <c r="F96" s="304">
        <v>61.5</v>
      </c>
      <c r="G96" s="304" t="str">
        <f>VLOOKUP(B96,Ausschreibung!$B$5:$I$35,6,FALSE)</f>
        <v>13 und jünger</v>
      </c>
      <c r="H96" s="304" t="str">
        <f>VLOOKUP(B96,Ausschreibung!$B$5:$I$35,8,FALSE)</f>
        <v>1000 m</v>
      </c>
      <c r="I96" s="304"/>
      <c r="J96" s="301">
        <f>D96-(2*$N$60)</f>
        <v>0.41944444444444445</v>
      </c>
      <c r="K96" s="299"/>
      <c r="L96" s="301">
        <f>D96-$N$60</f>
        <v>0.46111111111111108</v>
      </c>
      <c r="M96" s="306"/>
      <c r="N96" s="17"/>
      <c r="O96" s="17"/>
      <c r="P96" s="17"/>
      <c r="Q96" s="17"/>
      <c r="R96" s="17"/>
      <c r="S96" s="17"/>
      <c r="T96" s="11"/>
      <c r="U96" s="11"/>
      <c r="Y96" s="15"/>
    </row>
    <row r="97" spans="2:25" ht="12.75" customHeight="1" x14ac:dyDescent="0.2">
      <c r="B97" s="176" t="s">
        <v>1</v>
      </c>
      <c r="C97" s="177" t="s">
        <v>2</v>
      </c>
      <c r="D97" s="178" t="s">
        <v>4</v>
      </c>
      <c r="E97" s="179" t="s">
        <v>16</v>
      </c>
      <c r="F97" s="178" t="s">
        <v>18</v>
      </c>
      <c r="G97" s="178" t="s">
        <v>50</v>
      </c>
      <c r="H97" s="178" t="s">
        <v>51</v>
      </c>
      <c r="I97" s="180" t="s">
        <v>17</v>
      </c>
      <c r="J97" s="178" t="s">
        <v>85</v>
      </c>
      <c r="K97" s="179"/>
      <c r="L97" s="179" t="s">
        <v>50</v>
      </c>
      <c r="M97" s="185" t="s">
        <v>87</v>
      </c>
      <c r="N97" s="17"/>
      <c r="O97" s="16"/>
      <c r="P97" s="17"/>
      <c r="Q97" s="17"/>
      <c r="R97" s="17"/>
      <c r="S97" s="17"/>
      <c r="T97" s="11"/>
      <c r="U97" s="11"/>
      <c r="Y97" s="15"/>
    </row>
    <row r="98" spans="2:25" ht="12.75" customHeight="1" x14ac:dyDescent="0.2">
      <c r="B98" s="148" t="str">
        <f t="array" ref="B98">IF(ISERROR(INDEX('Eingabe Meldungen'!$C$2:$C$492,LARGE(('Eingabe Meldungen'!$A$2:$A$492=$B$96)*(ROW('Eingabe Meldungen'!$A$2:$A$492)-1),COUNTIF('Eingabe Meldungen'!$A$2:$A$492,$B$96)+1-ROW('Eingabe Meldungen'!A1)))),"",INDEX('Eingabe Meldungen'!$C$2:$C$492,LARGE(('Eingabe Meldungen'!$A$2:$A$492=$B$96)*(ROW('Eingabe Meldungen'!$A$2:$A$492)-1),COUNTIF('Eingabe Meldungen'!$A$2:$A$492,$B$96)+1-ROW('Eingabe Meldungen'!A1))))</f>
        <v>Schilling</v>
      </c>
      <c r="C98" s="40" t="str">
        <f t="array" ref="C98">IF(ISERROR(INDEX('Eingabe Meldungen'!$D$2:$D$492,LARGE(('Eingabe Meldungen'!$A$2:$A$492=$B$96)*(ROW('Eingabe Meldungen'!$A$2:$A$492)-1),COUNTIF('Eingabe Meldungen'!$A$2:$A$492,$B$96)+1-ROW('Eingabe Meldungen'!A1)))),"",INDEX('Eingabe Meldungen'!$D$2:$D$492,LARGE(('Eingabe Meldungen'!$A$2:$A$492=$B$96)*(ROW('Eingabe Meldungen'!$A$2:$A$492)-1),COUNTIF('Eingabe Meldungen'!$A$2:$A$492,$B$96)+1-ROW('Eingabe Meldungen'!A1))))</f>
        <v>Amelie</v>
      </c>
      <c r="D98" s="107">
        <f t="array" ref="D98">IF(B98&lt;&gt;"",INDEX('Eingabe Meldungen'!$C$2:$H$492,MATCH(B98&amp;C98,'Eingabe Meldungen'!$C$2:$C$492&amp;'Eingabe Meldungen'!$D$2:$D$492,0),6),"")</f>
        <v>2007</v>
      </c>
      <c r="E98" s="107" t="str">
        <f t="array" ref="E98">IF(B98&lt;&gt;"",INDEX('Eingabe Meldungen'!$C$2:$H$492,MATCH(B98&amp;C98,'Eingabe Meldungen'!$C$2:$C$492&amp;'Eingabe Meldungen'!$D$2:$D$492,0),4),"")</f>
        <v>Lgw. bis 50 kg</v>
      </c>
      <c r="F98" s="107"/>
      <c r="G98" s="158"/>
      <c r="H98" s="40" t="e">
        <f t="shared" ref="H98:H108" si="4">RANK(G98,$G$98:$G$108,2)</f>
        <v>#N/A</v>
      </c>
      <c r="I98" s="107" t="str">
        <f t="array" ref="I98">IF(B98&lt;&gt;"",INDEX('Eingabe Meldungen'!$C$2:$J$492,MATCH(B98&amp;C98,'Eingabe Meldungen'!$C$2:$C$492&amp;'Eingabe Meldungen'!$D$2:$D$492,0),8),"")</f>
        <v>RC Nürtingen</v>
      </c>
      <c r="J98" s="257"/>
      <c r="K98" s="257"/>
      <c r="L98" s="254"/>
      <c r="M98" s="258"/>
      <c r="N98" s="11"/>
      <c r="O98" s="11"/>
      <c r="P98" s="15"/>
      <c r="Q98" s="11"/>
      <c r="T98" s="11"/>
      <c r="U98" s="11"/>
      <c r="Y98" s="15"/>
    </row>
    <row r="99" spans="2:25" ht="12.75" customHeight="1" x14ac:dyDescent="0.2">
      <c r="B99" s="148" t="str">
        <f t="array" ref="B99">IF(ISERROR(INDEX('Eingabe Meldungen'!$C$2:$C$492,LARGE(('Eingabe Meldungen'!$A$2:$A$492=$B$96)*(ROW('Eingabe Meldungen'!$A$2:$A$492)-1),COUNTIF('Eingabe Meldungen'!$A$2:$A$492,$B$96)+1-ROW('Eingabe Meldungen'!A2)))),"",INDEX('Eingabe Meldungen'!$C$2:$C$492,LARGE(('Eingabe Meldungen'!$A$2:$A$492=$B$96)*(ROW('Eingabe Meldungen'!$A$2:$A$492)-1),COUNTIF('Eingabe Meldungen'!$A$2:$A$492,$B$96)+1-ROW('Eingabe Meldungen'!A2))))</f>
        <v>Deimel</v>
      </c>
      <c r="C99" s="40" t="str">
        <f t="array" ref="C99">IF(ISERROR(INDEX('Eingabe Meldungen'!$D$2:$D$492,LARGE(('Eingabe Meldungen'!$A$2:$A$492=$B$96)*(ROW('Eingabe Meldungen'!$A$2:$A$492)-1),COUNTIF('Eingabe Meldungen'!$A$2:$A$492,$B$96)+1-ROW('Eingabe Meldungen'!A2)))),"",INDEX('Eingabe Meldungen'!$D$2:$D$492,LARGE(('Eingabe Meldungen'!$A$2:$A$492=$B$96)*(ROW('Eingabe Meldungen'!$A$2:$A$492)-1),COUNTIF('Eingabe Meldungen'!$A$2:$A$492,$B$96)+1-ROW('Eingabe Meldungen'!A2))))</f>
        <v>Johanna</v>
      </c>
      <c r="D99" s="107">
        <f t="array" ref="D99">IF(B99&lt;&gt;"",INDEX('Eingabe Meldungen'!$C$2:$H$492,MATCH(B99&amp;C99,'Eingabe Meldungen'!$C$2:$C$492&amp;'Eingabe Meldungen'!$D$2:$D$492,0),6),"")</f>
        <v>2007</v>
      </c>
      <c r="E99" s="107" t="str">
        <f t="array" ref="E99">IF(B99&lt;&gt;"",INDEX('Eingabe Meldungen'!$C$2:$H$492,MATCH(B99&amp;C99,'Eingabe Meldungen'!$C$2:$C$492&amp;'Eingabe Meldungen'!$D$2:$D$492,0),4),"")</f>
        <v>Lgw. bis 50 kg</v>
      </c>
      <c r="F99" s="107"/>
      <c r="G99" s="158"/>
      <c r="H99" s="40" t="e">
        <f t="shared" si="4"/>
        <v>#N/A</v>
      </c>
      <c r="I99" s="107" t="str">
        <f t="array" ref="I99">IF(B99&lt;&gt;"",INDEX('Eingabe Meldungen'!$C$2:$J$492,MATCH(B99&amp;C99,'Eingabe Meldungen'!$C$2:$C$492&amp;'Eingabe Meldungen'!$D$2:$D$492,0),8),"")</f>
        <v>Mannheimer RV "Amicitia"</v>
      </c>
      <c r="J99" s="257"/>
      <c r="K99" s="257"/>
      <c r="L99" s="254"/>
      <c r="M99" s="258"/>
      <c r="N99" s="11"/>
      <c r="O99" s="11"/>
      <c r="P99" s="15"/>
      <c r="Q99" s="11"/>
      <c r="T99" s="11"/>
      <c r="U99" s="11"/>
      <c r="Y99" s="15"/>
    </row>
    <row r="100" spans="2:25" ht="12.75" customHeight="1" x14ac:dyDescent="0.2">
      <c r="B100" s="148" t="str">
        <f t="array" ref="B100">IF(ISERROR(INDEX('Eingabe Meldungen'!$C$2:$C$492,LARGE(('Eingabe Meldungen'!$A$2:$A$492=$B$96)*(ROW('Eingabe Meldungen'!$A$2:$A$492)-1),COUNTIF('Eingabe Meldungen'!$A$2:$A$492,$B$96)+1-ROW('Eingabe Meldungen'!A3)))),"",INDEX('Eingabe Meldungen'!$C$2:$C$492,LARGE(('Eingabe Meldungen'!$A$2:$A$492=$B$96)*(ROW('Eingabe Meldungen'!$A$2:$A$492)-1),COUNTIF('Eingabe Meldungen'!$A$2:$A$492,$B$96)+1-ROW('Eingabe Meldungen'!A3))))</f>
        <v>Warning</v>
      </c>
      <c r="C100" s="40" t="str">
        <f t="array" ref="C100">IF(ISERROR(INDEX('Eingabe Meldungen'!$D$2:$D$492,LARGE(('Eingabe Meldungen'!$A$2:$A$492=$B$96)*(ROW('Eingabe Meldungen'!$A$2:$A$492)-1),COUNTIF('Eingabe Meldungen'!$A$2:$A$492,$B$96)+1-ROW('Eingabe Meldungen'!A3)))),"",INDEX('Eingabe Meldungen'!$D$2:$D$492,LARGE(('Eingabe Meldungen'!$A$2:$A$492=$B$96)*(ROW('Eingabe Meldungen'!$A$2:$A$492)-1),COUNTIF('Eingabe Meldungen'!$A$2:$A$492,$B$96)+1-ROW('Eingabe Meldungen'!A3))))</f>
        <v>Johanna</v>
      </c>
      <c r="D100" s="107">
        <f t="array" ref="D100">IF(B100&lt;&gt;"",INDEX('Eingabe Meldungen'!$C$2:$H$492,MATCH(B100&amp;C100,'Eingabe Meldungen'!$C$2:$C$492&amp;'Eingabe Meldungen'!$D$2:$D$492,0),6),"")</f>
        <v>2007</v>
      </c>
      <c r="E100" s="107" t="str">
        <f t="array" ref="E100">IF(B100&lt;&gt;"",INDEX('Eingabe Meldungen'!$C$2:$H$492,MATCH(B100&amp;C100,'Eingabe Meldungen'!$C$2:$C$492&amp;'Eingabe Meldungen'!$D$2:$D$492,0),4),"")</f>
        <v>Lgw. bis 50 kg</v>
      </c>
      <c r="F100" s="107"/>
      <c r="G100" s="158"/>
      <c r="H100" s="40" t="e">
        <f t="shared" si="4"/>
        <v>#N/A</v>
      </c>
      <c r="I100" s="107" t="str">
        <f t="array" ref="I100">IF(B100&lt;&gt;"",INDEX('Eingabe Meldungen'!$C$2:$J$492,MATCH(B100&amp;C100,'Eingabe Meldungen'!$C$2:$C$492&amp;'Eingabe Meldungen'!$D$2:$D$492,0),8),"")</f>
        <v>Stuttgart-Cannstatter RC</v>
      </c>
      <c r="J100" s="257"/>
      <c r="K100" s="257"/>
      <c r="L100" s="254"/>
      <c r="M100" s="258"/>
      <c r="N100" s="11"/>
      <c r="O100" s="11"/>
      <c r="P100" s="15"/>
      <c r="Q100" s="11"/>
      <c r="T100" s="11"/>
      <c r="U100" s="11"/>
      <c r="Y100" s="15"/>
    </row>
    <row r="101" spans="2:25" ht="12.75" customHeight="1" x14ac:dyDescent="0.2">
      <c r="B101" s="148" t="str">
        <f t="array" ref="B101">IF(ISERROR(INDEX('Eingabe Meldungen'!$C$2:$C$492,LARGE(('Eingabe Meldungen'!$A$2:$A$492=$B$96)*(ROW('Eingabe Meldungen'!$A$2:$A$492)-1),COUNTIF('Eingabe Meldungen'!$A$2:$A$492,$B$96)+1-ROW('Eingabe Meldungen'!A4)))),"",INDEX('Eingabe Meldungen'!$C$2:$C$492,LARGE(('Eingabe Meldungen'!$A$2:$A$492=$B$96)*(ROW('Eingabe Meldungen'!$A$2:$A$492)-1),COUNTIF('Eingabe Meldungen'!$A$2:$A$492,$B$96)+1-ROW('Eingabe Meldungen'!A4))))</f>
        <v>Jonescheit</v>
      </c>
      <c r="C101" s="40" t="str">
        <f t="array" ref="C101">IF(ISERROR(INDEX('Eingabe Meldungen'!$D$2:$D$492,LARGE(('Eingabe Meldungen'!$A$2:$A$492=$B$96)*(ROW('Eingabe Meldungen'!$A$2:$A$492)-1),COUNTIF('Eingabe Meldungen'!$A$2:$A$492,$B$96)+1-ROW('Eingabe Meldungen'!A4)))),"",INDEX('Eingabe Meldungen'!$D$2:$D$492,LARGE(('Eingabe Meldungen'!$A$2:$A$492=$B$96)*(ROW('Eingabe Meldungen'!$A$2:$A$492)-1),COUNTIF('Eingabe Meldungen'!$A$2:$A$492,$B$96)+1-ROW('Eingabe Meldungen'!A4))))</f>
        <v>Zoë</v>
      </c>
      <c r="D101" s="107">
        <f t="array" ref="D101">IF(B101&lt;&gt;"",INDEX('Eingabe Meldungen'!$C$2:$H$492,MATCH(B101&amp;C101,'Eingabe Meldungen'!$C$2:$C$492&amp;'Eingabe Meldungen'!$D$2:$D$492,0),6),"")</f>
        <v>2007</v>
      </c>
      <c r="E101" s="107" t="str">
        <f t="array" ref="E101">IF(B101&lt;&gt;"",INDEX('Eingabe Meldungen'!$C$2:$H$492,MATCH(B101&amp;C101,'Eingabe Meldungen'!$C$2:$C$492&amp;'Eingabe Meldungen'!$D$2:$D$492,0),4),"")</f>
        <v>Lgw. bis 50 kg</v>
      </c>
      <c r="F101" s="107"/>
      <c r="G101" s="158"/>
      <c r="H101" s="40" t="e">
        <f t="shared" si="4"/>
        <v>#N/A</v>
      </c>
      <c r="I101" s="107" t="str">
        <f t="array" ref="I101">IF(B101&lt;&gt;"",INDEX('Eingabe Meldungen'!$C$2:$J$492,MATCH(B101&amp;C101,'Eingabe Meldungen'!$C$2:$C$492&amp;'Eingabe Meldungen'!$D$2:$D$492,0),8),"")</f>
        <v>Mannheimer RV "Amicitia"</v>
      </c>
      <c r="J101" s="257"/>
      <c r="K101" s="257"/>
      <c r="L101" s="254"/>
      <c r="M101" s="258"/>
      <c r="N101" s="11"/>
      <c r="O101" s="11"/>
      <c r="P101" s="15"/>
      <c r="Q101" s="11"/>
      <c r="T101" s="11"/>
      <c r="U101" s="11"/>
      <c r="Y101" s="15"/>
    </row>
    <row r="102" spans="2:25" ht="12.75" customHeight="1" x14ac:dyDescent="0.2">
      <c r="B102" s="148" t="str">
        <f t="array" ref="B102">IF(ISERROR(INDEX('Eingabe Meldungen'!$C$2:$C$492,LARGE(('Eingabe Meldungen'!$A$2:$A$492=$B$96)*(ROW('Eingabe Meldungen'!$A$2:$A$492)-1),COUNTIF('Eingabe Meldungen'!$A$2:$A$492,$B$96)+1-ROW('Eingabe Meldungen'!A5)))),"",INDEX('Eingabe Meldungen'!$C$2:$C$492,LARGE(('Eingabe Meldungen'!$A$2:$A$492=$B$96)*(ROW('Eingabe Meldungen'!$A$2:$A$492)-1),COUNTIF('Eingabe Meldungen'!$A$2:$A$492,$B$96)+1-ROW('Eingabe Meldungen'!A5))))</f>
        <v>Grünewald</v>
      </c>
      <c r="C102" s="40" t="str">
        <f t="array" ref="C102">IF(ISERROR(INDEX('Eingabe Meldungen'!$D$2:$D$492,LARGE(('Eingabe Meldungen'!$A$2:$A$492=$B$96)*(ROW('Eingabe Meldungen'!$A$2:$A$492)-1),COUNTIF('Eingabe Meldungen'!$A$2:$A$492,$B$96)+1-ROW('Eingabe Meldungen'!A5)))),"",INDEX('Eingabe Meldungen'!$D$2:$D$492,LARGE(('Eingabe Meldungen'!$A$2:$A$492=$B$96)*(ROW('Eingabe Meldungen'!$A$2:$A$492)-1),COUNTIF('Eingabe Meldungen'!$A$2:$A$492,$B$96)+1-ROW('Eingabe Meldungen'!A5))))</f>
        <v>Julika</v>
      </c>
      <c r="D102" s="107">
        <f t="array" ref="D102">IF(B102&lt;&gt;"",INDEX('Eingabe Meldungen'!$C$2:$H$492,MATCH(B102&amp;C102,'Eingabe Meldungen'!$C$2:$C$492&amp;'Eingabe Meldungen'!$D$2:$D$492,0),6),"")</f>
        <v>2008</v>
      </c>
      <c r="E102" s="107" t="str">
        <f t="array" ref="E102">IF(B102&lt;&gt;"",INDEX('Eingabe Meldungen'!$C$2:$H$492,MATCH(B102&amp;C102,'Eingabe Meldungen'!$C$2:$C$492&amp;'Eingabe Meldungen'!$D$2:$D$492,0),4),"")</f>
        <v>Lgw. bis 50 kg</v>
      </c>
      <c r="F102" s="107"/>
      <c r="G102" s="158"/>
      <c r="H102" s="40" t="e">
        <f t="shared" si="4"/>
        <v>#N/A</v>
      </c>
      <c r="I102" s="107" t="str">
        <f t="array" ref="I102">IF(B102&lt;&gt;"",INDEX('Eingabe Meldungen'!$C$2:$J$492,MATCH(B102&amp;C102,'Eingabe Meldungen'!$C$2:$C$492&amp;'Eingabe Meldungen'!$D$2:$D$492,0),8),"")</f>
        <v>Marbacher Ruderverein</v>
      </c>
      <c r="J102" s="257"/>
      <c r="K102" s="257"/>
      <c r="L102" s="254"/>
      <c r="M102" s="258"/>
      <c r="N102" s="11"/>
      <c r="O102" s="11"/>
      <c r="P102" s="15"/>
      <c r="Q102" s="11"/>
      <c r="T102" s="11"/>
      <c r="U102" s="11"/>
      <c r="Y102" s="15"/>
    </row>
    <row r="103" spans="2:25" ht="12.75" customHeight="1" x14ac:dyDescent="0.2">
      <c r="B103" s="148" t="str">
        <f t="array" ref="B103">IF(ISERROR(INDEX('Eingabe Meldungen'!$C$2:$C$492,LARGE(('Eingabe Meldungen'!$A$2:$A$492=$B$96)*(ROW('Eingabe Meldungen'!$A$2:$A$492)-1),COUNTIF('Eingabe Meldungen'!$A$2:$A$492,$B$96)+1-ROW('Eingabe Meldungen'!A6)))),"",INDEX('Eingabe Meldungen'!$C$2:$C$492,LARGE(('Eingabe Meldungen'!$A$2:$A$492=$B$96)*(ROW('Eingabe Meldungen'!$A$2:$A$492)-1),COUNTIF('Eingabe Meldungen'!$A$2:$A$492,$B$96)+1-ROW('Eingabe Meldungen'!A6))))</f>
        <v/>
      </c>
      <c r="C103" s="40" t="str">
        <f t="array" ref="C103">IF(ISERROR(INDEX('Eingabe Meldungen'!$D$2:$D$492,LARGE(('Eingabe Meldungen'!$A$2:$A$492=$B$96)*(ROW('Eingabe Meldungen'!$A$2:$A$492)-1),COUNTIF('Eingabe Meldungen'!$A$2:$A$492,$B$96)+1-ROW('Eingabe Meldungen'!A6)))),"",INDEX('Eingabe Meldungen'!$D$2:$D$492,LARGE(('Eingabe Meldungen'!$A$2:$A$492=$B$96)*(ROW('Eingabe Meldungen'!$A$2:$A$492)-1),COUNTIF('Eingabe Meldungen'!$A$2:$A$492,$B$96)+1-ROW('Eingabe Meldungen'!A6))))</f>
        <v/>
      </c>
      <c r="D103" s="107" t="str">
        <f t="array" ref="D103">IF(B103&lt;&gt;"",INDEX('Eingabe Meldungen'!$C$2:$H$492,MATCH(B103&amp;C103,'Eingabe Meldungen'!$C$2:$C$492&amp;'Eingabe Meldungen'!$D$2:$D$492,0),6),"")</f>
        <v/>
      </c>
      <c r="E103" s="107" t="str">
        <f t="array" ref="E103">IF(B103&lt;&gt;"",INDEX('Eingabe Meldungen'!$C$2:$H$492,MATCH(B103&amp;C103,'Eingabe Meldungen'!$C$2:$C$492&amp;'Eingabe Meldungen'!$D$2:$D$492,0),4),"")</f>
        <v/>
      </c>
      <c r="F103" s="107"/>
      <c r="G103" s="158"/>
      <c r="H103" s="40" t="e">
        <f t="shared" si="4"/>
        <v>#N/A</v>
      </c>
      <c r="I103" s="107" t="str">
        <f t="array" ref="I103">IF(B103&lt;&gt;"",INDEX('Eingabe Meldungen'!$C$2:$J$492,MATCH(B103&amp;C103,'Eingabe Meldungen'!$C$2:$C$492&amp;'Eingabe Meldungen'!$D$2:$D$492,0),8),"")</f>
        <v/>
      </c>
      <c r="J103" s="257"/>
      <c r="K103" s="257"/>
      <c r="L103" s="254"/>
      <c r="M103" s="258"/>
      <c r="N103" s="11"/>
      <c r="O103" s="11"/>
      <c r="P103" s="15"/>
      <c r="Q103" s="11"/>
      <c r="T103" s="11"/>
      <c r="U103" s="11"/>
      <c r="Y103" s="15"/>
    </row>
    <row r="104" spans="2:25" x14ac:dyDescent="0.2">
      <c r="B104" s="148" t="str">
        <f t="array" ref="B104">IF(ISERROR(INDEX('Eingabe Meldungen'!$C$2:$C$492,LARGE(('Eingabe Meldungen'!$A$2:$A$492=$B$96)*(ROW('Eingabe Meldungen'!$A$2:$A$492)-1),COUNTIF('Eingabe Meldungen'!$A$2:$A$492,$B$96)+1-ROW('Eingabe Meldungen'!A7)))),"",INDEX('Eingabe Meldungen'!$C$2:$C$492,LARGE(('Eingabe Meldungen'!$A$2:$A$492=$B$96)*(ROW('Eingabe Meldungen'!$A$2:$A$492)-1),COUNTIF('Eingabe Meldungen'!$A$2:$A$492,$B$96)+1-ROW('Eingabe Meldungen'!A7))))</f>
        <v/>
      </c>
      <c r="C104" s="40" t="str">
        <f t="array" ref="C104">IF(ISERROR(INDEX('Eingabe Meldungen'!$D$2:$D$492,LARGE(('Eingabe Meldungen'!$A$2:$A$492=$B$96)*(ROW('Eingabe Meldungen'!$A$2:$A$492)-1),COUNTIF('Eingabe Meldungen'!$A$2:$A$492,$B$96)+1-ROW('Eingabe Meldungen'!A7)))),"",INDEX('Eingabe Meldungen'!$D$2:$D$492,LARGE(('Eingabe Meldungen'!$A$2:$A$492=$B$96)*(ROW('Eingabe Meldungen'!$A$2:$A$492)-1),COUNTIF('Eingabe Meldungen'!$A$2:$A$492,$B$96)+1-ROW('Eingabe Meldungen'!A7))))</f>
        <v/>
      </c>
      <c r="D104" s="107" t="str">
        <f t="array" ref="D104">IF(B104&lt;&gt;"",INDEX('Eingabe Meldungen'!$C$2:$H$492,MATCH(B104&amp;C104,'Eingabe Meldungen'!$C$2:$C$492&amp;'Eingabe Meldungen'!$D$2:$D$492,0),6),"")</f>
        <v/>
      </c>
      <c r="E104" s="107" t="str">
        <f t="array" ref="E104">IF(B104&lt;&gt;"",INDEX('Eingabe Meldungen'!$C$2:$H$492,MATCH(B104&amp;C104,'Eingabe Meldungen'!$C$2:$C$492&amp;'Eingabe Meldungen'!$D$2:$D$492,0),4),"")</f>
        <v/>
      </c>
      <c r="F104" s="107"/>
      <c r="G104" s="158"/>
      <c r="H104" s="40" t="e">
        <f t="shared" si="4"/>
        <v>#N/A</v>
      </c>
      <c r="I104" s="107" t="str">
        <f t="array" ref="I104">IF(B104&lt;&gt;"",INDEX('Eingabe Meldungen'!$C$2:$J$492,MATCH(B104&amp;C104,'Eingabe Meldungen'!$C$2:$C$492&amp;'Eingabe Meldungen'!$D$2:$D$492,0),8),"")</f>
        <v/>
      </c>
      <c r="J104" s="257"/>
      <c r="K104" s="257"/>
      <c r="L104" s="254"/>
      <c r="M104" s="258"/>
      <c r="N104" s="11"/>
      <c r="O104" s="11"/>
      <c r="P104" s="15"/>
      <c r="Q104" s="11"/>
      <c r="T104" s="11"/>
      <c r="U104" s="11"/>
      <c r="W104" s="2"/>
      <c r="X104" s="3"/>
      <c r="Y104" s="4"/>
    </row>
    <row r="105" spans="2:25" ht="12.75" customHeight="1" x14ac:dyDescent="0.2">
      <c r="B105" s="148" t="str">
        <f t="array" ref="B105">IF(ISERROR(INDEX('Eingabe Meldungen'!$C$2:$C$492,LARGE(('Eingabe Meldungen'!$A$2:$A$492=$B$96)*(ROW('Eingabe Meldungen'!$A$2:$A$492)-1),COUNTIF('Eingabe Meldungen'!$A$2:$A$492,$B$96)+1-ROW('Eingabe Meldungen'!A8)))),"",INDEX('Eingabe Meldungen'!$C$2:$C$492,LARGE(('Eingabe Meldungen'!$A$2:$A$492=$B$96)*(ROW('Eingabe Meldungen'!$A$2:$A$492)-1),COUNTIF('Eingabe Meldungen'!$A$2:$A$492,$B$96)+1-ROW('Eingabe Meldungen'!A8))))</f>
        <v/>
      </c>
      <c r="C105" s="40" t="str">
        <f t="array" ref="C105">IF(ISERROR(INDEX('Eingabe Meldungen'!$D$2:$D$492,LARGE(('Eingabe Meldungen'!$A$2:$A$492=$B$96)*(ROW('Eingabe Meldungen'!$A$2:$A$492)-1),COUNTIF('Eingabe Meldungen'!$A$2:$A$492,$B$96)+1-ROW('Eingabe Meldungen'!A8)))),"",INDEX('Eingabe Meldungen'!$D$2:$D$492,LARGE(('Eingabe Meldungen'!$A$2:$A$492=$B$96)*(ROW('Eingabe Meldungen'!$A$2:$A$492)-1),COUNTIF('Eingabe Meldungen'!$A$2:$A$492,$B$96)+1-ROW('Eingabe Meldungen'!A8))))</f>
        <v/>
      </c>
      <c r="D105" s="107" t="str">
        <f t="array" ref="D105">IF(B105&lt;&gt;"",INDEX('Eingabe Meldungen'!$C$2:$H$492,MATCH(B105&amp;C105,'Eingabe Meldungen'!$C$2:$C$492&amp;'Eingabe Meldungen'!$D$2:$D$492,0),6),"")</f>
        <v/>
      </c>
      <c r="E105" s="107" t="str">
        <f t="array" ref="E105">IF(B105&lt;&gt;"",INDEX('Eingabe Meldungen'!$C$2:$H$492,MATCH(B105&amp;C105,'Eingabe Meldungen'!$C$2:$C$492&amp;'Eingabe Meldungen'!$D$2:$D$492,0),4),"")</f>
        <v/>
      </c>
      <c r="F105" s="107"/>
      <c r="G105" s="158"/>
      <c r="H105" s="40" t="e">
        <f t="shared" si="4"/>
        <v>#N/A</v>
      </c>
      <c r="I105" s="107" t="str">
        <f t="array" ref="I105">IF(B105&lt;&gt;"",INDEX('Eingabe Meldungen'!$C$2:$J$492,MATCH(B105&amp;C105,'Eingabe Meldungen'!$C$2:$C$492&amp;'Eingabe Meldungen'!$D$2:$D$492,0),8),"")</f>
        <v/>
      </c>
      <c r="J105" s="257"/>
      <c r="K105" s="257"/>
      <c r="L105" s="254"/>
      <c r="M105" s="258"/>
      <c r="N105" s="11"/>
      <c r="O105" s="11"/>
      <c r="P105" s="15"/>
      <c r="Q105" s="11"/>
      <c r="T105" s="11"/>
      <c r="U105" s="11"/>
      <c r="W105" s="2"/>
      <c r="X105" s="3"/>
      <c r="Y105" s="4"/>
    </row>
    <row r="106" spans="2:25" ht="12.75" customHeight="1" x14ac:dyDescent="0.2">
      <c r="B106" s="148" t="str">
        <f t="array" ref="B106">IF(ISERROR(INDEX('Eingabe Meldungen'!$C$2:$C$492,LARGE(('Eingabe Meldungen'!$A$2:$A$492=$B$96)*(ROW('Eingabe Meldungen'!$A$2:$A$492)-1),COUNTIF('Eingabe Meldungen'!$A$2:$A$492,$B$96)+1-ROW('Eingabe Meldungen'!A9)))),"",INDEX('Eingabe Meldungen'!$C$2:$C$492,LARGE(('Eingabe Meldungen'!$A$2:$A$492=$B$96)*(ROW('Eingabe Meldungen'!$A$2:$A$492)-1),COUNTIF('Eingabe Meldungen'!$A$2:$A$492,$B$96)+1-ROW('Eingabe Meldungen'!A9))))</f>
        <v/>
      </c>
      <c r="C106" s="40" t="str">
        <f t="array" ref="C106">IF(ISERROR(INDEX('Eingabe Meldungen'!$D$2:$D$492,LARGE(('Eingabe Meldungen'!$A$2:$A$492=$B$96)*(ROW('Eingabe Meldungen'!$A$2:$A$492)-1),COUNTIF('Eingabe Meldungen'!$A$2:$A$492,$B$96)+1-ROW('Eingabe Meldungen'!A9)))),"",INDEX('Eingabe Meldungen'!$D$2:$D$492,LARGE(('Eingabe Meldungen'!$A$2:$A$492=$B$96)*(ROW('Eingabe Meldungen'!$A$2:$A$492)-1),COUNTIF('Eingabe Meldungen'!$A$2:$A$492,$B$96)+1-ROW('Eingabe Meldungen'!A9))))</f>
        <v/>
      </c>
      <c r="D106" s="107" t="str">
        <f t="array" ref="D106">IF(B106&lt;&gt;"",INDEX('Eingabe Meldungen'!$C$2:$H$492,MATCH(B106&amp;C106,'Eingabe Meldungen'!$C$2:$C$492&amp;'Eingabe Meldungen'!$D$2:$D$492,0),6),"")</f>
        <v/>
      </c>
      <c r="E106" s="107" t="str">
        <f t="array" ref="E106">IF(B106&lt;&gt;"",INDEX('Eingabe Meldungen'!$C$2:$H$492,MATCH(B106&amp;C106,'Eingabe Meldungen'!$C$2:$C$492&amp;'Eingabe Meldungen'!$D$2:$D$492,0),4),"")</f>
        <v/>
      </c>
      <c r="F106" s="107"/>
      <c r="G106" s="158"/>
      <c r="H106" s="40" t="e">
        <f t="shared" si="4"/>
        <v>#N/A</v>
      </c>
      <c r="I106" s="107" t="str">
        <f t="array" ref="I106">IF(B106&lt;&gt;"",INDEX('Eingabe Meldungen'!$C$2:$J$492,MATCH(B106&amp;C106,'Eingabe Meldungen'!$C$2:$C$492&amp;'Eingabe Meldungen'!$D$2:$D$492,0),8),"")</f>
        <v/>
      </c>
      <c r="J106" s="257"/>
      <c r="K106" s="257"/>
      <c r="L106" s="254"/>
      <c r="M106" s="258"/>
      <c r="N106" s="11"/>
      <c r="O106" s="11"/>
      <c r="P106" s="15"/>
      <c r="Q106" s="11"/>
      <c r="T106" s="11"/>
      <c r="U106" s="11"/>
      <c r="Y106" s="15"/>
    </row>
    <row r="107" spans="2:25" ht="12.75" customHeight="1" x14ac:dyDescent="0.2">
      <c r="B107" s="148" t="str">
        <f t="array" ref="B107">IF(ISERROR(INDEX('Eingabe Meldungen'!$C$2:$C$492,LARGE(('Eingabe Meldungen'!$A$2:$A$492=$B$96)*(ROW('Eingabe Meldungen'!$A$2:$A$492)-1),COUNTIF('Eingabe Meldungen'!$A$2:$A$492,$B$96)+1-ROW('Eingabe Meldungen'!A10)))),"",INDEX('Eingabe Meldungen'!$C$2:$C$492,LARGE(('Eingabe Meldungen'!$A$2:$A$492=$B$96)*(ROW('Eingabe Meldungen'!$A$2:$A$492)-1),COUNTIF('Eingabe Meldungen'!$A$2:$A$492,$B$96)+1-ROW('Eingabe Meldungen'!A10))))</f>
        <v/>
      </c>
      <c r="C107" s="40" t="str">
        <f t="array" ref="C107">IF(ISERROR(INDEX('Eingabe Meldungen'!$D$2:$D$492,LARGE(('Eingabe Meldungen'!$A$2:$A$492=$B$96)*(ROW('Eingabe Meldungen'!$A$2:$A$492)-1),COUNTIF('Eingabe Meldungen'!$A$2:$A$492,$B$96)+1-ROW('Eingabe Meldungen'!A10)))),"",INDEX('Eingabe Meldungen'!$D$2:$D$492,LARGE(('Eingabe Meldungen'!$A$2:$A$492=$B$96)*(ROW('Eingabe Meldungen'!$A$2:$A$492)-1),COUNTIF('Eingabe Meldungen'!$A$2:$A$492,$B$96)+1-ROW('Eingabe Meldungen'!A10))))</f>
        <v/>
      </c>
      <c r="D107" s="107" t="str">
        <f t="array" ref="D107">IF(B107&lt;&gt;"",INDEX('Eingabe Meldungen'!$C$2:$H$492,MATCH(B107&amp;C107,'Eingabe Meldungen'!$C$2:$C$492&amp;'Eingabe Meldungen'!$D$2:$D$492,0),6),"")</f>
        <v/>
      </c>
      <c r="E107" s="107" t="str">
        <f t="array" ref="E107">IF(B107&lt;&gt;"",INDEX('Eingabe Meldungen'!$C$2:$H$492,MATCH(B107&amp;C107,'Eingabe Meldungen'!$C$2:$C$492&amp;'Eingabe Meldungen'!$D$2:$D$492,0),4),"")</f>
        <v/>
      </c>
      <c r="F107" s="107"/>
      <c r="G107" s="158"/>
      <c r="H107" s="40" t="e">
        <f t="shared" si="4"/>
        <v>#N/A</v>
      </c>
      <c r="I107" s="107" t="str">
        <f t="array" ref="I107">IF(B107&lt;&gt;"",INDEX('Eingabe Meldungen'!$C$2:$J$492,MATCH(B107&amp;C107,'Eingabe Meldungen'!$C$2:$C$492&amp;'Eingabe Meldungen'!$D$2:$D$492,0),8),"")</f>
        <v/>
      </c>
      <c r="J107" s="257"/>
      <c r="K107" s="257"/>
      <c r="L107" s="254"/>
      <c r="M107" s="258"/>
      <c r="N107" s="11"/>
      <c r="O107" s="11"/>
      <c r="P107" s="15"/>
      <c r="Q107" s="11"/>
      <c r="T107" s="11"/>
      <c r="U107" s="11"/>
      <c r="Y107" s="15"/>
    </row>
    <row r="108" spans="2:25" ht="12.75" customHeight="1" thickBot="1" x14ac:dyDescent="0.25">
      <c r="B108" s="148" t="str">
        <f t="array" ref="B108">IF(ISERROR(INDEX('Eingabe Meldungen'!$C$2:$C$492,LARGE(('Eingabe Meldungen'!$A$2:$A$492=$B$96)*(ROW('Eingabe Meldungen'!$A$2:$A$492)-1),COUNTIF('Eingabe Meldungen'!$A$2:$A$492,$B$96)+1-ROW('Eingabe Meldungen'!A16)))),"",INDEX('Eingabe Meldungen'!$C$2:$C$492,LARGE(('Eingabe Meldungen'!$A$2:$A$492=$B$96)*(ROW('Eingabe Meldungen'!$A$2:$A$492)-1),COUNTIF('Eingabe Meldungen'!$A$2:$A$492,$B$96)+1-ROW('Eingabe Meldungen'!A16))))</f>
        <v/>
      </c>
      <c r="C108" s="40" t="str">
        <f t="array" ref="C108">IF(ISERROR(INDEX('Eingabe Meldungen'!$D$2:$D$492,LARGE(('Eingabe Meldungen'!$A$2:$A$492=$B$96)*(ROW('Eingabe Meldungen'!$A$2:$A$492)-1),COUNTIF('Eingabe Meldungen'!$A$2:$A$492,$B$96)+1-ROW('Eingabe Meldungen'!A16)))),"",INDEX('Eingabe Meldungen'!$D$2:$D$492,LARGE(('Eingabe Meldungen'!$A$2:$A$492=$B$96)*(ROW('Eingabe Meldungen'!$A$2:$A$492)-1),COUNTIF('Eingabe Meldungen'!$A$2:$A$492,$B$96)+1-ROW('Eingabe Meldungen'!A16))))</f>
        <v/>
      </c>
      <c r="D108" s="107" t="str">
        <f t="array" ref="D108">IF(B108&lt;&gt;"",INDEX('Eingabe Meldungen'!$C$2:$H$492,MATCH(B108&amp;C108,'Eingabe Meldungen'!$C$2:$C$492&amp;'Eingabe Meldungen'!$D$2:$D$492,0),6),"")</f>
        <v/>
      </c>
      <c r="E108" s="107" t="str">
        <f t="array" ref="E108">IF(B108&lt;&gt;"",INDEX('Eingabe Meldungen'!$C$2:$H$492,MATCH(B108&amp;C108,'Eingabe Meldungen'!$C$2:$C$492&amp;'Eingabe Meldungen'!$D$2:$D$492,0),4),"")</f>
        <v/>
      </c>
      <c r="F108" s="107"/>
      <c r="G108" s="158"/>
      <c r="H108" s="40" t="e">
        <f t="shared" si="4"/>
        <v>#N/A</v>
      </c>
      <c r="I108" s="107" t="str">
        <f t="array" ref="I108">IF(B108&lt;&gt;"",INDEX('Eingabe Meldungen'!$C$2:$J$492,MATCH(B108&amp;C108,'Eingabe Meldungen'!$C$2:$C$492&amp;'Eingabe Meldungen'!$D$2:$D$492,0),8),"")</f>
        <v/>
      </c>
      <c r="J108" s="267"/>
      <c r="K108" s="267"/>
      <c r="L108" s="255"/>
      <c r="M108" s="268"/>
      <c r="N108" s="11"/>
      <c r="O108" s="11"/>
      <c r="P108" s="15"/>
      <c r="Q108" s="11"/>
      <c r="T108" s="11"/>
      <c r="U108" s="11"/>
      <c r="Y108" s="15"/>
    </row>
    <row r="109" spans="2:25" ht="30" customHeight="1" x14ac:dyDescent="0.2">
      <c r="B109" s="120">
        <v>7</v>
      </c>
      <c r="C109" s="121" t="str">
        <f>VLOOKUP(B109,Ausschreibung!$B$5:$I$35,2,FALSE)</f>
        <v>Ergocup</v>
      </c>
      <c r="D109" s="122">
        <f>VLOOKUP(B109,Ausschreibung!$B$5:$I$35,3,FALSE)</f>
        <v>0.51388888888888884</v>
      </c>
      <c r="E109" s="121" t="str">
        <f>VLOOKUP(B109,Ausschreibung!$B$5:$I$35,4,FALSE)</f>
        <v>Mädchen U15</v>
      </c>
      <c r="F109" s="121">
        <v>50</v>
      </c>
      <c r="G109" s="121">
        <f>VLOOKUP(B109,Ausschreibung!$B$5:$I$35,6,FALSE)</f>
        <v>14</v>
      </c>
      <c r="H109" s="121" t="str">
        <f>VLOOKUP(B109,Ausschreibung!$B$5:$I$35,8,FALSE)</f>
        <v>1000 m</v>
      </c>
      <c r="I109" s="121"/>
      <c r="J109" s="129">
        <f>D109-(2*$N$60)</f>
        <v>0.43055555555555552</v>
      </c>
      <c r="K109" s="129"/>
      <c r="L109" s="129">
        <f>D109-$N$60</f>
        <v>0.47222222222222215</v>
      </c>
      <c r="M109" s="123"/>
      <c r="N109" s="11"/>
      <c r="O109" s="11"/>
      <c r="P109" s="15"/>
      <c r="Q109" s="11"/>
      <c r="T109" s="11"/>
      <c r="U109" s="11"/>
      <c r="Y109" s="15"/>
    </row>
    <row r="110" spans="2:25" x14ac:dyDescent="0.2">
      <c r="B110" s="176" t="s">
        <v>1</v>
      </c>
      <c r="C110" s="177" t="s">
        <v>2</v>
      </c>
      <c r="D110" s="178" t="s">
        <v>4</v>
      </c>
      <c r="E110" s="179" t="s">
        <v>16</v>
      </c>
      <c r="F110" s="178" t="s">
        <v>18</v>
      </c>
      <c r="G110" s="178" t="s">
        <v>50</v>
      </c>
      <c r="H110" s="178" t="s">
        <v>51</v>
      </c>
      <c r="I110" s="180" t="s">
        <v>17</v>
      </c>
      <c r="J110" s="178" t="s">
        <v>85</v>
      </c>
      <c r="K110" s="179"/>
      <c r="L110" s="179" t="s">
        <v>86</v>
      </c>
      <c r="M110" s="185" t="s">
        <v>87</v>
      </c>
      <c r="N110" s="11"/>
      <c r="O110" s="11"/>
      <c r="P110" s="15"/>
      <c r="Q110" s="11"/>
      <c r="T110" s="11"/>
      <c r="U110" s="11"/>
      <c r="Y110" s="15"/>
    </row>
    <row r="111" spans="2:25" ht="14.25" customHeight="1" x14ac:dyDescent="0.2">
      <c r="B111" s="148" t="str">
        <f>Rennlisten!B55</f>
        <v>Hartig</v>
      </c>
      <c r="C111" s="40" t="str">
        <f>Rennlisten!C55</f>
        <v>Ben</v>
      </c>
      <c r="D111" s="204">
        <f t="array" ref="D111">IF(B111&lt;&gt;"",INDEX('Eingabe Meldungen'!$C$2:$H$492,MATCH(B111&amp;C111,'Eingabe Meldungen'!$C$2:$C$492&amp;'Eingabe Meldungen'!$D$2:$D$492,0),6),"")</f>
        <v>2007</v>
      </c>
      <c r="E111" s="107" t="str">
        <f t="array" ref="E111">IF(B111&lt;&gt;"",INDEX('Eingabe Meldungen'!$C$2:$H$492,MATCH(B111&amp;C111,'Eingabe Meldungen'!$C$2:$C$492&amp;'Eingabe Meldungen'!$D$2:$D$492,0),4),"")</f>
        <v>Lgw. bis 50 kg</v>
      </c>
      <c r="F111" s="107"/>
      <c r="G111" s="149"/>
      <c r="H111" s="40" t="e">
        <f t="shared" ref="H111:H122" si="5">RANK(G111,$G$148:$G$163,1)</f>
        <v>#N/A</v>
      </c>
      <c r="I111" s="107" t="str">
        <f t="array" ref="I111">IF(B111&lt;&gt;"",INDEX('Eingabe Meldungen'!$C$2:$J$492,MATCH(B111&amp;C111,'Eingabe Meldungen'!$C$2:$C$492&amp;'Eingabe Meldungen'!$D$2:$D$492,0),8),"")</f>
        <v>Heidelberger Ruderklub</v>
      </c>
      <c r="J111" s="257"/>
      <c r="K111" s="257"/>
      <c r="L111" s="257"/>
      <c r="M111" s="258"/>
      <c r="N111" s="11"/>
      <c r="O111" s="11"/>
      <c r="P111" s="15"/>
      <c r="Q111" s="11"/>
      <c r="T111" s="11"/>
      <c r="U111" s="11"/>
      <c r="W111" s="5"/>
      <c r="X111" s="6"/>
      <c r="Y111" s="6"/>
    </row>
    <row r="112" spans="2:25" ht="12.75" customHeight="1" x14ac:dyDescent="0.2">
      <c r="B112" s="148" t="str">
        <f>Rennlisten!B56</f>
        <v>Wieland</v>
      </c>
      <c r="C112" s="40" t="str">
        <f>Rennlisten!C56</f>
        <v>Lennart</v>
      </c>
      <c r="D112" s="204">
        <f t="array" ref="D112">IF(B112&lt;&gt;"",INDEX('Eingabe Meldungen'!$C$2:$H$492,MATCH(B112&amp;C112,'Eingabe Meldungen'!$C$2:$C$492&amp;'Eingabe Meldungen'!$D$2:$D$492,0),6),"")</f>
        <v>2007</v>
      </c>
      <c r="E112" s="107" t="str">
        <f t="array" ref="E112">IF(B112&lt;&gt;"",INDEX('Eingabe Meldungen'!$C$2:$H$492,MATCH(B112&amp;C112,'Eingabe Meldungen'!$C$2:$C$492&amp;'Eingabe Meldungen'!$D$2:$D$492,0),4),"")</f>
        <v>Lgw. bis 50 kg</v>
      </c>
      <c r="F112" s="107"/>
      <c r="G112" s="149"/>
      <c r="H112" s="40" t="e">
        <f t="shared" si="5"/>
        <v>#N/A</v>
      </c>
      <c r="I112" s="107" t="str">
        <f t="array" ref="I112">IF(B112&lt;&gt;"",INDEX('Eingabe Meldungen'!$C$2:$J$492,MATCH(B112&amp;C112,'Eingabe Meldungen'!$C$2:$C$492&amp;'Eingabe Meldungen'!$D$2:$D$492,0),8),"")</f>
        <v>RV Waldsee</v>
      </c>
      <c r="J112" s="257"/>
      <c r="K112" s="257"/>
      <c r="L112" s="257"/>
      <c r="M112" s="258"/>
      <c r="N112" s="11"/>
      <c r="O112" s="11"/>
      <c r="P112" s="15"/>
      <c r="Q112" s="11"/>
      <c r="T112" s="11"/>
      <c r="U112" s="11"/>
      <c r="W112" s="5"/>
      <c r="X112" s="6"/>
      <c r="Y112" s="6"/>
    </row>
    <row r="113" spans="2:25" ht="12.75" customHeight="1" x14ac:dyDescent="0.2">
      <c r="B113" s="148" t="str">
        <f>Rennlisten!B57</f>
        <v>Sprauer</v>
      </c>
      <c r="C113" s="40" t="str">
        <f>Rennlisten!C57</f>
        <v>Levin</v>
      </c>
      <c r="D113" s="204">
        <f t="array" ref="D113">IF(B113&lt;&gt;"",INDEX('Eingabe Meldungen'!$C$2:$H$492,MATCH(B113&amp;C113,'Eingabe Meldungen'!$C$2:$C$492&amp;'Eingabe Meldungen'!$D$2:$D$492,0),6),"")</f>
        <v>2007</v>
      </c>
      <c r="E113" s="107" t="str">
        <f t="array" ref="E113">IF(B113&lt;&gt;"",INDEX('Eingabe Meldungen'!$C$2:$H$492,MATCH(B113&amp;C113,'Eingabe Meldungen'!$C$2:$C$492&amp;'Eingabe Meldungen'!$D$2:$D$492,0),4),"")</f>
        <v>Lgw. bis 50 kg</v>
      </c>
      <c r="F113" s="107"/>
      <c r="G113" s="149"/>
      <c r="H113" s="40" t="e">
        <f t="shared" si="5"/>
        <v>#N/A</v>
      </c>
      <c r="I113" s="107" t="str">
        <f t="array" ref="I113">IF(B113&lt;&gt;"",INDEX('Eingabe Meldungen'!$C$2:$J$492,MATCH(B113&amp;C113,'Eingabe Meldungen'!$C$2:$C$492&amp;'Eingabe Meldungen'!$D$2:$D$492,0),8),"")</f>
        <v>Mannheimer RV "Amicitia"</v>
      </c>
      <c r="J113" s="257"/>
      <c r="K113" s="257"/>
      <c r="L113" s="257"/>
      <c r="M113" s="258"/>
      <c r="N113" s="11"/>
      <c r="O113" s="11"/>
      <c r="P113" s="15"/>
      <c r="Q113" s="11"/>
      <c r="T113" s="11"/>
      <c r="U113" s="11"/>
      <c r="Y113" s="15"/>
    </row>
    <row r="114" spans="2:25" ht="12.75" customHeight="1" x14ac:dyDescent="0.2">
      <c r="B114" s="148" t="str">
        <f>Rennlisten!B58</f>
        <v>Deuter</v>
      </c>
      <c r="C114" s="40" t="str">
        <f>Rennlisten!C58</f>
        <v>Lucius</v>
      </c>
      <c r="D114" s="204">
        <f t="array" ref="D114">IF(B114&lt;&gt;"",INDEX('Eingabe Meldungen'!$C$2:$H$492,MATCH(B114&amp;C114,'Eingabe Meldungen'!$C$2:$C$492&amp;'Eingabe Meldungen'!$D$2:$D$492,0),6),"")</f>
        <v>2007</v>
      </c>
      <c r="E114" s="107" t="str">
        <f t="array" ref="E114">IF(B114&lt;&gt;"",INDEX('Eingabe Meldungen'!$C$2:$H$492,MATCH(B114&amp;C114,'Eingabe Meldungen'!$C$2:$C$492&amp;'Eingabe Meldungen'!$D$2:$D$492,0),4),"")</f>
        <v>Lgw. bis 50 kg</v>
      </c>
      <c r="F114" s="107"/>
      <c r="G114" s="149"/>
      <c r="H114" s="40" t="e">
        <f t="shared" si="5"/>
        <v>#N/A</v>
      </c>
      <c r="I114" s="107" t="str">
        <f t="array" ref="I114">IF(B114&lt;&gt;"",INDEX('Eingabe Meldungen'!$C$2:$J$492,MATCH(B114&amp;C114,'Eingabe Meldungen'!$C$2:$C$492&amp;'Eingabe Meldungen'!$D$2:$D$492,0),8),"")</f>
        <v>Mannheimer RV "Amicitia"</v>
      </c>
      <c r="J114" s="257"/>
      <c r="K114" s="257"/>
      <c r="L114" s="257"/>
      <c r="M114" s="258"/>
      <c r="N114" s="11"/>
      <c r="O114" s="11"/>
      <c r="P114" s="15"/>
      <c r="Q114" s="11"/>
      <c r="T114" s="11"/>
      <c r="U114" s="11"/>
      <c r="Y114" s="15"/>
    </row>
    <row r="115" spans="2:25" ht="12.75" customHeight="1" x14ac:dyDescent="0.2">
      <c r="B115" s="148" t="str">
        <f>Rennlisten!B59</f>
        <v>Roob</v>
      </c>
      <c r="C115" s="40" t="str">
        <f>Rennlisten!C59</f>
        <v>Milo</v>
      </c>
      <c r="D115" s="204">
        <f t="array" ref="D115">IF(B115&lt;&gt;"",INDEX('Eingabe Meldungen'!$C$2:$H$492,MATCH(B115&amp;C115,'Eingabe Meldungen'!$C$2:$C$492&amp;'Eingabe Meldungen'!$D$2:$D$492,0),6),"")</f>
        <v>2007</v>
      </c>
      <c r="E115" s="107" t="str">
        <f t="array" ref="E115">IF(B115&lt;&gt;"",INDEX('Eingabe Meldungen'!$C$2:$H$492,MATCH(B115&amp;C115,'Eingabe Meldungen'!$C$2:$C$492&amp;'Eingabe Meldungen'!$D$2:$D$492,0),4),"")</f>
        <v>Lgw. bis 50 kg</v>
      </c>
      <c r="F115" s="107"/>
      <c r="G115" s="149"/>
      <c r="H115" s="40" t="e">
        <f t="shared" si="5"/>
        <v>#N/A</v>
      </c>
      <c r="I115" s="107" t="str">
        <f t="array" ref="I115">IF(B115&lt;&gt;"",INDEX('Eingabe Meldungen'!$C$2:$J$492,MATCH(B115&amp;C115,'Eingabe Meldungen'!$C$2:$C$492&amp;'Eingabe Meldungen'!$D$2:$D$492,0),8),"")</f>
        <v>Mannheimer RV "Amicitia"</v>
      </c>
      <c r="J115" s="257"/>
      <c r="K115" s="257"/>
      <c r="L115" s="257"/>
      <c r="M115" s="258"/>
      <c r="N115" s="24"/>
      <c r="O115" s="11"/>
      <c r="P115" s="10"/>
      <c r="Q115" s="11"/>
      <c r="R115" s="11"/>
      <c r="S115" s="11"/>
      <c r="T115" s="11"/>
      <c r="U115" s="11"/>
      <c r="Y115" s="15"/>
    </row>
    <row r="116" spans="2:25" ht="12.75" customHeight="1" x14ac:dyDescent="0.2">
      <c r="B116" s="148" t="str">
        <f>Rennlisten!B65</f>
        <v>Hammer</v>
      </c>
      <c r="C116" s="40" t="str">
        <f>Rennlisten!C65</f>
        <v>Maximilian</v>
      </c>
      <c r="D116" s="204">
        <f t="array" ref="D116">IF(B116&lt;&gt;"",INDEX('Eingabe Meldungen'!$C$2:$H$492,MATCH(B116&amp;C116,'Eingabe Meldungen'!$C$2:$C$492&amp;'Eingabe Meldungen'!$D$2:$D$492,0),6),"")</f>
        <v>2008</v>
      </c>
      <c r="E116" s="107" t="str">
        <f t="array" ref="E116">IF(B116&lt;&gt;"",INDEX('Eingabe Meldungen'!$C$2:$H$492,MATCH(B116&amp;C116,'Eingabe Meldungen'!$C$2:$C$492&amp;'Eingabe Meldungen'!$D$2:$D$492,0),4),"")</f>
        <v>Lgw. bis 50 kg</v>
      </c>
      <c r="F116" s="107"/>
      <c r="G116" s="149"/>
      <c r="H116" s="40" t="e">
        <f t="shared" si="5"/>
        <v>#N/A</v>
      </c>
      <c r="I116" s="107" t="str">
        <f t="array" ref="I116">IF(B116&lt;&gt;"",INDEX('Eingabe Meldungen'!$C$2:$J$492,MATCH(B116&amp;C116,'Eingabe Meldungen'!$C$2:$C$492&amp;'Eingabe Meldungen'!$D$2:$D$492,0),8),"")</f>
        <v>RC Nürtingen</v>
      </c>
      <c r="J116" s="257"/>
      <c r="K116" s="257"/>
      <c r="L116" s="257"/>
      <c r="M116" s="258"/>
      <c r="T116" s="11"/>
      <c r="U116" s="11"/>
      <c r="Y116" s="15"/>
    </row>
    <row r="117" spans="2:25" ht="12.75" customHeight="1" x14ac:dyDescent="0.2">
      <c r="B117" s="148" t="str">
        <f>Rennlisten!B66</f>
        <v>Rebmann</v>
      </c>
      <c r="C117" s="40" t="str">
        <f>Rennlisten!C66</f>
        <v>Morino</v>
      </c>
      <c r="D117" s="204">
        <f t="array" ref="D117">IF(B117&lt;&gt;"",INDEX('Eingabe Meldungen'!$C$2:$H$492,MATCH(B117&amp;C117,'Eingabe Meldungen'!$C$2:$C$492&amp;'Eingabe Meldungen'!$D$2:$D$492,0),6),"")</f>
        <v>2008</v>
      </c>
      <c r="E117" s="107" t="str">
        <f t="array" ref="E117">IF(B117&lt;&gt;"",INDEX('Eingabe Meldungen'!$C$2:$H$492,MATCH(B117&amp;C117,'Eingabe Meldungen'!$C$2:$C$492&amp;'Eingabe Meldungen'!$D$2:$D$492,0),4),"")</f>
        <v>Lgw. bis 50 kg</v>
      </c>
      <c r="F117" s="107"/>
      <c r="G117" s="149"/>
      <c r="H117" s="40" t="e">
        <f t="shared" si="5"/>
        <v>#N/A</v>
      </c>
      <c r="I117" s="107" t="str">
        <f t="array" ref="I117">IF(B117&lt;&gt;"",INDEX('Eingabe Meldungen'!$C$2:$J$492,MATCH(B117&amp;C117,'Eingabe Meldungen'!$C$2:$C$492&amp;'Eingabe Meldungen'!$D$2:$D$492,0),8),"")</f>
        <v>Marbacher Ruderverein</v>
      </c>
      <c r="J117" s="257"/>
      <c r="K117" s="257"/>
      <c r="L117" s="257"/>
      <c r="M117" s="258"/>
      <c r="T117" s="11"/>
      <c r="U117" s="11"/>
      <c r="Y117" s="15"/>
    </row>
    <row r="118" spans="2:25" ht="12.75" customHeight="1" x14ac:dyDescent="0.2">
      <c r="B118" s="148" t="e">
        <f>Rennlisten!#REF!</f>
        <v>#REF!</v>
      </c>
      <c r="C118" s="40" t="e">
        <f>Rennlisten!#REF!</f>
        <v>#REF!</v>
      </c>
      <c r="D118" s="204" t="e">
        <f t="array" ref="D118">IF(B118&lt;&gt;"",INDEX('Eingabe Meldungen'!$C$2:$H$492,MATCH(B118&amp;C118,'Eingabe Meldungen'!$C$2:$C$492&amp;'Eingabe Meldungen'!$D$2:$D$492,0),6),"")</f>
        <v>#REF!</v>
      </c>
      <c r="E118" s="107" t="e">
        <f t="array" ref="E118">IF(B118&lt;&gt;"",INDEX('Eingabe Meldungen'!$C$2:$H$492,MATCH(B118&amp;C118,'Eingabe Meldungen'!$C$2:$C$492&amp;'Eingabe Meldungen'!$D$2:$D$492,0),4),"")</f>
        <v>#REF!</v>
      </c>
      <c r="F118" s="107"/>
      <c r="G118" s="149"/>
      <c r="H118" s="40" t="e">
        <f t="shared" si="5"/>
        <v>#N/A</v>
      </c>
      <c r="I118" s="107" t="e">
        <f t="array" ref="I118">IF(B118&lt;&gt;"",INDEX('Eingabe Meldungen'!$C$2:$J$492,MATCH(B118&amp;C118,'Eingabe Meldungen'!$C$2:$C$492&amp;'Eingabe Meldungen'!$D$2:$D$492,0),8),"")</f>
        <v>#REF!</v>
      </c>
      <c r="J118" s="257"/>
      <c r="K118" s="257"/>
      <c r="L118" s="257"/>
      <c r="M118" s="258"/>
      <c r="T118" s="11"/>
      <c r="U118" s="11"/>
      <c r="Y118" s="15"/>
    </row>
    <row r="119" spans="2:25" ht="12.75" customHeight="1" x14ac:dyDescent="0.2">
      <c r="B119" s="148" t="e">
        <f>Rennlisten!#REF!</f>
        <v>#REF!</v>
      </c>
      <c r="C119" s="40" t="e">
        <f>Rennlisten!#REF!</f>
        <v>#REF!</v>
      </c>
      <c r="D119" s="204" t="e">
        <f t="array" ref="D119">IF(B119&lt;&gt;"",INDEX('Eingabe Meldungen'!$C$2:$H$492,MATCH(B119&amp;C119,'Eingabe Meldungen'!$C$2:$C$492&amp;'Eingabe Meldungen'!$D$2:$D$492,0),6),"")</f>
        <v>#REF!</v>
      </c>
      <c r="E119" s="107" t="e">
        <f t="array" ref="E119">IF(B119&lt;&gt;"",INDEX('Eingabe Meldungen'!$C$2:$H$492,MATCH(B119&amp;C119,'Eingabe Meldungen'!$C$2:$C$492&amp;'Eingabe Meldungen'!$D$2:$D$492,0),4),"")</f>
        <v>#REF!</v>
      </c>
      <c r="F119" s="107"/>
      <c r="G119" s="149"/>
      <c r="H119" s="40" t="e">
        <f t="shared" si="5"/>
        <v>#N/A</v>
      </c>
      <c r="I119" s="107" t="e">
        <f t="array" ref="I119">IF(B119&lt;&gt;"",INDEX('Eingabe Meldungen'!$C$2:$J$492,MATCH(B119&amp;C119,'Eingabe Meldungen'!$C$2:$C$492&amp;'Eingabe Meldungen'!$D$2:$D$492,0),8),"")</f>
        <v>#REF!</v>
      </c>
      <c r="J119" s="257"/>
      <c r="K119" s="257"/>
      <c r="L119" s="257"/>
      <c r="M119" s="258"/>
      <c r="T119" s="11"/>
      <c r="U119" s="11"/>
      <c r="Y119" s="15"/>
    </row>
    <row r="120" spans="2:25" ht="12.75" customHeight="1" x14ac:dyDescent="0.2">
      <c r="B120" s="148" t="e">
        <f>Rennlisten!#REF!</f>
        <v>#REF!</v>
      </c>
      <c r="C120" s="40" t="e">
        <f>Rennlisten!#REF!</f>
        <v>#REF!</v>
      </c>
      <c r="D120" s="204" t="e">
        <f t="array" ref="D120">IF(B120&lt;&gt;"",INDEX('Eingabe Meldungen'!$C$2:$H$492,MATCH(B120&amp;C120,'Eingabe Meldungen'!$C$2:$C$492&amp;'Eingabe Meldungen'!$D$2:$D$492,0),6),"")</f>
        <v>#REF!</v>
      </c>
      <c r="E120" s="107" t="e">
        <f t="array" ref="E120">IF(B120&lt;&gt;"",INDEX('Eingabe Meldungen'!$C$2:$H$492,MATCH(B120&amp;C120,'Eingabe Meldungen'!$C$2:$C$492&amp;'Eingabe Meldungen'!$D$2:$D$492,0),4),"")</f>
        <v>#REF!</v>
      </c>
      <c r="F120" s="107"/>
      <c r="G120" s="149"/>
      <c r="H120" s="40" t="e">
        <f t="shared" si="5"/>
        <v>#N/A</v>
      </c>
      <c r="I120" s="107" t="e">
        <f t="array" ref="I120">IF(B120&lt;&gt;"",INDEX('Eingabe Meldungen'!$C$2:$J$492,MATCH(B120&amp;C120,'Eingabe Meldungen'!$C$2:$C$492&amp;'Eingabe Meldungen'!$D$2:$D$492,0),8),"")</f>
        <v>#REF!</v>
      </c>
      <c r="J120" s="257"/>
      <c r="K120" s="257"/>
      <c r="L120" s="257"/>
      <c r="M120" s="258"/>
      <c r="T120" s="11"/>
      <c r="U120" s="11"/>
      <c r="Y120" s="15"/>
    </row>
    <row r="121" spans="2:25" ht="12.75" customHeight="1" x14ac:dyDescent="0.2">
      <c r="B121" s="148" t="e">
        <f>Rennlisten!#REF!</f>
        <v>#REF!</v>
      </c>
      <c r="C121" s="40" t="e">
        <f>Rennlisten!#REF!</f>
        <v>#REF!</v>
      </c>
      <c r="D121" s="204" t="e">
        <f t="array" ref="D121">IF(B121&lt;&gt;"",INDEX('Eingabe Meldungen'!$C$2:$H$492,MATCH(B121&amp;C121,'Eingabe Meldungen'!$C$2:$C$492&amp;'Eingabe Meldungen'!$D$2:$D$492,0),6),"")</f>
        <v>#REF!</v>
      </c>
      <c r="E121" s="107" t="e">
        <f t="array" ref="E121">IF(B121&lt;&gt;"",INDEX('Eingabe Meldungen'!$C$2:$H$492,MATCH(B121&amp;C121,'Eingabe Meldungen'!$C$2:$C$492&amp;'Eingabe Meldungen'!$D$2:$D$492,0),4),"")</f>
        <v>#REF!</v>
      </c>
      <c r="F121" s="107"/>
      <c r="G121" s="149"/>
      <c r="H121" s="40" t="e">
        <f t="shared" si="5"/>
        <v>#N/A</v>
      </c>
      <c r="I121" s="107" t="e">
        <f t="array" ref="I121">IF(B121&lt;&gt;"",INDEX('Eingabe Meldungen'!$C$2:$J$492,MATCH(B121&amp;C121,'Eingabe Meldungen'!$C$2:$C$492&amp;'Eingabe Meldungen'!$D$2:$D$492,0),8),"")</f>
        <v>#REF!</v>
      </c>
      <c r="J121" s="257"/>
      <c r="K121" s="257"/>
      <c r="L121" s="257"/>
      <c r="M121" s="258"/>
      <c r="T121" s="11"/>
      <c r="U121" s="11"/>
      <c r="Y121" s="15"/>
    </row>
    <row r="122" spans="2:25" x14ac:dyDescent="0.2">
      <c r="B122" s="148" t="e">
        <f>Rennlisten!#REF!</f>
        <v>#REF!</v>
      </c>
      <c r="C122" s="40" t="e">
        <f>Rennlisten!#REF!</f>
        <v>#REF!</v>
      </c>
      <c r="D122" s="204" t="e">
        <f t="array" ref="D122">IF(B122&lt;&gt;"",INDEX('Eingabe Meldungen'!$C$2:$H$492,MATCH(B122&amp;C122,'Eingabe Meldungen'!$C$2:$C$492&amp;'Eingabe Meldungen'!$D$2:$D$492,0),6),"")</f>
        <v>#REF!</v>
      </c>
      <c r="E122" s="107" t="e">
        <f t="array" ref="E122">IF(B122&lt;&gt;"",INDEX('Eingabe Meldungen'!$C$2:$H$492,MATCH(B122&amp;C122,'Eingabe Meldungen'!$C$2:$C$492&amp;'Eingabe Meldungen'!$D$2:$D$492,0),4),"")</f>
        <v>#REF!</v>
      </c>
      <c r="F122" s="107"/>
      <c r="G122" s="149"/>
      <c r="H122" s="40" t="e">
        <f t="shared" si="5"/>
        <v>#N/A</v>
      </c>
      <c r="I122" s="107" t="e">
        <f t="array" ref="I122">IF(B122&lt;&gt;"",INDEX('Eingabe Meldungen'!$C$2:$J$492,MATCH(B122&amp;C122,'Eingabe Meldungen'!$C$2:$C$492&amp;'Eingabe Meldungen'!$D$2:$D$492,0),8),"")</f>
        <v>#REF!</v>
      </c>
      <c r="J122" s="257"/>
      <c r="K122" s="257"/>
      <c r="L122" s="257"/>
      <c r="M122" s="258"/>
      <c r="T122" s="11"/>
      <c r="U122" s="11"/>
      <c r="Y122" s="15"/>
    </row>
    <row r="123" spans="2:25" ht="14.25" customHeight="1" x14ac:dyDescent="0.2">
      <c r="B123" s="148" t="e">
        <f>Rennlisten!#REF!</f>
        <v>#REF!</v>
      </c>
      <c r="C123" s="40" t="e">
        <f>Rennlisten!#REF!</f>
        <v>#REF!</v>
      </c>
      <c r="D123" s="204" t="e">
        <f t="array" ref="D123">IF(B123&lt;&gt;"",INDEX('Eingabe Meldungen'!$C$2:$H$492,MATCH(B123&amp;C123,'Eingabe Meldungen'!$C$2:$C$492&amp;'Eingabe Meldungen'!$D$2:$D$492,0),6),"")</f>
        <v>#REF!</v>
      </c>
      <c r="E123" s="107" t="e">
        <f t="array" ref="E123">IF(B123&lt;&gt;"",INDEX('Eingabe Meldungen'!$C$2:$H$492,MATCH(B123&amp;C123,'Eingabe Meldungen'!$C$2:$C$492&amp;'Eingabe Meldungen'!$D$2:$D$492,0),4),"")</f>
        <v>#REF!</v>
      </c>
      <c r="F123" s="107"/>
      <c r="G123" s="149"/>
      <c r="H123" s="40" t="e">
        <f t="shared" ref="H123:H145" si="6">RANK(G123,$G$148:$G$163,1)</f>
        <v>#N/A</v>
      </c>
      <c r="I123" s="107" t="e">
        <f t="array" ref="I123">IF(B123&lt;&gt;"",INDEX('Eingabe Meldungen'!$C$2:$J$492,MATCH(B123&amp;C123,'Eingabe Meldungen'!$C$2:$C$492&amp;'Eingabe Meldungen'!$D$2:$D$492,0),8),"")</f>
        <v>#REF!</v>
      </c>
      <c r="J123" s="257"/>
      <c r="K123" s="257"/>
      <c r="L123" s="257"/>
      <c r="M123" s="258"/>
      <c r="T123" s="11"/>
      <c r="U123" s="11"/>
      <c r="Y123" s="15"/>
    </row>
    <row r="124" spans="2:25" ht="14.25" customHeight="1" x14ac:dyDescent="0.25">
      <c r="B124" s="148" t="str">
        <f>Rennlisten!B70</f>
        <v/>
      </c>
      <c r="C124" s="40" t="str">
        <f>Rennlisten!C70</f>
        <v/>
      </c>
      <c r="D124" s="204" t="str">
        <f t="array" ref="D124">IF(B124&lt;&gt;"",INDEX('Eingabe Meldungen'!$C$2:$H$492,MATCH(B124&amp;C124,'Eingabe Meldungen'!$C$2:$C$492&amp;'Eingabe Meldungen'!$D$2:$D$492,0),6),"")</f>
        <v/>
      </c>
      <c r="E124" s="107" t="str">
        <f t="array" ref="E124">IF(B124&lt;&gt;"",INDEX('Eingabe Meldungen'!$C$2:$H$492,MATCH(B124&amp;C124,'Eingabe Meldungen'!$C$2:$C$492&amp;'Eingabe Meldungen'!$D$2:$D$492,0),4),"")</f>
        <v/>
      </c>
      <c r="F124" s="107"/>
      <c r="G124" s="149"/>
      <c r="H124" s="40" t="e">
        <f t="shared" si="6"/>
        <v>#N/A</v>
      </c>
      <c r="I124" s="107" t="str">
        <f t="array" ref="I124">IF(B124&lt;&gt;"",INDEX('Eingabe Meldungen'!$C$2:$J$492,MATCH(B124&amp;C124,'Eingabe Meldungen'!$C$2:$C$492&amp;'Eingabe Meldungen'!$D$2:$D$492,0),8),"")</f>
        <v/>
      </c>
      <c r="J124" s="257"/>
      <c r="K124" s="257"/>
      <c r="L124" s="257"/>
      <c r="M124" s="258"/>
      <c r="T124" s="11"/>
      <c r="U124" s="11"/>
      <c r="W124" s="4"/>
      <c r="X124" s="1"/>
      <c r="Y124" s="4"/>
    </row>
    <row r="125" spans="2:25" ht="14.25" customHeight="1" x14ac:dyDescent="0.25">
      <c r="B125" s="148"/>
      <c r="C125" s="40"/>
      <c r="D125" s="204"/>
      <c r="E125" s="107"/>
      <c r="F125" s="107"/>
      <c r="G125" s="149"/>
      <c r="H125" s="40"/>
      <c r="I125" s="107"/>
      <c r="J125" s="257"/>
      <c r="K125" s="257"/>
      <c r="L125" s="257"/>
      <c r="M125" s="258"/>
      <c r="T125" s="11"/>
      <c r="U125" s="11"/>
      <c r="W125" s="4"/>
      <c r="X125" s="1"/>
      <c r="Y125" s="4"/>
    </row>
    <row r="126" spans="2:25" ht="15" customHeight="1" thickBot="1" x14ac:dyDescent="0.3">
      <c r="B126" s="148"/>
      <c r="C126" s="40"/>
      <c r="D126" s="204"/>
      <c r="E126" s="107"/>
      <c r="F126" s="107"/>
      <c r="G126" s="149"/>
      <c r="H126" s="40"/>
      <c r="I126" s="107"/>
      <c r="J126" s="257"/>
      <c r="K126" s="257"/>
      <c r="L126" s="257"/>
      <c r="M126" s="258"/>
      <c r="T126" s="11"/>
      <c r="U126" s="11"/>
      <c r="W126" s="4"/>
      <c r="X126" s="1"/>
      <c r="Y126" s="4"/>
    </row>
    <row r="127" spans="2:25" ht="13.5" hidden="1" customHeight="1" x14ac:dyDescent="0.2">
      <c r="B127" s="148" t="str">
        <f>Rennlisten!B73</f>
        <v>Name</v>
      </c>
      <c r="C127" s="40" t="str">
        <f>Rennlisten!C73</f>
        <v>Vorname</v>
      </c>
      <c r="D127" s="204" t="e">
        <f t="array" ref="D127">IF(B127&lt;&gt;"",INDEX('Eingabe Meldungen'!$C$2:$H$492,MATCH(B127&amp;C127,'Eingabe Meldungen'!$C$2:$C$492&amp;'Eingabe Meldungen'!$D$2:$D$492,0),6),"")</f>
        <v>#N/A</v>
      </c>
      <c r="E127" s="107" t="e">
        <f t="array" ref="E127">IF(B127&lt;&gt;"",INDEX('Eingabe Meldungen'!$C$2:$H$492,MATCH(B127&amp;C127,'Eingabe Meldungen'!$C$2:$C$492&amp;'Eingabe Meldungen'!$D$2:$D$492,0),4),"")</f>
        <v>#N/A</v>
      </c>
      <c r="F127" s="107"/>
      <c r="G127" s="149"/>
      <c r="H127" s="40" t="e">
        <f t="shared" si="6"/>
        <v>#N/A</v>
      </c>
      <c r="I127" s="107" t="e">
        <f t="array" ref="I127">IF(B127&lt;&gt;"",INDEX('Eingabe Meldungen'!$C$2:$J$492,MATCH(B127&amp;C127,'Eingabe Meldungen'!$C$2:$C$492&amp;'Eingabe Meldungen'!$D$2:$D$492,0),8),"")</f>
        <v>#N/A</v>
      </c>
      <c r="J127" s="155"/>
      <c r="K127" s="155"/>
      <c r="L127" s="156"/>
      <c r="M127" s="157"/>
      <c r="T127" s="11"/>
      <c r="U127" s="11"/>
      <c r="Y127" s="15"/>
    </row>
    <row r="128" spans="2:25" ht="24.75" hidden="1" customHeight="1" x14ac:dyDescent="0.2">
      <c r="B128" s="148" t="str">
        <f>Rennlisten!B74</f>
        <v>Bittermann</v>
      </c>
      <c r="C128" s="40" t="str">
        <f>Rennlisten!C74</f>
        <v>Alfons</v>
      </c>
      <c r="D128" s="204">
        <f t="array" ref="D128">IF(B128&lt;&gt;"",INDEX('Eingabe Meldungen'!$C$2:$H$492,MATCH(B128&amp;C128,'Eingabe Meldungen'!$C$2:$C$492&amp;'Eingabe Meldungen'!$D$2:$D$492,0),6),"")</f>
        <v>2007</v>
      </c>
      <c r="E128" s="107" t="str">
        <f t="array" ref="E128">IF(B128&lt;&gt;"",INDEX('Eingabe Meldungen'!$C$2:$H$492,MATCH(B128&amp;C128,'Eingabe Meldungen'!$C$2:$C$492&amp;'Eingabe Meldungen'!$D$2:$D$492,0),4),"")</f>
        <v>-</v>
      </c>
      <c r="F128" s="107"/>
      <c r="G128" s="149"/>
      <c r="H128" s="40" t="e">
        <f t="shared" si="6"/>
        <v>#N/A</v>
      </c>
      <c r="I128" s="107" t="str">
        <f t="array" ref="I128">IF(B128&lt;&gt;"",INDEX('Eingabe Meldungen'!$C$2:$J$492,MATCH(B128&amp;C128,'Eingabe Meldungen'!$C$2:$C$492&amp;'Eingabe Meldungen'!$D$2:$D$492,0),8),"")</f>
        <v>Marbacher Ruderverein</v>
      </c>
      <c r="J128" s="108"/>
      <c r="K128" s="40"/>
      <c r="L128" s="151"/>
      <c r="M128" s="147"/>
      <c r="N128" s="11"/>
      <c r="O128" s="11"/>
      <c r="P128" s="15"/>
      <c r="Q128" s="11"/>
      <c r="S128" s="11"/>
      <c r="T128" s="11"/>
      <c r="U128" s="11"/>
      <c r="Y128" s="15"/>
    </row>
    <row r="129" spans="2:25" ht="13.2" hidden="1" thickBot="1" x14ac:dyDescent="0.25">
      <c r="B129" s="148" t="str">
        <f>Rennlisten!B75</f>
        <v>Krause</v>
      </c>
      <c r="C129" s="40" t="str">
        <f>Rennlisten!C75</f>
        <v>Carl</v>
      </c>
      <c r="D129" s="204">
        <f t="array" ref="D129">IF(B129&lt;&gt;"",INDEX('Eingabe Meldungen'!$C$2:$H$492,MATCH(B129&amp;C129,'Eingabe Meldungen'!$C$2:$C$492&amp;'Eingabe Meldungen'!$D$2:$D$492,0),6),"")</f>
        <v>2007</v>
      </c>
      <c r="E129" s="107" t="str">
        <f t="array" ref="E129">IF(B129&lt;&gt;"",INDEX('Eingabe Meldungen'!$C$2:$H$492,MATCH(B129&amp;C129,'Eingabe Meldungen'!$C$2:$C$492&amp;'Eingabe Meldungen'!$D$2:$D$492,0),4),"")</f>
        <v>-</v>
      </c>
      <c r="F129" s="107"/>
      <c r="G129" s="149"/>
      <c r="H129" s="40" t="e">
        <f t="shared" si="6"/>
        <v>#N/A</v>
      </c>
      <c r="I129" s="107" t="str">
        <f t="array" ref="I129">IF(B129&lt;&gt;"",INDEX('Eingabe Meldungen'!$C$2:$J$492,MATCH(B129&amp;C129,'Eingabe Meldungen'!$C$2:$C$492&amp;'Eingabe Meldungen'!$D$2:$D$492,0),8),"")</f>
        <v>Rudergesellschaft Heidelberg</v>
      </c>
      <c r="J129" s="103"/>
      <c r="K129" s="40"/>
      <c r="L129" s="151"/>
      <c r="M129" s="147"/>
      <c r="N129" s="11"/>
      <c r="O129" s="11"/>
      <c r="P129" s="15"/>
      <c r="Q129" s="11"/>
      <c r="S129" s="11"/>
      <c r="T129" s="11"/>
      <c r="U129" s="11"/>
      <c r="Y129" s="15"/>
    </row>
    <row r="130" spans="2:25" ht="13.2" hidden="1" thickBot="1" x14ac:dyDescent="0.25">
      <c r="B130" s="148" t="str">
        <f>Rennlisten!B76</f>
        <v>Nestor</v>
      </c>
      <c r="C130" s="40" t="str">
        <f>Rennlisten!C76</f>
        <v>David</v>
      </c>
      <c r="D130" s="204">
        <f t="array" ref="D130">IF(B130&lt;&gt;"",INDEX('Eingabe Meldungen'!$C$2:$H$492,MATCH(B130&amp;C130,'Eingabe Meldungen'!$C$2:$C$492&amp;'Eingabe Meldungen'!$D$2:$D$492,0),6),"")</f>
        <v>2007</v>
      </c>
      <c r="E130" s="107" t="str">
        <f t="array" ref="E130">IF(B130&lt;&gt;"",INDEX('Eingabe Meldungen'!$C$2:$H$492,MATCH(B130&amp;C130,'Eingabe Meldungen'!$C$2:$C$492&amp;'Eingabe Meldungen'!$D$2:$D$492,0),4),"")</f>
        <v>-</v>
      </c>
      <c r="F130" s="107"/>
      <c r="G130" s="149"/>
      <c r="H130" s="40" t="e">
        <f t="shared" si="6"/>
        <v>#N/A</v>
      </c>
      <c r="I130" s="107" t="str">
        <f t="array" ref="I130">IF(B130&lt;&gt;"",INDEX('Eingabe Meldungen'!$C$2:$J$492,MATCH(B130&amp;C130,'Eingabe Meldungen'!$C$2:$C$492&amp;'Eingabe Meldungen'!$D$2:$D$492,0),8),"")</f>
        <v>Mannheimer RV "Amicitia"</v>
      </c>
      <c r="J130" s="40"/>
      <c r="K130" s="40"/>
      <c r="L130" s="151"/>
      <c r="M130" s="147"/>
      <c r="N130" s="11"/>
      <c r="O130" s="11"/>
      <c r="P130" s="15"/>
      <c r="Q130" s="11"/>
      <c r="S130" s="11"/>
      <c r="T130" s="11"/>
      <c r="U130" s="11"/>
      <c r="Y130" s="15"/>
    </row>
    <row r="131" spans="2:25" ht="13.2" hidden="1" thickBot="1" x14ac:dyDescent="0.25">
      <c r="B131" s="148" t="str">
        <f>Rennlisten!B87</f>
        <v/>
      </c>
      <c r="C131" s="40" t="str">
        <f>Rennlisten!C87</f>
        <v/>
      </c>
      <c r="D131" s="204" t="str">
        <f t="array" ref="D131">IF(B131&lt;&gt;"",INDEX('Eingabe Meldungen'!$C$2:$H$492,MATCH(B131&amp;C131,'Eingabe Meldungen'!$C$2:$C$492&amp;'Eingabe Meldungen'!$D$2:$D$492,0),6),"")</f>
        <v/>
      </c>
      <c r="E131" s="107" t="str">
        <f t="array" ref="E131">IF(B131&lt;&gt;"",INDEX('Eingabe Meldungen'!$C$2:$H$492,MATCH(B131&amp;C131,'Eingabe Meldungen'!$C$2:$C$492&amp;'Eingabe Meldungen'!$D$2:$D$492,0),4),"")</f>
        <v/>
      </c>
      <c r="F131" s="107"/>
      <c r="G131" s="149"/>
      <c r="H131" s="40" t="e">
        <f t="shared" si="6"/>
        <v>#N/A</v>
      </c>
      <c r="I131" s="107" t="str">
        <f t="array" ref="I131">IF(B131&lt;&gt;"",INDEX('Eingabe Meldungen'!$C$2:$J$492,MATCH(B131&amp;C131,'Eingabe Meldungen'!$C$2:$C$492&amp;'Eingabe Meldungen'!$D$2:$D$492,0),8),"")</f>
        <v/>
      </c>
      <c r="J131" s="40"/>
      <c r="K131" s="40"/>
      <c r="L131" s="151"/>
      <c r="M131" s="147"/>
      <c r="N131" s="11"/>
      <c r="O131" s="11"/>
      <c r="P131" s="15"/>
      <c r="Q131" s="11"/>
      <c r="S131" s="11"/>
      <c r="T131" s="11"/>
      <c r="U131" s="11"/>
      <c r="Y131" s="15"/>
    </row>
    <row r="132" spans="2:25" ht="13.2" hidden="1" thickBot="1" x14ac:dyDescent="0.25">
      <c r="B132" s="148" t="str">
        <f>Rennlisten!B88</f>
        <v/>
      </c>
      <c r="C132" s="40" t="str">
        <f>Rennlisten!C88</f>
        <v/>
      </c>
      <c r="D132" s="204" t="str">
        <f t="array" ref="D132">IF(B132&lt;&gt;"",INDEX('Eingabe Meldungen'!$C$2:$H$492,MATCH(B132&amp;C132,'Eingabe Meldungen'!$C$2:$C$492&amp;'Eingabe Meldungen'!$D$2:$D$492,0),6),"")</f>
        <v/>
      </c>
      <c r="E132" s="107" t="str">
        <f t="array" ref="E132">IF(B132&lt;&gt;"",INDEX('Eingabe Meldungen'!$C$2:$H$492,MATCH(B132&amp;C132,'Eingabe Meldungen'!$C$2:$C$492&amp;'Eingabe Meldungen'!$D$2:$D$492,0),4),"")</f>
        <v/>
      </c>
      <c r="F132" s="107"/>
      <c r="G132" s="149"/>
      <c r="H132" s="40" t="e">
        <f t="shared" si="6"/>
        <v>#N/A</v>
      </c>
      <c r="I132" s="107" t="str">
        <f t="array" ref="I132">IF(B132&lt;&gt;"",INDEX('Eingabe Meldungen'!$C$2:$J$492,MATCH(B132&amp;C132,'Eingabe Meldungen'!$C$2:$C$492&amp;'Eingabe Meldungen'!$D$2:$D$492,0),8),"")</f>
        <v/>
      </c>
      <c r="J132" s="40"/>
      <c r="K132" s="40"/>
      <c r="L132" s="151"/>
      <c r="M132" s="147"/>
      <c r="N132" s="11"/>
      <c r="O132" s="11"/>
      <c r="P132" s="15"/>
      <c r="Q132" s="11"/>
      <c r="S132" s="11"/>
      <c r="T132" s="11"/>
      <c r="U132" s="11"/>
      <c r="Y132" s="15"/>
    </row>
    <row r="133" spans="2:25" ht="13.2" hidden="1" thickBot="1" x14ac:dyDescent="0.25">
      <c r="B133" s="148" t="e">
        <f>Rennlisten!#REF!</f>
        <v>#REF!</v>
      </c>
      <c r="C133" s="40" t="e">
        <f>Rennlisten!#REF!</f>
        <v>#REF!</v>
      </c>
      <c r="D133" s="204" t="e">
        <f t="array" ref="D133">IF(B133&lt;&gt;"",INDEX('Eingabe Meldungen'!$C$2:$H$492,MATCH(B133&amp;C133,'Eingabe Meldungen'!$C$2:$C$492&amp;'Eingabe Meldungen'!$D$2:$D$492,0),6),"")</f>
        <v>#REF!</v>
      </c>
      <c r="E133" s="107" t="e">
        <f t="array" ref="E133">IF(B133&lt;&gt;"",INDEX('Eingabe Meldungen'!$C$2:$H$492,MATCH(B133&amp;C133,'Eingabe Meldungen'!$C$2:$C$492&amp;'Eingabe Meldungen'!$D$2:$D$492,0),4),"")</f>
        <v>#REF!</v>
      </c>
      <c r="F133" s="107"/>
      <c r="G133" s="149"/>
      <c r="H133" s="40" t="e">
        <f t="shared" si="6"/>
        <v>#N/A</v>
      </c>
      <c r="I133" s="107" t="e">
        <f t="array" ref="I133">IF(B133&lt;&gt;"",INDEX('Eingabe Meldungen'!$C$2:$J$492,MATCH(B133&amp;C133,'Eingabe Meldungen'!$C$2:$C$492&amp;'Eingabe Meldungen'!$D$2:$D$492,0),8),"")</f>
        <v>#REF!</v>
      </c>
      <c r="J133" s="40"/>
      <c r="K133" s="40"/>
      <c r="L133" s="151"/>
      <c r="M133" s="147"/>
      <c r="N133" s="11"/>
      <c r="O133" s="11"/>
      <c r="P133" s="15"/>
      <c r="Q133" s="11"/>
      <c r="S133" s="11"/>
      <c r="T133" s="11"/>
      <c r="U133" s="11"/>
      <c r="Y133" s="15"/>
    </row>
    <row r="134" spans="2:25" ht="13.2" hidden="1" thickBot="1" x14ac:dyDescent="0.25">
      <c r="B134" s="148" t="e">
        <f>Rennlisten!#REF!</f>
        <v>#REF!</v>
      </c>
      <c r="C134" s="40" t="e">
        <f>Rennlisten!#REF!</f>
        <v>#REF!</v>
      </c>
      <c r="D134" s="204" t="e">
        <f t="array" ref="D134">IF(B134&lt;&gt;"",INDEX('Eingabe Meldungen'!$C$2:$H$492,MATCH(B134&amp;C134,'Eingabe Meldungen'!$C$2:$C$492&amp;'Eingabe Meldungen'!$D$2:$D$492,0),6),"")</f>
        <v>#REF!</v>
      </c>
      <c r="E134" s="107" t="e">
        <f t="array" ref="E134">IF(B134&lt;&gt;"",INDEX('Eingabe Meldungen'!$C$2:$H$492,MATCH(B134&amp;C134,'Eingabe Meldungen'!$C$2:$C$492&amp;'Eingabe Meldungen'!$D$2:$D$492,0),4),"")</f>
        <v>#REF!</v>
      </c>
      <c r="F134" s="107"/>
      <c r="G134" s="149"/>
      <c r="H134" s="40" t="e">
        <f t="shared" si="6"/>
        <v>#N/A</v>
      </c>
      <c r="I134" s="107" t="e">
        <f t="array" ref="I134">IF(B134&lt;&gt;"",INDEX('Eingabe Meldungen'!$C$2:$J$492,MATCH(B134&amp;C134,'Eingabe Meldungen'!$C$2:$C$492&amp;'Eingabe Meldungen'!$D$2:$D$492,0),8),"")</f>
        <v>#REF!</v>
      </c>
      <c r="J134" s="40"/>
      <c r="K134" s="40"/>
      <c r="L134" s="151"/>
      <c r="M134" s="147"/>
      <c r="N134" s="11"/>
      <c r="O134" s="11"/>
      <c r="P134" s="15"/>
      <c r="Q134" s="11"/>
      <c r="S134" s="11"/>
      <c r="T134" s="11"/>
      <c r="U134" s="11"/>
      <c r="Y134" s="15"/>
    </row>
    <row r="135" spans="2:25" ht="13.2" hidden="1" thickBot="1" x14ac:dyDescent="0.25">
      <c r="B135" s="148" t="e">
        <f>Rennlisten!#REF!</f>
        <v>#REF!</v>
      </c>
      <c r="C135" s="40" t="e">
        <f>Rennlisten!#REF!</f>
        <v>#REF!</v>
      </c>
      <c r="D135" s="204" t="e">
        <f t="array" ref="D135">IF(B135&lt;&gt;"",INDEX('Eingabe Meldungen'!$C$2:$H$492,MATCH(B135&amp;C135,'Eingabe Meldungen'!$C$2:$C$492&amp;'Eingabe Meldungen'!$D$2:$D$492,0),6),"")</f>
        <v>#REF!</v>
      </c>
      <c r="E135" s="107" t="e">
        <f t="array" ref="E135">IF(B135&lt;&gt;"",INDEX('Eingabe Meldungen'!$C$2:$H$492,MATCH(B135&amp;C135,'Eingabe Meldungen'!$C$2:$C$492&amp;'Eingabe Meldungen'!$D$2:$D$492,0),4),"")</f>
        <v>#REF!</v>
      </c>
      <c r="F135" s="107"/>
      <c r="G135" s="149"/>
      <c r="H135" s="40" t="e">
        <f t="shared" si="6"/>
        <v>#N/A</v>
      </c>
      <c r="I135" s="107" t="e">
        <f t="array" ref="I135">IF(B135&lt;&gt;"",INDEX('Eingabe Meldungen'!$C$2:$J$492,MATCH(B135&amp;C135,'Eingabe Meldungen'!$C$2:$C$492&amp;'Eingabe Meldungen'!$D$2:$D$492,0),8),"")</f>
        <v>#REF!</v>
      </c>
      <c r="J135" s="40"/>
      <c r="K135" s="40"/>
      <c r="L135" s="151"/>
      <c r="M135" s="147"/>
      <c r="N135" s="11"/>
      <c r="O135" s="11"/>
      <c r="P135" s="15"/>
      <c r="Q135" s="11"/>
      <c r="S135" s="11"/>
      <c r="T135" s="11"/>
      <c r="U135" s="11"/>
      <c r="Y135" s="15"/>
    </row>
    <row r="136" spans="2:25" ht="13.2" hidden="1" thickBot="1" x14ac:dyDescent="0.25">
      <c r="B136" s="148" t="e">
        <f>Rennlisten!#REF!</f>
        <v>#REF!</v>
      </c>
      <c r="C136" s="40" t="e">
        <f>Rennlisten!#REF!</f>
        <v>#REF!</v>
      </c>
      <c r="D136" s="204" t="e">
        <f t="array" ref="D136">IF(B136&lt;&gt;"",INDEX('Eingabe Meldungen'!$C$2:$H$492,MATCH(B136&amp;C136,'Eingabe Meldungen'!$C$2:$C$492&amp;'Eingabe Meldungen'!$D$2:$D$492,0),6),"")</f>
        <v>#REF!</v>
      </c>
      <c r="E136" s="107" t="e">
        <f t="array" ref="E136">IF(B136&lt;&gt;"",INDEX('Eingabe Meldungen'!$C$2:$H$492,MATCH(B136&amp;C136,'Eingabe Meldungen'!$C$2:$C$492&amp;'Eingabe Meldungen'!$D$2:$D$492,0),4),"")</f>
        <v>#REF!</v>
      </c>
      <c r="F136" s="107"/>
      <c r="G136" s="149"/>
      <c r="H136" s="40" t="e">
        <f t="shared" si="6"/>
        <v>#N/A</v>
      </c>
      <c r="I136" s="107" t="e">
        <f t="array" ref="I136">IF(B136&lt;&gt;"",INDEX('Eingabe Meldungen'!$C$2:$J$492,MATCH(B136&amp;C136,'Eingabe Meldungen'!$C$2:$C$492&amp;'Eingabe Meldungen'!$D$2:$D$492,0),8),"")</f>
        <v>#REF!</v>
      </c>
      <c r="J136" s="40"/>
      <c r="K136" s="40"/>
      <c r="L136" s="151"/>
      <c r="M136" s="147"/>
      <c r="N136" s="11"/>
      <c r="O136" s="11"/>
      <c r="P136" s="15"/>
      <c r="Q136" s="11"/>
      <c r="S136" s="11"/>
      <c r="T136" s="11"/>
      <c r="U136" s="11"/>
      <c r="Y136" s="15"/>
    </row>
    <row r="137" spans="2:25" ht="24.75" hidden="1" customHeight="1" x14ac:dyDescent="0.2">
      <c r="B137" s="148" t="e">
        <f>Rennlisten!#REF!</f>
        <v>#REF!</v>
      </c>
      <c r="C137" s="40" t="e">
        <f>Rennlisten!#REF!</f>
        <v>#REF!</v>
      </c>
      <c r="D137" s="204" t="e">
        <f t="array" ref="D137">IF(B137&lt;&gt;"",INDEX('Eingabe Meldungen'!$C$2:$H$492,MATCH(B137&amp;C137,'Eingabe Meldungen'!$C$2:$C$492&amp;'Eingabe Meldungen'!$D$2:$D$492,0),6),"")</f>
        <v>#REF!</v>
      </c>
      <c r="E137" s="107" t="e">
        <f t="array" ref="E137">IF(B137&lt;&gt;"",INDEX('Eingabe Meldungen'!$C$2:$H$492,MATCH(B137&amp;C137,'Eingabe Meldungen'!$C$2:$C$492&amp;'Eingabe Meldungen'!$D$2:$D$492,0),4),"")</f>
        <v>#REF!</v>
      </c>
      <c r="F137" s="107"/>
      <c r="G137" s="149"/>
      <c r="H137" s="40" t="e">
        <f t="shared" si="6"/>
        <v>#N/A</v>
      </c>
      <c r="I137" s="107" t="e">
        <f t="array" ref="I137">IF(B137&lt;&gt;"",INDEX('Eingabe Meldungen'!$C$2:$J$492,MATCH(B137&amp;C137,'Eingabe Meldungen'!$C$2:$C$492&amp;'Eingabe Meldungen'!$D$2:$D$492,0),8),"")</f>
        <v>#REF!</v>
      </c>
      <c r="J137" s="40"/>
      <c r="K137" s="40"/>
      <c r="L137" s="151"/>
      <c r="M137" s="147"/>
      <c r="N137" s="11"/>
      <c r="O137" s="11"/>
      <c r="P137" s="15"/>
      <c r="Q137" s="11"/>
      <c r="S137" s="11"/>
      <c r="T137" s="11"/>
      <c r="U137" s="11"/>
      <c r="W137" s="6"/>
      <c r="X137" s="7"/>
      <c r="Y137" s="8"/>
    </row>
    <row r="138" spans="2:25" ht="14.25" hidden="1" customHeight="1" x14ac:dyDescent="0.2">
      <c r="B138" s="148">
        <f>Rennlisten!B89</f>
        <v>0</v>
      </c>
      <c r="C138" s="40">
        <f>Rennlisten!C89</f>
        <v>0</v>
      </c>
      <c r="D138" s="204" t="e">
        <f t="array" ref="D138">IF(B138&lt;&gt;"",INDEX('Eingabe Meldungen'!$C$2:$H$492,MATCH(B138&amp;C138,'Eingabe Meldungen'!$C$2:$C$492&amp;'Eingabe Meldungen'!$D$2:$D$492,0),6),"")</f>
        <v>#N/A</v>
      </c>
      <c r="E138" s="107" t="e">
        <f t="array" ref="E138">IF(B138&lt;&gt;"",INDEX('Eingabe Meldungen'!$C$2:$H$492,MATCH(B138&amp;C138,'Eingabe Meldungen'!$C$2:$C$492&amp;'Eingabe Meldungen'!$D$2:$D$492,0),4),"")</f>
        <v>#N/A</v>
      </c>
      <c r="F138" s="107"/>
      <c r="G138" s="149"/>
      <c r="H138" s="40" t="e">
        <f t="shared" si="6"/>
        <v>#N/A</v>
      </c>
      <c r="I138" s="107" t="e">
        <f t="array" ref="I138">IF(B138&lt;&gt;"",INDEX('Eingabe Meldungen'!$C$2:$J$492,MATCH(B138&amp;C138,'Eingabe Meldungen'!$C$2:$C$492&amp;'Eingabe Meldungen'!$D$2:$D$492,0),8),"")</f>
        <v>#N/A</v>
      </c>
      <c r="J138" s="40"/>
      <c r="K138" s="40"/>
      <c r="L138" s="151"/>
      <c r="M138" s="147"/>
      <c r="N138" s="11"/>
      <c r="O138" s="11"/>
      <c r="P138" s="15"/>
      <c r="Q138" s="11"/>
      <c r="S138" s="11"/>
      <c r="T138" s="11"/>
      <c r="U138" s="11"/>
      <c r="W138" s="6"/>
      <c r="X138" s="7"/>
      <c r="Y138" s="8"/>
    </row>
    <row r="139" spans="2:25" ht="15" hidden="1" customHeight="1" x14ac:dyDescent="0.2">
      <c r="B139" s="148">
        <f>Rennlisten!B90</f>
        <v>5</v>
      </c>
      <c r="C139" s="40" t="str">
        <f>Rennlisten!C90</f>
        <v>Ergocup</v>
      </c>
      <c r="D139" s="204" t="e">
        <f t="array" ref="D139">IF(B139&lt;&gt;"",INDEX('Eingabe Meldungen'!$C$2:$H$492,MATCH(B139&amp;C139,'Eingabe Meldungen'!$C$2:$C$492&amp;'Eingabe Meldungen'!$D$2:$D$492,0),6),"")</f>
        <v>#N/A</v>
      </c>
      <c r="E139" s="107" t="e">
        <f t="array" ref="E139">IF(B139&lt;&gt;"",INDEX('Eingabe Meldungen'!$C$2:$H$492,MATCH(B139&amp;C139,'Eingabe Meldungen'!$C$2:$C$492&amp;'Eingabe Meldungen'!$D$2:$D$492,0),4),"")</f>
        <v>#N/A</v>
      </c>
      <c r="F139" s="107"/>
      <c r="G139" s="149"/>
      <c r="H139" s="40" t="e">
        <f t="shared" si="6"/>
        <v>#N/A</v>
      </c>
      <c r="I139" s="107" t="e">
        <f t="array" ref="I139">IF(B139&lt;&gt;"",INDEX('Eingabe Meldungen'!$C$2:$J$492,MATCH(B139&amp;C139,'Eingabe Meldungen'!$C$2:$C$492&amp;'Eingabe Meldungen'!$D$2:$D$492,0),8),"")</f>
        <v>#N/A</v>
      </c>
      <c r="J139" s="40"/>
      <c r="K139" s="40"/>
      <c r="L139" s="151"/>
      <c r="M139" s="147"/>
      <c r="N139" s="11"/>
      <c r="O139" s="11"/>
      <c r="P139" s="15"/>
      <c r="Q139" s="11"/>
      <c r="S139" s="11"/>
      <c r="T139" s="11"/>
      <c r="U139" s="11"/>
      <c r="Y139" s="15"/>
    </row>
    <row r="140" spans="2:25" ht="13.2" hidden="1" thickBot="1" x14ac:dyDescent="0.25">
      <c r="B140" s="148" t="str">
        <f>Rennlisten!B91</f>
        <v>Name</v>
      </c>
      <c r="C140" s="40" t="str">
        <f>Rennlisten!C91</f>
        <v>Vorname</v>
      </c>
      <c r="D140" s="204" t="e">
        <f t="array" ref="D140">IF(B140&lt;&gt;"",INDEX('Eingabe Meldungen'!$C$2:$H$492,MATCH(B140&amp;C140,'Eingabe Meldungen'!$C$2:$C$492&amp;'Eingabe Meldungen'!$D$2:$D$492,0),6),"")</f>
        <v>#N/A</v>
      </c>
      <c r="E140" s="107" t="e">
        <f t="array" ref="E140">IF(B140&lt;&gt;"",INDEX('Eingabe Meldungen'!$C$2:$H$492,MATCH(B140&amp;C140,'Eingabe Meldungen'!$C$2:$C$492&amp;'Eingabe Meldungen'!$D$2:$D$492,0),4),"")</f>
        <v>#N/A</v>
      </c>
      <c r="F140" s="107"/>
      <c r="G140" s="149"/>
      <c r="H140" s="40" t="e">
        <f t="shared" si="6"/>
        <v>#N/A</v>
      </c>
      <c r="I140" s="107" t="e">
        <f t="array" ref="I140">IF(B140&lt;&gt;"",INDEX('Eingabe Meldungen'!$C$2:$J$492,MATCH(B140&amp;C140,'Eingabe Meldungen'!$C$2:$C$492&amp;'Eingabe Meldungen'!$D$2:$D$492,0),8),"")</f>
        <v>#N/A</v>
      </c>
      <c r="J140" s="40"/>
      <c r="K140" s="40"/>
      <c r="L140" s="151"/>
      <c r="M140" s="147"/>
      <c r="N140" s="11"/>
      <c r="O140" s="11"/>
      <c r="P140" s="15"/>
      <c r="Q140" s="11"/>
      <c r="S140" s="11"/>
      <c r="T140" s="11"/>
      <c r="U140" s="11"/>
      <c r="Y140" s="15"/>
    </row>
    <row r="141" spans="2:25" ht="13.2" hidden="1" thickBot="1" x14ac:dyDescent="0.25">
      <c r="B141" s="148" t="str">
        <f>Rennlisten!B92</f>
        <v>Schilling</v>
      </c>
      <c r="C141" s="40" t="str">
        <f>Rennlisten!C92</f>
        <v>Amelie</v>
      </c>
      <c r="D141" s="204">
        <f t="array" ref="D141">IF(B141&lt;&gt;"",INDEX('Eingabe Meldungen'!$C$2:$H$492,MATCH(B141&amp;C141,'Eingabe Meldungen'!$C$2:$C$492&amp;'Eingabe Meldungen'!$D$2:$D$492,0),6),"")</f>
        <v>2007</v>
      </c>
      <c r="E141" s="107" t="str">
        <f t="array" ref="E141">IF(B141&lt;&gt;"",INDEX('Eingabe Meldungen'!$C$2:$H$492,MATCH(B141&amp;C141,'Eingabe Meldungen'!$C$2:$C$492&amp;'Eingabe Meldungen'!$D$2:$D$492,0),4),"")</f>
        <v>Lgw. bis 50 kg</v>
      </c>
      <c r="F141" s="107"/>
      <c r="G141" s="149"/>
      <c r="H141" s="40" t="e">
        <f t="shared" si="6"/>
        <v>#N/A</v>
      </c>
      <c r="I141" s="107" t="str">
        <f t="array" ref="I141">IF(B141&lt;&gt;"",INDEX('Eingabe Meldungen'!$C$2:$J$492,MATCH(B141&amp;C141,'Eingabe Meldungen'!$C$2:$C$492&amp;'Eingabe Meldungen'!$D$2:$D$492,0),8),"")</f>
        <v>RC Nürtingen</v>
      </c>
      <c r="J141" s="40"/>
      <c r="K141" s="40"/>
      <c r="L141" s="151"/>
      <c r="M141" s="147"/>
      <c r="N141" s="11"/>
      <c r="O141" s="11"/>
      <c r="P141" s="11"/>
      <c r="Q141" s="11"/>
      <c r="T141" s="11"/>
      <c r="U141" s="11"/>
      <c r="Y141" s="15"/>
    </row>
    <row r="142" spans="2:25" ht="13.2" hidden="1" thickBot="1" x14ac:dyDescent="0.25">
      <c r="B142" s="148" t="str">
        <f>Rennlisten!B93</f>
        <v>Deimel</v>
      </c>
      <c r="C142" s="40" t="str">
        <f>Rennlisten!C93</f>
        <v>Johanna</v>
      </c>
      <c r="D142" s="204">
        <f t="array" ref="D142">IF(B142&lt;&gt;"",INDEX('Eingabe Meldungen'!$C$2:$H$492,MATCH(B142&amp;C142,'Eingabe Meldungen'!$C$2:$C$492&amp;'Eingabe Meldungen'!$D$2:$D$492,0),6),"")</f>
        <v>2007</v>
      </c>
      <c r="E142" s="107" t="str">
        <f t="array" ref="E142">IF(B142&lt;&gt;"",INDEX('Eingabe Meldungen'!$C$2:$H$492,MATCH(B142&amp;C142,'Eingabe Meldungen'!$C$2:$C$492&amp;'Eingabe Meldungen'!$D$2:$D$492,0),4),"")</f>
        <v>Lgw. bis 50 kg</v>
      </c>
      <c r="F142" s="107"/>
      <c r="G142" s="149"/>
      <c r="H142" s="40" t="e">
        <f t="shared" si="6"/>
        <v>#N/A</v>
      </c>
      <c r="I142" s="107" t="str">
        <f t="array" ref="I142">IF(B142&lt;&gt;"",INDEX('Eingabe Meldungen'!$C$2:$J$492,MATCH(B142&amp;C142,'Eingabe Meldungen'!$C$2:$C$492&amp;'Eingabe Meldungen'!$D$2:$D$492,0),8),"")</f>
        <v>Mannheimer RV "Amicitia"</v>
      </c>
      <c r="J142" s="40"/>
      <c r="K142" s="40"/>
      <c r="L142" s="151"/>
      <c r="M142" s="147"/>
      <c r="T142" s="11"/>
      <c r="U142" s="11"/>
      <c r="Y142" s="15"/>
    </row>
    <row r="143" spans="2:25" ht="13.2" hidden="1" thickBot="1" x14ac:dyDescent="0.25">
      <c r="B143" s="148" t="str">
        <f>Rennlisten!B98</f>
        <v/>
      </c>
      <c r="C143" s="40" t="str">
        <f>Rennlisten!C98</f>
        <v/>
      </c>
      <c r="D143" s="204" t="str">
        <f t="array" ref="D143">IF(B143&lt;&gt;"",INDEX('Eingabe Meldungen'!$C$2:$H$492,MATCH(B143&amp;C143,'Eingabe Meldungen'!$C$2:$C$492&amp;'Eingabe Meldungen'!$D$2:$D$492,0),6),"")</f>
        <v/>
      </c>
      <c r="E143" s="107" t="str">
        <f t="array" ref="E143">IF(B143&lt;&gt;"",INDEX('Eingabe Meldungen'!$C$2:$H$492,MATCH(B143&amp;C143,'Eingabe Meldungen'!$C$2:$C$492&amp;'Eingabe Meldungen'!$D$2:$D$492,0),4),"")</f>
        <v/>
      </c>
      <c r="F143" s="107"/>
      <c r="G143" s="149"/>
      <c r="H143" s="40" t="e">
        <f t="shared" si="6"/>
        <v>#N/A</v>
      </c>
      <c r="I143" s="107" t="str">
        <f t="array" ref="I143">IF(B143&lt;&gt;"",INDEX('Eingabe Meldungen'!$C$2:$J$492,MATCH(B143&amp;C143,'Eingabe Meldungen'!$C$2:$C$492&amp;'Eingabe Meldungen'!$D$2:$D$492,0),8),"")</f>
        <v/>
      </c>
      <c r="J143" s="40"/>
      <c r="K143" s="40"/>
      <c r="L143" s="151"/>
      <c r="M143" s="147"/>
      <c r="T143" s="11"/>
      <c r="U143" s="11"/>
      <c r="Y143" s="15"/>
    </row>
    <row r="144" spans="2:25" ht="13.2" hidden="1" thickBot="1" x14ac:dyDescent="0.25">
      <c r="B144" s="148" t="str">
        <f>Rennlisten!B99</f>
        <v/>
      </c>
      <c r="C144" s="40" t="str">
        <f>Rennlisten!C99</f>
        <v/>
      </c>
      <c r="D144" s="204" t="str">
        <f t="array" ref="D144">IF(B144&lt;&gt;"",INDEX('Eingabe Meldungen'!$C$2:$H$492,MATCH(B144&amp;C144,'Eingabe Meldungen'!$C$2:$C$492&amp;'Eingabe Meldungen'!$D$2:$D$492,0),6),"")</f>
        <v/>
      </c>
      <c r="E144" s="107" t="str">
        <f t="array" ref="E144">IF(B144&lt;&gt;"",INDEX('Eingabe Meldungen'!$C$2:$H$492,MATCH(B144&amp;C144,'Eingabe Meldungen'!$C$2:$C$492&amp;'Eingabe Meldungen'!$D$2:$D$492,0),4),"")</f>
        <v/>
      </c>
      <c r="F144" s="107"/>
      <c r="G144" s="149"/>
      <c r="H144" s="40" t="e">
        <f t="shared" si="6"/>
        <v>#N/A</v>
      </c>
      <c r="I144" s="107" t="str">
        <f t="array" ref="I144">IF(B144&lt;&gt;"",INDEX('Eingabe Meldungen'!$C$2:$J$492,MATCH(B144&amp;C144,'Eingabe Meldungen'!$C$2:$C$492&amp;'Eingabe Meldungen'!$D$2:$D$492,0),8),"")</f>
        <v/>
      </c>
      <c r="J144" s="40"/>
      <c r="K144" s="40"/>
      <c r="L144" s="151"/>
      <c r="M144" s="147"/>
      <c r="T144" s="11"/>
      <c r="U144" s="11"/>
      <c r="Y144" s="15"/>
    </row>
    <row r="145" spans="2:25" ht="13.2" hidden="1" thickBot="1" x14ac:dyDescent="0.25">
      <c r="B145" s="148" t="str">
        <f>Rennlisten!B100</f>
        <v/>
      </c>
      <c r="C145" s="40" t="str">
        <f>Rennlisten!C100</f>
        <v/>
      </c>
      <c r="D145" s="204" t="str">
        <f t="array" ref="D145">IF(B145&lt;&gt;"",INDEX('Eingabe Meldungen'!$C$2:$H$492,MATCH(B145&amp;C145,'Eingabe Meldungen'!$C$2:$C$492&amp;'Eingabe Meldungen'!$D$2:$D$492,0),6),"")</f>
        <v/>
      </c>
      <c r="E145" s="107" t="str">
        <f t="array" ref="E145">IF(B145&lt;&gt;"",INDEX('Eingabe Meldungen'!$C$2:$H$492,MATCH(B145&amp;C145,'Eingabe Meldungen'!$C$2:$C$492&amp;'Eingabe Meldungen'!$D$2:$D$492,0),4),"")</f>
        <v/>
      </c>
      <c r="F145" s="107"/>
      <c r="G145" s="149"/>
      <c r="H145" s="40" t="e">
        <f t="shared" si="6"/>
        <v>#N/A</v>
      </c>
      <c r="I145" s="107" t="str">
        <f t="array" ref="I145">IF(B145&lt;&gt;"",INDEX('Eingabe Meldungen'!$C$2:$J$492,MATCH(B145&amp;C145,'Eingabe Meldungen'!$C$2:$C$492&amp;'Eingabe Meldungen'!$D$2:$D$492,0),8),"")</f>
        <v/>
      </c>
      <c r="J145" s="160"/>
      <c r="K145" s="160"/>
      <c r="L145" s="162"/>
      <c r="M145" s="163"/>
      <c r="T145" s="11"/>
      <c r="U145" s="11"/>
      <c r="Y145" s="15"/>
    </row>
    <row r="146" spans="2:25" ht="25.5" customHeight="1" x14ac:dyDescent="0.2">
      <c r="B146" s="114">
        <v>9</v>
      </c>
      <c r="C146" s="108" t="str">
        <f>VLOOKUP(B146,Ausschreibung!$B$5:$I$35,2,FALSE)</f>
        <v>Ergocup</v>
      </c>
      <c r="D146" s="109">
        <f>VLOOKUP(B146,Ausschreibung!$B$5:$I$35,3,FALSE)</f>
        <v>0.52499999999999991</v>
      </c>
      <c r="E146" s="108" t="str">
        <f>VLOOKUP(B146,Ausschreibung!$B$5:$I$35,4,FALSE)</f>
        <v>Jungen U15</v>
      </c>
      <c r="F146" s="108">
        <v>50</v>
      </c>
      <c r="G146" s="108">
        <f>VLOOKUP(B146,Ausschreibung!$B$5:$I$35,6,FALSE)</f>
        <v>14</v>
      </c>
      <c r="H146" s="108" t="str">
        <f>VLOOKUP(B146,Ausschreibung!$B$5:$I$35,8,FALSE)</f>
        <v>1000 m</v>
      </c>
      <c r="I146" s="121"/>
      <c r="J146" s="129">
        <f>D146-(2*$N$60)</f>
        <v>0.4416666666666666</v>
      </c>
      <c r="K146" s="129"/>
      <c r="L146" s="129">
        <f>D146-$N$60</f>
        <v>0.48333333333333323</v>
      </c>
      <c r="M146" s="123"/>
      <c r="T146" s="11"/>
      <c r="U146" s="11"/>
      <c r="Y146" s="15"/>
    </row>
    <row r="147" spans="2:25" x14ac:dyDescent="0.2">
      <c r="B147" s="176" t="s">
        <v>1</v>
      </c>
      <c r="C147" s="177" t="s">
        <v>2</v>
      </c>
      <c r="D147" s="178" t="s">
        <v>4</v>
      </c>
      <c r="E147" s="179" t="s">
        <v>16</v>
      </c>
      <c r="F147" s="178" t="s">
        <v>18</v>
      </c>
      <c r="G147" s="178" t="s">
        <v>50</v>
      </c>
      <c r="H147" s="178" t="s">
        <v>51</v>
      </c>
      <c r="I147" s="180" t="s">
        <v>17</v>
      </c>
      <c r="J147" s="178" t="s">
        <v>85</v>
      </c>
      <c r="K147" s="179"/>
      <c r="L147" s="179" t="s">
        <v>86</v>
      </c>
      <c r="M147" s="185" t="s">
        <v>87</v>
      </c>
      <c r="T147" s="11"/>
      <c r="U147" s="11"/>
      <c r="Y147" s="15"/>
    </row>
    <row r="148" spans="2:25" x14ac:dyDescent="0.2">
      <c r="B148" s="148" t="str">
        <f t="array" ref="B148">IF(ISERROR(INDEX('Eingabe Meldungen'!$C$2:$C$492,LARGE(('Eingabe Meldungen'!$A$2:$A$492=$B$146)*(ROW('Eingabe Meldungen'!$A$2:$A$492)-1),COUNTIF('Eingabe Meldungen'!$A$2:$A$492,$B$146)+1-ROW('Eingabe Meldungen'!A1)))),"",INDEX('Eingabe Meldungen'!$C$2:$C$492,LARGE(('Eingabe Meldungen'!$A$2:$A$492=$B$146)*(ROW('Eingabe Meldungen'!$A$2:$A$492)-1),COUNTIF('Eingabe Meldungen'!$A$2:$A$492,$B$146)+1-ROW('Eingabe Meldungen'!A1))))</f>
        <v>Fischer</v>
      </c>
      <c r="C148" s="40" t="str">
        <f t="array" ref="C148">IF(ISERROR(INDEX('Eingabe Meldungen'!$D$2:$D$492,LARGE(('Eingabe Meldungen'!$A$2:$A$492=$B$146)*(ROW('Eingabe Meldungen'!$A$2:$A$492)-1),COUNTIF('Eingabe Meldungen'!$A$2:$A$492,$B$146)+1-ROW('Eingabe Meldungen'!A1)))),"",INDEX('Eingabe Meldungen'!$D$2:$D$492,LARGE(('Eingabe Meldungen'!$A$2:$A$492=$B$146)*(ROW('Eingabe Meldungen'!$A$2:$A$492)-1),COUNTIF('Eingabe Meldungen'!$A$2:$A$492,$B$146)+1-ROW('Eingabe Meldungen'!A1))))</f>
        <v>Amatus</v>
      </c>
      <c r="D148" s="107">
        <f t="array" ref="D148">IF(B148&lt;&gt;"",INDEX('Eingabe Meldungen'!$C$2:$H$492,MATCH(B148&amp;C148,'Eingabe Meldungen'!$C$2:$C$492&amp;'Eingabe Meldungen'!$D$2:$D$492,0),6),"")</f>
        <v>2006</v>
      </c>
      <c r="E148" s="107" t="str">
        <f t="array" ref="E148">IF(B148&lt;&gt;"",INDEX('Eingabe Meldungen'!$C$2:$H$492,MATCH(B148&amp;C148,'Eingabe Meldungen'!$C$2:$C$492&amp;'Eingabe Meldungen'!$D$2:$D$492,0),4),"")</f>
        <v>Lgw. bis 55 kg</v>
      </c>
      <c r="F148" s="107"/>
      <c r="G148" s="149"/>
      <c r="H148" s="40" t="e">
        <f>RANK(G148,$G$148:$G$163,1)</f>
        <v>#N/A</v>
      </c>
      <c r="I148" s="107" t="str">
        <f t="array" ref="I148">IF(B148&lt;&gt;"",INDEX('Eingabe Meldungen'!$C$2:$J$492,MATCH(B148&amp;C148,'Eingabe Meldungen'!$C$2:$C$492&amp;'Eingabe Meldungen'!$D$2:$D$492,0),8),"")</f>
        <v>RV Waldsee</v>
      </c>
      <c r="J148" s="257"/>
      <c r="K148" s="257"/>
      <c r="L148" s="254"/>
      <c r="M148" s="258"/>
      <c r="T148" s="11"/>
      <c r="U148" s="11"/>
      <c r="Y148" s="15"/>
    </row>
    <row r="149" spans="2:25" ht="15" customHeight="1" x14ac:dyDescent="0.2">
      <c r="B149" s="148" t="str">
        <f t="array" ref="B149">IF(ISERROR(INDEX('Eingabe Meldungen'!$C$2:$C$492,LARGE(('Eingabe Meldungen'!$A$2:$A$492=$B$146)*(ROW('Eingabe Meldungen'!$A$2:$A$492)-1),COUNTIF('Eingabe Meldungen'!$A$2:$A$492,$B$146)+1-ROW('Eingabe Meldungen'!A2)))),"",INDEX('Eingabe Meldungen'!$C$2:$C$492,LARGE(('Eingabe Meldungen'!$A$2:$A$492=$B$146)*(ROW('Eingabe Meldungen'!$A$2:$A$492)-1),COUNTIF('Eingabe Meldungen'!$A$2:$A$492,$B$146)+1-ROW('Eingabe Meldungen'!A2))))</f>
        <v>Podbicanin</v>
      </c>
      <c r="C149" s="40" t="str">
        <f t="array" ref="C149">IF(ISERROR(INDEX('Eingabe Meldungen'!$D$2:$D$492,LARGE(('Eingabe Meldungen'!$A$2:$A$492=$B$146)*(ROW('Eingabe Meldungen'!$A$2:$A$492)-1),COUNTIF('Eingabe Meldungen'!$A$2:$A$492,$B$146)+1-ROW('Eingabe Meldungen'!A2)))),"",INDEX('Eingabe Meldungen'!$D$2:$D$492,LARGE(('Eingabe Meldungen'!$A$2:$A$492=$B$146)*(ROW('Eingabe Meldungen'!$A$2:$A$492)-1),COUNTIF('Eingabe Meldungen'!$A$2:$A$492,$B$146)+1-ROW('Eingabe Meldungen'!A2))))</f>
        <v>Ben</v>
      </c>
      <c r="D149" s="107">
        <f t="array" ref="D149">IF(B149&lt;&gt;"",INDEX('Eingabe Meldungen'!$C$2:$H$492,MATCH(B149&amp;C149,'Eingabe Meldungen'!$C$2:$C$492&amp;'Eingabe Meldungen'!$D$2:$D$492,0),6),"")</f>
        <v>2006</v>
      </c>
      <c r="E149" s="107" t="str">
        <f t="array" ref="E149">IF(B149&lt;&gt;"",INDEX('Eingabe Meldungen'!$C$2:$H$492,MATCH(B149&amp;C149,'Eingabe Meldungen'!$C$2:$C$492&amp;'Eingabe Meldungen'!$D$2:$D$492,0),4),"")</f>
        <v>Lgw. bis 55 kg</v>
      </c>
      <c r="F149" s="107"/>
      <c r="G149" s="149"/>
      <c r="H149" s="40" t="e">
        <f t="shared" ref="H149:H163" si="7">RANK(G149,$G$148:$G$163,1)</f>
        <v>#N/A</v>
      </c>
      <c r="I149" s="107" t="str">
        <f t="array" ref="I149">IF(B149&lt;&gt;"",INDEX('Eingabe Meldungen'!$C$2:$J$492,MATCH(B149&amp;C149,'Eingabe Meldungen'!$C$2:$C$492&amp;'Eingabe Meldungen'!$D$2:$D$492,0),8),"")</f>
        <v>Mannheimer RV "Amicitia"</v>
      </c>
      <c r="J149" s="257"/>
      <c r="K149" s="257"/>
      <c r="L149" s="254"/>
      <c r="M149" s="258"/>
      <c r="T149" s="11"/>
      <c r="U149" s="11"/>
      <c r="Y149" s="15"/>
    </row>
    <row r="150" spans="2:25" x14ac:dyDescent="0.2">
      <c r="B150" s="148" t="str">
        <f t="array" ref="B150">IF(ISERROR(INDEX('Eingabe Meldungen'!$C$2:$C$492,LARGE(('Eingabe Meldungen'!$A$2:$A$492=$B$146)*(ROW('Eingabe Meldungen'!$A$2:$A$492)-1),COUNTIF('Eingabe Meldungen'!$A$2:$A$492,$B$146)+1-ROW('Eingabe Meldungen'!A3)))),"",INDEX('Eingabe Meldungen'!$C$2:$C$492,LARGE(('Eingabe Meldungen'!$A$2:$A$492=$B$146)*(ROW('Eingabe Meldungen'!$A$2:$A$492)-1),COUNTIF('Eingabe Meldungen'!$A$2:$A$492,$B$146)+1-ROW('Eingabe Meldungen'!A3))))</f>
        <v>Zeppenfeld</v>
      </c>
      <c r="C150" s="40" t="str">
        <f t="array" ref="C150">IF(ISERROR(INDEX('Eingabe Meldungen'!$D$2:$D$492,LARGE(('Eingabe Meldungen'!$A$2:$A$492=$B$146)*(ROW('Eingabe Meldungen'!$A$2:$A$492)-1),COUNTIF('Eingabe Meldungen'!$A$2:$A$492,$B$146)+1-ROW('Eingabe Meldungen'!A3)))),"",INDEX('Eingabe Meldungen'!$D$2:$D$492,LARGE(('Eingabe Meldungen'!$A$2:$A$492=$B$146)*(ROW('Eingabe Meldungen'!$A$2:$A$492)-1),COUNTIF('Eingabe Meldungen'!$A$2:$A$492,$B$146)+1-ROW('Eingabe Meldungen'!A3))))</f>
        <v>Janne</v>
      </c>
      <c r="D150" s="107">
        <f t="array" ref="D150">IF(B150&lt;&gt;"",INDEX('Eingabe Meldungen'!$C$2:$H$492,MATCH(B150&amp;C150,'Eingabe Meldungen'!$C$2:$C$492&amp;'Eingabe Meldungen'!$D$2:$D$492,0),6),"")</f>
        <v>2006</v>
      </c>
      <c r="E150" s="107" t="str">
        <f t="array" ref="E150">IF(B150&lt;&gt;"",INDEX('Eingabe Meldungen'!$C$2:$H$492,MATCH(B150&amp;C150,'Eingabe Meldungen'!$C$2:$C$492&amp;'Eingabe Meldungen'!$D$2:$D$492,0),4),"")</f>
        <v>Lgw. bis 55 kg</v>
      </c>
      <c r="F150" s="107"/>
      <c r="G150" s="149"/>
      <c r="H150" s="40" t="e">
        <f t="shared" si="7"/>
        <v>#N/A</v>
      </c>
      <c r="I150" s="107" t="str">
        <f t="array" ref="I150">IF(B150&lt;&gt;"",INDEX('Eingabe Meldungen'!$C$2:$J$492,MATCH(B150&amp;C150,'Eingabe Meldungen'!$C$2:$C$492&amp;'Eingabe Meldungen'!$D$2:$D$492,0),8),"")</f>
        <v>Heidelberger Ruderklub</v>
      </c>
      <c r="J150" s="257"/>
      <c r="K150" s="257"/>
      <c r="L150" s="254"/>
      <c r="M150" s="258"/>
      <c r="T150" s="11"/>
      <c r="U150" s="11"/>
      <c r="Y150" s="15"/>
    </row>
    <row r="151" spans="2:25" x14ac:dyDescent="0.2">
      <c r="B151" s="148" t="str">
        <f t="array" ref="B151">IF(ISERROR(INDEX('Eingabe Meldungen'!$C$2:$C$492,LARGE(('Eingabe Meldungen'!$A$2:$A$492=$B$146)*(ROW('Eingabe Meldungen'!$A$2:$A$492)-1),COUNTIF('Eingabe Meldungen'!$A$2:$A$492,$B$146)+1-ROW('Eingabe Meldungen'!A4)))),"",INDEX('Eingabe Meldungen'!$C$2:$C$492,LARGE(('Eingabe Meldungen'!$A$2:$A$492=$B$146)*(ROW('Eingabe Meldungen'!$A$2:$A$492)-1),COUNTIF('Eingabe Meldungen'!$A$2:$A$492,$B$146)+1-ROW('Eingabe Meldungen'!A4))))</f>
        <v>Walz</v>
      </c>
      <c r="C151" s="40" t="str">
        <f t="array" ref="C151">IF(ISERROR(INDEX('Eingabe Meldungen'!$D$2:$D$492,LARGE(('Eingabe Meldungen'!$A$2:$A$492=$B$146)*(ROW('Eingabe Meldungen'!$A$2:$A$492)-1),COUNTIF('Eingabe Meldungen'!$A$2:$A$492,$B$146)+1-ROW('Eingabe Meldungen'!A4)))),"",INDEX('Eingabe Meldungen'!$D$2:$D$492,LARGE(('Eingabe Meldungen'!$A$2:$A$492=$B$146)*(ROW('Eingabe Meldungen'!$A$2:$A$492)-1),COUNTIF('Eingabe Meldungen'!$A$2:$A$492,$B$146)+1-ROW('Eingabe Meldungen'!A4))))</f>
        <v>Levi</v>
      </c>
      <c r="D151" s="107">
        <f t="array" ref="D151">IF(B151&lt;&gt;"",INDEX('Eingabe Meldungen'!$C$2:$H$492,MATCH(B151&amp;C151,'Eingabe Meldungen'!$C$2:$C$492&amp;'Eingabe Meldungen'!$D$2:$D$492,0),6),"")</f>
        <v>2006</v>
      </c>
      <c r="E151" s="107" t="str">
        <f t="array" ref="E151">IF(B151&lt;&gt;"",INDEX('Eingabe Meldungen'!$C$2:$H$492,MATCH(B151&amp;C151,'Eingabe Meldungen'!$C$2:$C$492&amp;'Eingabe Meldungen'!$D$2:$D$492,0),4),"")</f>
        <v>Lgw. bis 55 kg</v>
      </c>
      <c r="F151" s="107"/>
      <c r="G151" s="149"/>
      <c r="H151" s="40" t="e">
        <f t="shared" si="7"/>
        <v>#N/A</v>
      </c>
      <c r="I151" s="107" t="str">
        <f t="array" ref="I151">IF(B151&lt;&gt;"",INDEX('Eingabe Meldungen'!$C$2:$J$492,MATCH(B151&amp;C151,'Eingabe Meldungen'!$C$2:$C$492&amp;'Eingabe Meldungen'!$D$2:$D$492,0),8),"")</f>
        <v>RC Nürtingen</v>
      </c>
      <c r="J151" s="257"/>
      <c r="K151" s="257"/>
      <c r="L151" s="254"/>
      <c r="M151" s="258"/>
      <c r="T151" s="11"/>
      <c r="U151" s="11"/>
      <c r="Y151" s="15"/>
    </row>
    <row r="152" spans="2:25" x14ac:dyDescent="0.2">
      <c r="B152" s="148" t="str">
        <f t="array" ref="B152">IF(ISERROR(INDEX('Eingabe Meldungen'!$C$2:$C$492,LARGE(('Eingabe Meldungen'!$A$2:$A$492=$B$146)*(ROW('Eingabe Meldungen'!$A$2:$A$492)-1),COUNTIF('Eingabe Meldungen'!$A$2:$A$492,$B$146)+1-ROW('Eingabe Meldungen'!A5)))),"",INDEX('Eingabe Meldungen'!$C$2:$C$492,LARGE(('Eingabe Meldungen'!$A$2:$A$492=$B$146)*(ROW('Eingabe Meldungen'!$A$2:$A$492)-1),COUNTIF('Eingabe Meldungen'!$A$2:$A$492,$B$146)+1-ROW('Eingabe Meldungen'!A5))))</f>
        <v>Gehring</v>
      </c>
      <c r="C152" s="40" t="str">
        <f t="array" ref="C152">IF(ISERROR(INDEX('Eingabe Meldungen'!$D$2:$D$492,LARGE(('Eingabe Meldungen'!$A$2:$A$492=$B$146)*(ROW('Eingabe Meldungen'!$A$2:$A$492)-1),COUNTIF('Eingabe Meldungen'!$A$2:$A$492,$B$146)+1-ROW('Eingabe Meldungen'!A5)))),"",INDEX('Eingabe Meldungen'!$D$2:$D$492,LARGE(('Eingabe Meldungen'!$A$2:$A$492=$B$146)*(ROW('Eingabe Meldungen'!$A$2:$A$492)-1),COUNTIF('Eingabe Meldungen'!$A$2:$A$492,$B$146)+1-ROW('Eingabe Meldungen'!A5))))</f>
        <v>Max</v>
      </c>
      <c r="D152" s="107">
        <f t="array" ref="D152">IF(B152&lt;&gt;"",INDEX('Eingabe Meldungen'!$C$2:$H$492,MATCH(B152&amp;C152,'Eingabe Meldungen'!$C$2:$C$492&amp;'Eingabe Meldungen'!$D$2:$D$492,0),6),"")</f>
        <v>2006</v>
      </c>
      <c r="E152" s="107" t="str">
        <f t="array" ref="E152">IF(B152&lt;&gt;"",INDEX('Eingabe Meldungen'!$C$2:$H$492,MATCH(B152&amp;C152,'Eingabe Meldungen'!$C$2:$C$492&amp;'Eingabe Meldungen'!$D$2:$D$492,0),4),"")</f>
        <v>Lgw. bis 55 kg</v>
      </c>
      <c r="F152" s="107"/>
      <c r="G152" s="149"/>
      <c r="H152" s="40" t="e">
        <f t="shared" si="7"/>
        <v>#N/A</v>
      </c>
      <c r="I152" s="107" t="str">
        <f t="array" ref="I152">IF(B152&lt;&gt;"",INDEX('Eingabe Meldungen'!$C$2:$J$492,MATCH(B152&amp;C152,'Eingabe Meldungen'!$C$2:$C$492&amp;'Eingabe Meldungen'!$D$2:$D$492,0),8),"")</f>
        <v>Mannheimer RV "Amicitia"</v>
      </c>
      <c r="J152" s="257"/>
      <c r="K152" s="257"/>
      <c r="L152" s="254"/>
      <c r="M152" s="258"/>
      <c r="T152" s="11"/>
      <c r="U152" s="11"/>
      <c r="Y152" s="15"/>
    </row>
    <row r="153" spans="2:25" x14ac:dyDescent="0.2">
      <c r="B153" s="148" t="str">
        <f t="array" ref="B153">IF(ISERROR(INDEX('Eingabe Meldungen'!$C$2:$C$492,LARGE(('Eingabe Meldungen'!$A$2:$A$492=$B$146)*(ROW('Eingabe Meldungen'!$A$2:$A$492)-1),COUNTIF('Eingabe Meldungen'!$A$2:$A$492,$B$146)+1-ROW('Eingabe Meldungen'!A6)))),"",INDEX('Eingabe Meldungen'!$C$2:$C$492,LARGE(('Eingabe Meldungen'!$A$2:$A$492=$B$146)*(ROW('Eingabe Meldungen'!$A$2:$A$492)-1),COUNTIF('Eingabe Meldungen'!$A$2:$A$492,$B$146)+1-ROW('Eingabe Meldungen'!A6))))</f>
        <v>Kappler</v>
      </c>
      <c r="C153" s="40" t="str">
        <f t="array" ref="C153">IF(ISERROR(INDEX('Eingabe Meldungen'!$D$2:$D$492,LARGE(('Eingabe Meldungen'!$A$2:$A$492=$B$146)*(ROW('Eingabe Meldungen'!$A$2:$A$492)-1),COUNTIF('Eingabe Meldungen'!$A$2:$A$492,$B$146)+1-ROW('Eingabe Meldungen'!A6)))),"",INDEX('Eingabe Meldungen'!$D$2:$D$492,LARGE(('Eingabe Meldungen'!$A$2:$A$492=$B$146)*(ROW('Eingabe Meldungen'!$A$2:$A$492)-1),COUNTIF('Eingabe Meldungen'!$A$2:$A$492,$B$146)+1-ROW('Eingabe Meldungen'!A6))))</f>
        <v>Max</v>
      </c>
      <c r="D153" s="107">
        <f t="array" ref="D153">IF(B153&lt;&gt;"",INDEX('Eingabe Meldungen'!$C$2:$H$492,MATCH(B153&amp;C153,'Eingabe Meldungen'!$C$2:$C$492&amp;'Eingabe Meldungen'!$D$2:$D$492,0),6),"")</f>
        <v>2006</v>
      </c>
      <c r="E153" s="107" t="str">
        <f t="array" ref="E153">IF(B153&lt;&gt;"",INDEX('Eingabe Meldungen'!$C$2:$H$492,MATCH(B153&amp;C153,'Eingabe Meldungen'!$C$2:$C$492&amp;'Eingabe Meldungen'!$D$2:$D$492,0),4),"")</f>
        <v>Lgw. bis 55 kg</v>
      </c>
      <c r="F153" s="107"/>
      <c r="G153" s="149"/>
      <c r="H153" s="40" t="e">
        <f t="shared" si="7"/>
        <v>#N/A</v>
      </c>
      <c r="I153" s="107" t="str">
        <f t="array" ref="I153">IF(B153&lt;&gt;"",INDEX('Eingabe Meldungen'!$C$2:$J$492,MATCH(B153&amp;C153,'Eingabe Meldungen'!$C$2:$C$492&amp;'Eingabe Meldungen'!$D$2:$D$492,0),8),"")</f>
        <v>Mannheimer RV "Amicitia"</v>
      </c>
      <c r="J153" s="257"/>
      <c r="K153" s="257"/>
      <c r="L153" s="254"/>
      <c r="M153" s="258"/>
      <c r="N153" s="11"/>
      <c r="O153" s="11"/>
      <c r="P153" s="15"/>
      <c r="Q153" s="11"/>
      <c r="S153" s="11"/>
      <c r="T153" s="11"/>
      <c r="U153" s="11"/>
      <c r="Y153" s="15"/>
    </row>
    <row r="154" spans="2:25" x14ac:dyDescent="0.2">
      <c r="B154" s="148" t="str">
        <f t="array" ref="B154">IF(ISERROR(INDEX('Eingabe Meldungen'!$C$2:$C$492,LARGE(('Eingabe Meldungen'!$A$2:$A$492=$B$146)*(ROW('Eingabe Meldungen'!$A$2:$A$492)-1),COUNTIF('Eingabe Meldungen'!$A$2:$A$492,$B$146)+1-ROW('Eingabe Meldungen'!A7)))),"",INDEX('Eingabe Meldungen'!$C$2:$C$492,LARGE(('Eingabe Meldungen'!$A$2:$A$492=$B$146)*(ROW('Eingabe Meldungen'!$A$2:$A$492)-1),COUNTIF('Eingabe Meldungen'!$A$2:$A$492,$B$146)+1-ROW('Eingabe Meldungen'!A7))))</f>
        <v>Dankov</v>
      </c>
      <c r="C154" s="40" t="str">
        <f t="array" ref="C154">IF(ISERROR(INDEX('Eingabe Meldungen'!$D$2:$D$492,LARGE(('Eingabe Meldungen'!$A$2:$A$492=$B$146)*(ROW('Eingabe Meldungen'!$A$2:$A$492)-1),COUNTIF('Eingabe Meldungen'!$A$2:$A$492,$B$146)+1-ROW('Eingabe Meldungen'!A7)))),"",INDEX('Eingabe Meldungen'!$D$2:$D$492,LARGE(('Eingabe Meldungen'!$A$2:$A$492=$B$146)*(ROW('Eingabe Meldungen'!$A$2:$A$492)-1),COUNTIF('Eingabe Meldungen'!$A$2:$A$492,$B$146)+1-ROW('Eingabe Meldungen'!A7))))</f>
        <v>Maximilian</v>
      </c>
      <c r="D154" s="107">
        <f t="array" ref="D154">IF(B154&lt;&gt;"",INDEX('Eingabe Meldungen'!$C$2:$H$492,MATCH(B154&amp;C154,'Eingabe Meldungen'!$C$2:$C$492&amp;'Eingabe Meldungen'!$D$2:$D$492,0),6),"")</f>
        <v>2006</v>
      </c>
      <c r="E154" s="107" t="str">
        <f t="array" ref="E154">IF(B154&lt;&gt;"",INDEX('Eingabe Meldungen'!$C$2:$H$492,MATCH(B154&amp;C154,'Eingabe Meldungen'!$C$2:$C$492&amp;'Eingabe Meldungen'!$D$2:$D$492,0),4),"")</f>
        <v>Lgw. bis 55 kg</v>
      </c>
      <c r="F154" s="107"/>
      <c r="G154" s="149"/>
      <c r="H154" s="40" t="e">
        <f t="shared" si="7"/>
        <v>#N/A</v>
      </c>
      <c r="I154" s="107" t="str">
        <f t="array" ref="I154">IF(B154&lt;&gt;"",INDEX('Eingabe Meldungen'!$C$2:$J$492,MATCH(B154&amp;C154,'Eingabe Meldungen'!$C$2:$C$492&amp;'Eingabe Meldungen'!$D$2:$D$492,0),8),"")</f>
        <v>Heidelberger Ruderklub</v>
      </c>
      <c r="J154" s="257"/>
      <c r="K154" s="257"/>
      <c r="L154" s="254"/>
      <c r="M154" s="258"/>
      <c r="N154" s="11"/>
      <c r="O154" s="11"/>
      <c r="P154" s="15"/>
      <c r="Q154" s="11"/>
      <c r="S154" s="11"/>
      <c r="T154" s="11"/>
      <c r="U154" s="11"/>
      <c r="Y154" s="15"/>
    </row>
    <row r="155" spans="2:25" x14ac:dyDescent="0.2">
      <c r="B155" s="148" t="str">
        <f t="array" ref="B155">IF(ISERROR(INDEX('Eingabe Meldungen'!$C$2:$C$492,LARGE(('Eingabe Meldungen'!$A$2:$A$492=$B$146)*(ROW('Eingabe Meldungen'!$A$2:$A$492)-1),COUNTIF('Eingabe Meldungen'!$A$2:$A$492,$B$146)+1-ROW('Eingabe Meldungen'!A8)))),"",INDEX('Eingabe Meldungen'!$C$2:$C$492,LARGE(('Eingabe Meldungen'!$A$2:$A$492=$B$146)*(ROW('Eingabe Meldungen'!$A$2:$A$492)-1),COUNTIF('Eingabe Meldungen'!$A$2:$A$492,$B$146)+1-ROW('Eingabe Meldungen'!A8))))</f>
        <v>Kontusch</v>
      </c>
      <c r="C155" s="40" t="str">
        <f t="array" ref="C155">IF(ISERROR(INDEX('Eingabe Meldungen'!$D$2:$D$492,LARGE(('Eingabe Meldungen'!$A$2:$A$492=$B$146)*(ROW('Eingabe Meldungen'!$A$2:$A$492)-1),COUNTIF('Eingabe Meldungen'!$A$2:$A$492,$B$146)+1-ROW('Eingabe Meldungen'!A8)))),"",INDEX('Eingabe Meldungen'!$D$2:$D$492,LARGE(('Eingabe Meldungen'!$A$2:$A$492=$B$146)*(ROW('Eingabe Meldungen'!$A$2:$A$492)-1),COUNTIF('Eingabe Meldungen'!$A$2:$A$492,$B$146)+1-ROW('Eingabe Meldungen'!A8))))</f>
        <v>Niklas</v>
      </c>
      <c r="D155" s="107">
        <f t="array" ref="D155">IF(B155&lt;&gt;"",INDEX('Eingabe Meldungen'!$C$2:$H$492,MATCH(B155&amp;C155,'Eingabe Meldungen'!$C$2:$C$492&amp;'Eingabe Meldungen'!$D$2:$D$492,0),6),"")</f>
        <v>2006</v>
      </c>
      <c r="E155" s="107" t="str">
        <f t="array" ref="E155">IF(B155&lt;&gt;"",INDEX('Eingabe Meldungen'!$C$2:$H$492,MATCH(B155&amp;C155,'Eingabe Meldungen'!$C$2:$C$492&amp;'Eingabe Meldungen'!$D$2:$D$492,0),4),"")</f>
        <v>Lgw. bis 55 kg</v>
      </c>
      <c r="F155" s="107"/>
      <c r="G155" s="149"/>
      <c r="H155" s="40" t="e">
        <f t="shared" si="7"/>
        <v>#N/A</v>
      </c>
      <c r="I155" s="107" t="str">
        <f t="array" ref="I155">IF(B155&lt;&gt;"",INDEX('Eingabe Meldungen'!$C$2:$J$492,MATCH(B155&amp;C155,'Eingabe Meldungen'!$C$2:$C$492&amp;'Eingabe Meldungen'!$D$2:$D$492,0),8),"")</f>
        <v>HRG Schwaben</v>
      </c>
      <c r="J155" s="257"/>
      <c r="K155" s="257"/>
      <c r="L155" s="254"/>
      <c r="M155" s="258"/>
      <c r="N155" s="11"/>
      <c r="O155" s="11"/>
      <c r="P155" s="15"/>
      <c r="Q155" s="11"/>
      <c r="S155" s="11"/>
      <c r="T155" s="11"/>
      <c r="U155" s="11"/>
      <c r="Y155" s="15"/>
    </row>
    <row r="156" spans="2:25" x14ac:dyDescent="0.2">
      <c r="B156" s="148" t="str">
        <f t="array" ref="B156">IF(ISERROR(INDEX('Eingabe Meldungen'!$C$2:$C$492,LARGE(('Eingabe Meldungen'!$A$2:$A$492=$B$146)*(ROW('Eingabe Meldungen'!$A$2:$A$492)-1),COUNTIF('Eingabe Meldungen'!$A$2:$A$492,$B$146)+1-ROW('Eingabe Meldungen'!A9)))),"",INDEX('Eingabe Meldungen'!$C$2:$C$492,LARGE(('Eingabe Meldungen'!$A$2:$A$492=$B$146)*(ROW('Eingabe Meldungen'!$A$2:$A$492)-1),COUNTIF('Eingabe Meldungen'!$A$2:$A$492,$B$146)+1-ROW('Eingabe Meldungen'!A9))))</f>
        <v>Knott</v>
      </c>
      <c r="C156" s="40" t="str">
        <f t="array" ref="C156">IF(ISERROR(INDEX('Eingabe Meldungen'!$D$2:$D$492,LARGE(('Eingabe Meldungen'!$A$2:$A$492=$B$146)*(ROW('Eingabe Meldungen'!$A$2:$A$492)-1),COUNTIF('Eingabe Meldungen'!$A$2:$A$492,$B$146)+1-ROW('Eingabe Meldungen'!A9)))),"",INDEX('Eingabe Meldungen'!$D$2:$D$492,LARGE(('Eingabe Meldungen'!$A$2:$A$492=$B$146)*(ROW('Eingabe Meldungen'!$A$2:$A$492)-1),COUNTIF('Eingabe Meldungen'!$A$2:$A$492,$B$146)+1-ROW('Eingabe Meldungen'!A9))))</f>
        <v>Nils</v>
      </c>
      <c r="D156" s="107">
        <f t="array" ref="D156">IF(B156&lt;&gt;"",INDEX('Eingabe Meldungen'!$C$2:$H$492,MATCH(B156&amp;C156,'Eingabe Meldungen'!$C$2:$C$492&amp;'Eingabe Meldungen'!$D$2:$D$492,0),6),"")</f>
        <v>2006</v>
      </c>
      <c r="E156" s="107" t="str">
        <f t="array" ref="E156">IF(B156&lt;&gt;"",INDEX('Eingabe Meldungen'!$C$2:$H$492,MATCH(B156&amp;C156,'Eingabe Meldungen'!$C$2:$C$492&amp;'Eingabe Meldungen'!$D$2:$D$492,0),4),"")</f>
        <v>Lgw. bis 55 kg</v>
      </c>
      <c r="F156" s="107"/>
      <c r="G156" s="149"/>
      <c r="H156" s="40" t="e">
        <f t="shared" si="7"/>
        <v>#N/A</v>
      </c>
      <c r="I156" s="107" t="str">
        <f t="array" ref="I156">IF(B156&lt;&gt;"",INDEX('Eingabe Meldungen'!$C$2:$J$492,MATCH(B156&amp;C156,'Eingabe Meldungen'!$C$2:$C$492&amp;'Eingabe Meldungen'!$D$2:$D$492,0),8),"")</f>
        <v>RC Nürtingen</v>
      </c>
      <c r="J156" s="257"/>
      <c r="K156" s="257"/>
      <c r="L156" s="254"/>
      <c r="M156" s="258"/>
      <c r="N156" s="11"/>
      <c r="O156" s="11"/>
      <c r="P156" s="15"/>
      <c r="Q156" s="11"/>
      <c r="S156" s="11"/>
      <c r="T156" s="11"/>
      <c r="U156" s="11"/>
      <c r="Y156" s="15"/>
    </row>
    <row r="157" spans="2:25" x14ac:dyDescent="0.2">
      <c r="B157" s="148" t="str">
        <f t="array" ref="B157">IF(ISERROR(INDEX('Eingabe Meldungen'!$C$2:$C$492,LARGE(('Eingabe Meldungen'!$A$2:$A$492=$B$146)*(ROW('Eingabe Meldungen'!$A$2:$A$492)-1),COUNTIF('Eingabe Meldungen'!$A$2:$A$492,$B$146)+1-ROW('Eingabe Meldungen'!A10)))),"",INDEX('Eingabe Meldungen'!$C$2:$C$492,LARGE(('Eingabe Meldungen'!$A$2:$A$492=$B$146)*(ROW('Eingabe Meldungen'!$A$2:$A$492)-1),COUNTIF('Eingabe Meldungen'!$A$2:$A$492,$B$146)+1-ROW('Eingabe Meldungen'!A10))))</f>
        <v>Heß</v>
      </c>
      <c r="C157" s="40" t="str">
        <f t="array" ref="C157">IF(ISERROR(INDEX('Eingabe Meldungen'!$D$2:$D$492,LARGE(('Eingabe Meldungen'!$A$2:$A$492=$B$146)*(ROW('Eingabe Meldungen'!$A$2:$A$492)-1),COUNTIF('Eingabe Meldungen'!$A$2:$A$492,$B$146)+1-ROW('Eingabe Meldungen'!A10)))),"",INDEX('Eingabe Meldungen'!$D$2:$D$492,LARGE(('Eingabe Meldungen'!$A$2:$A$492=$B$146)*(ROW('Eingabe Meldungen'!$A$2:$A$492)-1),COUNTIF('Eingabe Meldungen'!$A$2:$A$492,$B$146)+1-ROW('Eingabe Meldungen'!A10))))</f>
        <v>Philipp</v>
      </c>
      <c r="D157" s="107">
        <f t="array" ref="D157">IF(B157&lt;&gt;"",INDEX('Eingabe Meldungen'!$C$2:$H$492,MATCH(B157&amp;C157,'Eingabe Meldungen'!$C$2:$C$492&amp;'Eingabe Meldungen'!$D$2:$D$492,0),6),"")</f>
        <v>2006</v>
      </c>
      <c r="E157" s="107" t="str">
        <f t="array" ref="E157">IF(B157&lt;&gt;"",INDEX('Eingabe Meldungen'!$C$2:$H$492,MATCH(B157&amp;C157,'Eingabe Meldungen'!$C$2:$C$492&amp;'Eingabe Meldungen'!$D$2:$D$492,0),4),"")</f>
        <v>Lgw. bis 55 kg</v>
      </c>
      <c r="F157" s="107"/>
      <c r="G157" s="149"/>
      <c r="H157" s="40" t="e">
        <f t="shared" si="7"/>
        <v>#N/A</v>
      </c>
      <c r="I157" s="107" t="str">
        <f t="array" ref="I157">IF(B157&lt;&gt;"",INDEX('Eingabe Meldungen'!$C$2:$J$492,MATCH(B157&amp;C157,'Eingabe Meldungen'!$C$2:$C$492&amp;'Eingabe Meldungen'!$D$2:$D$492,0),8),"")</f>
        <v>RC Nürtingen</v>
      </c>
      <c r="J157" s="257"/>
      <c r="K157" s="257"/>
      <c r="L157" s="254"/>
      <c r="M157" s="258"/>
      <c r="N157" s="11"/>
      <c r="O157" s="11"/>
      <c r="P157" s="15"/>
      <c r="Q157" s="11"/>
      <c r="S157" s="11"/>
      <c r="T157" s="11"/>
      <c r="U157" s="11"/>
      <c r="Y157" s="15"/>
    </row>
    <row r="158" spans="2:25" x14ac:dyDescent="0.2">
      <c r="B158" s="148" t="str">
        <f t="array" ref="B158">IF(ISERROR(INDEX('Eingabe Meldungen'!$C$2:$C$492,LARGE(('Eingabe Meldungen'!$A$2:$A$492=$B$146)*(ROW('Eingabe Meldungen'!$A$2:$A$492)-1),COUNTIF('Eingabe Meldungen'!$A$2:$A$492,$B$146)+1-ROW('Eingabe Meldungen'!A11)))),"",INDEX('Eingabe Meldungen'!$C$2:$C$492,LARGE(('Eingabe Meldungen'!$A$2:$A$492=$B$146)*(ROW('Eingabe Meldungen'!$A$2:$A$492)-1),COUNTIF('Eingabe Meldungen'!$A$2:$A$492,$B$146)+1-ROW('Eingabe Meldungen'!A11))))</f>
        <v>Hinderer</v>
      </c>
      <c r="C158" s="40" t="str">
        <f t="array" ref="C158">IF(ISERROR(INDEX('Eingabe Meldungen'!$D$2:$D$492,LARGE(('Eingabe Meldungen'!$A$2:$A$492=$B$146)*(ROW('Eingabe Meldungen'!$A$2:$A$492)-1),COUNTIF('Eingabe Meldungen'!$A$2:$A$492,$B$146)+1-ROW('Eingabe Meldungen'!A11)))),"",INDEX('Eingabe Meldungen'!$D$2:$D$492,LARGE(('Eingabe Meldungen'!$A$2:$A$492=$B$146)*(ROW('Eingabe Meldungen'!$A$2:$A$492)-1),COUNTIF('Eingabe Meldungen'!$A$2:$A$492,$B$146)+1-ROW('Eingabe Meldungen'!A11))))</f>
        <v>Len</v>
      </c>
      <c r="D158" s="107">
        <f t="array" ref="D158">IF(B158&lt;&gt;"",INDEX('Eingabe Meldungen'!$C$2:$H$492,MATCH(B158&amp;C158,'Eingabe Meldungen'!$C$2:$C$492&amp;'Eingabe Meldungen'!$D$2:$D$492,0),6),"")</f>
        <v>2006</v>
      </c>
      <c r="E158" s="107" t="str">
        <f t="array" ref="E158">IF(B158&lt;&gt;"",INDEX('Eingabe Meldungen'!$C$2:$H$492,MATCH(B158&amp;C158,'Eingabe Meldungen'!$C$2:$C$492&amp;'Eingabe Meldungen'!$D$2:$D$492,0),4),"")</f>
        <v>Lgw. bis 55 kg</v>
      </c>
      <c r="F158" s="107"/>
      <c r="G158" s="149"/>
      <c r="H158" s="40" t="e">
        <f t="shared" si="7"/>
        <v>#N/A</v>
      </c>
      <c r="I158" s="107" t="str">
        <f t="array" ref="I158">IF(B158&lt;&gt;"",INDEX('Eingabe Meldungen'!$C$2:$J$492,MATCH(B158&amp;C158,'Eingabe Meldungen'!$C$2:$C$492&amp;'Eingabe Meldungen'!$D$2:$D$492,0),8),"")</f>
        <v xml:space="preserve">WSV Schifferclub Neckarrems </v>
      </c>
      <c r="J158" s="257"/>
      <c r="K158" s="257"/>
      <c r="L158" s="254"/>
      <c r="M158" s="258"/>
      <c r="N158" s="11"/>
      <c r="O158" s="11"/>
      <c r="P158" s="15"/>
      <c r="Q158" s="11"/>
      <c r="S158" s="11"/>
      <c r="T158" s="11"/>
      <c r="U158" s="11"/>
      <c r="Y158" s="15"/>
    </row>
    <row r="159" spans="2:25" x14ac:dyDescent="0.2">
      <c r="B159" s="148" t="str">
        <f t="array" ref="B159">IF(ISERROR(INDEX('Eingabe Meldungen'!$C$2:$C$492,LARGE(('Eingabe Meldungen'!$A$2:$A$492=$B$146)*(ROW('Eingabe Meldungen'!$A$2:$A$492)-1),COUNTIF('Eingabe Meldungen'!$A$2:$A$492,$B$146)+1-ROW('Eingabe Meldungen'!A12)))),"",INDEX('Eingabe Meldungen'!$C$2:$C$492,LARGE(('Eingabe Meldungen'!$A$2:$A$492=$B$146)*(ROW('Eingabe Meldungen'!$A$2:$A$492)-1),COUNTIF('Eingabe Meldungen'!$A$2:$A$492,$B$146)+1-ROW('Eingabe Meldungen'!A12))))</f>
        <v>Wöppel</v>
      </c>
      <c r="C159" s="40" t="str">
        <f t="array" ref="C159">IF(ISERROR(INDEX('Eingabe Meldungen'!$D$2:$D$492,LARGE(('Eingabe Meldungen'!$A$2:$A$492=$B$146)*(ROW('Eingabe Meldungen'!$A$2:$A$492)-1),COUNTIF('Eingabe Meldungen'!$A$2:$A$492,$B$146)+1-ROW('Eingabe Meldungen'!A12)))),"",INDEX('Eingabe Meldungen'!$D$2:$D$492,LARGE(('Eingabe Meldungen'!$A$2:$A$492=$B$146)*(ROW('Eingabe Meldungen'!$A$2:$A$492)-1),COUNTIF('Eingabe Meldungen'!$A$2:$A$492,$B$146)+1-ROW('Eingabe Meldungen'!A12))))</f>
        <v>Marius</v>
      </c>
      <c r="D159" s="107">
        <f t="array" ref="D159">IF(B159&lt;&gt;"",INDEX('Eingabe Meldungen'!$C$2:$H$492,MATCH(B159&amp;C159,'Eingabe Meldungen'!$C$2:$C$492&amp;'Eingabe Meldungen'!$D$2:$D$492,0),6),"")</f>
        <v>2006</v>
      </c>
      <c r="E159" s="107" t="str">
        <f t="array" ref="E159">IF(B159&lt;&gt;"",INDEX('Eingabe Meldungen'!$C$2:$H$492,MATCH(B159&amp;C159,'Eingabe Meldungen'!$C$2:$C$492&amp;'Eingabe Meldungen'!$D$2:$D$492,0),4),"")</f>
        <v>Lgw. bis 55 kg</v>
      </c>
      <c r="F159" s="107"/>
      <c r="G159" s="149"/>
      <c r="H159" s="40" t="e">
        <f t="shared" si="7"/>
        <v>#N/A</v>
      </c>
      <c r="I159" s="107" t="str">
        <f t="array" ref="I159">IF(B159&lt;&gt;"",INDEX('Eingabe Meldungen'!$C$2:$J$492,MATCH(B159&amp;C159,'Eingabe Meldungen'!$C$2:$C$492&amp;'Eingabe Meldungen'!$D$2:$D$492,0),8),"")</f>
        <v xml:space="preserve">WSV Schifferclub Neckarrems </v>
      </c>
      <c r="J159" s="257"/>
      <c r="K159" s="257"/>
      <c r="L159" s="254"/>
      <c r="M159" s="258"/>
      <c r="N159" s="11"/>
      <c r="O159" s="11"/>
      <c r="P159" s="15"/>
      <c r="Q159" s="11"/>
      <c r="S159" s="11"/>
      <c r="T159" s="11"/>
      <c r="U159" s="11"/>
      <c r="Y159" s="15"/>
    </row>
    <row r="160" spans="2:25" x14ac:dyDescent="0.2">
      <c r="B160" s="148" t="str">
        <f t="array" ref="B160">IF(ISERROR(INDEX('Eingabe Meldungen'!$C$2:$C$492,LARGE(('Eingabe Meldungen'!$A$2:$A$492=$B$146)*(ROW('Eingabe Meldungen'!$A$2:$A$492)-1),COUNTIF('Eingabe Meldungen'!$A$2:$A$492,$B$146)+1-ROW('Eingabe Meldungen'!A13)))),"",INDEX('Eingabe Meldungen'!$C$2:$C$492,LARGE(('Eingabe Meldungen'!$A$2:$A$492=$B$146)*(ROW('Eingabe Meldungen'!$A$2:$A$492)-1),COUNTIF('Eingabe Meldungen'!$A$2:$A$492,$B$146)+1-ROW('Eingabe Meldungen'!A13))))</f>
        <v/>
      </c>
      <c r="C160" s="40" t="str">
        <f t="array" ref="C160">IF(ISERROR(INDEX('Eingabe Meldungen'!$D$2:$D$492,LARGE(('Eingabe Meldungen'!$A$2:$A$492=$B$146)*(ROW('Eingabe Meldungen'!$A$2:$A$492)-1),COUNTIF('Eingabe Meldungen'!$A$2:$A$492,$B$146)+1-ROW('Eingabe Meldungen'!A13)))),"",INDEX('Eingabe Meldungen'!$D$2:$D$492,LARGE(('Eingabe Meldungen'!$A$2:$A$492=$B$146)*(ROW('Eingabe Meldungen'!$A$2:$A$492)-1),COUNTIF('Eingabe Meldungen'!$A$2:$A$492,$B$146)+1-ROW('Eingabe Meldungen'!A13))))</f>
        <v/>
      </c>
      <c r="D160" s="107" t="str">
        <f t="array" ref="D160">IF(B160&lt;&gt;"",INDEX('Eingabe Meldungen'!$C$2:$H$492,MATCH(B160&amp;C160,'Eingabe Meldungen'!$C$2:$C$492&amp;'Eingabe Meldungen'!$D$2:$D$492,0),6),"")</f>
        <v/>
      </c>
      <c r="E160" s="107" t="str">
        <f t="array" ref="E160">IF(B160&lt;&gt;"",INDEX('Eingabe Meldungen'!$C$2:$H$492,MATCH(B160&amp;C160,'Eingabe Meldungen'!$C$2:$C$492&amp;'Eingabe Meldungen'!$D$2:$D$492,0),4),"")</f>
        <v/>
      </c>
      <c r="F160" s="107"/>
      <c r="G160" s="149"/>
      <c r="H160" s="40" t="e">
        <f t="shared" si="7"/>
        <v>#N/A</v>
      </c>
      <c r="I160" s="107" t="str">
        <f t="array" ref="I160">IF(B160&lt;&gt;"",INDEX('Eingabe Meldungen'!$C$2:$J$492,MATCH(B160&amp;C160,'Eingabe Meldungen'!$C$2:$C$492&amp;'Eingabe Meldungen'!$D$2:$D$492,0),8),"")</f>
        <v/>
      </c>
      <c r="J160" s="257"/>
      <c r="K160" s="257"/>
      <c r="L160" s="254"/>
      <c r="M160" s="258"/>
      <c r="N160" s="11"/>
      <c r="O160" s="11"/>
      <c r="P160" s="15"/>
      <c r="Q160" s="11"/>
      <c r="S160" s="11"/>
      <c r="T160" s="11"/>
      <c r="U160" s="11"/>
      <c r="Y160" s="15"/>
    </row>
    <row r="161" spans="2:25" ht="14.25" customHeight="1" x14ac:dyDescent="0.2">
      <c r="B161" s="148" t="str">
        <f t="array" ref="B161">IF(ISERROR(INDEX('Eingabe Meldungen'!$C$2:$C$492,LARGE(('Eingabe Meldungen'!$A$2:$A$492=$B$146)*(ROW('Eingabe Meldungen'!$A$2:$A$492)-1),COUNTIF('Eingabe Meldungen'!$A$2:$A$492,$B$146)+1-ROW('Eingabe Meldungen'!A14)))),"",INDEX('Eingabe Meldungen'!$C$2:$C$492,LARGE(('Eingabe Meldungen'!$A$2:$A$492=$B$146)*(ROW('Eingabe Meldungen'!$A$2:$A$492)-1),COUNTIF('Eingabe Meldungen'!$A$2:$A$492,$B$146)+1-ROW('Eingabe Meldungen'!A14))))</f>
        <v/>
      </c>
      <c r="C161" s="40" t="str">
        <f t="array" ref="C161">IF(ISERROR(INDEX('Eingabe Meldungen'!$D$2:$D$492,LARGE(('Eingabe Meldungen'!$A$2:$A$492=$B$146)*(ROW('Eingabe Meldungen'!$A$2:$A$492)-1),COUNTIF('Eingabe Meldungen'!$A$2:$A$492,$B$146)+1-ROW('Eingabe Meldungen'!A14)))),"",INDEX('Eingabe Meldungen'!$D$2:$D$492,LARGE(('Eingabe Meldungen'!$A$2:$A$492=$B$146)*(ROW('Eingabe Meldungen'!$A$2:$A$492)-1),COUNTIF('Eingabe Meldungen'!$A$2:$A$492,$B$146)+1-ROW('Eingabe Meldungen'!A14))))</f>
        <v/>
      </c>
      <c r="D161" s="107" t="str">
        <f t="array" ref="D161">IF(B161&lt;&gt;"",INDEX('Eingabe Meldungen'!$C$2:$H$492,MATCH(B161&amp;C161,'Eingabe Meldungen'!$C$2:$C$492&amp;'Eingabe Meldungen'!$D$2:$D$492,0),6),"")</f>
        <v/>
      </c>
      <c r="E161" s="107" t="str">
        <f t="array" ref="E161">IF(B161&lt;&gt;"",INDEX('Eingabe Meldungen'!$C$2:$H$492,MATCH(B161&amp;C161,'Eingabe Meldungen'!$C$2:$C$492&amp;'Eingabe Meldungen'!$D$2:$D$492,0),4),"")</f>
        <v/>
      </c>
      <c r="F161" s="107"/>
      <c r="G161" s="149"/>
      <c r="H161" s="40" t="e">
        <f t="shared" si="7"/>
        <v>#N/A</v>
      </c>
      <c r="I161" s="107" t="str">
        <f t="array" ref="I161">IF(B161&lt;&gt;"",INDEX('Eingabe Meldungen'!$C$2:$J$492,MATCH(B161&amp;C161,'Eingabe Meldungen'!$C$2:$C$492&amp;'Eingabe Meldungen'!$D$2:$D$492,0),8),"")</f>
        <v/>
      </c>
      <c r="J161" s="257"/>
      <c r="K161" s="257"/>
      <c r="L161" s="254"/>
      <c r="M161" s="258"/>
      <c r="N161" s="11"/>
      <c r="O161" s="11"/>
      <c r="P161" s="15"/>
      <c r="Q161" s="11"/>
      <c r="S161" s="11"/>
      <c r="T161" s="11"/>
      <c r="U161" s="11"/>
      <c r="Y161" s="15"/>
    </row>
    <row r="162" spans="2:25" ht="14.25" customHeight="1" x14ac:dyDescent="0.2">
      <c r="B162" s="148" t="str">
        <f t="array" ref="B162">IF(ISERROR(INDEX('Eingabe Meldungen'!$C$2:$C$492,LARGE(('Eingabe Meldungen'!$A$2:$A$492=$B$146)*(ROW('Eingabe Meldungen'!$A$2:$A$492)-1),COUNTIF('Eingabe Meldungen'!$A$2:$A$492,$B$146)+1-ROW('Eingabe Meldungen'!A15)))),"",INDEX('Eingabe Meldungen'!$C$2:$C$492,LARGE(('Eingabe Meldungen'!$A$2:$A$492=$B$146)*(ROW('Eingabe Meldungen'!$A$2:$A$492)-1),COUNTIF('Eingabe Meldungen'!$A$2:$A$492,$B$146)+1-ROW('Eingabe Meldungen'!A15))))</f>
        <v/>
      </c>
      <c r="C162" s="40" t="str">
        <f t="array" ref="C162">IF(ISERROR(INDEX('Eingabe Meldungen'!$D$2:$D$492,LARGE(('Eingabe Meldungen'!$A$2:$A$492=$B$146)*(ROW('Eingabe Meldungen'!$A$2:$A$492)-1),COUNTIF('Eingabe Meldungen'!$A$2:$A$492,$B$146)+1-ROW('Eingabe Meldungen'!A15)))),"",INDEX('Eingabe Meldungen'!$D$2:$D$492,LARGE(('Eingabe Meldungen'!$A$2:$A$492=$B$146)*(ROW('Eingabe Meldungen'!$A$2:$A$492)-1),COUNTIF('Eingabe Meldungen'!$A$2:$A$492,$B$146)+1-ROW('Eingabe Meldungen'!A15))))</f>
        <v/>
      </c>
      <c r="D162" s="107" t="str">
        <f t="array" ref="D162">IF(B162&lt;&gt;"",INDEX('Eingabe Meldungen'!$C$2:$H$492,MATCH(B162&amp;C162,'Eingabe Meldungen'!$C$2:$C$492&amp;'Eingabe Meldungen'!$D$2:$D$492,0),6),"")</f>
        <v/>
      </c>
      <c r="E162" s="107" t="str">
        <f t="array" ref="E162">IF(B162&lt;&gt;"",INDEX('Eingabe Meldungen'!$C$2:$H$492,MATCH(B162&amp;C162,'Eingabe Meldungen'!$C$2:$C$492&amp;'Eingabe Meldungen'!$D$2:$D$492,0),4),"")</f>
        <v/>
      </c>
      <c r="F162" s="107"/>
      <c r="G162" s="149"/>
      <c r="H162" s="40" t="e">
        <f t="shared" si="7"/>
        <v>#N/A</v>
      </c>
      <c r="I162" s="107" t="str">
        <f t="array" ref="I162">IF(B162&lt;&gt;"",INDEX('Eingabe Meldungen'!$C$2:$J$492,MATCH(B162&amp;C162,'Eingabe Meldungen'!$C$2:$C$492&amp;'Eingabe Meldungen'!$D$2:$D$492,0),8),"")</f>
        <v/>
      </c>
      <c r="J162" s="257"/>
      <c r="K162" s="257"/>
      <c r="L162" s="254"/>
      <c r="M162" s="258"/>
      <c r="N162" s="11"/>
      <c r="O162" s="11"/>
      <c r="P162" s="15"/>
      <c r="Q162" s="11"/>
      <c r="S162" s="11"/>
      <c r="T162" s="11"/>
      <c r="U162" s="11"/>
      <c r="W162" s="6"/>
      <c r="X162" s="9"/>
      <c r="Y162" s="8"/>
    </row>
    <row r="163" spans="2:25" ht="12.75" customHeight="1" thickBot="1" x14ac:dyDescent="0.25">
      <c r="B163" s="148" t="str">
        <f t="array" ref="B163">IF(ISERROR(INDEX('Eingabe Meldungen'!$C$2:$C$492,LARGE(('Eingabe Meldungen'!$A$2:$A$492=$B$146)*(ROW('Eingabe Meldungen'!$A$2:$A$492)-1),COUNTIF('Eingabe Meldungen'!$A$2:$A$492,$B$146)+1-ROW('Eingabe Meldungen'!A16)))),"",INDEX('Eingabe Meldungen'!$C$2:$C$492,LARGE(('Eingabe Meldungen'!$A$2:$A$492=$B$146)*(ROW('Eingabe Meldungen'!$A$2:$A$492)-1),COUNTIF('Eingabe Meldungen'!$A$2:$A$492,$B$146)+1-ROW('Eingabe Meldungen'!A16))))</f>
        <v/>
      </c>
      <c r="C163" s="40" t="str">
        <f t="array" ref="C163">IF(ISERROR(INDEX('Eingabe Meldungen'!$D$2:$D$492,LARGE(('Eingabe Meldungen'!$A$2:$A$492=$B$146)*(ROW('Eingabe Meldungen'!$A$2:$A$492)-1),COUNTIF('Eingabe Meldungen'!$A$2:$A$492,$B$146)+1-ROW('Eingabe Meldungen'!A16)))),"",INDEX('Eingabe Meldungen'!$D$2:$D$492,LARGE(('Eingabe Meldungen'!$A$2:$A$492=$B$146)*(ROW('Eingabe Meldungen'!$A$2:$A$492)-1),COUNTIF('Eingabe Meldungen'!$A$2:$A$492,$B$146)+1-ROW('Eingabe Meldungen'!A16))))</f>
        <v/>
      </c>
      <c r="D163" s="107" t="str">
        <f t="array" ref="D163">IF(B163&lt;&gt;"",INDEX('Eingabe Meldungen'!$C$2:$H$492,MATCH(B163&amp;C163,'Eingabe Meldungen'!$C$2:$C$492&amp;'Eingabe Meldungen'!$D$2:$D$492,0),6),"")</f>
        <v/>
      </c>
      <c r="E163" s="107" t="str">
        <f t="array" ref="E163">IF(B163&lt;&gt;"",INDEX('Eingabe Meldungen'!$C$2:$H$492,MATCH(B163&amp;C163,'Eingabe Meldungen'!$C$2:$C$492&amp;'Eingabe Meldungen'!$D$2:$D$492,0),4),"")</f>
        <v/>
      </c>
      <c r="F163" s="107"/>
      <c r="G163" s="149"/>
      <c r="H163" s="40" t="e">
        <f t="shared" si="7"/>
        <v>#N/A</v>
      </c>
      <c r="I163" s="107" t="str">
        <f t="array" ref="I163">IF(B163&lt;&gt;"",INDEX('Eingabe Meldungen'!$C$2:$J$492,MATCH(B163&amp;C163,'Eingabe Meldungen'!$C$2:$C$492&amp;'Eingabe Meldungen'!$D$2:$D$492,0),8),"")</f>
        <v/>
      </c>
      <c r="J163" s="257"/>
      <c r="K163" s="257"/>
      <c r="L163" s="254"/>
      <c r="M163" s="258"/>
      <c r="N163" s="11"/>
      <c r="O163" s="11"/>
      <c r="P163" s="15"/>
      <c r="Q163" s="11"/>
      <c r="S163" s="11"/>
      <c r="T163" s="11"/>
      <c r="U163" s="11"/>
      <c r="W163" s="6"/>
      <c r="X163" s="9"/>
      <c r="Y163" s="8"/>
    </row>
    <row r="164" spans="2:25" ht="25.5" hidden="1" customHeight="1" x14ac:dyDescent="0.2">
      <c r="B164" s="114">
        <f>B146+1</f>
        <v>10</v>
      </c>
      <c r="C164" s="108" t="str">
        <f>VLOOKUP(B164,Ausschreibung!$B$5:$I$35,2,FALSE)</f>
        <v>Ergocup</v>
      </c>
      <c r="D164" s="109">
        <f>VLOOKUP(B164,Ausschreibung!$B$5:$I$35,3,FALSE)</f>
        <v>0.53611111111111098</v>
      </c>
      <c r="E164" s="108" t="str">
        <f>VLOOKUP(B164,Ausschreibung!$B$5:$I$35,4,FALSE)</f>
        <v>Jungen U15</v>
      </c>
      <c r="F164" s="108" t="str">
        <f>VLOOKUP(B164,Ausschreibung!$B$5:$I$35,5,FALSE)</f>
        <v>-</v>
      </c>
      <c r="G164" s="108">
        <f>VLOOKUP(B164,Ausschreibung!$B$5:$I$35,6,FALSE)</f>
        <v>14</v>
      </c>
      <c r="H164" s="108" t="str">
        <f>VLOOKUP(B164,Ausschreibung!$B$5:$I$35,8,FALSE)</f>
        <v>1000 m</v>
      </c>
      <c r="I164" s="108" t="s">
        <v>30</v>
      </c>
      <c r="J164" s="108"/>
      <c r="K164" s="40"/>
      <c r="L164" s="151"/>
      <c r="M164" s="147"/>
      <c r="N164" s="11"/>
      <c r="O164" s="11"/>
      <c r="P164" s="15"/>
      <c r="Q164" s="11"/>
      <c r="S164" s="11"/>
      <c r="T164" s="11"/>
      <c r="U164" s="11"/>
      <c r="Y164" s="15"/>
    </row>
    <row r="165" spans="2:25" ht="12.75" hidden="1" customHeight="1" x14ac:dyDescent="0.2">
      <c r="B165" s="111" t="s">
        <v>1</v>
      </c>
      <c r="C165" s="104" t="s">
        <v>2</v>
      </c>
      <c r="D165" s="103" t="s">
        <v>49</v>
      </c>
      <c r="E165" s="146" t="s">
        <v>16</v>
      </c>
      <c r="F165" s="103" t="s">
        <v>18</v>
      </c>
      <c r="G165" s="105" t="s">
        <v>50</v>
      </c>
      <c r="H165" s="103" t="s">
        <v>51</v>
      </c>
      <c r="I165" s="106" t="s">
        <v>17</v>
      </c>
      <c r="J165" s="103"/>
      <c r="K165" s="40"/>
      <c r="L165" s="151"/>
      <c r="M165" s="147"/>
      <c r="N165" s="11"/>
      <c r="O165" s="11"/>
      <c r="P165" s="11"/>
      <c r="Q165" s="11"/>
      <c r="T165" s="11"/>
      <c r="U165" s="11"/>
      <c r="Y165" s="15"/>
    </row>
    <row r="166" spans="2:25" ht="12.75" hidden="1" customHeight="1" x14ac:dyDescent="0.2">
      <c r="B166" s="148" t="str">
        <f t="array" ref="B166">IF(ISERROR(INDEX('Eingabe Meldungen'!$C$2:$C$492,LARGE(('Eingabe Meldungen'!$A$2:$A$492=$B$164)*(ROW('Eingabe Meldungen'!$A$2:$A$492)-1),COUNTIF('Eingabe Meldungen'!$A$2:$A$492,$B$164)+1-ROW('Eingabe Meldungen'!A1)))),"",INDEX('Eingabe Meldungen'!$C$2:$C$492,LARGE(('Eingabe Meldungen'!$A$2:$A$492=$B$164)*(ROW('Eingabe Meldungen'!$A$2:$A$492)-1),COUNTIF('Eingabe Meldungen'!$A$2:$A$492,$B$164)+1-ROW('Eingabe Meldungen'!A1))))</f>
        <v>Herrmann</v>
      </c>
      <c r="C166" s="40" t="str">
        <f t="array" ref="C166">IF(ISERROR(INDEX('Eingabe Meldungen'!$D$2:$D$492,LARGE(('Eingabe Meldungen'!$A$2:$A$492=$B$164)*(ROW('Eingabe Meldungen'!$A$2:$A$492)-1),COUNTIF('Eingabe Meldungen'!$A$2:$A$492,$B$164)+1-ROW('Eingabe Meldungen'!A1)))),"",INDEX('Eingabe Meldungen'!$D$2:$D$492,LARGE(('Eingabe Meldungen'!$A$2:$A$492=$B$164)*(ROW('Eingabe Meldungen'!$A$2:$A$492)-1),COUNTIF('Eingabe Meldungen'!$A$2:$A$492,$B$164)+1-ROW('Eingabe Meldungen'!A1))))</f>
        <v>Alexander</v>
      </c>
      <c r="D166" s="107">
        <f t="array" ref="D166">IF(B166&lt;&gt;"",INDEX('Eingabe Meldungen'!$C$2:$H$492,MATCH(B166&amp;C166,'Eingabe Meldungen'!$C$2:$C$492&amp;'Eingabe Meldungen'!$D$2:$D$492,0),6),"")</f>
        <v>2006</v>
      </c>
      <c r="E166" s="107" t="str">
        <f t="array" ref="E166">IF(B166&lt;&gt;"",INDEX('Eingabe Meldungen'!$C$2:$H$492,MATCH(B166&amp;C166,'Eingabe Meldungen'!$C$2:$C$492&amp;'Eingabe Meldungen'!$D$2:$D$492,0),4),"")</f>
        <v>-</v>
      </c>
      <c r="F166" s="107">
        <v>1</v>
      </c>
      <c r="G166" s="149"/>
      <c r="H166" s="40" t="e">
        <f>RANK(G166,$G$166:$G$181,1)</f>
        <v>#N/A</v>
      </c>
      <c r="I166" s="107" t="str">
        <f t="array" ref="I166">IF(B166&lt;&gt;"",INDEX('Eingabe Meldungen'!$C$2:$J$492,MATCH(B166&amp;C166,'Eingabe Meldungen'!$C$2:$C$492&amp;'Eingabe Meldungen'!$D$2:$D$492,0),8),"")</f>
        <v>RV Waldsee</v>
      </c>
      <c r="J166" s="40"/>
      <c r="K166" s="103"/>
      <c r="L166" s="116"/>
      <c r="M166" s="113"/>
      <c r="N166" s="17"/>
      <c r="O166" s="17"/>
      <c r="P166" s="17"/>
      <c r="Q166" s="17"/>
      <c r="R166" s="17"/>
      <c r="S166" s="17"/>
      <c r="T166" s="11"/>
      <c r="U166" s="11"/>
      <c r="Y166" s="15"/>
    </row>
    <row r="167" spans="2:25" ht="12.75" hidden="1" customHeight="1" x14ac:dyDescent="0.2">
      <c r="B167" s="148" t="str">
        <f t="array" ref="B167">IF(ISERROR(INDEX('Eingabe Meldungen'!$C$2:$C$492,LARGE(('Eingabe Meldungen'!$A$2:$A$492=$B$164)*(ROW('Eingabe Meldungen'!$A$2:$A$492)-1),COUNTIF('Eingabe Meldungen'!$A$2:$A$492,$B$164)+1-ROW('Eingabe Meldungen'!A2)))),"",INDEX('Eingabe Meldungen'!$C$2:$C$492,LARGE(('Eingabe Meldungen'!$A$2:$A$492=$B$164)*(ROW('Eingabe Meldungen'!$A$2:$A$492)-1),COUNTIF('Eingabe Meldungen'!$A$2:$A$492,$B$164)+1-ROW('Eingabe Meldungen'!A2))))</f>
        <v>von Watzdorf</v>
      </c>
      <c r="C167" s="40" t="str">
        <f t="array" ref="C167">IF(ISERROR(INDEX('Eingabe Meldungen'!$D$2:$D$492,LARGE(('Eingabe Meldungen'!$A$2:$A$492=$B$164)*(ROW('Eingabe Meldungen'!$A$2:$A$492)-1),COUNTIF('Eingabe Meldungen'!$A$2:$A$492,$B$164)+1-ROW('Eingabe Meldungen'!A2)))),"",INDEX('Eingabe Meldungen'!$D$2:$D$492,LARGE(('Eingabe Meldungen'!$A$2:$A$492=$B$164)*(ROW('Eingabe Meldungen'!$A$2:$A$492)-1),COUNTIF('Eingabe Meldungen'!$A$2:$A$492,$B$164)+1-ROW('Eingabe Meldungen'!A2))))</f>
        <v>Carl</v>
      </c>
      <c r="D167" s="107">
        <f t="array" ref="D167">IF(B167&lt;&gt;"",INDEX('Eingabe Meldungen'!$C$2:$H$492,MATCH(B167&amp;C167,'Eingabe Meldungen'!$C$2:$C$492&amp;'Eingabe Meldungen'!$D$2:$D$492,0),6),"")</f>
        <v>2006</v>
      </c>
      <c r="E167" s="107" t="str">
        <f t="array" ref="E167">IF(B167&lt;&gt;"",INDEX('Eingabe Meldungen'!$C$2:$H$492,MATCH(B167&amp;C167,'Eingabe Meldungen'!$C$2:$C$492&amp;'Eingabe Meldungen'!$D$2:$D$492,0),4),"")</f>
        <v>-</v>
      </c>
      <c r="F167" s="39">
        <v>2</v>
      </c>
      <c r="G167" s="149"/>
      <c r="H167" s="40" t="e">
        <f t="shared" ref="H167:H181" si="8">RANK(G167,$G$166:$G$181,1)</f>
        <v>#N/A</v>
      </c>
      <c r="I167" s="107" t="str">
        <f t="array" ref="I167">IF(B167&lt;&gt;"",INDEX('Eingabe Meldungen'!$C$2:$J$492,MATCH(B167&amp;C167,'Eingabe Meldungen'!$C$2:$C$492&amp;'Eingabe Meldungen'!$D$2:$D$492,0),8),"")</f>
        <v>Mannheimer RV "Amicitia"</v>
      </c>
      <c r="J167" s="40"/>
      <c r="K167" s="103"/>
      <c r="L167" s="116"/>
      <c r="M167" s="113"/>
      <c r="N167" s="17"/>
      <c r="O167" s="16"/>
      <c r="P167" s="17"/>
      <c r="Q167" s="17"/>
      <c r="R167" s="17"/>
      <c r="S167" s="17"/>
      <c r="T167" s="11"/>
      <c r="U167" s="11"/>
      <c r="Y167" s="15"/>
    </row>
    <row r="168" spans="2:25" ht="12.75" hidden="1" customHeight="1" x14ac:dyDescent="0.2">
      <c r="B168" s="148" t="str">
        <f t="array" ref="B168">IF(ISERROR(INDEX('Eingabe Meldungen'!$C$2:$C$492,LARGE(('Eingabe Meldungen'!$A$2:$A$492=$B$164)*(ROW('Eingabe Meldungen'!$A$2:$A$492)-1),COUNTIF('Eingabe Meldungen'!$A$2:$A$492,$B$164)+1-ROW('Eingabe Meldungen'!A3)))),"",INDEX('Eingabe Meldungen'!$C$2:$C$492,LARGE(('Eingabe Meldungen'!$A$2:$A$492=$B$164)*(ROW('Eingabe Meldungen'!$A$2:$A$492)-1),COUNTIF('Eingabe Meldungen'!$A$2:$A$492,$B$164)+1-ROW('Eingabe Meldungen'!A3))))</f>
        <v>Kalmbach</v>
      </c>
      <c r="C168" s="40" t="str">
        <f t="array" ref="C168">IF(ISERROR(INDEX('Eingabe Meldungen'!$D$2:$D$492,LARGE(('Eingabe Meldungen'!$A$2:$A$492=$B$164)*(ROW('Eingabe Meldungen'!$A$2:$A$492)-1),COUNTIF('Eingabe Meldungen'!$A$2:$A$492,$B$164)+1-ROW('Eingabe Meldungen'!A3)))),"",INDEX('Eingabe Meldungen'!$D$2:$D$492,LARGE(('Eingabe Meldungen'!$A$2:$A$492=$B$164)*(ROW('Eingabe Meldungen'!$A$2:$A$492)-1),COUNTIF('Eingabe Meldungen'!$A$2:$A$492,$B$164)+1-ROW('Eingabe Meldungen'!A3))))</f>
        <v>Henning</v>
      </c>
      <c r="D168" s="107">
        <f t="array" ref="D168">IF(B168&lt;&gt;"",INDEX('Eingabe Meldungen'!$C$2:$H$492,MATCH(B168&amp;C168,'Eingabe Meldungen'!$C$2:$C$492&amp;'Eingabe Meldungen'!$D$2:$D$492,0),6),"")</f>
        <v>2006</v>
      </c>
      <c r="E168" s="107" t="str">
        <f t="array" ref="E168">IF(B168&lt;&gt;"",INDEX('Eingabe Meldungen'!$C$2:$H$492,MATCH(B168&amp;C168,'Eingabe Meldungen'!$C$2:$C$492&amp;'Eingabe Meldungen'!$D$2:$D$492,0),4),"")</f>
        <v>-</v>
      </c>
      <c r="F168" s="39">
        <v>3</v>
      </c>
      <c r="G168" s="150"/>
      <c r="H168" s="40" t="e">
        <f t="shared" si="8"/>
        <v>#N/A</v>
      </c>
      <c r="I168" s="107" t="str">
        <f t="array" ref="I168">IF(B168&lt;&gt;"",INDEX('Eingabe Meldungen'!$C$2:$J$492,MATCH(B168&amp;C168,'Eingabe Meldungen'!$C$2:$C$492&amp;'Eingabe Meldungen'!$D$2:$D$492,0),8),"")</f>
        <v>Stuttgart-Cannstatter RC</v>
      </c>
      <c r="J168" s="40"/>
      <c r="K168" s="40"/>
      <c r="L168" s="151"/>
      <c r="M168" s="147"/>
      <c r="N168" s="11"/>
      <c r="O168" s="11"/>
      <c r="P168" s="15"/>
      <c r="Q168" s="11"/>
      <c r="T168" s="11"/>
      <c r="U168" s="11"/>
      <c r="Y168" s="15"/>
    </row>
    <row r="169" spans="2:25" ht="12.75" hidden="1" customHeight="1" x14ac:dyDescent="0.2">
      <c r="B169" s="148" t="str">
        <f t="array" ref="B169">IF(ISERROR(INDEX('Eingabe Meldungen'!$C$2:$C$492,LARGE(('Eingabe Meldungen'!$A$2:$A$492=$B$164)*(ROW('Eingabe Meldungen'!$A$2:$A$492)-1),COUNTIF('Eingabe Meldungen'!$A$2:$A$492,$B$164)+1-ROW('Eingabe Meldungen'!A4)))),"",INDEX('Eingabe Meldungen'!$C$2:$C$492,LARGE(('Eingabe Meldungen'!$A$2:$A$492=$B$164)*(ROW('Eingabe Meldungen'!$A$2:$A$492)-1),COUNTIF('Eingabe Meldungen'!$A$2:$A$492,$B$164)+1-ROW('Eingabe Meldungen'!A4))))</f>
        <v>Jarad</v>
      </c>
      <c r="C169" s="40" t="str">
        <f t="array" ref="C169">IF(ISERROR(INDEX('Eingabe Meldungen'!$D$2:$D$492,LARGE(('Eingabe Meldungen'!$A$2:$A$492=$B$164)*(ROW('Eingabe Meldungen'!$A$2:$A$492)-1),COUNTIF('Eingabe Meldungen'!$A$2:$A$492,$B$164)+1-ROW('Eingabe Meldungen'!A4)))),"",INDEX('Eingabe Meldungen'!$D$2:$D$492,LARGE(('Eingabe Meldungen'!$A$2:$A$492=$B$164)*(ROW('Eingabe Meldungen'!$A$2:$A$492)-1),COUNTIF('Eingabe Meldungen'!$A$2:$A$492,$B$164)+1-ROW('Eingabe Meldungen'!A4))))</f>
        <v>Huzaifa</v>
      </c>
      <c r="D169" s="107">
        <f t="array" ref="D169">IF(B169&lt;&gt;"",INDEX('Eingabe Meldungen'!$C$2:$H$492,MATCH(B169&amp;C169,'Eingabe Meldungen'!$C$2:$C$492&amp;'Eingabe Meldungen'!$D$2:$D$492,0),6),"")</f>
        <v>2006</v>
      </c>
      <c r="E169" s="107" t="str">
        <f t="array" ref="E169">IF(B169&lt;&gt;"",INDEX('Eingabe Meldungen'!$C$2:$H$492,MATCH(B169&amp;C169,'Eingabe Meldungen'!$C$2:$C$492&amp;'Eingabe Meldungen'!$D$2:$D$492,0),4),"")</f>
        <v>-</v>
      </c>
      <c r="F169" s="39">
        <v>4</v>
      </c>
      <c r="G169" s="150"/>
      <c r="H169" s="40" t="e">
        <f t="shared" si="8"/>
        <v>#N/A</v>
      </c>
      <c r="I169" s="107" t="str">
        <f t="array" ref="I169">IF(B169&lt;&gt;"",INDEX('Eingabe Meldungen'!$C$2:$J$492,MATCH(B169&amp;C169,'Eingabe Meldungen'!$C$2:$C$492&amp;'Eingabe Meldungen'!$D$2:$D$492,0),8),"")</f>
        <v>Schweinfurter Ruder-Club Franken</v>
      </c>
      <c r="J169" s="40"/>
      <c r="K169" s="40"/>
      <c r="L169" s="151"/>
      <c r="M169" s="147"/>
      <c r="N169" s="11"/>
      <c r="O169" s="11"/>
      <c r="P169" s="15"/>
      <c r="Q169" s="11"/>
      <c r="T169" s="11"/>
      <c r="U169" s="11"/>
      <c r="Y169" s="15"/>
    </row>
    <row r="170" spans="2:25" ht="12.75" hidden="1" customHeight="1" x14ac:dyDescent="0.2">
      <c r="B170" s="148" t="str">
        <f t="array" ref="B170">IF(ISERROR(INDEX('Eingabe Meldungen'!$C$2:$C$492,LARGE(('Eingabe Meldungen'!$A$2:$A$492=$B$164)*(ROW('Eingabe Meldungen'!$A$2:$A$492)-1),COUNTIF('Eingabe Meldungen'!$A$2:$A$492,$B$164)+1-ROW('Eingabe Meldungen'!A5)))),"",INDEX('Eingabe Meldungen'!$C$2:$C$492,LARGE(('Eingabe Meldungen'!$A$2:$A$492=$B$164)*(ROW('Eingabe Meldungen'!$A$2:$A$492)-1),COUNTIF('Eingabe Meldungen'!$A$2:$A$492,$B$164)+1-ROW('Eingabe Meldungen'!A5))))</f>
        <v>Engel</v>
      </c>
      <c r="C170" s="40" t="str">
        <f t="array" ref="C170">IF(ISERROR(INDEX('Eingabe Meldungen'!$D$2:$D$492,LARGE(('Eingabe Meldungen'!$A$2:$A$492=$B$164)*(ROW('Eingabe Meldungen'!$A$2:$A$492)-1),COUNTIF('Eingabe Meldungen'!$A$2:$A$492,$B$164)+1-ROW('Eingabe Meldungen'!A5)))),"",INDEX('Eingabe Meldungen'!$D$2:$D$492,LARGE(('Eingabe Meldungen'!$A$2:$A$492=$B$164)*(ROW('Eingabe Meldungen'!$A$2:$A$492)-1),COUNTIF('Eingabe Meldungen'!$A$2:$A$492,$B$164)+1-ROW('Eingabe Meldungen'!A5))))</f>
        <v>Julian</v>
      </c>
      <c r="D170" s="107">
        <f t="array" ref="D170">IF(B170&lt;&gt;"",INDEX('Eingabe Meldungen'!$C$2:$H$492,MATCH(B170&amp;C170,'Eingabe Meldungen'!$C$2:$C$492&amp;'Eingabe Meldungen'!$D$2:$D$492,0),6),"")</f>
        <v>2006</v>
      </c>
      <c r="E170" s="107" t="str">
        <f t="array" ref="E170">IF(B170&lt;&gt;"",INDEX('Eingabe Meldungen'!$C$2:$H$492,MATCH(B170&amp;C170,'Eingabe Meldungen'!$C$2:$C$492&amp;'Eingabe Meldungen'!$D$2:$D$492,0),4),"")</f>
        <v>-</v>
      </c>
      <c r="F170" s="39">
        <v>5</v>
      </c>
      <c r="G170" s="150"/>
      <c r="H170" s="40" t="e">
        <f t="shared" si="8"/>
        <v>#N/A</v>
      </c>
      <c r="I170" s="107" t="str">
        <f t="array" ref="I170">IF(B170&lt;&gt;"",INDEX('Eingabe Meldungen'!$C$2:$J$492,MATCH(B170&amp;C170,'Eingabe Meldungen'!$C$2:$C$492&amp;'Eingabe Meldungen'!$D$2:$D$492,0),8),"")</f>
        <v>RC Nürtingen</v>
      </c>
      <c r="J170" s="40"/>
      <c r="K170" s="40"/>
      <c r="L170" s="151"/>
      <c r="M170" s="147"/>
      <c r="N170" s="11"/>
      <c r="O170" s="11"/>
      <c r="P170" s="15"/>
      <c r="Q170" s="11"/>
      <c r="T170" s="11"/>
      <c r="U170" s="11"/>
      <c r="Y170" s="15"/>
    </row>
    <row r="171" spans="2:25" ht="12.75" hidden="1" customHeight="1" x14ac:dyDescent="0.2">
      <c r="B171" s="148" t="str">
        <f t="array" ref="B171">IF(ISERROR(INDEX('Eingabe Meldungen'!$C$2:$C$492,LARGE(('Eingabe Meldungen'!$A$2:$A$492=$B$164)*(ROW('Eingabe Meldungen'!$A$2:$A$492)-1),COUNTIF('Eingabe Meldungen'!$A$2:$A$492,$B$164)+1-ROW('Eingabe Meldungen'!A6)))),"",INDEX('Eingabe Meldungen'!$C$2:$C$492,LARGE(('Eingabe Meldungen'!$A$2:$A$492=$B$164)*(ROW('Eingabe Meldungen'!$A$2:$A$492)-1),COUNTIF('Eingabe Meldungen'!$A$2:$A$492,$B$164)+1-ROW('Eingabe Meldungen'!A6))))</f>
        <v>Melcher</v>
      </c>
      <c r="C171" s="40" t="str">
        <f t="array" ref="C171">IF(ISERROR(INDEX('Eingabe Meldungen'!$D$2:$D$492,LARGE(('Eingabe Meldungen'!$A$2:$A$492=$B$164)*(ROW('Eingabe Meldungen'!$A$2:$A$492)-1),COUNTIF('Eingabe Meldungen'!$A$2:$A$492,$B$164)+1-ROW('Eingabe Meldungen'!A6)))),"",INDEX('Eingabe Meldungen'!$D$2:$D$492,LARGE(('Eingabe Meldungen'!$A$2:$A$492=$B$164)*(ROW('Eingabe Meldungen'!$A$2:$A$492)-1),COUNTIF('Eingabe Meldungen'!$A$2:$A$492,$B$164)+1-ROW('Eingabe Meldungen'!A6))))</f>
        <v>Max</v>
      </c>
      <c r="D171" s="107">
        <f t="array" ref="D171">IF(B171&lt;&gt;"",INDEX('Eingabe Meldungen'!$C$2:$H$492,MATCH(B171&amp;C171,'Eingabe Meldungen'!$C$2:$C$492&amp;'Eingabe Meldungen'!$D$2:$D$492,0),6),"")</f>
        <v>2006</v>
      </c>
      <c r="E171" s="107" t="str">
        <f t="array" ref="E171">IF(B171&lt;&gt;"",INDEX('Eingabe Meldungen'!$C$2:$H$492,MATCH(B171&amp;C171,'Eingabe Meldungen'!$C$2:$C$492&amp;'Eingabe Meldungen'!$D$2:$D$492,0),4),"")</f>
        <v>-</v>
      </c>
      <c r="F171" s="39">
        <v>6</v>
      </c>
      <c r="G171" s="150"/>
      <c r="H171" s="40" t="e">
        <f t="shared" si="8"/>
        <v>#N/A</v>
      </c>
      <c r="I171" s="107" t="str">
        <f t="array" ref="I171">IF(B171&lt;&gt;"",INDEX('Eingabe Meldungen'!$C$2:$J$492,MATCH(B171&amp;C171,'Eingabe Meldungen'!$C$2:$C$492&amp;'Eingabe Meldungen'!$D$2:$D$492,0),8),"")</f>
        <v>RC Nürtingen</v>
      </c>
      <c r="J171" s="40"/>
      <c r="K171" s="40"/>
      <c r="L171" s="151"/>
      <c r="M171" s="147"/>
      <c r="N171" s="11"/>
      <c r="O171" s="11"/>
      <c r="P171" s="15"/>
      <c r="Q171" s="11"/>
      <c r="T171" s="11"/>
      <c r="U171" s="11"/>
      <c r="Y171" s="15"/>
    </row>
    <row r="172" spans="2:25" ht="12.75" hidden="1" customHeight="1" x14ac:dyDescent="0.2">
      <c r="B172" s="148" t="str">
        <f t="array" ref="B172">IF(ISERROR(INDEX('Eingabe Meldungen'!$C$2:$C$492,LARGE(('Eingabe Meldungen'!$A$2:$A$492=$B$164)*(ROW('Eingabe Meldungen'!$A$2:$A$492)-1),COUNTIF('Eingabe Meldungen'!$A$2:$A$492,$B$164)+1-ROW('Eingabe Meldungen'!A8)))),"",INDEX('Eingabe Meldungen'!$C$2:$C$492,LARGE(('Eingabe Meldungen'!$A$2:$A$492=$B$164)*(ROW('Eingabe Meldungen'!$A$2:$A$492)-1),COUNTIF('Eingabe Meldungen'!$A$2:$A$492,$B$164)+1-ROW('Eingabe Meldungen'!A8))))</f>
        <v>Gute</v>
      </c>
      <c r="C172" s="40" t="str">
        <f t="array" ref="C172">IF(ISERROR(INDEX('Eingabe Meldungen'!$D$2:$D$492,LARGE(('Eingabe Meldungen'!$A$2:$A$492=$B$164)*(ROW('Eingabe Meldungen'!$A$2:$A$492)-1),COUNTIF('Eingabe Meldungen'!$A$2:$A$492,$B$164)+1-ROW('Eingabe Meldungen'!A8)))),"",INDEX('Eingabe Meldungen'!$D$2:$D$492,LARGE(('Eingabe Meldungen'!$A$2:$A$492=$B$164)*(ROW('Eingabe Meldungen'!$A$2:$A$492)-1),COUNTIF('Eingabe Meldungen'!$A$2:$A$492,$B$164)+1-ROW('Eingabe Meldungen'!A8))))</f>
        <v>Oskar</v>
      </c>
      <c r="D172" s="107">
        <f t="array" ref="D172">IF(B172&lt;&gt;"",INDEX('Eingabe Meldungen'!$C$2:$H$492,MATCH(B172&amp;C172,'Eingabe Meldungen'!$C$2:$C$492&amp;'Eingabe Meldungen'!$D$2:$D$492,0),6),"")</f>
        <v>2006</v>
      </c>
      <c r="E172" s="107" t="str">
        <f t="array" ref="E172">IF(B172&lt;&gt;"",INDEX('Eingabe Meldungen'!$C$2:$H$492,MATCH(B172&amp;C172,'Eingabe Meldungen'!$C$2:$C$492&amp;'Eingabe Meldungen'!$D$2:$D$492,0),4),"")</f>
        <v>-</v>
      </c>
      <c r="F172" s="39">
        <v>7</v>
      </c>
      <c r="G172" s="150"/>
      <c r="H172" s="40" t="e">
        <f t="shared" si="8"/>
        <v>#N/A</v>
      </c>
      <c r="I172" s="107" t="str">
        <f t="array" ref="I172">IF(B172&lt;&gt;"",INDEX('Eingabe Meldungen'!$C$2:$J$492,MATCH(B172&amp;C172,'Eingabe Meldungen'!$C$2:$C$492&amp;'Eingabe Meldungen'!$D$2:$D$492,0),8),"")</f>
        <v>Rudergesellschaft Heidelberg</v>
      </c>
      <c r="J172" s="40"/>
      <c r="K172" s="40"/>
      <c r="L172" s="151"/>
      <c r="M172" s="147"/>
      <c r="N172" s="11"/>
      <c r="O172" s="11"/>
      <c r="P172" s="15"/>
      <c r="Q172" s="11"/>
      <c r="T172" s="11"/>
      <c r="U172" s="11"/>
      <c r="Y172" s="15"/>
    </row>
    <row r="173" spans="2:25" ht="13.2" hidden="1" thickBot="1" x14ac:dyDescent="0.25">
      <c r="B173" s="148" t="str">
        <f t="array" ref="B173">IF(ISERROR(INDEX('Eingabe Meldungen'!$C$2:$C$492,LARGE(('Eingabe Meldungen'!$A$2:$A$492=$B$164)*(ROW('Eingabe Meldungen'!$A$2:$A$492)-1),COUNTIF('Eingabe Meldungen'!$A$2:$A$492,$B$164)+1-ROW('Eingabe Meldungen'!A9)))),"",INDEX('Eingabe Meldungen'!$C$2:$C$492,LARGE(('Eingabe Meldungen'!$A$2:$A$492=$B$164)*(ROW('Eingabe Meldungen'!$A$2:$A$492)-1),COUNTIF('Eingabe Meldungen'!$A$2:$A$492,$B$164)+1-ROW('Eingabe Meldungen'!A9))))</f>
        <v>Gering</v>
      </c>
      <c r="C173" s="40" t="str">
        <f t="array" ref="C173">IF(ISERROR(INDEX('Eingabe Meldungen'!$D$2:$D$492,LARGE(('Eingabe Meldungen'!$A$2:$A$492=$B$164)*(ROW('Eingabe Meldungen'!$A$2:$A$492)-1),COUNTIF('Eingabe Meldungen'!$A$2:$A$492,$B$164)+1-ROW('Eingabe Meldungen'!A9)))),"",INDEX('Eingabe Meldungen'!$D$2:$D$492,LARGE(('Eingabe Meldungen'!$A$2:$A$492=$B$164)*(ROW('Eingabe Meldungen'!$A$2:$A$492)-1),COUNTIF('Eingabe Meldungen'!$A$2:$A$492,$B$164)+1-ROW('Eingabe Meldungen'!A9))))</f>
        <v>Simon</v>
      </c>
      <c r="D173" s="107">
        <f t="array" ref="D173">IF(B173&lt;&gt;"",INDEX('Eingabe Meldungen'!$C$2:$H$492,MATCH(B173&amp;C173,'Eingabe Meldungen'!$C$2:$C$492&amp;'Eingabe Meldungen'!$D$2:$D$492,0),6),"")</f>
        <v>2006</v>
      </c>
      <c r="E173" s="107" t="str">
        <f t="array" ref="E173">IF(B173&lt;&gt;"",INDEX('Eingabe Meldungen'!$C$2:$H$492,MATCH(B173&amp;C173,'Eingabe Meldungen'!$C$2:$C$492&amp;'Eingabe Meldungen'!$D$2:$D$492,0),4),"")</f>
        <v>-</v>
      </c>
      <c r="F173" s="39">
        <v>8</v>
      </c>
      <c r="G173" s="150"/>
      <c r="H173" s="40" t="e">
        <f t="shared" si="8"/>
        <v>#N/A</v>
      </c>
      <c r="I173" s="107" t="str">
        <f t="array" ref="I173">IF(B173&lt;&gt;"",INDEX('Eingabe Meldungen'!$C$2:$J$492,MATCH(B173&amp;C173,'Eingabe Meldungen'!$C$2:$C$492&amp;'Eingabe Meldungen'!$D$2:$D$492,0),8),"")</f>
        <v>Marbacher Ruderverein</v>
      </c>
      <c r="J173" s="40"/>
      <c r="K173" s="40"/>
      <c r="L173" s="151"/>
      <c r="M173" s="147"/>
      <c r="N173" s="11"/>
      <c r="O173" s="11"/>
      <c r="P173" s="15"/>
      <c r="Q173" s="11"/>
      <c r="T173" s="11"/>
      <c r="U173" s="11"/>
      <c r="Y173" s="15"/>
    </row>
    <row r="174" spans="2:25" ht="13.2" hidden="1" thickBot="1" x14ac:dyDescent="0.25">
      <c r="B174" s="148" t="str">
        <f t="array" ref="B174">IF(ISERROR(INDEX('Eingabe Meldungen'!$C$2:$C$492,LARGE(('Eingabe Meldungen'!$A$2:$A$492=$B$164)*(ROW('Eingabe Meldungen'!$A$2:$A$492)-1),COUNTIF('Eingabe Meldungen'!$A$2:$A$492,$B$164)+1-ROW('Eingabe Meldungen'!A10)))),"",INDEX('Eingabe Meldungen'!$C$2:$C$492,LARGE(('Eingabe Meldungen'!$A$2:$A$492=$B$164)*(ROW('Eingabe Meldungen'!$A$2:$A$492)-1),COUNTIF('Eingabe Meldungen'!$A$2:$A$492,$B$164)+1-ROW('Eingabe Meldungen'!A10))))</f>
        <v>Gläser</v>
      </c>
      <c r="C174" s="40" t="str">
        <f t="array" ref="C174">IF(ISERROR(INDEX('Eingabe Meldungen'!$D$2:$D$492,LARGE(('Eingabe Meldungen'!$A$2:$A$492=$B$164)*(ROW('Eingabe Meldungen'!$A$2:$A$492)-1),COUNTIF('Eingabe Meldungen'!$A$2:$A$492,$B$164)+1-ROW('Eingabe Meldungen'!A10)))),"",INDEX('Eingabe Meldungen'!$D$2:$D$492,LARGE(('Eingabe Meldungen'!$A$2:$A$492=$B$164)*(ROW('Eingabe Meldungen'!$A$2:$A$492)-1),COUNTIF('Eingabe Meldungen'!$A$2:$A$492,$B$164)+1-ROW('Eingabe Meldungen'!A10))))</f>
        <v>Simon</v>
      </c>
      <c r="D174" s="107">
        <f t="array" ref="D174">IF(B174&lt;&gt;"",INDEX('Eingabe Meldungen'!$C$2:$H$492,MATCH(B174&amp;C174,'Eingabe Meldungen'!$C$2:$C$492&amp;'Eingabe Meldungen'!$D$2:$D$492,0),6),"")</f>
        <v>2006</v>
      </c>
      <c r="E174" s="107" t="str">
        <f t="array" ref="E174">IF(B174&lt;&gt;"",INDEX('Eingabe Meldungen'!$C$2:$H$492,MATCH(B174&amp;C174,'Eingabe Meldungen'!$C$2:$C$492&amp;'Eingabe Meldungen'!$D$2:$D$492,0),4),"")</f>
        <v>-</v>
      </c>
      <c r="F174" s="39">
        <v>9</v>
      </c>
      <c r="G174" s="150"/>
      <c r="H174" s="40" t="e">
        <f t="shared" si="8"/>
        <v>#N/A</v>
      </c>
      <c r="I174" s="107" t="str">
        <f t="array" ref="I174">IF(B174&lt;&gt;"",INDEX('Eingabe Meldungen'!$C$2:$J$492,MATCH(B174&amp;C174,'Eingabe Meldungen'!$C$2:$C$492&amp;'Eingabe Meldungen'!$D$2:$D$492,0),8),"")</f>
        <v>Mannheimer RV "Amicitia"</v>
      </c>
      <c r="J174" s="40"/>
      <c r="K174" s="40"/>
      <c r="L174" s="151"/>
      <c r="M174" s="147"/>
      <c r="N174" s="11"/>
      <c r="O174" s="11"/>
      <c r="P174" s="15"/>
      <c r="Q174" s="11"/>
      <c r="T174" s="11"/>
      <c r="U174" s="11"/>
      <c r="Y174" s="15"/>
    </row>
    <row r="175" spans="2:25" ht="12.75" hidden="1" customHeight="1" x14ac:dyDescent="0.2">
      <c r="B175" s="148" t="str">
        <f t="array" ref="B175">IF(ISERROR(INDEX('Eingabe Meldungen'!$C$2:$C$492,LARGE(('Eingabe Meldungen'!$A$2:$A$492=$B$164)*(ROW('Eingabe Meldungen'!$A$2:$A$492)-1),COUNTIF('Eingabe Meldungen'!$A$2:$A$492,$B$164)+1-ROW('Eingabe Meldungen'!A11)))),"",INDEX('Eingabe Meldungen'!$C$2:$C$492,LARGE(('Eingabe Meldungen'!$A$2:$A$492=$B$164)*(ROW('Eingabe Meldungen'!$A$2:$A$492)-1),COUNTIF('Eingabe Meldungen'!$A$2:$A$492,$B$164)+1-ROW('Eingabe Meldungen'!A11))))</f>
        <v>Kokes</v>
      </c>
      <c r="C175" s="40" t="str">
        <f t="array" ref="C175">IF(ISERROR(INDEX('Eingabe Meldungen'!$D$2:$D$492,LARGE(('Eingabe Meldungen'!$A$2:$A$492=$B$164)*(ROW('Eingabe Meldungen'!$A$2:$A$492)-1),COUNTIF('Eingabe Meldungen'!$A$2:$A$492,$B$164)+1-ROW('Eingabe Meldungen'!A11)))),"",INDEX('Eingabe Meldungen'!$D$2:$D$492,LARGE(('Eingabe Meldungen'!$A$2:$A$492=$B$164)*(ROW('Eingabe Meldungen'!$A$2:$A$492)-1),COUNTIF('Eingabe Meldungen'!$A$2:$A$492,$B$164)+1-ROW('Eingabe Meldungen'!A11))))</f>
        <v>Tim</v>
      </c>
      <c r="D175" s="107">
        <f t="array" ref="D175">IF(B175&lt;&gt;"",INDEX('Eingabe Meldungen'!$C$2:$H$492,MATCH(B175&amp;C175,'Eingabe Meldungen'!$C$2:$C$492&amp;'Eingabe Meldungen'!$D$2:$D$492,0),6),"")</f>
        <v>2006</v>
      </c>
      <c r="E175" s="107" t="str">
        <f t="array" ref="E175">IF(B175&lt;&gt;"",INDEX('Eingabe Meldungen'!$C$2:$H$492,MATCH(B175&amp;C175,'Eingabe Meldungen'!$C$2:$C$492&amp;'Eingabe Meldungen'!$D$2:$D$492,0),4),"")</f>
        <v>-</v>
      </c>
      <c r="F175" s="39">
        <v>10</v>
      </c>
      <c r="G175" s="150"/>
      <c r="H175" s="40" t="e">
        <f t="shared" si="8"/>
        <v>#N/A</v>
      </c>
      <c r="I175" s="107" t="str">
        <f t="array" ref="I175">IF(B175&lt;&gt;"",INDEX('Eingabe Meldungen'!$C$2:$J$492,MATCH(B175&amp;C175,'Eingabe Meldungen'!$C$2:$C$492&amp;'Eingabe Meldungen'!$D$2:$D$492,0),8),"")</f>
        <v>Heidelberger Ruderklub</v>
      </c>
      <c r="J175" s="40"/>
      <c r="K175" s="40"/>
      <c r="L175" s="151"/>
      <c r="M175" s="147"/>
      <c r="N175" s="11"/>
      <c r="O175" s="11"/>
      <c r="P175" s="15"/>
      <c r="Q175" s="11"/>
      <c r="T175" s="11"/>
      <c r="U175" s="11"/>
      <c r="Y175" s="15"/>
    </row>
    <row r="176" spans="2:25" ht="12.75" hidden="1" customHeight="1" x14ac:dyDescent="0.2">
      <c r="B176" s="148" t="str">
        <f t="array" ref="B176">IF(ISERROR(INDEX('Eingabe Meldungen'!$C$2:$C$492,LARGE(('Eingabe Meldungen'!$A$2:$A$492=$B$164)*(ROW('Eingabe Meldungen'!$A$2:$A$492)-1),COUNTIF('Eingabe Meldungen'!$A$2:$A$492,$B$164)+1-ROW('Eingabe Meldungen'!A12)))),"",INDEX('Eingabe Meldungen'!$C$2:$C$492,LARGE(('Eingabe Meldungen'!$A$2:$A$492=$B$164)*(ROW('Eingabe Meldungen'!$A$2:$A$492)-1),COUNTIF('Eingabe Meldungen'!$A$2:$A$492,$B$164)+1-ROW('Eingabe Meldungen'!A12))))</f>
        <v>Wagner</v>
      </c>
      <c r="C176" s="40" t="str">
        <f t="array" ref="C176">IF(ISERROR(INDEX('Eingabe Meldungen'!$D$2:$D$492,LARGE(('Eingabe Meldungen'!$A$2:$A$492=$B$164)*(ROW('Eingabe Meldungen'!$A$2:$A$492)-1),COUNTIF('Eingabe Meldungen'!$A$2:$A$492,$B$164)+1-ROW('Eingabe Meldungen'!A12)))),"",INDEX('Eingabe Meldungen'!$D$2:$D$492,LARGE(('Eingabe Meldungen'!$A$2:$A$492=$B$164)*(ROW('Eingabe Meldungen'!$A$2:$A$492)-1),COUNTIF('Eingabe Meldungen'!$A$2:$A$492,$B$164)+1-ROW('Eingabe Meldungen'!A12))))</f>
        <v>Philippe</v>
      </c>
      <c r="D176" s="107">
        <f t="array" ref="D176">IF(B176&lt;&gt;"",INDEX('Eingabe Meldungen'!$C$2:$H$492,MATCH(B176&amp;C176,'Eingabe Meldungen'!$C$2:$C$492&amp;'Eingabe Meldungen'!$D$2:$D$492,0),6),"")</f>
        <v>2006</v>
      </c>
      <c r="E176" s="107" t="str">
        <f t="array" ref="E176">IF(B176&lt;&gt;"",INDEX('Eingabe Meldungen'!$C$2:$H$492,MATCH(B176&amp;C176,'Eingabe Meldungen'!$C$2:$C$492&amp;'Eingabe Meldungen'!$D$2:$D$492,0),4),"")</f>
        <v>-</v>
      </c>
      <c r="F176" s="39">
        <v>11</v>
      </c>
      <c r="G176" s="150"/>
      <c r="H176" s="40" t="e">
        <f t="shared" si="8"/>
        <v>#N/A</v>
      </c>
      <c r="I176" s="107" t="str">
        <f t="array" ref="I176">IF(B176&lt;&gt;"",INDEX('Eingabe Meldungen'!$C$2:$J$492,MATCH(B176&amp;C176,'Eingabe Meldungen'!$C$2:$C$492&amp;'Eingabe Meldungen'!$D$2:$D$492,0),8),"")</f>
        <v xml:space="preserve">WSV Schifferclub Neckarrems </v>
      </c>
      <c r="J176" s="40"/>
      <c r="K176" s="40"/>
      <c r="L176" s="151"/>
      <c r="M176" s="147"/>
      <c r="N176" s="11"/>
      <c r="O176" s="11"/>
      <c r="P176" s="15"/>
      <c r="Q176" s="11"/>
      <c r="T176" s="11"/>
      <c r="U176" s="11"/>
      <c r="Y176" s="15"/>
    </row>
    <row r="177" spans="2:25" ht="12.75" hidden="1" customHeight="1" x14ac:dyDescent="0.2">
      <c r="B177" s="148" t="str">
        <f t="array" ref="B177">IF(ISERROR(INDEX('Eingabe Meldungen'!$C$2:$C$492,LARGE(('Eingabe Meldungen'!$A$2:$A$492=$B$164)*(ROW('Eingabe Meldungen'!$A$2:$A$492)-1),COUNTIF('Eingabe Meldungen'!$A$2:$A$492,$B$164)+1-ROW('Eingabe Meldungen'!A13)))),"",INDEX('Eingabe Meldungen'!$C$2:$C$492,LARGE(('Eingabe Meldungen'!$A$2:$A$492=$B$164)*(ROW('Eingabe Meldungen'!$A$2:$A$492)-1),COUNTIF('Eingabe Meldungen'!$A$2:$A$492,$B$164)+1-ROW('Eingabe Meldungen'!A13))))</f>
        <v>Theurer</v>
      </c>
      <c r="C177" s="40" t="str">
        <f t="array" ref="C177">IF(ISERROR(INDEX('Eingabe Meldungen'!$D$2:$D$492,LARGE(('Eingabe Meldungen'!$A$2:$A$492=$B$164)*(ROW('Eingabe Meldungen'!$A$2:$A$492)-1),COUNTIF('Eingabe Meldungen'!$A$2:$A$492,$B$164)+1-ROW('Eingabe Meldungen'!A13)))),"",INDEX('Eingabe Meldungen'!$D$2:$D$492,LARGE(('Eingabe Meldungen'!$A$2:$A$492=$B$164)*(ROW('Eingabe Meldungen'!$A$2:$A$492)-1),COUNTIF('Eingabe Meldungen'!$A$2:$A$492,$B$164)+1-ROW('Eingabe Meldungen'!A13))))</f>
        <v>Moritz</v>
      </c>
      <c r="D177" s="107">
        <f t="array" ref="D177">IF(B177&lt;&gt;"",INDEX('Eingabe Meldungen'!$C$2:$H$492,MATCH(B177&amp;C177,'Eingabe Meldungen'!$C$2:$C$492&amp;'Eingabe Meldungen'!$D$2:$D$492,0),6),"")</f>
        <v>2006</v>
      </c>
      <c r="E177" s="107" t="str">
        <f t="array" ref="E177">IF(B177&lt;&gt;"",INDEX('Eingabe Meldungen'!$C$2:$H$492,MATCH(B177&amp;C177,'Eingabe Meldungen'!$C$2:$C$492&amp;'Eingabe Meldungen'!$D$2:$D$492,0),4),"")</f>
        <v>-</v>
      </c>
      <c r="F177" s="39">
        <v>12</v>
      </c>
      <c r="G177" s="150"/>
      <c r="H177" s="40" t="e">
        <f t="shared" si="8"/>
        <v>#N/A</v>
      </c>
      <c r="I177" s="107" t="str">
        <f t="array" ref="I177">IF(B177&lt;&gt;"",INDEX('Eingabe Meldungen'!$C$2:$J$492,MATCH(B177&amp;C177,'Eingabe Meldungen'!$C$2:$C$492&amp;'Eingabe Meldungen'!$D$2:$D$492,0),8),"")</f>
        <v xml:space="preserve">WSV Schifferclub Neckarrems </v>
      </c>
      <c r="J177" s="40"/>
      <c r="K177" s="40"/>
      <c r="L177" s="151"/>
      <c r="M177" s="147"/>
      <c r="N177" s="11"/>
      <c r="O177" s="11"/>
      <c r="P177" s="15"/>
      <c r="Q177" s="11"/>
      <c r="T177" s="11"/>
      <c r="U177" s="11"/>
      <c r="Y177" s="15"/>
    </row>
    <row r="178" spans="2:25" ht="12.75" hidden="1" customHeight="1" x14ac:dyDescent="0.2">
      <c r="B178" s="148" t="str">
        <f t="array" ref="B178">IF(ISERROR(INDEX('Eingabe Meldungen'!$C$2:$C$492,LARGE(('Eingabe Meldungen'!$A$2:$A$492=$B$164)*(ROW('Eingabe Meldungen'!$A$2:$A$492)-1),COUNTIF('Eingabe Meldungen'!$A$2:$A$492,$B$164)+1-ROW('Eingabe Meldungen'!A14)))),"",INDEX('Eingabe Meldungen'!$C$2:$C$492,LARGE(('Eingabe Meldungen'!$A$2:$A$492=$B$164)*(ROW('Eingabe Meldungen'!$A$2:$A$492)-1),COUNTIF('Eingabe Meldungen'!$A$2:$A$492,$B$164)+1-ROW('Eingabe Meldungen'!A14))))</f>
        <v/>
      </c>
      <c r="C178" s="40" t="str">
        <f t="array" ref="C178">IF(ISERROR(INDEX('Eingabe Meldungen'!$D$2:$D$492,LARGE(('Eingabe Meldungen'!$A$2:$A$492=$B$164)*(ROW('Eingabe Meldungen'!$A$2:$A$492)-1),COUNTIF('Eingabe Meldungen'!$A$2:$A$492,$B$164)+1-ROW('Eingabe Meldungen'!A14)))),"",INDEX('Eingabe Meldungen'!$D$2:$D$492,LARGE(('Eingabe Meldungen'!$A$2:$A$492=$B$164)*(ROW('Eingabe Meldungen'!$A$2:$A$492)-1),COUNTIF('Eingabe Meldungen'!$A$2:$A$492,$B$164)+1-ROW('Eingabe Meldungen'!A14))))</f>
        <v/>
      </c>
      <c r="D178" s="107" t="str">
        <f t="array" ref="D178">IF(B178&lt;&gt;"",INDEX('Eingabe Meldungen'!$C$2:$H$492,MATCH(B178&amp;C178,'Eingabe Meldungen'!$C$2:$C$492&amp;'Eingabe Meldungen'!$D$2:$D$492,0),6),"")</f>
        <v/>
      </c>
      <c r="E178" s="107" t="str">
        <f t="array" ref="E178">IF(B178&lt;&gt;"",INDEX('Eingabe Meldungen'!$C$2:$H$492,MATCH(B178&amp;C178,'Eingabe Meldungen'!$C$2:$C$492&amp;'Eingabe Meldungen'!$D$2:$D$492,0),4),"")</f>
        <v/>
      </c>
      <c r="F178" s="39">
        <v>13</v>
      </c>
      <c r="G178" s="150"/>
      <c r="H178" s="40" t="e">
        <f t="shared" si="8"/>
        <v>#N/A</v>
      </c>
      <c r="I178" s="107" t="str">
        <f t="array" ref="I178">IF(B178&lt;&gt;"",INDEX('Eingabe Meldungen'!$C$2:$J$492,MATCH(B178&amp;C178,'Eingabe Meldungen'!$C$2:$C$492&amp;'Eingabe Meldungen'!$D$2:$D$492,0),8),"")</f>
        <v/>
      </c>
      <c r="J178" s="40"/>
      <c r="K178" s="40"/>
      <c r="L178" s="151"/>
      <c r="M178" s="147"/>
      <c r="N178" s="11"/>
      <c r="O178" s="11"/>
      <c r="P178" s="11"/>
      <c r="Q178" s="11"/>
      <c r="T178" s="11"/>
      <c r="U178" s="11"/>
      <c r="Y178" s="15"/>
    </row>
    <row r="179" spans="2:25" ht="12.75" hidden="1" customHeight="1" x14ac:dyDescent="0.2">
      <c r="B179" s="148" t="str">
        <f t="array" ref="B179">IF(ISERROR(INDEX('Eingabe Meldungen'!$C$2:$C$492,LARGE(('Eingabe Meldungen'!$A$2:$A$492=$B$164)*(ROW('Eingabe Meldungen'!$A$2:$A$492)-1),COUNTIF('Eingabe Meldungen'!$A$2:$A$492,$B$164)+1-ROW('Eingabe Meldungen'!A15)))),"",INDEX('Eingabe Meldungen'!$C$2:$C$492,LARGE(('Eingabe Meldungen'!$A$2:$A$492=$B$164)*(ROW('Eingabe Meldungen'!$A$2:$A$492)-1),COUNTIF('Eingabe Meldungen'!$A$2:$A$492,$B$164)+1-ROW('Eingabe Meldungen'!A15))))</f>
        <v/>
      </c>
      <c r="C179" s="40" t="str">
        <f t="array" ref="C179">IF(ISERROR(INDEX('Eingabe Meldungen'!$D$2:$D$492,LARGE(('Eingabe Meldungen'!$A$2:$A$492=$B$164)*(ROW('Eingabe Meldungen'!$A$2:$A$492)-1),COUNTIF('Eingabe Meldungen'!$A$2:$A$492,$B$164)+1-ROW('Eingabe Meldungen'!A15)))),"",INDEX('Eingabe Meldungen'!$D$2:$D$492,LARGE(('Eingabe Meldungen'!$A$2:$A$492=$B$164)*(ROW('Eingabe Meldungen'!$A$2:$A$492)-1),COUNTIF('Eingabe Meldungen'!$A$2:$A$492,$B$164)+1-ROW('Eingabe Meldungen'!A15))))</f>
        <v/>
      </c>
      <c r="D179" s="107" t="str">
        <f t="array" ref="D179">IF(B179&lt;&gt;"",INDEX('Eingabe Meldungen'!$C$2:$H$492,MATCH(B179&amp;C179,'Eingabe Meldungen'!$C$2:$C$492&amp;'Eingabe Meldungen'!$D$2:$D$492,0),6),"")</f>
        <v/>
      </c>
      <c r="E179" s="107" t="str">
        <f t="array" ref="E179">IF(B179&lt;&gt;"",INDEX('Eingabe Meldungen'!$C$2:$H$492,MATCH(B179&amp;C179,'Eingabe Meldungen'!$C$2:$C$492&amp;'Eingabe Meldungen'!$D$2:$D$492,0),4),"")</f>
        <v/>
      </c>
      <c r="F179" s="39">
        <v>14</v>
      </c>
      <c r="G179" s="150"/>
      <c r="H179" s="40" t="e">
        <f t="shared" si="8"/>
        <v>#N/A</v>
      </c>
      <c r="I179" s="107" t="str">
        <f t="array" ref="I179">IF(B179&lt;&gt;"",INDEX('Eingabe Meldungen'!$C$2:$J$492,MATCH(B179&amp;C179,'Eingabe Meldungen'!$C$2:$C$492&amp;'Eingabe Meldungen'!$D$2:$D$492,0),8),"")</f>
        <v/>
      </c>
      <c r="J179" s="40"/>
      <c r="K179" s="40"/>
      <c r="L179" s="151"/>
      <c r="M179" s="147"/>
      <c r="N179" s="11"/>
      <c r="O179" s="11"/>
      <c r="P179" s="11"/>
      <c r="Q179" s="11"/>
      <c r="T179" s="11"/>
      <c r="U179" s="11"/>
      <c r="Y179" s="15"/>
    </row>
    <row r="180" spans="2:25" ht="12.75" hidden="1" customHeight="1" x14ac:dyDescent="0.2">
      <c r="B180" s="148" t="str">
        <f t="array" ref="B180">IF(ISERROR(INDEX('Eingabe Meldungen'!$C$2:$C$492,LARGE(('Eingabe Meldungen'!$A$2:$A$492=$B$164)*(ROW('Eingabe Meldungen'!$A$2:$A$492)-1),COUNTIF('Eingabe Meldungen'!$A$2:$A$492,$B$164)+1-ROW('Eingabe Meldungen'!A16)))),"",INDEX('Eingabe Meldungen'!$C$2:$C$492,LARGE(('Eingabe Meldungen'!$A$2:$A$492=$B$164)*(ROW('Eingabe Meldungen'!$A$2:$A$492)-1),COUNTIF('Eingabe Meldungen'!$A$2:$A$492,$B$164)+1-ROW('Eingabe Meldungen'!A16))))</f>
        <v/>
      </c>
      <c r="C180" s="40" t="str">
        <f t="array" ref="C180">IF(ISERROR(INDEX('Eingabe Meldungen'!$D$2:$D$492,LARGE(('Eingabe Meldungen'!$A$2:$A$492=$B$164)*(ROW('Eingabe Meldungen'!$A$2:$A$492)-1),COUNTIF('Eingabe Meldungen'!$A$2:$A$492,$B$164)+1-ROW('Eingabe Meldungen'!A16)))),"",INDEX('Eingabe Meldungen'!$D$2:$D$492,LARGE(('Eingabe Meldungen'!$A$2:$A$492=$B$164)*(ROW('Eingabe Meldungen'!$A$2:$A$492)-1),COUNTIF('Eingabe Meldungen'!$A$2:$A$492,$B$164)+1-ROW('Eingabe Meldungen'!A16))))</f>
        <v/>
      </c>
      <c r="D180" s="107" t="str">
        <f t="array" ref="D180">IF(B180&lt;&gt;"",INDEX('Eingabe Meldungen'!$C$2:$H$492,MATCH(B180&amp;C180,'Eingabe Meldungen'!$C$2:$C$492&amp;'Eingabe Meldungen'!$D$2:$D$492,0),6),"")</f>
        <v/>
      </c>
      <c r="E180" s="107" t="str">
        <f t="array" ref="E180">IF(B180&lt;&gt;"",INDEX('Eingabe Meldungen'!$C$2:$H$492,MATCH(B180&amp;C180,'Eingabe Meldungen'!$C$2:$C$492&amp;'Eingabe Meldungen'!$D$2:$D$492,0),4),"")</f>
        <v/>
      </c>
      <c r="F180" s="39">
        <v>15</v>
      </c>
      <c r="G180" s="150"/>
      <c r="H180" s="40" t="e">
        <f t="shared" si="8"/>
        <v>#N/A</v>
      </c>
      <c r="I180" s="107" t="str">
        <f t="array" ref="I180">IF(B180&lt;&gt;"",INDEX('Eingabe Meldungen'!$C$2:$J$492,MATCH(B180&amp;C180,'Eingabe Meldungen'!$C$2:$C$492&amp;'Eingabe Meldungen'!$D$2:$D$492,0),8),"")</f>
        <v/>
      </c>
      <c r="J180" s="40"/>
      <c r="K180" s="103"/>
      <c r="L180" s="116"/>
      <c r="M180" s="113"/>
      <c r="N180" s="17"/>
      <c r="O180" s="17"/>
      <c r="P180" s="17"/>
      <c r="Q180" s="17"/>
      <c r="R180" s="17"/>
      <c r="S180" s="17"/>
      <c r="T180" s="11"/>
      <c r="U180" s="11"/>
      <c r="Y180" s="15"/>
    </row>
    <row r="181" spans="2:25" ht="12.75" hidden="1" customHeight="1" x14ac:dyDescent="0.2">
      <c r="B181" s="148" t="str">
        <f t="array" ref="B181">IF(ISERROR(INDEX('Eingabe Meldungen'!$C$2:$C$492,LARGE(('Eingabe Meldungen'!$A$2:$A$492=$B$164)*(ROW('Eingabe Meldungen'!$A$2:$A$492)-1),COUNTIF('Eingabe Meldungen'!$A$2:$A$492,$B$164)+1-ROW('Eingabe Meldungen'!A17)))),"",INDEX('Eingabe Meldungen'!$C$2:$C$492,LARGE(('Eingabe Meldungen'!$A$2:$A$492=$B$164)*(ROW('Eingabe Meldungen'!$A$2:$A$492)-1),COUNTIF('Eingabe Meldungen'!$A$2:$A$492,$B$164)+1-ROW('Eingabe Meldungen'!A17))))</f>
        <v/>
      </c>
      <c r="C181" s="40" t="str">
        <f t="array" ref="C181">IF(ISERROR(INDEX('Eingabe Meldungen'!$D$2:$D$492,LARGE(('Eingabe Meldungen'!$A$2:$A$492=$B$164)*(ROW('Eingabe Meldungen'!$A$2:$A$492)-1),COUNTIF('Eingabe Meldungen'!$A$2:$A$492,$B$164)+1-ROW('Eingabe Meldungen'!A17)))),"",INDEX('Eingabe Meldungen'!$D$2:$D$492,LARGE(('Eingabe Meldungen'!$A$2:$A$492=$B$164)*(ROW('Eingabe Meldungen'!$A$2:$A$492)-1),COUNTIF('Eingabe Meldungen'!$A$2:$A$492,$B$164)+1-ROW('Eingabe Meldungen'!A17))))</f>
        <v/>
      </c>
      <c r="D181" s="107" t="str">
        <f t="array" ref="D181">IF(B181&lt;&gt;"",INDEX('Eingabe Meldungen'!$C$2:$H$492,MATCH(B181&amp;C181,'Eingabe Meldungen'!$C$2:$C$492&amp;'Eingabe Meldungen'!$D$2:$D$492,0),6),"")</f>
        <v/>
      </c>
      <c r="E181" s="107" t="str">
        <f t="array" ref="E181">IF(B181&lt;&gt;"",INDEX('Eingabe Meldungen'!$C$2:$H$492,MATCH(B181&amp;C181,'Eingabe Meldungen'!$C$2:$C$492&amp;'Eingabe Meldungen'!$D$2:$D$492,0),4),"")</f>
        <v/>
      </c>
      <c r="F181" s="39">
        <v>16</v>
      </c>
      <c r="G181" s="150"/>
      <c r="H181" s="40" t="e">
        <f t="shared" si="8"/>
        <v>#N/A</v>
      </c>
      <c r="I181" s="107" t="str">
        <f t="array" ref="I181">IF(B181&lt;&gt;"",INDEX('Eingabe Meldungen'!$C$2:$J$492,MATCH(B181&amp;C181,'Eingabe Meldungen'!$C$2:$C$492&amp;'Eingabe Meldungen'!$D$2:$D$492,0),8),"")</f>
        <v/>
      </c>
      <c r="J181" s="40"/>
      <c r="K181" s="103"/>
      <c r="L181" s="116"/>
      <c r="M181" s="113"/>
      <c r="N181" s="17"/>
      <c r="O181" s="16"/>
      <c r="P181" s="17"/>
      <c r="Q181" s="17"/>
      <c r="R181" s="17"/>
      <c r="S181" s="17"/>
      <c r="T181" s="11"/>
      <c r="U181" s="11"/>
      <c r="Y181" s="15"/>
    </row>
    <row r="182" spans="2:25" ht="12.75" hidden="1" customHeight="1" thickBot="1" x14ac:dyDescent="0.25">
      <c r="B182" s="159"/>
      <c r="C182" s="160"/>
      <c r="D182" s="161"/>
      <c r="E182" s="161"/>
      <c r="F182" s="118"/>
      <c r="G182" s="166"/>
      <c r="H182" s="160"/>
      <c r="I182" s="161"/>
      <c r="J182" s="160"/>
      <c r="K182" s="160"/>
      <c r="L182" s="162"/>
      <c r="M182" s="163"/>
      <c r="N182" s="11"/>
      <c r="O182" s="11"/>
      <c r="P182" s="15"/>
      <c r="Q182" s="11"/>
      <c r="T182" s="11"/>
      <c r="U182" s="11"/>
      <c r="Y182" s="15"/>
    </row>
    <row r="183" spans="2:25" ht="28.5" customHeight="1" x14ac:dyDescent="0.2">
      <c r="B183" s="120">
        <v>11</v>
      </c>
      <c r="C183" s="121" t="str">
        <f>VLOOKUP(B183,Ausschreibung!$B$5:$I$35,2,FALSE)</f>
        <v>Ergocup</v>
      </c>
      <c r="D183" s="122">
        <f>VLOOKUP(B183,Ausschreibung!$B$5:$I$35,3,FALSE)</f>
        <v>0.56805555555555542</v>
      </c>
      <c r="E183" s="121" t="str">
        <f>VLOOKUP(B183,Ausschreibung!$B$5:$I$35,4,FALSE)</f>
        <v>Juniorinnen B U17</v>
      </c>
      <c r="F183" s="121">
        <v>52.5</v>
      </c>
      <c r="G183" s="121" t="str">
        <f>VLOOKUP(B183,Ausschreibung!$B$5:$I$35,6,FALSE)</f>
        <v>15-16</v>
      </c>
      <c r="H183" s="121" t="str">
        <f>VLOOKUP(B183,Ausschreibung!$B$5:$I$35,8,FALSE)</f>
        <v>1500 m</v>
      </c>
      <c r="I183" s="121"/>
      <c r="J183" s="129">
        <f>D183-(2*$N$60)</f>
        <v>0.48472222222222211</v>
      </c>
      <c r="K183" s="129"/>
      <c r="L183" s="129">
        <f>D183-$N$60</f>
        <v>0.5263888888888888</v>
      </c>
      <c r="M183" s="123"/>
      <c r="N183" s="11"/>
      <c r="O183" s="11"/>
      <c r="P183" s="15"/>
      <c r="Q183" s="11"/>
      <c r="T183" s="11"/>
      <c r="U183" s="11"/>
      <c r="Y183" s="15"/>
    </row>
    <row r="184" spans="2:25" ht="12.75" customHeight="1" x14ac:dyDescent="0.2">
      <c r="B184" s="176" t="s">
        <v>1</v>
      </c>
      <c r="C184" s="177" t="s">
        <v>2</v>
      </c>
      <c r="D184" s="178" t="s">
        <v>4</v>
      </c>
      <c r="E184" s="179" t="s">
        <v>16</v>
      </c>
      <c r="F184" s="178" t="s">
        <v>18</v>
      </c>
      <c r="G184" s="178" t="s">
        <v>50</v>
      </c>
      <c r="H184" s="178" t="s">
        <v>51</v>
      </c>
      <c r="I184" s="180" t="s">
        <v>17</v>
      </c>
      <c r="J184" s="178" t="s">
        <v>85</v>
      </c>
      <c r="K184" s="179"/>
      <c r="L184" s="179" t="s">
        <v>50</v>
      </c>
      <c r="M184" s="185" t="s">
        <v>87</v>
      </c>
      <c r="N184" s="11"/>
      <c r="O184" s="11"/>
      <c r="P184" s="15"/>
      <c r="Q184" s="11"/>
      <c r="T184" s="11"/>
      <c r="U184" s="11"/>
      <c r="Y184" s="15"/>
    </row>
    <row r="185" spans="2:25" ht="12.75" customHeight="1" x14ac:dyDescent="0.2">
      <c r="B185" s="148" t="str">
        <f t="array" ref="B185">IF(ISERROR(INDEX('Eingabe Meldungen'!$C$2:$C$492,LARGE(('Eingabe Meldungen'!$A$2:$A$492=$B$183)*(ROW('Eingabe Meldungen'!$A$2:$A$492)-1),COUNTIF('Eingabe Meldungen'!$A$2:$A$492,$B$183)+1-ROW('Eingabe Meldungen'!A1)))),"",INDEX('Eingabe Meldungen'!$C$2:$C$492,LARGE(('Eingabe Meldungen'!$A$2:$A$492=$B$183)*(ROW('Eingabe Meldungen'!$A$2:$A$492)-1),COUNTIF('Eingabe Meldungen'!$A$2:$A$492,$B$183)+1-ROW('Eingabe Meldungen'!A1))))</f>
        <v>Abendschein</v>
      </c>
      <c r="C185" s="40" t="str">
        <f t="array" ref="C185">IF(ISERROR(INDEX('Eingabe Meldungen'!$D$2:$D$492,LARGE(('Eingabe Meldungen'!$A$2:$A$492=$B$183)*(ROW('Eingabe Meldungen'!$A$2:$A$492)-1),COUNTIF('Eingabe Meldungen'!$A$2:$A$492,$B$183)+1-ROW('Eingabe Meldungen'!A1)))),"",INDEX('Eingabe Meldungen'!$D$2:$D$492,LARGE(('Eingabe Meldungen'!$A$2:$A$492=$B$183)*(ROW('Eingabe Meldungen'!$A$2:$A$492)-1),COUNTIF('Eingabe Meldungen'!$A$2:$A$492,$B$183)+1-ROW('Eingabe Meldungen'!A1))))</f>
        <v>Amrei</v>
      </c>
      <c r="D185" s="107">
        <f t="array" ref="D185">IF(B185&lt;&gt;"",INDEX('Eingabe Meldungen'!$C$2:$H$492,MATCH(B185&amp;C185,'Eingabe Meldungen'!$C$2:$C$492&amp;'Eingabe Meldungen'!$D$2:$D$492,0),6),"")</f>
        <v>2004</v>
      </c>
      <c r="E185" s="107" t="str">
        <f t="array" ref="E185">IF(B185&lt;&gt;"",INDEX('Eingabe Meldungen'!$C$2:$H$492,MATCH(B185&amp;C185,'Eingabe Meldungen'!$C$2:$C$492&amp;'Eingabe Meldungen'!$D$2:$D$492,0),4),"")</f>
        <v>Lgw. bis 57,5kg</v>
      </c>
      <c r="F185" s="107"/>
      <c r="G185" s="149"/>
      <c r="H185" s="40" t="e">
        <f>RANK(G185,$G$185:$G$200,1)</f>
        <v>#N/A</v>
      </c>
      <c r="I185" s="107" t="str">
        <f t="array" ref="I185">IF(B185&lt;&gt;"",INDEX('Eingabe Meldungen'!$C$2:$J$492,MATCH(B185&amp;C185,'Eingabe Meldungen'!$C$2:$C$492&amp;'Eingabe Meldungen'!$D$2:$D$492,0),8),"")</f>
        <v>Stuttgart-Cannstatter RC</v>
      </c>
      <c r="J185" s="257"/>
      <c r="K185" s="257"/>
      <c r="L185" s="254"/>
      <c r="M185" s="258"/>
      <c r="N185" s="11"/>
      <c r="O185" s="11"/>
      <c r="P185" s="15"/>
      <c r="Q185" s="11"/>
      <c r="T185" s="11"/>
      <c r="U185" s="11"/>
      <c r="Y185" s="15"/>
    </row>
    <row r="186" spans="2:25" ht="12.75" customHeight="1" x14ac:dyDescent="0.2">
      <c r="B186" s="148" t="str">
        <f t="array" ref="B186">IF(ISERROR(INDEX('Eingabe Meldungen'!$C$2:$C$492,LARGE(('Eingabe Meldungen'!$A$2:$A$492=$B$183)*(ROW('Eingabe Meldungen'!$A$2:$A$492)-1),COUNTIF('Eingabe Meldungen'!$A$2:$A$492,$B$183)+1-ROW('Eingabe Meldungen'!A2)))),"",INDEX('Eingabe Meldungen'!$C$2:$C$492,LARGE(('Eingabe Meldungen'!$A$2:$A$492=$B$183)*(ROW('Eingabe Meldungen'!$A$2:$A$492)-1),COUNTIF('Eingabe Meldungen'!$A$2:$A$492,$B$183)+1-ROW('Eingabe Meldungen'!A2))))</f>
        <v>Heinle</v>
      </c>
      <c r="C186" s="40" t="str">
        <f t="array" ref="C186">IF(ISERROR(INDEX('Eingabe Meldungen'!$D$2:$D$492,LARGE(('Eingabe Meldungen'!$A$2:$A$492=$B$183)*(ROW('Eingabe Meldungen'!$A$2:$A$492)-1),COUNTIF('Eingabe Meldungen'!$A$2:$A$492,$B$183)+1-ROW('Eingabe Meldungen'!A2)))),"",INDEX('Eingabe Meldungen'!$D$2:$D$492,LARGE(('Eingabe Meldungen'!$A$2:$A$492=$B$183)*(ROW('Eingabe Meldungen'!$A$2:$A$492)-1),COUNTIF('Eingabe Meldungen'!$A$2:$A$492,$B$183)+1-ROW('Eingabe Meldungen'!A2))))</f>
        <v>Christina</v>
      </c>
      <c r="D186" s="107">
        <f t="array" ref="D186">IF(B186&lt;&gt;"",INDEX('Eingabe Meldungen'!$C$2:$H$492,MATCH(B186&amp;C186,'Eingabe Meldungen'!$C$2:$C$492&amp;'Eingabe Meldungen'!$D$2:$D$492,0),6),"")</f>
        <v>2004</v>
      </c>
      <c r="E186" s="107" t="str">
        <f t="array" ref="E186">IF(B186&lt;&gt;"",INDEX('Eingabe Meldungen'!$C$2:$H$492,MATCH(B186&amp;C186,'Eingabe Meldungen'!$C$2:$C$492&amp;'Eingabe Meldungen'!$D$2:$D$492,0),4),"")</f>
        <v>Lgw. bis 57,5kg</v>
      </c>
      <c r="F186" s="107"/>
      <c r="G186" s="149"/>
      <c r="H186" s="40" t="e">
        <f t="shared" ref="H186:H200" si="9">RANK(G186,$G$185:$G$200,1)</f>
        <v>#N/A</v>
      </c>
      <c r="I186" s="107" t="str">
        <f t="array" ref="I186">IF(B186&lt;&gt;"",INDEX('Eingabe Meldungen'!$C$2:$J$492,MATCH(B186&amp;C186,'Eingabe Meldungen'!$C$2:$C$492&amp;'Eingabe Meldungen'!$D$2:$D$492,0),8),"")</f>
        <v>HRG Schwaben</v>
      </c>
      <c r="J186" s="257"/>
      <c r="K186" s="257"/>
      <c r="L186" s="254"/>
      <c r="M186" s="258"/>
      <c r="N186" s="11"/>
      <c r="O186" s="11"/>
      <c r="P186" s="15"/>
      <c r="Q186" s="11"/>
      <c r="T186" s="11"/>
      <c r="U186" s="11"/>
      <c r="Y186" s="15"/>
    </row>
    <row r="187" spans="2:25" ht="15" customHeight="1" x14ac:dyDescent="0.2">
      <c r="B187" s="148" t="str">
        <f t="array" ref="B187">IF(ISERROR(INDEX('Eingabe Meldungen'!$C$2:$C$492,LARGE(('Eingabe Meldungen'!$A$2:$A$492=$B$183)*(ROW('Eingabe Meldungen'!$A$2:$A$492)-1),COUNTIF('Eingabe Meldungen'!$A$2:$A$492,$B$183)+1-ROW('Eingabe Meldungen'!A3)))),"",INDEX('Eingabe Meldungen'!$C$2:$C$492,LARGE(('Eingabe Meldungen'!$A$2:$A$492=$B$183)*(ROW('Eingabe Meldungen'!$A$2:$A$492)-1),COUNTIF('Eingabe Meldungen'!$A$2:$A$492,$B$183)+1-ROW('Eingabe Meldungen'!A3))))</f>
        <v>Basilowski</v>
      </c>
      <c r="C187" s="40" t="str">
        <f t="array" ref="C187">IF(ISERROR(INDEX('Eingabe Meldungen'!$D$2:$D$492,LARGE(('Eingabe Meldungen'!$A$2:$A$492=$B$183)*(ROW('Eingabe Meldungen'!$A$2:$A$492)-1),COUNTIF('Eingabe Meldungen'!$A$2:$A$492,$B$183)+1-ROW('Eingabe Meldungen'!A3)))),"",INDEX('Eingabe Meldungen'!$D$2:$D$492,LARGE(('Eingabe Meldungen'!$A$2:$A$492=$B$183)*(ROW('Eingabe Meldungen'!$A$2:$A$492)-1),COUNTIF('Eingabe Meldungen'!$A$2:$A$492,$B$183)+1-ROW('Eingabe Meldungen'!A3))))</f>
        <v>Lea</v>
      </c>
      <c r="D187" s="107">
        <f t="array" ref="D187">IF(B187&lt;&gt;"",INDEX('Eingabe Meldungen'!$C$2:$H$492,MATCH(B187&amp;C187,'Eingabe Meldungen'!$C$2:$C$492&amp;'Eingabe Meldungen'!$D$2:$D$492,0),6),"")</f>
        <v>2004</v>
      </c>
      <c r="E187" s="107" t="str">
        <f t="array" ref="E187">IF(B187&lt;&gt;"",INDEX('Eingabe Meldungen'!$C$2:$H$492,MATCH(B187&amp;C187,'Eingabe Meldungen'!$C$2:$C$492&amp;'Eingabe Meldungen'!$D$2:$D$492,0),4),"")</f>
        <v>Lgw. bis 57,5kg</v>
      </c>
      <c r="F187" s="107"/>
      <c r="G187" s="149"/>
      <c r="H187" s="40" t="e">
        <f t="shared" si="9"/>
        <v>#N/A</v>
      </c>
      <c r="I187" s="107" t="str">
        <f t="array" ref="I187">IF(B187&lt;&gt;"",INDEX('Eingabe Meldungen'!$C$2:$J$492,MATCH(B187&amp;C187,'Eingabe Meldungen'!$C$2:$C$492&amp;'Eingabe Meldungen'!$D$2:$D$492,0),8),"")</f>
        <v>Marbacher Ruderverein</v>
      </c>
      <c r="J187" s="257"/>
      <c r="K187" s="257"/>
      <c r="L187" s="254"/>
      <c r="M187" s="258"/>
      <c r="N187" s="11"/>
      <c r="O187" s="11"/>
      <c r="P187" s="15"/>
      <c r="Q187" s="11"/>
      <c r="T187" s="11"/>
      <c r="U187" s="11"/>
      <c r="W187" s="6"/>
      <c r="X187" s="9"/>
      <c r="Y187" s="8"/>
    </row>
    <row r="188" spans="2:25" ht="12.75" customHeight="1" x14ac:dyDescent="0.2">
      <c r="B188" s="148" t="str">
        <f t="array" ref="B188">IF(ISERROR(INDEX('Eingabe Meldungen'!$C$2:$C$492,LARGE(('Eingabe Meldungen'!$A$2:$A$492=$B$183)*(ROW('Eingabe Meldungen'!$A$2:$A$492)-1),COUNTIF('Eingabe Meldungen'!$A$2:$A$492,$B$183)+1-ROW('Eingabe Meldungen'!A4)))),"",INDEX('Eingabe Meldungen'!$C$2:$C$492,LARGE(('Eingabe Meldungen'!$A$2:$A$492=$B$183)*(ROW('Eingabe Meldungen'!$A$2:$A$492)-1),COUNTIF('Eingabe Meldungen'!$A$2:$A$492,$B$183)+1-ROW('Eingabe Meldungen'!A4))))</f>
        <v>Scheffold</v>
      </c>
      <c r="C188" s="40" t="str">
        <f t="array" ref="C188">IF(ISERROR(INDEX('Eingabe Meldungen'!$D$2:$D$492,LARGE(('Eingabe Meldungen'!$A$2:$A$492=$B$183)*(ROW('Eingabe Meldungen'!$A$2:$A$492)-1),COUNTIF('Eingabe Meldungen'!$A$2:$A$492,$B$183)+1-ROW('Eingabe Meldungen'!A4)))),"",INDEX('Eingabe Meldungen'!$D$2:$D$492,LARGE(('Eingabe Meldungen'!$A$2:$A$492=$B$183)*(ROW('Eingabe Meldungen'!$A$2:$A$492)-1),COUNTIF('Eingabe Meldungen'!$A$2:$A$492,$B$183)+1-ROW('Eingabe Meldungen'!A4))))</f>
        <v>Sina</v>
      </c>
      <c r="D188" s="107">
        <f t="array" ref="D188">IF(B188&lt;&gt;"",INDEX('Eingabe Meldungen'!$C$2:$H$492,MATCH(B188&amp;C188,'Eingabe Meldungen'!$C$2:$C$492&amp;'Eingabe Meldungen'!$D$2:$D$492,0),6),"")</f>
        <v>2004</v>
      </c>
      <c r="E188" s="107" t="str">
        <f t="array" ref="E188">IF(B188&lt;&gt;"",INDEX('Eingabe Meldungen'!$C$2:$H$492,MATCH(B188&amp;C188,'Eingabe Meldungen'!$C$2:$C$492&amp;'Eingabe Meldungen'!$D$2:$D$492,0),4),"")</f>
        <v>Lgw. bis 57,5kg</v>
      </c>
      <c r="F188" s="107"/>
      <c r="G188" s="149"/>
      <c r="H188" s="40" t="e">
        <f t="shared" si="9"/>
        <v>#N/A</v>
      </c>
      <c r="I188" s="107" t="str">
        <f t="array" ref="I188">IF(B188&lt;&gt;"",INDEX('Eingabe Meldungen'!$C$2:$J$492,MATCH(B188&amp;C188,'Eingabe Meldungen'!$C$2:$C$492&amp;'Eingabe Meldungen'!$D$2:$D$492,0),8),"")</f>
        <v>RV Waldsee</v>
      </c>
      <c r="J188" s="257"/>
      <c r="K188" s="257"/>
      <c r="L188" s="254"/>
      <c r="M188" s="258"/>
      <c r="N188" s="11"/>
      <c r="O188" s="11"/>
      <c r="P188" s="15"/>
      <c r="Q188" s="11"/>
      <c r="T188" s="11"/>
      <c r="U188" s="11"/>
      <c r="W188" s="6"/>
      <c r="X188" s="9"/>
      <c r="Y188" s="8"/>
    </row>
    <row r="189" spans="2:25" ht="12.75" customHeight="1" x14ac:dyDescent="0.2">
      <c r="B189" s="148" t="str">
        <f t="array" ref="B189">IF(ISERROR(INDEX('Eingabe Meldungen'!$C$2:$C$492,LARGE(('Eingabe Meldungen'!$A$2:$A$492=$B$183)*(ROW('Eingabe Meldungen'!$A$2:$A$492)-1),COUNTIF('Eingabe Meldungen'!$A$2:$A$492,$B$183)+1-ROW('Eingabe Meldungen'!A5)))),"",INDEX('Eingabe Meldungen'!$C$2:$C$492,LARGE(('Eingabe Meldungen'!$A$2:$A$492=$B$183)*(ROW('Eingabe Meldungen'!$A$2:$A$492)-1),COUNTIF('Eingabe Meldungen'!$A$2:$A$492,$B$183)+1-ROW('Eingabe Meldungen'!A5))))</f>
        <v>Hamini</v>
      </c>
      <c r="C189" s="40" t="str">
        <f t="array" ref="C189">IF(ISERROR(INDEX('Eingabe Meldungen'!$D$2:$D$492,LARGE(('Eingabe Meldungen'!$A$2:$A$492=$B$183)*(ROW('Eingabe Meldungen'!$A$2:$A$492)-1),COUNTIF('Eingabe Meldungen'!$A$2:$A$492,$B$183)+1-ROW('Eingabe Meldungen'!A5)))),"",INDEX('Eingabe Meldungen'!$D$2:$D$492,LARGE(('Eingabe Meldungen'!$A$2:$A$492=$B$183)*(ROW('Eingabe Meldungen'!$A$2:$A$492)-1),COUNTIF('Eingabe Meldungen'!$A$2:$A$492,$B$183)+1-ROW('Eingabe Meldungen'!A5))))</f>
        <v>Bilal</v>
      </c>
      <c r="D189" s="107">
        <f t="array" ref="D189">IF(B189&lt;&gt;"",INDEX('Eingabe Meldungen'!$C$2:$H$492,MATCH(B189&amp;C189,'Eingabe Meldungen'!$C$2:$C$492&amp;'Eingabe Meldungen'!$D$2:$D$492,0),6),"")</f>
        <v>2005</v>
      </c>
      <c r="E189" s="107" t="str">
        <f t="array" ref="E189">IF(B189&lt;&gt;"",INDEX('Eingabe Meldungen'!$C$2:$H$492,MATCH(B189&amp;C189,'Eingabe Meldungen'!$C$2:$C$492&amp;'Eingabe Meldungen'!$D$2:$D$492,0),4),"")</f>
        <v>Lgw. bis 57,5kg</v>
      </c>
      <c r="F189" s="107"/>
      <c r="G189" s="149"/>
      <c r="H189" s="40" t="e">
        <f t="shared" si="9"/>
        <v>#N/A</v>
      </c>
      <c r="I189" s="107" t="str">
        <f t="array" ref="I189">IF(B189&lt;&gt;"",INDEX('Eingabe Meldungen'!$C$2:$J$492,MATCH(B189&amp;C189,'Eingabe Meldungen'!$C$2:$C$492&amp;'Eingabe Meldungen'!$D$2:$D$492,0),8),"")</f>
        <v>RG Eberbach</v>
      </c>
      <c r="J189" s="257"/>
      <c r="K189" s="257"/>
      <c r="L189" s="254"/>
      <c r="M189" s="258"/>
      <c r="N189" s="11"/>
      <c r="O189" s="11"/>
      <c r="P189" s="15"/>
      <c r="Q189" s="11"/>
      <c r="T189" s="11"/>
      <c r="U189" s="11"/>
      <c r="Y189" s="15"/>
    </row>
    <row r="190" spans="2:25" ht="12.75" customHeight="1" x14ac:dyDescent="0.2">
      <c r="B190" s="148" t="str">
        <f t="array" ref="B190">IF(ISERROR(INDEX('Eingabe Meldungen'!$C$2:$C$492,LARGE(('Eingabe Meldungen'!$A$2:$A$492=$B$183)*(ROW('Eingabe Meldungen'!$A$2:$A$492)-1),COUNTIF('Eingabe Meldungen'!$A$2:$A$492,$B$183)+1-ROW('Eingabe Meldungen'!A6)))),"",INDEX('Eingabe Meldungen'!$C$2:$C$492,LARGE(('Eingabe Meldungen'!$A$2:$A$492=$B$183)*(ROW('Eingabe Meldungen'!$A$2:$A$492)-1),COUNTIF('Eingabe Meldungen'!$A$2:$A$492,$B$183)+1-ROW('Eingabe Meldungen'!A6))))</f>
        <v>Hümpfner</v>
      </c>
      <c r="C190" s="40" t="str">
        <f t="array" ref="C190">IF(ISERROR(INDEX('Eingabe Meldungen'!$D$2:$D$492,LARGE(('Eingabe Meldungen'!$A$2:$A$492=$B$183)*(ROW('Eingabe Meldungen'!$A$2:$A$492)-1),COUNTIF('Eingabe Meldungen'!$A$2:$A$492,$B$183)+1-ROW('Eingabe Meldungen'!A6)))),"",INDEX('Eingabe Meldungen'!$D$2:$D$492,LARGE(('Eingabe Meldungen'!$A$2:$A$492=$B$183)*(ROW('Eingabe Meldungen'!$A$2:$A$492)-1),COUNTIF('Eingabe Meldungen'!$A$2:$A$492,$B$183)+1-ROW('Eingabe Meldungen'!A6))))</f>
        <v>Jara</v>
      </c>
      <c r="D190" s="107">
        <f t="array" ref="D190">IF(B190&lt;&gt;"",INDEX('Eingabe Meldungen'!$C$2:$H$492,MATCH(B190&amp;C190,'Eingabe Meldungen'!$C$2:$C$492&amp;'Eingabe Meldungen'!$D$2:$D$492,0),6),"")</f>
        <v>2005</v>
      </c>
      <c r="E190" s="107" t="str">
        <f t="array" ref="E190">IF(B190&lt;&gt;"",INDEX('Eingabe Meldungen'!$C$2:$H$492,MATCH(B190&amp;C190,'Eingabe Meldungen'!$C$2:$C$492&amp;'Eingabe Meldungen'!$D$2:$D$492,0),4),"")</f>
        <v>Lgw. bis 57,5kg</v>
      </c>
      <c r="F190" s="107"/>
      <c r="G190" s="149"/>
      <c r="H190" s="40" t="e">
        <f t="shared" si="9"/>
        <v>#N/A</v>
      </c>
      <c r="I190" s="107" t="str">
        <f t="array" ref="I190">IF(B190&lt;&gt;"",INDEX('Eingabe Meldungen'!$C$2:$J$492,MATCH(B190&amp;C190,'Eingabe Meldungen'!$C$2:$C$492&amp;'Eingabe Meldungen'!$D$2:$D$492,0),8),"")</f>
        <v>RC Nürtingen</v>
      </c>
      <c r="J190" s="257"/>
      <c r="K190" s="257"/>
      <c r="L190" s="254"/>
      <c r="M190" s="258"/>
      <c r="N190" s="11"/>
      <c r="O190" s="11"/>
      <c r="P190" s="15"/>
      <c r="Q190" s="11"/>
      <c r="T190" s="11"/>
      <c r="U190" s="11"/>
      <c r="Y190" s="15"/>
    </row>
    <row r="191" spans="2:25" ht="12.75" customHeight="1" x14ac:dyDescent="0.2">
      <c r="B191" s="148" t="str">
        <f t="array" ref="B191">IF(ISERROR(INDEX('Eingabe Meldungen'!$C$2:$C$492,LARGE(('Eingabe Meldungen'!$A$2:$A$492=$B$183)*(ROW('Eingabe Meldungen'!$A$2:$A$492)-1),COUNTIF('Eingabe Meldungen'!$A$2:$A$492,$B$183)+1-ROW('Eingabe Meldungen'!A7)))),"",INDEX('Eingabe Meldungen'!$C$2:$C$492,LARGE(('Eingabe Meldungen'!$A$2:$A$492=$B$183)*(ROW('Eingabe Meldungen'!$A$2:$A$492)-1),COUNTIF('Eingabe Meldungen'!$A$2:$A$492,$B$183)+1-ROW('Eingabe Meldungen'!A7))))</f>
        <v>Guhl</v>
      </c>
      <c r="C191" s="40" t="str">
        <f t="array" ref="C191">IF(ISERROR(INDEX('Eingabe Meldungen'!$D$2:$D$492,LARGE(('Eingabe Meldungen'!$A$2:$A$492=$B$183)*(ROW('Eingabe Meldungen'!$A$2:$A$492)-1),COUNTIF('Eingabe Meldungen'!$A$2:$A$492,$B$183)+1-ROW('Eingabe Meldungen'!A7)))),"",INDEX('Eingabe Meldungen'!$D$2:$D$492,LARGE(('Eingabe Meldungen'!$A$2:$A$492=$B$183)*(ROW('Eingabe Meldungen'!$A$2:$A$492)-1),COUNTIF('Eingabe Meldungen'!$A$2:$A$492,$B$183)+1-ROW('Eingabe Meldungen'!A7))))</f>
        <v>Mara</v>
      </c>
      <c r="D191" s="107">
        <f t="array" ref="D191">IF(B191&lt;&gt;"",INDEX('Eingabe Meldungen'!$C$2:$H$492,MATCH(B191&amp;C191,'Eingabe Meldungen'!$C$2:$C$492&amp;'Eingabe Meldungen'!$D$2:$D$492,0),6),"")</f>
        <v>2005</v>
      </c>
      <c r="E191" s="107" t="str">
        <f t="array" ref="E191">IF(B191&lt;&gt;"",INDEX('Eingabe Meldungen'!$C$2:$H$492,MATCH(B191&amp;C191,'Eingabe Meldungen'!$C$2:$C$492&amp;'Eingabe Meldungen'!$D$2:$D$492,0),4),"")</f>
        <v>Lgw. bis 57,5kg</v>
      </c>
      <c r="F191" s="107"/>
      <c r="G191" s="149"/>
      <c r="H191" s="40" t="e">
        <f t="shared" si="9"/>
        <v>#N/A</v>
      </c>
      <c r="I191" s="107" t="str">
        <f t="array" ref="I191">IF(B191&lt;&gt;"",INDEX('Eingabe Meldungen'!$C$2:$J$492,MATCH(B191&amp;C191,'Eingabe Meldungen'!$C$2:$C$492&amp;'Eingabe Meldungen'!$D$2:$D$492,0),8),"")</f>
        <v>Stuttgart-Cannstatter RC</v>
      </c>
      <c r="J191" s="257"/>
      <c r="K191" s="257"/>
      <c r="L191" s="254"/>
      <c r="M191" s="258"/>
      <c r="N191" s="11"/>
      <c r="O191" s="11"/>
      <c r="P191" s="15"/>
      <c r="Q191" s="11"/>
      <c r="T191" s="11"/>
      <c r="U191" s="11"/>
      <c r="Y191" s="15"/>
    </row>
    <row r="192" spans="2:25" ht="12.75" customHeight="1" x14ac:dyDescent="0.2">
      <c r="B192" s="148" t="str">
        <f t="array" ref="B192">IF(ISERROR(INDEX('Eingabe Meldungen'!$C$2:$C$492,LARGE(('Eingabe Meldungen'!$A$2:$A$492=$B$183)*(ROW('Eingabe Meldungen'!$A$2:$A$492)-1),COUNTIF('Eingabe Meldungen'!$A$2:$A$492,$B$183)+1-ROW('Eingabe Meldungen'!A8)))),"",INDEX('Eingabe Meldungen'!$C$2:$C$492,LARGE(('Eingabe Meldungen'!$A$2:$A$492=$B$183)*(ROW('Eingabe Meldungen'!$A$2:$A$492)-1),COUNTIF('Eingabe Meldungen'!$A$2:$A$492,$B$183)+1-ROW('Eingabe Meldungen'!A8))))</f>
        <v>Vogt</v>
      </c>
      <c r="C192" s="40" t="str">
        <f t="array" ref="C192">IF(ISERROR(INDEX('Eingabe Meldungen'!$D$2:$D$492,LARGE(('Eingabe Meldungen'!$A$2:$A$492=$B$183)*(ROW('Eingabe Meldungen'!$A$2:$A$492)-1),COUNTIF('Eingabe Meldungen'!$A$2:$A$492,$B$183)+1-ROW('Eingabe Meldungen'!A8)))),"",INDEX('Eingabe Meldungen'!$D$2:$D$492,LARGE(('Eingabe Meldungen'!$A$2:$A$492=$B$183)*(ROW('Eingabe Meldungen'!$A$2:$A$492)-1),COUNTIF('Eingabe Meldungen'!$A$2:$A$492,$B$183)+1-ROW('Eingabe Meldungen'!A8))))</f>
        <v>Thea</v>
      </c>
      <c r="D192" s="107">
        <f t="array" ref="D192">IF(B192&lt;&gt;"",INDEX('Eingabe Meldungen'!$C$2:$H$492,MATCH(B192&amp;C192,'Eingabe Meldungen'!$C$2:$C$492&amp;'Eingabe Meldungen'!$D$2:$D$492,0),6),"")</f>
        <v>2005</v>
      </c>
      <c r="E192" s="107" t="str">
        <f t="array" ref="E192">IF(B192&lt;&gt;"",INDEX('Eingabe Meldungen'!$C$2:$H$492,MATCH(B192&amp;C192,'Eingabe Meldungen'!$C$2:$C$492&amp;'Eingabe Meldungen'!$D$2:$D$492,0),4),"")</f>
        <v>Lgw. bis 57,5kg</v>
      </c>
      <c r="F192" s="107"/>
      <c r="G192" s="149"/>
      <c r="H192" s="40" t="e">
        <f t="shared" si="9"/>
        <v>#N/A</v>
      </c>
      <c r="I192" s="107" t="str">
        <f t="array" ref="I192">IF(B192&lt;&gt;"",INDEX('Eingabe Meldungen'!$C$2:$J$492,MATCH(B192&amp;C192,'Eingabe Meldungen'!$C$2:$C$492&amp;'Eingabe Meldungen'!$D$2:$D$492,0),8),"")</f>
        <v>HRG Schwaben</v>
      </c>
      <c r="J192" s="257"/>
      <c r="K192" s="257"/>
      <c r="L192" s="254"/>
      <c r="M192" s="262"/>
      <c r="N192" s="24"/>
      <c r="O192" s="11"/>
      <c r="P192" s="10"/>
      <c r="Q192" s="11"/>
      <c r="R192" s="11"/>
      <c r="S192" s="11"/>
      <c r="T192" s="11"/>
      <c r="U192" s="11"/>
      <c r="Y192" s="15"/>
    </row>
    <row r="193" spans="2:25" ht="12.75" customHeight="1" x14ac:dyDescent="0.2">
      <c r="B193" s="148" t="str">
        <f t="array" ref="B193">IF(ISERROR(INDEX('Eingabe Meldungen'!$C$2:$C$492,LARGE(('Eingabe Meldungen'!$A$2:$A$492=$B$183)*(ROW('Eingabe Meldungen'!$A$2:$A$492)-1),COUNTIF('Eingabe Meldungen'!$A$2:$A$492,$B$183)+1-ROW('Eingabe Meldungen'!A9)))),"",INDEX('Eingabe Meldungen'!$C$2:$C$492,LARGE(('Eingabe Meldungen'!$A$2:$A$492=$B$183)*(ROW('Eingabe Meldungen'!$A$2:$A$492)-1),COUNTIF('Eingabe Meldungen'!$A$2:$A$492,$B$183)+1-ROW('Eingabe Meldungen'!A9))))</f>
        <v/>
      </c>
      <c r="C193" s="40" t="str">
        <f t="array" ref="C193">IF(ISERROR(INDEX('Eingabe Meldungen'!$D$2:$D$492,LARGE(('Eingabe Meldungen'!$A$2:$A$492=$B$183)*(ROW('Eingabe Meldungen'!$A$2:$A$492)-1),COUNTIF('Eingabe Meldungen'!$A$2:$A$492,$B$183)+1-ROW('Eingabe Meldungen'!A9)))),"",INDEX('Eingabe Meldungen'!$D$2:$D$492,LARGE(('Eingabe Meldungen'!$A$2:$A$492=$B$183)*(ROW('Eingabe Meldungen'!$A$2:$A$492)-1),COUNTIF('Eingabe Meldungen'!$A$2:$A$492,$B$183)+1-ROW('Eingabe Meldungen'!A9))))</f>
        <v/>
      </c>
      <c r="D193" s="107" t="str">
        <f t="array" ref="D193">IF(B193&lt;&gt;"",INDEX('Eingabe Meldungen'!$C$2:$H$492,MATCH(B193&amp;C193,'Eingabe Meldungen'!$C$2:$C$492&amp;'Eingabe Meldungen'!$D$2:$D$492,0),6),"")</f>
        <v/>
      </c>
      <c r="E193" s="107" t="str">
        <f t="array" ref="E193">IF(B193&lt;&gt;"",INDEX('Eingabe Meldungen'!$C$2:$H$492,MATCH(B193&amp;C193,'Eingabe Meldungen'!$C$2:$C$492&amp;'Eingabe Meldungen'!$D$2:$D$492,0),4),"")</f>
        <v/>
      </c>
      <c r="F193" s="107"/>
      <c r="G193" s="149"/>
      <c r="H193" s="40" t="e">
        <f t="shared" si="9"/>
        <v>#N/A</v>
      </c>
      <c r="I193" s="107" t="str">
        <f t="array" ref="I193">IF(B193&lt;&gt;"",INDEX('Eingabe Meldungen'!$C$2:$J$492,MATCH(B193&amp;C193,'Eingabe Meldungen'!$C$2:$C$492&amp;'Eingabe Meldungen'!$D$2:$D$492,0),8),"")</f>
        <v/>
      </c>
      <c r="J193" s="257"/>
      <c r="K193" s="257"/>
      <c r="L193" s="254"/>
      <c r="M193" s="258"/>
      <c r="T193" s="11"/>
      <c r="Y193" s="15"/>
    </row>
    <row r="194" spans="2:25" ht="12.75" customHeight="1" x14ac:dyDescent="0.2">
      <c r="B194" s="148" t="str">
        <f t="array" ref="B194">IF(ISERROR(INDEX('Eingabe Meldungen'!$C$2:$C$492,LARGE(('Eingabe Meldungen'!$A$2:$A$492=$B$183)*(ROW('Eingabe Meldungen'!$A$2:$A$492)-1),COUNTIF('Eingabe Meldungen'!$A$2:$A$492,$B$183)+1-ROW('Eingabe Meldungen'!A10)))),"",INDEX('Eingabe Meldungen'!$C$2:$C$492,LARGE(('Eingabe Meldungen'!$A$2:$A$492=$B$183)*(ROW('Eingabe Meldungen'!$A$2:$A$492)-1),COUNTIF('Eingabe Meldungen'!$A$2:$A$492,$B$183)+1-ROW('Eingabe Meldungen'!A10))))</f>
        <v/>
      </c>
      <c r="C194" s="40" t="str">
        <f t="array" ref="C194">IF(ISERROR(INDEX('Eingabe Meldungen'!$D$2:$D$492,LARGE(('Eingabe Meldungen'!$A$2:$A$492=$B$183)*(ROW('Eingabe Meldungen'!$A$2:$A$492)-1),COUNTIF('Eingabe Meldungen'!$A$2:$A$492,$B$183)+1-ROW('Eingabe Meldungen'!A10)))),"",INDEX('Eingabe Meldungen'!$D$2:$D$492,LARGE(('Eingabe Meldungen'!$A$2:$A$492=$B$183)*(ROW('Eingabe Meldungen'!$A$2:$A$492)-1),COUNTIF('Eingabe Meldungen'!$A$2:$A$492,$B$183)+1-ROW('Eingabe Meldungen'!A10))))</f>
        <v/>
      </c>
      <c r="D194" s="107" t="str">
        <f t="array" ref="D194">IF(B194&lt;&gt;"",INDEX('Eingabe Meldungen'!$C$2:$H$492,MATCH(B194&amp;C194,'Eingabe Meldungen'!$C$2:$C$492&amp;'Eingabe Meldungen'!$D$2:$D$492,0),6),"")</f>
        <v/>
      </c>
      <c r="E194" s="107" t="str">
        <f t="array" ref="E194">IF(B194&lt;&gt;"",INDEX('Eingabe Meldungen'!$C$2:$H$492,MATCH(B194&amp;C194,'Eingabe Meldungen'!$C$2:$C$492&amp;'Eingabe Meldungen'!$D$2:$D$492,0),4),"")</f>
        <v/>
      </c>
      <c r="F194" s="107"/>
      <c r="G194" s="149"/>
      <c r="H194" s="40" t="e">
        <f t="shared" si="9"/>
        <v>#N/A</v>
      </c>
      <c r="I194" s="107" t="str">
        <f t="array" ref="I194">IF(B194&lt;&gt;"",INDEX('Eingabe Meldungen'!$C$2:$J$492,MATCH(B194&amp;C194,'Eingabe Meldungen'!$C$2:$C$492&amp;'Eingabe Meldungen'!$D$2:$D$492,0),8),"")</f>
        <v/>
      </c>
      <c r="J194" s="257"/>
      <c r="K194" s="257"/>
      <c r="L194" s="254"/>
      <c r="M194" s="258"/>
      <c r="T194" s="11"/>
      <c r="Y194" s="15"/>
    </row>
    <row r="195" spans="2:25" ht="12.75" customHeight="1" x14ac:dyDescent="0.2">
      <c r="B195" s="148" t="str">
        <f t="array" ref="B195">IF(ISERROR(INDEX('Eingabe Meldungen'!$C$2:$C$492,LARGE(('Eingabe Meldungen'!$A$2:$A$492=$B$183)*(ROW('Eingabe Meldungen'!$A$2:$A$492)-1),COUNTIF('Eingabe Meldungen'!$A$2:$A$492,$B$183)+1-ROW('Eingabe Meldungen'!A11)))),"",INDEX('Eingabe Meldungen'!$C$2:$C$492,LARGE(('Eingabe Meldungen'!$A$2:$A$492=$B$183)*(ROW('Eingabe Meldungen'!$A$2:$A$492)-1),COUNTIF('Eingabe Meldungen'!$A$2:$A$492,$B$183)+1-ROW('Eingabe Meldungen'!A11))))</f>
        <v/>
      </c>
      <c r="C195" s="40" t="str">
        <f t="array" ref="C195">IF(ISERROR(INDEX('Eingabe Meldungen'!$D$2:$D$492,LARGE(('Eingabe Meldungen'!$A$2:$A$492=$B$183)*(ROW('Eingabe Meldungen'!$A$2:$A$492)-1),COUNTIF('Eingabe Meldungen'!$A$2:$A$492,$B$183)+1-ROW('Eingabe Meldungen'!A11)))),"",INDEX('Eingabe Meldungen'!$D$2:$D$492,LARGE(('Eingabe Meldungen'!$A$2:$A$492=$B$183)*(ROW('Eingabe Meldungen'!$A$2:$A$492)-1),COUNTIF('Eingabe Meldungen'!$A$2:$A$492,$B$183)+1-ROW('Eingabe Meldungen'!A11))))</f>
        <v/>
      </c>
      <c r="D195" s="107" t="str">
        <f t="array" ref="D195">IF(B195&lt;&gt;"",INDEX('Eingabe Meldungen'!$C$2:$H$492,MATCH(B195&amp;C195,'Eingabe Meldungen'!$C$2:$C$492&amp;'Eingabe Meldungen'!$D$2:$D$492,0),6),"")</f>
        <v/>
      </c>
      <c r="E195" s="107" t="str">
        <f t="array" ref="E195">IF(B195&lt;&gt;"",INDEX('Eingabe Meldungen'!$C$2:$H$492,MATCH(B195&amp;C195,'Eingabe Meldungen'!$C$2:$C$492&amp;'Eingabe Meldungen'!$D$2:$D$492,0),4),"")</f>
        <v/>
      </c>
      <c r="F195" s="107"/>
      <c r="G195" s="149"/>
      <c r="H195" s="40" t="e">
        <f t="shared" si="9"/>
        <v>#N/A</v>
      </c>
      <c r="I195" s="107" t="str">
        <f t="array" ref="I195">IF(B195&lt;&gt;"",INDEX('Eingabe Meldungen'!$C$2:$J$492,MATCH(B195&amp;C195,'Eingabe Meldungen'!$C$2:$C$492&amp;'Eingabe Meldungen'!$D$2:$D$492,0),8),"")</f>
        <v/>
      </c>
      <c r="J195" s="257"/>
      <c r="K195" s="257"/>
      <c r="L195" s="254"/>
      <c r="M195" s="258"/>
      <c r="N195" s="29"/>
      <c r="T195" s="11"/>
      <c r="Y195" s="15"/>
    </row>
    <row r="196" spans="2:25" ht="12.75" customHeight="1" x14ac:dyDescent="0.2">
      <c r="B196" s="148" t="str">
        <f t="array" ref="B196">IF(ISERROR(INDEX('Eingabe Meldungen'!$C$2:$C$492,LARGE(('Eingabe Meldungen'!$A$2:$A$492=$B$183)*(ROW('Eingabe Meldungen'!$A$2:$A$492)-1),COUNTIF('Eingabe Meldungen'!$A$2:$A$492,$B$183)+1-ROW('Eingabe Meldungen'!A12)))),"",INDEX('Eingabe Meldungen'!$C$2:$C$492,LARGE(('Eingabe Meldungen'!$A$2:$A$492=$B$183)*(ROW('Eingabe Meldungen'!$A$2:$A$492)-1),COUNTIF('Eingabe Meldungen'!$A$2:$A$492,$B$183)+1-ROW('Eingabe Meldungen'!A12))))</f>
        <v/>
      </c>
      <c r="C196" s="40" t="str">
        <f t="array" ref="C196">IF(ISERROR(INDEX('Eingabe Meldungen'!$D$2:$D$492,LARGE(('Eingabe Meldungen'!$A$2:$A$492=$B$183)*(ROW('Eingabe Meldungen'!$A$2:$A$492)-1),COUNTIF('Eingabe Meldungen'!$A$2:$A$492,$B$183)+1-ROW('Eingabe Meldungen'!A12)))),"",INDEX('Eingabe Meldungen'!$D$2:$D$492,LARGE(('Eingabe Meldungen'!$A$2:$A$492=$B$183)*(ROW('Eingabe Meldungen'!$A$2:$A$492)-1),COUNTIF('Eingabe Meldungen'!$A$2:$A$492,$B$183)+1-ROW('Eingabe Meldungen'!A12))))</f>
        <v/>
      </c>
      <c r="D196" s="107" t="str">
        <f t="array" ref="D196">IF(B196&lt;&gt;"",INDEX('Eingabe Meldungen'!$C$2:$H$492,MATCH(B196&amp;C196,'Eingabe Meldungen'!$C$2:$C$492&amp;'Eingabe Meldungen'!$D$2:$D$492,0),6),"")</f>
        <v/>
      </c>
      <c r="E196" s="107" t="str">
        <f t="array" ref="E196">IF(B196&lt;&gt;"",INDEX('Eingabe Meldungen'!$C$2:$H$492,MATCH(B196&amp;C196,'Eingabe Meldungen'!$C$2:$C$492&amp;'Eingabe Meldungen'!$D$2:$D$492,0),4),"")</f>
        <v/>
      </c>
      <c r="F196" s="107"/>
      <c r="G196" s="149"/>
      <c r="H196" s="40" t="e">
        <f t="shared" si="9"/>
        <v>#N/A</v>
      </c>
      <c r="I196" s="107" t="str">
        <f t="array" ref="I196">IF(B196&lt;&gt;"",INDEX('Eingabe Meldungen'!$C$2:$J$492,MATCH(B196&amp;C196,'Eingabe Meldungen'!$C$2:$C$492&amp;'Eingabe Meldungen'!$D$2:$D$492,0),8),"")</f>
        <v/>
      </c>
      <c r="J196" s="257"/>
      <c r="K196" s="257"/>
      <c r="L196" s="254"/>
      <c r="M196" s="258"/>
      <c r="T196" s="11"/>
      <c r="Y196" s="15"/>
    </row>
    <row r="197" spans="2:25" ht="12.75" customHeight="1" x14ac:dyDescent="0.2">
      <c r="B197" s="148" t="str">
        <f t="array" ref="B197">IF(ISERROR(INDEX('Eingabe Meldungen'!$C$2:$C$492,LARGE(('Eingabe Meldungen'!$A$2:$A$492=$B$183)*(ROW('Eingabe Meldungen'!$A$2:$A$492)-1),COUNTIF('Eingabe Meldungen'!$A$2:$A$492,$B$183)+1-ROW('Eingabe Meldungen'!A13)))),"",INDEX('Eingabe Meldungen'!$C$2:$C$492,LARGE(('Eingabe Meldungen'!$A$2:$A$492=$B$183)*(ROW('Eingabe Meldungen'!$A$2:$A$492)-1),COUNTIF('Eingabe Meldungen'!$A$2:$A$492,$B$183)+1-ROW('Eingabe Meldungen'!A13))))</f>
        <v/>
      </c>
      <c r="C197" s="40" t="str">
        <f t="array" ref="C197">IF(ISERROR(INDEX('Eingabe Meldungen'!$D$2:$D$492,LARGE(('Eingabe Meldungen'!$A$2:$A$492=$B$183)*(ROW('Eingabe Meldungen'!$A$2:$A$492)-1),COUNTIF('Eingabe Meldungen'!$A$2:$A$492,$B$183)+1-ROW('Eingabe Meldungen'!A13)))),"",INDEX('Eingabe Meldungen'!$D$2:$D$492,LARGE(('Eingabe Meldungen'!$A$2:$A$492=$B$183)*(ROW('Eingabe Meldungen'!$A$2:$A$492)-1),COUNTIF('Eingabe Meldungen'!$A$2:$A$492,$B$183)+1-ROW('Eingabe Meldungen'!A13))))</f>
        <v/>
      </c>
      <c r="D197" s="107" t="str">
        <f t="array" ref="D197">IF(B197&lt;&gt;"",INDEX('Eingabe Meldungen'!$C$2:$H$492,MATCH(B197&amp;C197,'Eingabe Meldungen'!$C$2:$C$492&amp;'Eingabe Meldungen'!$D$2:$D$492,0),6),"")</f>
        <v/>
      </c>
      <c r="E197" s="107" t="str">
        <f t="array" ref="E197">IF(B197&lt;&gt;"",INDEX('Eingabe Meldungen'!$C$2:$H$492,MATCH(B197&amp;C197,'Eingabe Meldungen'!$C$2:$C$492&amp;'Eingabe Meldungen'!$D$2:$D$492,0),4),"")</f>
        <v/>
      </c>
      <c r="F197" s="107"/>
      <c r="G197" s="149"/>
      <c r="H197" s="40" t="e">
        <f t="shared" si="9"/>
        <v>#N/A</v>
      </c>
      <c r="I197" s="107" t="str">
        <f t="array" ref="I197">IF(B197&lt;&gt;"",INDEX('Eingabe Meldungen'!$C$2:$J$492,MATCH(B197&amp;C197,'Eingabe Meldungen'!$C$2:$C$492&amp;'Eingabe Meldungen'!$D$2:$D$492,0),8),"")</f>
        <v/>
      </c>
      <c r="J197" s="257"/>
      <c r="K197" s="257"/>
      <c r="L197" s="254"/>
      <c r="M197" s="258"/>
      <c r="T197" s="11"/>
      <c r="Y197" s="15"/>
    </row>
    <row r="198" spans="2:25" ht="12.75" customHeight="1" x14ac:dyDescent="0.2">
      <c r="B198" s="148" t="str">
        <f t="array" ref="B198">IF(ISERROR(INDEX('Eingabe Meldungen'!$C$2:$C$492,LARGE(('Eingabe Meldungen'!$A$2:$A$492=$B$183)*(ROW('Eingabe Meldungen'!$A$2:$A$492)-1),COUNTIF('Eingabe Meldungen'!$A$2:$A$492,$B$183)+1-ROW('Eingabe Meldungen'!A14)))),"",INDEX('Eingabe Meldungen'!$C$2:$C$492,LARGE(('Eingabe Meldungen'!$A$2:$A$492=$B$183)*(ROW('Eingabe Meldungen'!$A$2:$A$492)-1),COUNTIF('Eingabe Meldungen'!$A$2:$A$492,$B$183)+1-ROW('Eingabe Meldungen'!A14))))</f>
        <v/>
      </c>
      <c r="C198" s="40" t="str">
        <f t="array" ref="C198">IF(ISERROR(INDEX('Eingabe Meldungen'!$D$2:$D$492,LARGE(('Eingabe Meldungen'!$A$2:$A$492=$B$183)*(ROW('Eingabe Meldungen'!$A$2:$A$492)-1),COUNTIF('Eingabe Meldungen'!$A$2:$A$492,$B$183)+1-ROW('Eingabe Meldungen'!A14)))),"",INDEX('Eingabe Meldungen'!$D$2:$D$492,LARGE(('Eingabe Meldungen'!$A$2:$A$492=$B$183)*(ROW('Eingabe Meldungen'!$A$2:$A$492)-1),COUNTIF('Eingabe Meldungen'!$A$2:$A$492,$B$183)+1-ROW('Eingabe Meldungen'!A14))))</f>
        <v/>
      </c>
      <c r="D198" s="107" t="str">
        <f t="array" ref="D198">IF(B198&lt;&gt;"",INDEX('Eingabe Meldungen'!$C$2:$H$492,MATCH(B198&amp;C198,'Eingabe Meldungen'!$C$2:$C$492&amp;'Eingabe Meldungen'!$D$2:$D$492,0),6),"")</f>
        <v/>
      </c>
      <c r="E198" s="107" t="str">
        <f t="array" ref="E198">IF(B198&lt;&gt;"",INDEX('Eingabe Meldungen'!$C$2:$H$492,MATCH(B198&amp;C198,'Eingabe Meldungen'!$C$2:$C$492&amp;'Eingabe Meldungen'!$D$2:$D$492,0),4),"")</f>
        <v/>
      </c>
      <c r="F198" s="107"/>
      <c r="G198" s="149"/>
      <c r="H198" s="40" t="e">
        <f t="shared" si="9"/>
        <v>#N/A</v>
      </c>
      <c r="I198" s="107" t="str">
        <f t="array" ref="I198">IF(B198&lt;&gt;"",INDEX('Eingabe Meldungen'!$C$2:$J$492,MATCH(B198&amp;C198,'Eingabe Meldungen'!$C$2:$C$492&amp;'Eingabe Meldungen'!$D$2:$D$492,0),8),"")</f>
        <v/>
      </c>
      <c r="J198" s="257"/>
      <c r="K198" s="257"/>
      <c r="L198" s="254"/>
      <c r="M198" s="258"/>
      <c r="T198" s="11"/>
      <c r="Y198" s="15"/>
    </row>
    <row r="199" spans="2:25" ht="12.75" customHeight="1" x14ac:dyDescent="0.2">
      <c r="B199" s="148" t="str">
        <f t="array" ref="B199">IF(ISERROR(INDEX('Eingabe Meldungen'!$C$2:$C$492,LARGE(('Eingabe Meldungen'!$A$2:$A$492=$B$183)*(ROW('Eingabe Meldungen'!$A$2:$A$492)-1),COUNTIF('Eingabe Meldungen'!$A$2:$A$492,$B$183)+1-ROW('Eingabe Meldungen'!A15)))),"",INDEX('Eingabe Meldungen'!$C$2:$C$492,LARGE(('Eingabe Meldungen'!$A$2:$A$492=$B$183)*(ROW('Eingabe Meldungen'!$A$2:$A$492)-1),COUNTIF('Eingabe Meldungen'!$A$2:$A$492,$B$183)+1-ROW('Eingabe Meldungen'!A15))))</f>
        <v/>
      </c>
      <c r="C199" s="40" t="str">
        <f t="array" ref="C199">IF(ISERROR(INDEX('Eingabe Meldungen'!$D$2:$D$492,LARGE(('Eingabe Meldungen'!$A$2:$A$492=$B$183)*(ROW('Eingabe Meldungen'!$A$2:$A$492)-1),COUNTIF('Eingabe Meldungen'!$A$2:$A$492,$B$183)+1-ROW('Eingabe Meldungen'!A15)))),"",INDEX('Eingabe Meldungen'!$D$2:$D$492,LARGE(('Eingabe Meldungen'!$A$2:$A$492=$B$183)*(ROW('Eingabe Meldungen'!$A$2:$A$492)-1),COUNTIF('Eingabe Meldungen'!$A$2:$A$492,$B$183)+1-ROW('Eingabe Meldungen'!A15))))</f>
        <v/>
      </c>
      <c r="D199" s="107" t="str">
        <f t="array" ref="D199">IF(B199&lt;&gt;"",INDEX('Eingabe Meldungen'!$C$2:$H$492,MATCH(B199&amp;C199,'Eingabe Meldungen'!$C$2:$C$492&amp;'Eingabe Meldungen'!$D$2:$D$492,0),6),"")</f>
        <v/>
      </c>
      <c r="E199" s="107" t="str">
        <f t="array" ref="E199">IF(B199&lt;&gt;"",INDEX('Eingabe Meldungen'!$C$2:$H$492,MATCH(B199&amp;C199,'Eingabe Meldungen'!$C$2:$C$492&amp;'Eingabe Meldungen'!$D$2:$D$492,0),4),"")</f>
        <v/>
      </c>
      <c r="F199" s="107"/>
      <c r="G199" s="149"/>
      <c r="H199" s="40" t="e">
        <f t="shared" si="9"/>
        <v>#N/A</v>
      </c>
      <c r="I199" s="107" t="str">
        <f t="array" ref="I199">IF(B199&lt;&gt;"",INDEX('Eingabe Meldungen'!$C$2:$J$492,MATCH(B199&amp;C199,'Eingabe Meldungen'!$C$2:$C$492&amp;'Eingabe Meldungen'!$D$2:$D$492,0),8),"")</f>
        <v/>
      </c>
      <c r="J199" s="257"/>
      <c r="K199" s="257"/>
      <c r="L199" s="254"/>
      <c r="M199" s="258"/>
      <c r="T199" s="11"/>
      <c r="Y199" s="15"/>
    </row>
    <row r="200" spans="2:25" ht="15" customHeight="1" thickBot="1" x14ac:dyDescent="0.25">
      <c r="B200" s="148" t="str">
        <f t="array" ref="B200">IF(ISERROR(INDEX('Eingabe Meldungen'!$C$2:$C$492,LARGE(('Eingabe Meldungen'!$A$2:$A$492=$B$183)*(ROW('Eingabe Meldungen'!$A$2:$A$492)-1),COUNTIF('Eingabe Meldungen'!$A$2:$A$492,$B$183)+1-ROW('Eingabe Meldungen'!A16)))),"",INDEX('Eingabe Meldungen'!$C$2:$C$492,LARGE(('Eingabe Meldungen'!$A$2:$A$492=$B$183)*(ROW('Eingabe Meldungen'!$A$2:$A$492)-1),COUNTIF('Eingabe Meldungen'!$A$2:$A$492,$B$183)+1-ROW('Eingabe Meldungen'!A16))))</f>
        <v/>
      </c>
      <c r="C200" s="40" t="str">
        <f t="array" ref="C200">IF(ISERROR(INDEX('Eingabe Meldungen'!$D$2:$D$492,LARGE(('Eingabe Meldungen'!$A$2:$A$492=$B$183)*(ROW('Eingabe Meldungen'!$A$2:$A$492)-1),COUNTIF('Eingabe Meldungen'!$A$2:$A$492,$B$183)+1-ROW('Eingabe Meldungen'!A16)))),"",INDEX('Eingabe Meldungen'!$D$2:$D$492,LARGE(('Eingabe Meldungen'!$A$2:$A$492=$B$183)*(ROW('Eingabe Meldungen'!$A$2:$A$492)-1),COUNTIF('Eingabe Meldungen'!$A$2:$A$492,$B$183)+1-ROW('Eingabe Meldungen'!A16))))</f>
        <v/>
      </c>
      <c r="D200" s="107" t="str">
        <f t="array" ref="D200">IF(B200&lt;&gt;"",INDEX('Eingabe Meldungen'!$C$2:$H$492,MATCH(B200&amp;C200,'Eingabe Meldungen'!$C$2:$C$492&amp;'Eingabe Meldungen'!$D$2:$D$492,0),6),"")</f>
        <v/>
      </c>
      <c r="E200" s="107" t="str">
        <f t="array" ref="E200">IF(B200&lt;&gt;"",INDEX('Eingabe Meldungen'!$C$2:$H$492,MATCH(B200&amp;C200,'Eingabe Meldungen'!$C$2:$C$492&amp;'Eingabe Meldungen'!$D$2:$D$492,0),4),"")</f>
        <v/>
      </c>
      <c r="F200" s="107"/>
      <c r="G200" s="149"/>
      <c r="H200" s="40" t="e">
        <f t="shared" si="9"/>
        <v>#N/A</v>
      </c>
      <c r="I200" s="107" t="str">
        <f t="array" ref="I200">IF(B200&lt;&gt;"",INDEX('Eingabe Meldungen'!$C$2:$J$492,MATCH(B200&amp;C200,'Eingabe Meldungen'!$C$2:$C$492&amp;'Eingabe Meldungen'!$D$2:$D$492,0),8),"")</f>
        <v/>
      </c>
      <c r="J200" s="259"/>
      <c r="K200" s="259"/>
      <c r="L200" s="260"/>
      <c r="M200" s="261"/>
      <c r="T200" s="11"/>
      <c r="Y200" s="15"/>
    </row>
    <row r="201" spans="2:25" ht="27" hidden="1" customHeight="1" x14ac:dyDescent="0.2">
      <c r="B201" s="124">
        <f>B183+1</f>
        <v>12</v>
      </c>
      <c r="C201" s="125" t="str">
        <f>VLOOKUP(B201,Ausschreibung!$B$5:$I$35,2,FALSE)</f>
        <v>Ergocup</v>
      </c>
      <c r="D201" s="126">
        <f>VLOOKUP(B201,Ausschreibung!$B$5:$I$35,3,FALSE)</f>
        <v>0.57638888888888873</v>
      </c>
      <c r="E201" s="125" t="str">
        <f>VLOOKUP(B201,Ausschreibung!$B$5:$I$35,4,FALSE)</f>
        <v>Juniorinnen B U17</v>
      </c>
      <c r="F201" s="125" t="str">
        <f>VLOOKUP(B201,Ausschreibung!$B$5:$I$35,5,FALSE)</f>
        <v>-</v>
      </c>
      <c r="G201" s="125" t="str">
        <f>VLOOKUP(B201,Ausschreibung!$B$5:$I$35,6,FALSE)</f>
        <v>15-16</v>
      </c>
      <c r="H201" s="125" t="str">
        <f>VLOOKUP(B201,Ausschreibung!$B$5:$I$35,8,FALSE)</f>
        <v>1500 m</v>
      </c>
      <c r="I201" s="125" t="s">
        <v>30</v>
      </c>
      <c r="J201" s="125"/>
      <c r="K201" s="155"/>
      <c r="L201" s="156"/>
      <c r="M201" s="157"/>
      <c r="T201" s="11"/>
      <c r="W201" s="6"/>
      <c r="X201" s="9"/>
      <c r="Y201" s="8"/>
    </row>
    <row r="202" spans="2:25" ht="13.2" hidden="1" thickBot="1" x14ac:dyDescent="0.25">
      <c r="B202" s="111" t="s">
        <v>1</v>
      </c>
      <c r="C202" s="104" t="s">
        <v>2</v>
      </c>
      <c r="D202" s="103" t="s">
        <v>49</v>
      </c>
      <c r="E202" s="146" t="s">
        <v>16</v>
      </c>
      <c r="F202" s="103" t="s">
        <v>18</v>
      </c>
      <c r="G202" s="105" t="s">
        <v>50</v>
      </c>
      <c r="H202" s="103" t="s">
        <v>51</v>
      </c>
      <c r="I202" s="106" t="s">
        <v>17</v>
      </c>
      <c r="J202" s="103"/>
      <c r="K202" s="40"/>
      <c r="L202" s="151"/>
      <c r="M202" s="147"/>
      <c r="T202" s="11"/>
      <c r="Y202" s="15"/>
    </row>
    <row r="203" spans="2:25" ht="13.2" hidden="1" thickBot="1" x14ac:dyDescent="0.25">
      <c r="B203" s="148" t="str">
        <f t="array" ref="B203">IF(ISERROR(INDEX('Eingabe Meldungen'!$C$2:$C$492,LARGE(('Eingabe Meldungen'!$A$2:$A$492=$B$201)*(ROW('Eingabe Meldungen'!$A$2:$A$492)-1),COUNTIF('Eingabe Meldungen'!$A$2:$A$492,$B$201)+1-ROW('Eingabe Meldungen'!A1)))),"",INDEX('Eingabe Meldungen'!$C$2:$C$492,LARGE(('Eingabe Meldungen'!$A$2:$A$492=$B$201)*(ROW('Eingabe Meldungen'!$A$2:$A$492)-1),COUNTIF('Eingabe Meldungen'!$A$2:$A$492,$B$201)+1-ROW('Eingabe Meldungen'!A1))))</f>
        <v>Bitz</v>
      </c>
      <c r="C203" s="40" t="str">
        <f t="array" ref="C203">IF(ISERROR(INDEX('Eingabe Meldungen'!$D$2:$D$492,LARGE(('Eingabe Meldungen'!$A$2:$A$492=$B$201)*(ROW('Eingabe Meldungen'!$A$2:$A$492)-1),COUNTIF('Eingabe Meldungen'!$A$2:$A$492,$B$201)+1-ROW('Eingabe Meldungen'!A1)))),"",INDEX('Eingabe Meldungen'!$D$2:$D$492,LARGE(('Eingabe Meldungen'!$A$2:$A$492=$B$201)*(ROW('Eingabe Meldungen'!$A$2:$A$492)-1),COUNTIF('Eingabe Meldungen'!$A$2:$A$492,$B$201)+1-ROW('Eingabe Meldungen'!A1))))</f>
        <v>Amelie</v>
      </c>
      <c r="D203" s="107">
        <f t="array" ref="D203">IF(B203&lt;&gt;"",INDEX('Eingabe Meldungen'!$C$2:$H$492,MATCH(B203&amp;C203,'Eingabe Meldungen'!$C$2:$C$492&amp;'Eingabe Meldungen'!$D$2:$D$492,0),6),"")</f>
        <v>2004</v>
      </c>
      <c r="E203" s="107" t="str">
        <f t="array" ref="E203">IF(B203&lt;&gt;"",INDEX('Eingabe Meldungen'!$C$2:$H$492,MATCH(B203&amp;C203,'Eingabe Meldungen'!$C$2:$C$492&amp;'Eingabe Meldungen'!$D$2:$D$492,0),4),"")</f>
        <v>-</v>
      </c>
      <c r="F203" s="107">
        <v>1</v>
      </c>
      <c r="G203" s="149"/>
      <c r="H203" s="40" t="e">
        <f>RANK(G203,$G$203:$G$218,1)</f>
        <v>#N/A</v>
      </c>
      <c r="I203" s="107" t="str">
        <f t="array" ref="I203">IF(B203&lt;&gt;"",INDEX('Eingabe Meldungen'!$C$2:$J$492,MATCH(B203&amp;C203,'Eingabe Meldungen'!$C$2:$C$492&amp;'Eingabe Meldungen'!$D$2:$D$492,0),8),"")</f>
        <v>Marbacher Ruderverein</v>
      </c>
      <c r="J203" s="40"/>
      <c r="K203" s="40"/>
      <c r="L203" s="151"/>
      <c r="M203" s="147"/>
      <c r="T203" s="11"/>
      <c r="Y203" s="15"/>
    </row>
    <row r="204" spans="2:25" ht="13.2" hidden="1" thickBot="1" x14ac:dyDescent="0.25">
      <c r="B204" s="148" t="str">
        <f t="array" ref="B204">IF(ISERROR(INDEX('Eingabe Meldungen'!$C$2:$C$492,LARGE(('Eingabe Meldungen'!$A$2:$A$492=$B$201)*(ROW('Eingabe Meldungen'!$A$2:$A$492)-1),COUNTIF('Eingabe Meldungen'!$A$2:$A$492,$B$201)+1-ROW('Eingabe Meldungen'!A2)))),"",INDEX('Eingabe Meldungen'!$C$2:$C$492,LARGE(('Eingabe Meldungen'!$A$2:$A$492=$B$201)*(ROW('Eingabe Meldungen'!$A$2:$A$492)-1),COUNTIF('Eingabe Meldungen'!$A$2:$A$492,$B$201)+1-ROW('Eingabe Meldungen'!A2))))</f>
        <v>Nüchter</v>
      </c>
      <c r="C204" s="40" t="str">
        <f t="array" ref="C204">IF(ISERROR(INDEX('Eingabe Meldungen'!$D$2:$D$492,LARGE(('Eingabe Meldungen'!$A$2:$A$492=$B$201)*(ROW('Eingabe Meldungen'!$A$2:$A$492)-1),COUNTIF('Eingabe Meldungen'!$A$2:$A$492,$B$201)+1-ROW('Eingabe Meldungen'!A2)))),"",INDEX('Eingabe Meldungen'!$D$2:$D$492,LARGE(('Eingabe Meldungen'!$A$2:$A$492=$B$201)*(ROW('Eingabe Meldungen'!$A$2:$A$492)-1),COUNTIF('Eingabe Meldungen'!$A$2:$A$492,$B$201)+1-ROW('Eingabe Meldungen'!A2))))</f>
        <v>Fine-Marie</v>
      </c>
      <c r="D204" s="107">
        <f t="array" ref="D204">IF(B204&lt;&gt;"",INDEX('Eingabe Meldungen'!$C$2:$H$492,MATCH(B204&amp;C204,'Eingabe Meldungen'!$C$2:$C$492&amp;'Eingabe Meldungen'!$D$2:$D$492,0),6),"")</f>
        <v>2004</v>
      </c>
      <c r="E204" s="107" t="str">
        <f t="array" ref="E204">IF(B204&lt;&gt;"",INDEX('Eingabe Meldungen'!$C$2:$H$492,MATCH(B204&amp;C204,'Eingabe Meldungen'!$C$2:$C$492&amp;'Eingabe Meldungen'!$D$2:$D$492,0),4),"")</f>
        <v>-</v>
      </c>
      <c r="F204" s="39">
        <v>2</v>
      </c>
      <c r="G204" s="149"/>
      <c r="H204" s="40" t="e">
        <f t="shared" ref="H204:H218" si="10">RANK(G204,$G$203:$G$218,1)</f>
        <v>#N/A</v>
      </c>
      <c r="I204" s="107" t="str">
        <f t="array" ref="I204">IF(B204&lt;&gt;"",INDEX('Eingabe Meldungen'!$C$2:$J$492,MATCH(B204&amp;C204,'Eingabe Meldungen'!$C$2:$C$492&amp;'Eingabe Meldungen'!$D$2:$D$492,0),8),"")</f>
        <v>Schweinfurter Ruder-Club Franken</v>
      </c>
      <c r="J204" s="40"/>
      <c r="K204" s="40"/>
      <c r="L204" s="151"/>
      <c r="M204" s="147"/>
      <c r="N204" s="11"/>
      <c r="O204" s="11"/>
      <c r="P204" s="15"/>
      <c r="Q204" s="11"/>
      <c r="S204" s="11"/>
      <c r="T204" s="11"/>
      <c r="Y204" s="15"/>
    </row>
    <row r="205" spans="2:25" ht="13.2" hidden="1" thickBot="1" x14ac:dyDescent="0.25">
      <c r="B205" s="148" t="str">
        <f t="array" ref="B205">IF(ISERROR(INDEX('Eingabe Meldungen'!$C$2:$C$492,LARGE(('Eingabe Meldungen'!$A$2:$A$492=$B$201)*(ROW('Eingabe Meldungen'!$A$2:$A$492)-1),COUNTIF('Eingabe Meldungen'!$A$2:$A$492,$B$201)+1-ROW('Eingabe Meldungen'!A3)))),"",INDEX('Eingabe Meldungen'!$C$2:$C$492,LARGE(('Eingabe Meldungen'!$A$2:$A$492=$B$201)*(ROW('Eingabe Meldungen'!$A$2:$A$492)-1),COUNTIF('Eingabe Meldungen'!$A$2:$A$492,$B$201)+1-ROW('Eingabe Meldungen'!A3))))</f>
        <v>Schmidt</v>
      </c>
      <c r="C205" s="40" t="str">
        <f t="array" ref="C205">IF(ISERROR(INDEX('Eingabe Meldungen'!$D$2:$D$492,LARGE(('Eingabe Meldungen'!$A$2:$A$492=$B$201)*(ROW('Eingabe Meldungen'!$A$2:$A$492)-1),COUNTIF('Eingabe Meldungen'!$A$2:$A$492,$B$201)+1-ROW('Eingabe Meldungen'!A3)))),"",INDEX('Eingabe Meldungen'!$D$2:$D$492,LARGE(('Eingabe Meldungen'!$A$2:$A$492=$B$201)*(ROW('Eingabe Meldungen'!$A$2:$A$492)-1),COUNTIF('Eingabe Meldungen'!$A$2:$A$492,$B$201)+1-ROW('Eingabe Meldungen'!A3))))</f>
        <v>Johanna</v>
      </c>
      <c r="D205" s="107">
        <f t="array" ref="D205">IF(B205&lt;&gt;"",INDEX('Eingabe Meldungen'!$C$2:$H$492,MATCH(B205&amp;C205,'Eingabe Meldungen'!$C$2:$C$492&amp;'Eingabe Meldungen'!$D$2:$D$492,0),6),"")</f>
        <v>2004</v>
      </c>
      <c r="E205" s="107" t="str">
        <f t="array" ref="E205">IF(B205&lt;&gt;"",INDEX('Eingabe Meldungen'!$C$2:$H$492,MATCH(B205&amp;C205,'Eingabe Meldungen'!$C$2:$C$492&amp;'Eingabe Meldungen'!$D$2:$D$492,0),4),"")</f>
        <v>-</v>
      </c>
      <c r="F205" s="39">
        <v>3</v>
      </c>
      <c r="G205" s="150"/>
      <c r="H205" s="40" t="e">
        <f t="shared" si="10"/>
        <v>#N/A</v>
      </c>
      <c r="I205" s="107" t="str">
        <f t="array" ref="I205">IF(B205&lt;&gt;"",INDEX('Eingabe Meldungen'!$C$2:$J$492,MATCH(B205&amp;C205,'Eingabe Meldungen'!$C$2:$C$492&amp;'Eingabe Meldungen'!$D$2:$D$492,0),8),"")</f>
        <v>Marbacher Ruderverein</v>
      </c>
      <c r="J205" s="40"/>
      <c r="K205" s="40"/>
      <c r="L205" s="151"/>
      <c r="M205" s="147"/>
      <c r="N205" s="11"/>
      <c r="O205" s="11"/>
      <c r="P205" s="15"/>
      <c r="Q205" s="11"/>
      <c r="S205" s="11"/>
      <c r="T205" s="11"/>
      <c r="Y205" s="15"/>
    </row>
    <row r="206" spans="2:25" ht="13.2" hidden="1" thickBot="1" x14ac:dyDescent="0.25">
      <c r="B206" s="148" t="str">
        <f t="array" ref="B206">IF(ISERROR(INDEX('Eingabe Meldungen'!$C$2:$C$492,LARGE(('Eingabe Meldungen'!$A$2:$A$492=$B$201)*(ROW('Eingabe Meldungen'!$A$2:$A$492)-1),COUNTIF('Eingabe Meldungen'!$A$2:$A$492,$B$201)+1-ROW('Eingabe Meldungen'!A4)))),"",INDEX('Eingabe Meldungen'!$C$2:$C$492,LARGE(('Eingabe Meldungen'!$A$2:$A$492=$B$201)*(ROW('Eingabe Meldungen'!$A$2:$A$492)-1),COUNTIF('Eingabe Meldungen'!$A$2:$A$492,$B$201)+1-ROW('Eingabe Meldungen'!A4))))</f>
        <v>Juschka</v>
      </c>
      <c r="C206" s="40" t="str">
        <f t="array" ref="C206">IF(ISERROR(INDEX('Eingabe Meldungen'!$D$2:$D$492,LARGE(('Eingabe Meldungen'!$A$2:$A$492=$B$201)*(ROW('Eingabe Meldungen'!$A$2:$A$492)-1),COUNTIF('Eingabe Meldungen'!$A$2:$A$492,$B$201)+1-ROW('Eingabe Meldungen'!A4)))),"",INDEX('Eingabe Meldungen'!$D$2:$D$492,LARGE(('Eingabe Meldungen'!$A$2:$A$492=$B$201)*(ROW('Eingabe Meldungen'!$A$2:$A$492)-1),COUNTIF('Eingabe Meldungen'!$A$2:$A$492,$B$201)+1-ROW('Eingabe Meldungen'!A4))))</f>
        <v>Kathrin</v>
      </c>
      <c r="D206" s="107">
        <f t="array" ref="D206">IF(B206&lt;&gt;"",INDEX('Eingabe Meldungen'!$C$2:$H$492,MATCH(B206&amp;C206,'Eingabe Meldungen'!$C$2:$C$492&amp;'Eingabe Meldungen'!$D$2:$D$492,0),6),"")</f>
        <v>2004</v>
      </c>
      <c r="E206" s="107" t="str">
        <f t="array" ref="E206">IF(B206&lt;&gt;"",INDEX('Eingabe Meldungen'!$C$2:$H$492,MATCH(B206&amp;C206,'Eingabe Meldungen'!$C$2:$C$492&amp;'Eingabe Meldungen'!$D$2:$D$492,0),4),"")</f>
        <v>-</v>
      </c>
      <c r="F206" s="39">
        <v>4</v>
      </c>
      <c r="G206" s="150"/>
      <c r="H206" s="40" t="e">
        <f t="shared" si="10"/>
        <v>#N/A</v>
      </c>
      <c r="I206" s="107" t="str">
        <f t="array" ref="I206">IF(B206&lt;&gt;"",INDEX('Eingabe Meldungen'!$C$2:$J$492,MATCH(B206&amp;C206,'Eingabe Meldungen'!$C$2:$C$492&amp;'Eingabe Meldungen'!$D$2:$D$492,0),8),"")</f>
        <v>RG Eberbach</v>
      </c>
      <c r="J206" s="40"/>
      <c r="K206" s="40"/>
      <c r="L206" s="151"/>
      <c r="M206" s="147"/>
      <c r="N206" s="11"/>
      <c r="O206" s="11"/>
      <c r="P206" s="15"/>
      <c r="Q206" s="11"/>
      <c r="S206" s="11"/>
      <c r="T206" s="11"/>
      <c r="Y206" s="15"/>
    </row>
    <row r="207" spans="2:25" ht="13.2" hidden="1" thickBot="1" x14ac:dyDescent="0.25">
      <c r="B207" s="148" t="str">
        <f t="array" ref="B207">IF(ISERROR(INDEX('Eingabe Meldungen'!$C$2:$C$492,LARGE(('Eingabe Meldungen'!$A$2:$A$492=$B$201)*(ROW('Eingabe Meldungen'!$A$2:$A$492)-1),COUNTIF('Eingabe Meldungen'!$A$2:$A$492,$B$201)+1-ROW('Eingabe Meldungen'!A5)))),"",INDEX('Eingabe Meldungen'!$C$2:$C$492,LARGE(('Eingabe Meldungen'!$A$2:$A$492=$B$201)*(ROW('Eingabe Meldungen'!$A$2:$A$492)-1),COUNTIF('Eingabe Meldungen'!$A$2:$A$492,$B$201)+1-ROW('Eingabe Meldungen'!A5))))</f>
        <v>Hentschel</v>
      </c>
      <c r="C207" s="40" t="str">
        <f t="array" ref="C207">IF(ISERROR(INDEX('Eingabe Meldungen'!$D$2:$D$492,LARGE(('Eingabe Meldungen'!$A$2:$A$492=$B$201)*(ROW('Eingabe Meldungen'!$A$2:$A$492)-1),COUNTIF('Eingabe Meldungen'!$A$2:$A$492,$B$201)+1-ROW('Eingabe Meldungen'!A5)))),"",INDEX('Eingabe Meldungen'!$D$2:$D$492,LARGE(('Eingabe Meldungen'!$A$2:$A$492=$B$201)*(ROW('Eingabe Meldungen'!$A$2:$A$492)-1),COUNTIF('Eingabe Meldungen'!$A$2:$A$492,$B$201)+1-ROW('Eingabe Meldungen'!A5))))</f>
        <v>Lina</v>
      </c>
      <c r="D207" s="107">
        <f t="array" ref="D207">IF(B207&lt;&gt;"",INDEX('Eingabe Meldungen'!$C$2:$H$492,MATCH(B207&amp;C207,'Eingabe Meldungen'!$C$2:$C$492&amp;'Eingabe Meldungen'!$D$2:$D$492,0),6),"")</f>
        <v>2004</v>
      </c>
      <c r="E207" s="107" t="str">
        <f t="array" ref="E207">IF(B207&lt;&gt;"",INDEX('Eingabe Meldungen'!$C$2:$H$492,MATCH(B207&amp;C207,'Eingabe Meldungen'!$C$2:$C$492&amp;'Eingabe Meldungen'!$D$2:$D$492,0),4),"")</f>
        <v>-</v>
      </c>
      <c r="F207" s="39">
        <v>5</v>
      </c>
      <c r="G207" s="150"/>
      <c r="H207" s="40" t="e">
        <f t="shared" si="10"/>
        <v>#N/A</v>
      </c>
      <c r="I207" s="107" t="str">
        <f t="array" ref="I207">IF(B207&lt;&gt;"",INDEX('Eingabe Meldungen'!$C$2:$J$492,MATCH(B207&amp;C207,'Eingabe Meldungen'!$C$2:$C$492&amp;'Eingabe Meldungen'!$D$2:$D$492,0),8),"")</f>
        <v>Marbacher Ruderverein</v>
      </c>
      <c r="J207" s="40"/>
      <c r="K207" s="40"/>
      <c r="L207" s="151"/>
      <c r="M207" s="147"/>
      <c r="N207" s="11"/>
      <c r="O207" s="11"/>
      <c r="P207" s="15"/>
      <c r="Q207" s="11"/>
      <c r="S207" s="11"/>
      <c r="T207" s="11"/>
      <c r="Y207" s="15"/>
    </row>
    <row r="208" spans="2:25" ht="13.2" hidden="1" thickBot="1" x14ac:dyDescent="0.25">
      <c r="B208" s="148" t="str">
        <f t="array" ref="B208">IF(ISERROR(INDEX('Eingabe Meldungen'!$C$2:$C$492,LARGE(('Eingabe Meldungen'!$A$2:$A$492=$B$201)*(ROW('Eingabe Meldungen'!$A$2:$A$492)-1),COUNTIF('Eingabe Meldungen'!$A$2:$A$492,$B$201)+1-ROW('Eingabe Meldungen'!A6)))),"",INDEX('Eingabe Meldungen'!$C$2:$C$492,LARGE(('Eingabe Meldungen'!$A$2:$A$492=$B$201)*(ROW('Eingabe Meldungen'!$A$2:$A$492)-1),COUNTIF('Eingabe Meldungen'!$A$2:$A$492,$B$201)+1-ROW('Eingabe Meldungen'!A6))))</f>
        <v>Grün</v>
      </c>
      <c r="C208" s="40" t="str">
        <f t="array" ref="C208">IF(ISERROR(INDEX('Eingabe Meldungen'!$D$2:$D$492,LARGE(('Eingabe Meldungen'!$A$2:$A$492=$B$201)*(ROW('Eingabe Meldungen'!$A$2:$A$492)-1),COUNTIF('Eingabe Meldungen'!$A$2:$A$492,$B$201)+1-ROW('Eingabe Meldungen'!A6)))),"",INDEX('Eingabe Meldungen'!$D$2:$D$492,LARGE(('Eingabe Meldungen'!$A$2:$A$492=$B$201)*(ROW('Eingabe Meldungen'!$A$2:$A$492)-1),COUNTIF('Eingabe Meldungen'!$A$2:$A$492,$B$201)+1-ROW('Eingabe Meldungen'!A6))))</f>
        <v>Maya</v>
      </c>
      <c r="D208" s="107">
        <f t="array" ref="D208">IF(B208&lt;&gt;"",INDEX('Eingabe Meldungen'!$C$2:$H$492,MATCH(B208&amp;C208,'Eingabe Meldungen'!$C$2:$C$492&amp;'Eingabe Meldungen'!$D$2:$D$492,0),6),"")</f>
        <v>2004</v>
      </c>
      <c r="E208" s="107" t="str">
        <f t="array" ref="E208">IF(B208&lt;&gt;"",INDEX('Eingabe Meldungen'!$C$2:$H$492,MATCH(B208&amp;C208,'Eingabe Meldungen'!$C$2:$C$492&amp;'Eingabe Meldungen'!$D$2:$D$492,0),4),"")</f>
        <v>-</v>
      </c>
      <c r="F208" s="39">
        <v>6</v>
      </c>
      <c r="G208" s="150"/>
      <c r="H208" s="40" t="e">
        <f t="shared" si="10"/>
        <v>#N/A</v>
      </c>
      <c r="I208" s="107" t="str">
        <f t="array" ref="I208">IF(B208&lt;&gt;"",INDEX('Eingabe Meldungen'!$C$2:$J$492,MATCH(B208&amp;C208,'Eingabe Meldungen'!$C$2:$C$492&amp;'Eingabe Meldungen'!$D$2:$D$492,0),8),"")</f>
        <v>HRG Schwaben</v>
      </c>
      <c r="J208" s="40"/>
      <c r="K208" s="40"/>
      <c r="L208" s="151"/>
      <c r="M208" s="147"/>
      <c r="N208" s="11"/>
      <c r="O208" s="11"/>
      <c r="P208" s="15"/>
      <c r="Q208" s="11"/>
      <c r="S208" s="11"/>
      <c r="T208" s="11"/>
      <c r="Y208" s="15"/>
    </row>
    <row r="209" spans="2:25" ht="13.2" hidden="1" thickBot="1" x14ac:dyDescent="0.25">
      <c r="B209" s="148" t="str">
        <f t="array" ref="B209">IF(ISERROR(INDEX('Eingabe Meldungen'!$C$2:$C$492,LARGE(('Eingabe Meldungen'!$A$2:$A$492=$B$201)*(ROW('Eingabe Meldungen'!$A$2:$A$492)-1),COUNTIF('Eingabe Meldungen'!$A$2:$A$492,$B$201)+1-ROW('Eingabe Meldungen'!A8)))),"",INDEX('Eingabe Meldungen'!$C$2:$C$492,LARGE(('Eingabe Meldungen'!$A$2:$A$492=$B$201)*(ROW('Eingabe Meldungen'!$A$2:$A$492)-1),COUNTIF('Eingabe Meldungen'!$A$2:$A$492,$B$201)+1-ROW('Eingabe Meldungen'!A8))))</f>
        <v>Berner</v>
      </c>
      <c r="C209" s="40" t="str">
        <f t="array" ref="C209">IF(ISERROR(INDEX('Eingabe Meldungen'!$D$2:$D$492,LARGE(('Eingabe Meldungen'!$A$2:$A$492=$B$201)*(ROW('Eingabe Meldungen'!$A$2:$A$492)-1),COUNTIF('Eingabe Meldungen'!$A$2:$A$492,$B$201)+1-ROW('Eingabe Meldungen'!A8)))),"",INDEX('Eingabe Meldungen'!$D$2:$D$492,LARGE(('Eingabe Meldungen'!$A$2:$A$492=$B$201)*(ROW('Eingabe Meldungen'!$A$2:$A$492)-1),COUNTIF('Eingabe Meldungen'!$A$2:$A$492,$B$201)+1-ROW('Eingabe Meldungen'!A8))))</f>
        <v>Sandra</v>
      </c>
      <c r="D209" s="107">
        <f t="array" ref="D209">IF(B209&lt;&gt;"",INDEX('Eingabe Meldungen'!$C$2:$H$492,MATCH(B209&amp;C209,'Eingabe Meldungen'!$C$2:$C$492&amp;'Eingabe Meldungen'!$D$2:$D$492,0),6),"")</f>
        <v>2004</v>
      </c>
      <c r="E209" s="107" t="str">
        <f t="array" ref="E209">IF(B209&lt;&gt;"",INDEX('Eingabe Meldungen'!$C$2:$H$492,MATCH(B209&amp;C209,'Eingabe Meldungen'!$C$2:$C$492&amp;'Eingabe Meldungen'!$D$2:$D$492,0),4),"")</f>
        <v>-</v>
      </c>
      <c r="F209" s="39">
        <v>7</v>
      </c>
      <c r="G209" s="150"/>
      <c r="H209" s="40" t="e">
        <f t="shared" si="10"/>
        <v>#N/A</v>
      </c>
      <c r="I209" s="107" t="str">
        <f t="array" ref="I209">IF(B209&lt;&gt;"",INDEX('Eingabe Meldungen'!$C$2:$J$492,MATCH(B209&amp;C209,'Eingabe Meldungen'!$C$2:$C$492&amp;'Eingabe Meldungen'!$D$2:$D$492,0),8),"")</f>
        <v>RG Eberbach</v>
      </c>
      <c r="J209" s="40"/>
      <c r="K209" s="40"/>
      <c r="L209" s="151"/>
      <c r="M209" s="147"/>
      <c r="N209" s="11"/>
      <c r="O209" s="11"/>
      <c r="P209" s="15"/>
      <c r="Q209" s="11"/>
      <c r="S209" s="11"/>
      <c r="T209" s="11"/>
      <c r="Y209" s="15"/>
    </row>
    <row r="210" spans="2:25" ht="13.2" hidden="1" thickBot="1" x14ac:dyDescent="0.25">
      <c r="B210" s="148" t="str">
        <f t="array" ref="B210">IF(ISERROR(INDEX('Eingabe Meldungen'!$C$2:$C$492,LARGE(('Eingabe Meldungen'!$A$2:$A$492=$B$201)*(ROW('Eingabe Meldungen'!$A$2:$A$492)-1),COUNTIF('Eingabe Meldungen'!$A$2:$A$492,$B$201)+1-ROW('Eingabe Meldungen'!A9)))),"",INDEX('Eingabe Meldungen'!$C$2:$C$492,LARGE(('Eingabe Meldungen'!$A$2:$A$492=$B$201)*(ROW('Eingabe Meldungen'!$A$2:$A$492)-1),COUNTIF('Eingabe Meldungen'!$A$2:$A$492,$B$201)+1-ROW('Eingabe Meldungen'!A9))))</f>
        <v>Nothelfer</v>
      </c>
      <c r="C210" s="40" t="str">
        <f t="array" ref="C210">IF(ISERROR(INDEX('Eingabe Meldungen'!$D$2:$D$492,LARGE(('Eingabe Meldungen'!$A$2:$A$492=$B$201)*(ROW('Eingabe Meldungen'!$A$2:$A$492)-1),COUNTIF('Eingabe Meldungen'!$A$2:$A$492,$B$201)+1-ROW('Eingabe Meldungen'!A9)))),"",INDEX('Eingabe Meldungen'!$D$2:$D$492,LARGE(('Eingabe Meldungen'!$A$2:$A$492=$B$201)*(ROW('Eingabe Meldungen'!$A$2:$A$492)-1),COUNTIF('Eingabe Meldungen'!$A$2:$A$492,$B$201)+1-ROW('Eingabe Meldungen'!A9))))</f>
        <v>Alisa</v>
      </c>
      <c r="D210" s="107">
        <f t="array" ref="D210">IF(B210&lt;&gt;"",INDEX('Eingabe Meldungen'!$C$2:$H$492,MATCH(B210&amp;C210,'Eingabe Meldungen'!$C$2:$C$492&amp;'Eingabe Meldungen'!$D$2:$D$492,0),6),"")</f>
        <v>2005</v>
      </c>
      <c r="E210" s="107" t="str">
        <f t="array" ref="E210">IF(B210&lt;&gt;"",INDEX('Eingabe Meldungen'!$C$2:$H$492,MATCH(B210&amp;C210,'Eingabe Meldungen'!$C$2:$C$492&amp;'Eingabe Meldungen'!$D$2:$D$492,0),4),"")</f>
        <v>-</v>
      </c>
      <c r="F210" s="39">
        <v>8</v>
      </c>
      <c r="G210" s="150"/>
      <c r="H210" s="40" t="e">
        <f t="shared" si="10"/>
        <v>#N/A</v>
      </c>
      <c r="I210" s="107" t="str">
        <f t="array" ref="I210">IF(B210&lt;&gt;"",INDEX('Eingabe Meldungen'!$C$2:$J$492,MATCH(B210&amp;C210,'Eingabe Meldungen'!$C$2:$C$492&amp;'Eingabe Meldungen'!$D$2:$D$492,0),8),"")</f>
        <v>RV Waldsee</v>
      </c>
      <c r="J210" s="40"/>
      <c r="K210" s="40"/>
      <c r="L210" s="151"/>
      <c r="M210" s="147"/>
      <c r="N210" s="11"/>
      <c r="O210" s="11"/>
      <c r="P210" s="15"/>
      <c r="Q210" s="11"/>
      <c r="S210" s="11"/>
      <c r="T210" s="11"/>
      <c r="Y210" s="15"/>
    </row>
    <row r="211" spans="2:25" ht="13.2" hidden="1" thickBot="1" x14ac:dyDescent="0.25">
      <c r="B211" s="148" t="str">
        <f t="array" ref="B211">IF(ISERROR(INDEX('Eingabe Meldungen'!$C$2:$C$492,LARGE(('Eingabe Meldungen'!$A$2:$A$492=$B$201)*(ROW('Eingabe Meldungen'!$A$2:$A$492)-1),COUNTIF('Eingabe Meldungen'!$A$2:$A$492,$B$201)+1-ROW('Eingabe Meldungen'!A10)))),"",INDEX('Eingabe Meldungen'!$C$2:$C$492,LARGE(('Eingabe Meldungen'!$A$2:$A$492=$B$201)*(ROW('Eingabe Meldungen'!$A$2:$A$492)-1),COUNTIF('Eingabe Meldungen'!$A$2:$A$492,$B$201)+1-ROW('Eingabe Meldungen'!A10))))</f>
        <v>Snyman</v>
      </c>
      <c r="C211" s="40" t="str">
        <f t="array" ref="C211">IF(ISERROR(INDEX('Eingabe Meldungen'!$D$2:$D$492,LARGE(('Eingabe Meldungen'!$A$2:$A$492=$B$201)*(ROW('Eingabe Meldungen'!$A$2:$A$492)-1),COUNTIF('Eingabe Meldungen'!$A$2:$A$492,$B$201)+1-ROW('Eingabe Meldungen'!A10)))),"",INDEX('Eingabe Meldungen'!$D$2:$D$492,LARGE(('Eingabe Meldungen'!$A$2:$A$492=$B$201)*(ROW('Eingabe Meldungen'!$A$2:$A$492)-1),COUNTIF('Eingabe Meldungen'!$A$2:$A$492,$B$201)+1-ROW('Eingabe Meldungen'!A10))))</f>
        <v>Meaghan</v>
      </c>
      <c r="D211" s="107">
        <f t="array" ref="D211">IF(B211&lt;&gt;"",INDEX('Eingabe Meldungen'!$C$2:$H$492,MATCH(B211&amp;C211,'Eingabe Meldungen'!$C$2:$C$492&amp;'Eingabe Meldungen'!$D$2:$D$492,0),6),"")</f>
        <v>2005</v>
      </c>
      <c r="E211" s="107" t="str">
        <f t="array" ref="E211">IF(B211&lt;&gt;"",INDEX('Eingabe Meldungen'!$C$2:$H$492,MATCH(B211&amp;C211,'Eingabe Meldungen'!$C$2:$C$492&amp;'Eingabe Meldungen'!$D$2:$D$492,0),4),"")</f>
        <v>-</v>
      </c>
      <c r="F211" s="39">
        <v>9</v>
      </c>
      <c r="G211" s="150"/>
      <c r="H211" s="40" t="e">
        <f t="shared" si="10"/>
        <v>#N/A</v>
      </c>
      <c r="I211" s="107" t="str">
        <f t="array" ref="I211">IF(B211&lt;&gt;"",INDEX('Eingabe Meldungen'!$C$2:$J$492,MATCH(B211&amp;C211,'Eingabe Meldungen'!$C$2:$C$492&amp;'Eingabe Meldungen'!$D$2:$D$492,0),8),"")</f>
        <v>RG Eberbach</v>
      </c>
      <c r="J211" s="40"/>
      <c r="K211" s="40"/>
      <c r="L211" s="151"/>
      <c r="M211" s="147"/>
      <c r="N211" s="11"/>
      <c r="O211" s="11"/>
      <c r="P211" s="15"/>
      <c r="Q211" s="11"/>
      <c r="S211" s="11"/>
      <c r="T211" s="11"/>
      <c r="Y211" s="15"/>
    </row>
    <row r="212" spans="2:25" ht="13.2" hidden="1" thickBot="1" x14ac:dyDescent="0.25">
      <c r="B212" s="148" t="str">
        <f t="array" ref="B212">IF(ISERROR(INDEX('Eingabe Meldungen'!$C$2:$C$492,LARGE(('Eingabe Meldungen'!$A$2:$A$492=$B$201)*(ROW('Eingabe Meldungen'!$A$2:$A$492)-1),COUNTIF('Eingabe Meldungen'!$A$2:$A$492,$B$201)+1-ROW('Eingabe Meldungen'!A11)))),"",INDEX('Eingabe Meldungen'!$C$2:$C$492,LARGE(('Eingabe Meldungen'!$A$2:$A$492=$B$201)*(ROW('Eingabe Meldungen'!$A$2:$A$492)-1),COUNTIF('Eingabe Meldungen'!$A$2:$A$492,$B$201)+1-ROW('Eingabe Meldungen'!A11))))</f>
        <v>Gerbershagen</v>
      </c>
      <c r="C212" s="40" t="str">
        <f t="array" ref="C212">IF(ISERROR(INDEX('Eingabe Meldungen'!$D$2:$D$492,LARGE(('Eingabe Meldungen'!$A$2:$A$492=$B$201)*(ROW('Eingabe Meldungen'!$A$2:$A$492)-1),COUNTIF('Eingabe Meldungen'!$A$2:$A$492,$B$201)+1-ROW('Eingabe Meldungen'!A11)))),"",INDEX('Eingabe Meldungen'!$D$2:$D$492,LARGE(('Eingabe Meldungen'!$A$2:$A$492=$B$201)*(ROW('Eingabe Meldungen'!$A$2:$A$492)-1),COUNTIF('Eingabe Meldungen'!$A$2:$A$492,$B$201)+1-ROW('Eingabe Meldungen'!A11))))</f>
        <v>Mira</v>
      </c>
      <c r="D212" s="107">
        <f t="array" ref="D212">IF(B212&lt;&gt;"",INDEX('Eingabe Meldungen'!$C$2:$H$492,MATCH(B212&amp;C212,'Eingabe Meldungen'!$C$2:$C$492&amp;'Eingabe Meldungen'!$D$2:$D$492,0),6),"")</f>
        <v>2005</v>
      </c>
      <c r="E212" s="107" t="str">
        <f t="array" ref="E212">IF(B212&lt;&gt;"",INDEX('Eingabe Meldungen'!$C$2:$H$492,MATCH(B212&amp;C212,'Eingabe Meldungen'!$C$2:$C$492&amp;'Eingabe Meldungen'!$D$2:$D$492,0),4),"")</f>
        <v>-</v>
      </c>
      <c r="F212" s="39">
        <v>10</v>
      </c>
      <c r="G212" s="150"/>
      <c r="H212" s="40" t="e">
        <f t="shared" si="10"/>
        <v>#N/A</v>
      </c>
      <c r="I212" s="107" t="str">
        <f t="array" ref="I212">IF(B212&lt;&gt;"",INDEX('Eingabe Meldungen'!$C$2:$J$492,MATCH(B212&amp;C212,'Eingabe Meldungen'!$C$2:$C$492&amp;'Eingabe Meldungen'!$D$2:$D$492,0),8),"")</f>
        <v>Marbacher Ruderverein</v>
      </c>
      <c r="J212" s="40"/>
      <c r="K212" s="40"/>
      <c r="L212" s="151"/>
      <c r="M212" s="147"/>
      <c r="N212" s="11"/>
      <c r="O212" s="11"/>
      <c r="P212" s="15"/>
      <c r="Q212" s="11"/>
      <c r="S212" s="11"/>
      <c r="T212" s="11"/>
      <c r="Y212" s="15"/>
    </row>
    <row r="213" spans="2:25" ht="14.25" hidden="1" customHeight="1" x14ac:dyDescent="0.2">
      <c r="B213" s="148" t="str">
        <f t="array" ref="B213">IF(ISERROR(INDEX('Eingabe Meldungen'!$C$2:$C$492,LARGE(('Eingabe Meldungen'!$A$2:$A$492=$B$201)*(ROW('Eingabe Meldungen'!$A$2:$A$492)-1),COUNTIF('Eingabe Meldungen'!$A$2:$A$492,$B$201)+1-ROW('Eingabe Meldungen'!A12)))),"",INDEX('Eingabe Meldungen'!$C$2:$C$492,LARGE(('Eingabe Meldungen'!$A$2:$A$492=$B$201)*(ROW('Eingabe Meldungen'!$A$2:$A$492)-1),COUNTIF('Eingabe Meldungen'!$A$2:$A$492,$B$201)+1-ROW('Eingabe Meldungen'!A12))))</f>
        <v/>
      </c>
      <c r="C213" s="40" t="str">
        <f t="array" ref="C213">IF(ISERROR(INDEX('Eingabe Meldungen'!$D$2:$D$492,LARGE(('Eingabe Meldungen'!$A$2:$A$492=$B$201)*(ROW('Eingabe Meldungen'!$A$2:$A$492)-1),COUNTIF('Eingabe Meldungen'!$A$2:$A$492,$B$201)+1-ROW('Eingabe Meldungen'!A12)))),"",INDEX('Eingabe Meldungen'!$D$2:$D$492,LARGE(('Eingabe Meldungen'!$A$2:$A$492=$B$201)*(ROW('Eingabe Meldungen'!$A$2:$A$492)-1),COUNTIF('Eingabe Meldungen'!$A$2:$A$492,$B$201)+1-ROW('Eingabe Meldungen'!A12))))</f>
        <v/>
      </c>
      <c r="D213" s="107" t="str">
        <f t="array" ref="D213">IF(B213&lt;&gt;"",INDEX('Eingabe Meldungen'!$C$2:$H$492,MATCH(B213&amp;C213,'Eingabe Meldungen'!$C$2:$C$492&amp;'Eingabe Meldungen'!$D$2:$D$492,0),6),"")</f>
        <v/>
      </c>
      <c r="E213" s="107" t="str">
        <f t="array" ref="E213">IF(B213&lt;&gt;"",INDEX('Eingabe Meldungen'!$C$2:$H$492,MATCH(B213&amp;C213,'Eingabe Meldungen'!$C$2:$C$492&amp;'Eingabe Meldungen'!$D$2:$D$492,0),4),"")</f>
        <v/>
      </c>
      <c r="F213" s="39">
        <v>11</v>
      </c>
      <c r="G213" s="150"/>
      <c r="H213" s="40" t="e">
        <f t="shared" si="10"/>
        <v>#N/A</v>
      </c>
      <c r="I213" s="107" t="str">
        <f t="array" ref="I213">IF(B213&lt;&gt;"",INDEX('Eingabe Meldungen'!$C$2:$J$492,MATCH(B213&amp;C213,'Eingabe Meldungen'!$C$2:$C$492&amp;'Eingabe Meldungen'!$D$2:$D$492,0),8),"")</f>
        <v/>
      </c>
      <c r="J213" s="40"/>
      <c r="K213" s="40"/>
      <c r="L213" s="151"/>
      <c r="M213" s="147"/>
      <c r="N213" s="11"/>
      <c r="O213" s="11"/>
      <c r="P213" s="15"/>
      <c r="Q213" s="11"/>
      <c r="S213" s="11"/>
      <c r="T213" s="11"/>
    </row>
    <row r="214" spans="2:25" ht="13.2" hidden="1" thickBot="1" x14ac:dyDescent="0.25">
      <c r="B214" s="148" t="str">
        <f t="array" ref="B214">IF(ISERROR(INDEX('Eingabe Meldungen'!$C$2:$C$492,LARGE(('Eingabe Meldungen'!$A$2:$A$492=$B$201)*(ROW('Eingabe Meldungen'!$A$2:$A$492)-1),COUNTIF('Eingabe Meldungen'!$A$2:$A$492,$B$201)+1-ROW('Eingabe Meldungen'!A13)))),"",INDEX('Eingabe Meldungen'!$C$2:$C$492,LARGE(('Eingabe Meldungen'!$A$2:$A$492=$B$201)*(ROW('Eingabe Meldungen'!$A$2:$A$492)-1),COUNTIF('Eingabe Meldungen'!$A$2:$A$492,$B$201)+1-ROW('Eingabe Meldungen'!A13))))</f>
        <v/>
      </c>
      <c r="C214" s="40" t="str">
        <f t="array" ref="C214">IF(ISERROR(INDEX('Eingabe Meldungen'!$D$2:$D$492,LARGE(('Eingabe Meldungen'!$A$2:$A$492=$B$201)*(ROW('Eingabe Meldungen'!$A$2:$A$492)-1),COUNTIF('Eingabe Meldungen'!$A$2:$A$492,$B$201)+1-ROW('Eingabe Meldungen'!A13)))),"",INDEX('Eingabe Meldungen'!$D$2:$D$492,LARGE(('Eingabe Meldungen'!$A$2:$A$492=$B$201)*(ROW('Eingabe Meldungen'!$A$2:$A$492)-1),COUNTIF('Eingabe Meldungen'!$A$2:$A$492,$B$201)+1-ROW('Eingabe Meldungen'!A13))))</f>
        <v/>
      </c>
      <c r="D214" s="107" t="str">
        <f t="array" ref="D214">IF(B214&lt;&gt;"",INDEX('Eingabe Meldungen'!$C$2:$H$492,MATCH(B214&amp;C214,'Eingabe Meldungen'!$C$2:$C$492&amp;'Eingabe Meldungen'!$D$2:$D$492,0),6),"")</f>
        <v/>
      </c>
      <c r="E214" s="107" t="str">
        <f t="array" ref="E214">IF(B214&lt;&gt;"",INDEX('Eingabe Meldungen'!$C$2:$H$492,MATCH(B214&amp;C214,'Eingabe Meldungen'!$C$2:$C$492&amp;'Eingabe Meldungen'!$D$2:$D$492,0),4),"")</f>
        <v/>
      </c>
      <c r="F214" s="39">
        <v>12</v>
      </c>
      <c r="G214" s="150"/>
      <c r="H214" s="40" t="e">
        <f t="shared" si="10"/>
        <v>#N/A</v>
      </c>
      <c r="I214" s="107" t="str">
        <f t="array" ref="I214">IF(B214&lt;&gt;"",INDEX('Eingabe Meldungen'!$C$2:$J$492,MATCH(B214&amp;C214,'Eingabe Meldungen'!$C$2:$C$492&amp;'Eingabe Meldungen'!$D$2:$D$492,0),8),"")</f>
        <v/>
      </c>
      <c r="J214" s="40"/>
      <c r="K214" s="40"/>
      <c r="L214" s="151"/>
      <c r="M214" s="147"/>
      <c r="N214" s="11"/>
      <c r="O214" s="11"/>
      <c r="P214" s="15"/>
      <c r="Q214" s="11"/>
      <c r="S214" s="11"/>
      <c r="T214" s="11"/>
    </row>
    <row r="215" spans="2:25" ht="13.5" hidden="1" customHeight="1" x14ac:dyDescent="0.2">
      <c r="B215" s="148" t="str">
        <f t="array" ref="B215">IF(ISERROR(INDEX('Eingabe Meldungen'!$C$2:$C$492,LARGE(('Eingabe Meldungen'!$A$2:$A$492=$B$201)*(ROW('Eingabe Meldungen'!$A$2:$A$492)-1),COUNTIF('Eingabe Meldungen'!$A$2:$A$492,$B$201)+1-ROW('Eingabe Meldungen'!A14)))),"",INDEX('Eingabe Meldungen'!$C$2:$C$492,LARGE(('Eingabe Meldungen'!$A$2:$A$492=$B$201)*(ROW('Eingabe Meldungen'!$A$2:$A$492)-1),COUNTIF('Eingabe Meldungen'!$A$2:$A$492,$B$201)+1-ROW('Eingabe Meldungen'!A14))))</f>
        <v/>
      </c>
      <c r="C215" s="40" t="str">
        <f t="array" ref="C215">IF(ISERROR(INDEX('Eingabe Meldungen'!$D$2:$D$492,LARGE(('Eingabe Meldungen'!$A$2:$A$492=$B$201)*(ROW('Eingabe Meldungen'!$A$2:$A$492)-1),COUNTIF('Eingabe Meldungen'!$A$2:$A$492,$B$201)+1-ROW('Eingabe Meldungen'!A14)))),"",INDEX('Eingabe Meldungen'!$D$2:$D$492,LARGE(('Eingabe Meldungen'!$A$2:$A$492=$B$201)*(ROW('Eingabe Meldungen'!$A$2:$A$492)-1),COUNTIF('Eingabe Meldungen'!$A$2:$A$492,$B$201)+1-ROW('Eingabe Meldungen'!A14))))</f>
        <v/>
      </c>
      <c r="D215" s="107" t="str">
        <f t="array" ref="D215">IF(B215&lt;&gt;"",INDEX('Eingabe Meldungen'!$C$2:$H$492,MATCH(B215&amp;C215,'Eingabe Meldungen'!$C$2:$C$492&amp;'Eingabe Meldungen'!$D$2:$D$492,0),6),"")</f>
        <v/>
      </c>
      <c r="E215" s="107" t="str">
        <f t="array" ref="E215">IF(B215&lt;&gt;"",INDEX('Eingabe Meldungen'!$C$2:$H$492,MATCH(B215&amp;C215,'Eingabe Meldungen'!$C$2:$C$492&amp;'Eingabe Meldungen'!$D$2:$D$492,0),4),"")</f>
        <v/>
      </c>
      <c r="F215" s="39">
        <v>13</v>
      </c>
      <c r="G215" s="150"/>
      <c r="H215" s="40" t="e">
        <f t="shared" si="10"/>
        <v>#N/A</v>
      </c>
      <c r="I215" s="107" t="str">
        <f t="array" ref="I215">IF(B215&lt;&gt;"",INDEX('Eingabe Meldungen'!$C$2:$J$492,MATCH(B215&amp;C215,'Eingabe Meldungen'!$C$2:$C$492&amp;'Eingabe Meldungen'!$D$2:$D$492,0),8),"")</f>
        <v/>
      </c>
      <c r="J215" s="40"/>
      <c r="K215" s="40"/>
      <c r="L215" s="151"/>
      <c r="M215" s="147"/>
      <c r="N215" s="11"/>
      <c r="O215" s="11"/>
      <c r="P215" s="15"/>
      <c r="Q215" s="11"/>
      <c r="S215" s="11"/>
      <c r="T215" s="11"/>
    </row>
    <row r="216" spans="2:25" ht="13.5" hidden="1" customHeight="1" x14ac:dyDescent="0.2">
      <c r="B216" s="148" t="str">
        <f t="array" ref="B216">IF(ISERROR(INDEX('Eingabe Meldungen'!$C$2:$C$492,LARGE(('Eingabe Meldungen'!$A$2:$A$492=$B$201)*(ROW('Eingabe Meldungen'!$A$2:$A$492)-1),COUNTIF('Eingabe Meldungen'!$A$2:$A$492,$B$201)+1-ROW('Eingabe Meldungen'!A15)))),"",INDEX('Eingabe Meldungen'!$C$2:$C$492,LARGE(('Eingabe Meldungen'!$A$2:$A$492=$B$201)*(ROW('Eingabe Meldungen'!$A$2:$A$492)-1),COUNTIF('Eingabe Meldungen'!$A$2:$A$492,$B$201)+1-ROW('Eingabe Meldungen'!A15))))</f>
        <v/>
      </c>
      <c r="C216" s="40" t="str">
        <f t="array" ref="C216">IF(ISERROR(INDEX('Eingabe Meldungen'!$D$2:$D$492,LARGE(('Eingabe Meldungen'!$A$2:$A$492=$B$201)*(ROW('Eingabe Meldungen'!$A$2:$A$492)-1),COUNTIF('Eingabe Meldungen'!$A$2:$A$492,$B$201)+1-ROW('Eingabe Meldungen'!A15)))),"",INDEX('Eingabe Meldungen'!$D$2:$D$492,LARGE(('Eingabe Meldungen'!$A$2:$A$492=$B$201)*(ROW('Eingabe Meldungen'!$A$2:$A$492)-1),COUNTIF('Eingabe Meldungen'!$A$2:$A$492,$B$201)+1-ROW('Eingabe Meldungen'!A15))))</f>
        <v/>
      </c>
      <c r="D216" s="107" t="str">
        <f t="array" ref="D216">IF(B216&lt;&gt;"",INDEX('Eingabe Meldungen'!$C$2:$H$492,MATCH(B216&amp;C216,'Eingabe Meldungen'!$C$2:$C$492&amp;'Eingabe Meldungen'!$D$2:$D$492,0),6),"")</f>
        <v/>
      </c>
      <c r="E216" s="107" t="str">
        <f t="array" ref="E216">IF(B216&lt;&gt;"",INDEX('Eingabe Meldungen'!$C$2:$H$492,MATCH(B216&amp;C216,'Eingabe Meldungen'!$C$2:$C$492&amp;'Eingabe Meldungen'!$D$2:$D$492,0),4),"")</f>
        <v/>
      </c>
      <c r="F216" s="39">
        <v>14</v>
      </c>
      <c r="G216" s="150"/>
      <c r="H216" s="40" t="e">
        <f t="shared" si="10"/>
        <v>#N/A</v>
      </c>
      <c r="I216" s="107" t="str">
        <f t="array" ref="I216">IF(B216&lt;&gt;"",INDEX('Eingabe Meldungen'!$C$2:$J$492,MATCH(B216&amp;C216,'Eingabe Meldungen'!$C$2:$C$492&amp;'Eingabe Meldungen'!$D$2:$D$492,0),8),"")</f>
        <v/>
      </c>
      <c r="J216" s="40"/>
      <c r="K216" s="40"/>
      <c r="L216" s="151"/>
      <c r="M216" s="147"/>
      <c r="N216" s="11"/>
      <c r="O216" s="11"/>
      <c r="P216" s="15"/>
      <c r="Q216" s="11"/>
      <c r="S216" s="11"/>
      <c r="T216" s="11"/>
    </row>
    <row r="217" spans="2:25" ht="13.5" hidden="1" customHeight="1" x14ac:dyDescent="0.2">
      <c r="B217" s="148" t="str">
        <f t="array" ref="B217">IF(ISERROR(INDEX('Eingabe Meldungen'!$C$2:$C$492,LARGE(('Eingabe Meldungen'!$A$2:$A$492=$B$201)*(ROW('Eingabe Meldungen'!$A$2:$A$492)-1),COUNTIF('Eingabe Meldungen'!$A$2:$A$492,$B$201)+1-ROW('Eingabe Meldungen'!A16)))),"",INDEX('Eingabe Meldungen'!$C$2:$C$492,LARGE(('Eingabe Meldungen'!$A$2:$A$492=$B$201)*(ROW('Eingabe Meldungen'!$A$2:$A$492)-1),COUNTIF('Eingabe Meldungen'!$A$2:$A$492,$B$201)+1-ROW('Eingabe Meldungen'!A16))))</f>
        <v/>
      </c>
      <c r="C217" s="40" t="str">
        <f t="array" ref="C217">IF(ISERROR(INDEX('Eingabe Meldungen'!$D$2:$D$492,LARGE(('Eingabe Meldungen'!$A$2:$A$492=$B$201)*(ROW('Eingabe Meldungen'!$A$2:$A$492)-1),COUNTIF('Eingabe Meldungen'!$A$2:$A$492,$B$201)+1-ROW('Eingabe Meldungen'!A16)))),"",INDEX('Eingabe Meldungen'!$D$2:$D$492,LARGE(('Eingabe Meldungen'!$A$2:$A$492=$B$201)*(ROW('Eingabe Meldungen'!$A$2:$A$492)-1),COUNTIF('Eingabe Meldungen'!$A$2:$A$492,$B$201)+1-ROW('Eingabe Meldungen'!A16))))</f>
        <v/>
      </c>
      <c r="D217" s="107" t="str">
        <f t="array" ref="D217">IF(B217&lt;&gt;"",INDEX('Eingabe Meldungen'!$C$2:$H$492,MATCH(B217&amp;C217,'Eingabe Meldungen'!$C$2:$C$492&amp;'Eingabe Meldungen'!$D$2:$D$492,0),6),"")</f>
        <v/>
      </c>
      <c r="E217" s="107" t="str">
        <f t="array" ref="E217">IF(B217&lt;&gt;"",INDEX('Eingabe Meldungen'!$C$2:$H$492,MATCH(B217&amp;C217,'Eingabe Meldungen'!$C$2:$C$492&amp;'Eingabe Meldungen'!$D$2:$D$492,0),4),"")</f>
        <v/>
      </c>
      <c r="F217" s="39">
        <v>15</v>
      </c>
      <c r="G217" s="150"/>
      <c r="H217" s="40" t="e">
        <f t="shared" si="10"/>
        <v>#N/A</v>
      </c>
      <c r="I217" s="107" t="str">
        <f t="array" ref="I217">IF(B217&lt;&gt;"",INDEX('Eingabe Meldungen'!$C$2:$J$492,MATCH(B217&amp;C217,'Eingabe Meldungen'!$C$2:$C$492&amp;'Eingabe Meldungen'!$D$2:$D$492,0),8),"")</f>
        <v/>
      </c>
      <c r="J217" s="40"/>
      <c r="K217" s="40"/>
      <c r="L217" s="151"/>
      <c r="M217" s="147"/>
      <c r="N217" s="11"/>
      <c r="O217" s="11"/>
      <c r="P217" s="15"/>
      <c r="Q217" s="11"/>
      <c r="S217" s="11"/>
      <c r="T217" s="11"/>
    </row>
    <row r="218" spans="2:25" ht="13.5" hidden="1" customHeight="1" x14ac:dyDescent="0.2">
      <c r="B218" s="148" t="str">
        <f t="array" ref="B218">IF(ISERROR(INDEX('Eingabe Meldungen'!$C$2:$C$492,LARGE(('Eingabe Meldungen'!$A$2:$A$492=$B$201)*(ROW('Eingabe Meldungen'!$A$2:$A$492)-1),COUNTIF('Eingabe Meldungen'!$A$2:$A$492,$B$201)+1-ROW('Eingabe Meldungen'!A17)))),"",INDEX('Eingabe Meldungen'!$C$2:$C$492,LARGE(('Eingabe Meldungen'!$A$2:$A$492=$B$201)*(ROW('Eingabe Meldungen'!$A$2:$A$492)-1),COUNTIF('Eingabe Meldungen'!$A$2:$A$492,$B$201)+1-ROW('Eingabe Meldungen'!A17))))</f>
        <v/>
      </c>
      <c r="C218" s="40" t="str">
        <f t="array" ref="C218">IF(ISERROR(INDEX('Eingabe Meldungen'!$D$2:$D$492,LARGE(('Eingabe Meldungen'!$A$2:$A$492=$B$201)*(ROW('Eingabe Meldungen'!$A$2:$A$492)-1),COUNTIF('Eingabe Meldungen'!$A$2:$A$492,$B$201)+1-ROW('Eingabe Meldungen'!A17)))),"",INDEX('Eingabe Meldungen'!$D$2:$D$492,LARGE(('Eingabe Meldungen'!$A$2:$A$492=$B$201)*(ROW('Eingabe Meldungen'!$A$2:$A$492)-1),COUNTIF('Eingabe Meldungen'!$A$2:$A$492,$B$201)+1-ROW('Eingabe Meldungen'!A17))))</f>
        <v/>
      </c>
      <c r="D218" s="107" t="str">
        <f t="array" ref="D218">IF(B218&lt;&gt;"",INDEX('Eingabe Meldungen'!$C$2:$H$492,MATCH(B218&amp;C218,'Eingabe Meldungen'!$C$2:$C$492&amp;'Eingabe Meldungen'!$D$2:$D$492,0),6),"")</f>
        <v/>
      </c>
      <c r="E218" s="107" t="str">
        <f t="array" ref="E218">IF(B218&lt;&gt;"",INDEX('Eingabe Meldungen'!$C$2:$H$492,MATCH(B218&amp;C218,'Eingabe Meldungen'!$C$2:$C$492&amp;'Eingabe Meldungen'!$D$2:$D$492,0),4),"")</f>
        <v/>
      </c>
      <c r="F218" s="39">
        <v>16</v>
      </c>
      <c r="G218" s="150"/>
      <c r="H218" s="40" t="e">
        <f t="shared" si="10"/>
        <v>#N/A</v>
      </c>
      <c r="I218" s="107" t="str">
        <f t="array" ref="I218">IF(B218&lt;&gt;"",INDEX('Eingabe Meldungen'!$C$2:$J$492,MATCH(B218&amp;C218,'Eingabe Meldungen'!$C$2:$C$492&amp;'Eingabe Meldungen'!$D$2:$D$492,0),8),"")</f>
        <v/>
      </c>
      <c r="J218" s="40"/>
      <c r="K218" s="40"/>
      <c r="L218" s="151"/>
      <c r="M218" s="147"/>
      <c r="N218" s="11"/>
      <c r="O218" s="11"/>
      <c r="P218" s="15"/>
      <c r="Q218" s="11"/>
      <c r="S218" s="11"/>
      <c r="T218" s="11"/>
    </row>
    <row r="219" spans="2:25" ht="13.5" hidden="1" customHeight="1" thickBot="1" x14ac:dyDescent="0.25">
      <c r="B219" s="148"/>
      <c r="C219" s="40"/>
      <c r="D219" s="107"/>
      <c r="E219" s="107"/>
      <c r="F219" s="39"/>
      <c r="G219" s="167"/>
      <c r="H219" s="40"/>
      <c r="I219" s="161"/>
      <c r="J219" s="160"/>
      <c r="K219" s="160"/>
      <c r="L219" s="162"/>
      <c r="M219" s="163"/>
      <c r="N219" s="11"/>
      <c r="O219" s="11"/>
      <c r="P219" s="15"/>
      <c r="Q219" s="11"/>
      <c r="S219" s="11"/>
      <c r="T219" s="11"/>
    </row>
    <row r="220" spans="2:25" ht="31.5" customHeight="1" x14ac:dyDescent="0.2">
      <c r="B220" s="114">
        <f>B201+1</f>
        <v>13</v>
      </c>
      <c r="C220" s="108" t="str">
        <f>VLOOKUP(B220,Ausschreibung!$B$5:$I$35,2,FALSE)</f>
        <v>Ergocup</v>
      </c>
      <c r="D220" s="109">
        <f>VLOOKUP(B220,Ausschreibung!$B$5:$I$35,3,FALSE)</f>
        <v>0.59305555555555545</v>
      </c>
      <c r="E220" s="108" t="str">
        <f>VLOOKUP(B220,Ausschreibung!$B$5:$I$35,4,FALSE)</f>
        <v>Junioren B U17</v>
      </c>
      <c r="F220" s="108">
        <v>55</v>
      </c>
      <c r="G220" s="108" t="str">
        <f>VLOOKUP(B220,Ausschreibung!$B$5:$I$35,6,FALSE)</f>
        <v>15-16</v>
      </c>
      <c r="H220" s="108" t="str">
        <f>VLOOKUP(B220,Ausschreibung!$B$5:$I$35,8,FALSE)</f>
        <v>1500 m</v>
      </c>
      <c r="I220" s="121"/>
      <c r="J220" s="129">
        <f>D220-(2*$N$60)</f>
        <v>0.50972222222222208</v>
      </c>
      <c r="K220" s="129"/>
      <c r="L220" s="129">
        <f>D220-$N$60</f>
        <v>0.55138888888888882</v>
      </c>
      <c r="M220" s="123"/>
      <c r="N220" s="11"/>
      <c r="O220" s="11"/>
      <c r="P220" s="15"/>
      <c r="Q220" s="11"/>
      <c r="S220" s="11"/>
      <c r="T220" s="11"/>
    </row>
    <row r="221" spans="2:25" ht="13.5" customHeight="1" x14ac:dyDescent="0.2">
      <c r="B221" s="176" t="s">
        <v>1</v>
      </c>
      <c r="C221" s="177" t="s">
        <v>2</v>
      </c>
      <c r="D221" s="178" t="s">
        <v>4</v>
      </c>
      <c r="E221" s="179" t="s">
        <v>16</v>
      </c>
      <c r="F221" s="178" t="s">
        <v>18</v>
      </c>
      <c r="G221" s="178" t="s">
        <v>50</v>
      </c>
      <c r="H221" s="178" t="s">
        <v>51</v>
      </c>
      <c r="I221" s="180" t="s">
        <v>17</v>
      </c>
      <c r="J221" s="178" t="s">
        <v>85</v>
      </c>
      <c r="K221" s="179"/>
      <c r="L221" s="179" t="s">
        <v>50</v>
      </c>
      <c r="M221" s="185" t="s">
        <v>87</v>
      </c>
      <c r="N221" s="11"/>
      <c r="O221" s="11"/>
      <c r="P221" s="15"/>
      <c r="Q221" s="11"/>
      <c r="S221" s="11"/>
      <c r="T221" s="11"/>
    </row>
    <row r="222" spans="2:25" ht="13.5" customHeight="1" x14ac:dyDescent="0.2">
      <c r="B222" s="148" t="str">
        <f t="array" ref="B222">IF(ISERROR(INDEX('Eingabe Meldungen'!$C$2:$C$492,LARGE(('Eingabe Meldungen'!$A$2:$A$492=$B$220)*(ROW('Eingabe Meldungen'!$A$2:$A$492)-1),COUNTIF('Eingabe Meldungen'!$A$2:$A$492,$B$220)+1-ROW('Eingabe Meldungen'!A1)))),"",INDEX('Eingabe Meldungen'!$C$2:$C$492,LARGE(('Eingabe Meldungen'!$A$2:$A$492=$B$220)*(ROW('Eingabe Meldungen'!$A$2:$A$492)-1),COUNTIF('Eingabe Meldungen'!$A$2:$A$492,$B$220)+1-ROW('Eingabe Meldungen'!A1))))</f>
        <v>Friebe</v>
      </c>
      <c r="C222" s="40" t="str">
        <f t="array" ref="C222">IF(ISERROR(INDEX('Eingabe Meldungen'!$D$2:$D$492,LARGE(('Eingabe Meldungen'!$A$2:$A$492=$B$220)*(ROW('Eingabe Meldungen'!$A$2:$A$492)-1),COUNTIF('Eingabe Meldungen'!$A$2:$A$492,$B$220)+1-ROW('Eingabe Meldungen'!A1)))),"",INDEX('Eingabe Meldungen'!$D$2:$D$492,LARGE(('Eingabe Meldungen'!$A$2:$A$492=$B$220)*(ROW('Eingabe Meldungen'!$A$2:$A$492)-1),COUNTIF('Eingabe Meldungen'!$A$2:$A$492,$B$220)+1-ROW('Eingabe Meldungen'!A1))))</f>
        <v>Bruno</v>
      </c>
      <c r="D222" s="107">
        <f t="array" ref="D222">IF(B222&lt;&gt;"",INDEX('Eingabe Meldungen'!$C$2:$H$492,MATCH(B222&amp;C222,'Eingabe Meldungen'!$C$2:$C$492&amp;'Eingabe Meldungen'!$D$2:$D$492,0),6),"")</f>
        <v>2004</v>
      </c>
      <c r="E222" s="107" t="str">
        <f t="array" ref="E222">IF(B222&lt;&gt;"",INDEX('Eingabe Meldungen'!$C$2:$H$492,MATCH(B222&amp;C222,'Eingabe Meldungen'!$C$2:$C$492&amp;'Eingabe Meldungen'!$D$2:$D$492,0),4),"")</f>
        <v>Lgw. bis 67,5kg</v>
      </c>
      <c r="F222" s="107"/>
      <c r="G222" s="149"/>
      <c r="H222" s="40" t="e">
        <f>RANK(G222,$G$222:$G$245,1)</f>
        <v>#N/A</v>
      </c>
      <c r="I222" s="107" t="str">
        <f t="array" ref="I222">IF(B222&lt;&gt;"",INDEX('Eingabe Meldungen'!$C$2:$J$492,MATCH(B222&amp;C222,'Eingabe Meldungen'!$C$2:$C$492&amp;'Eingabe Meldungen'!$D$2:$D$492,0),8),"")</f>
        <v>RC Nürtingen</v>
      </c>
      <c r="J222" s="257"/>
      <c r="K222" s="257"/>
      <c r="L222" s="254"/>
      <c r="M222" s="258"/>
      <c r="N222" s="11"/>
      <c r="O222" s="11"/>
      <c r="P222" s="15"/>
      <c r="Q222" s="11"/>
      <c r="S222" s="11"/>
      <c r="T222" s="11"/>
    </row>
    <row r="223" spans="2:25" ht="13.5" customHeight="1" x14ac:dyDescent="0.2">
      <c r="B223" s="148" t="str">
        <f t="array" ref="B223">IF(ISERROR(INDEX('Eingabe Meldungen'!$C$2:$C$492,LARGE(('Eingabe Meldungen'!$A$2:$A$492=$B$220)*(ROW('Eingabe Meldungen'!$A$2:$A$492)-1),COUNTIF('Eingabe Meldungen'!$A$2:$A$492,$B$220)+1-ROW('Eingabe Meldungen'!A2)))),"",INDEX('Eingabe Meldungen'!$C$2:$C$492,LARGE(('Eingabe Meldungen'!$A$2:$A$492=$B$220)*(ROW('Eingabe Meldungen'!$A$2:$A$492)-1),COUNTIF('Eingabe Meldungen'!$A$2:$A$492,$B$220)+1-ROW('Eingabe Meldungen'!A2))))</f>
        <v>Grünewald</v>
      </c>
      <c r="C223" s="40" t="str">
        <f t="array" ref="C223">IF(ISERROR(INDEX('Eingabe Meldungen'!$D$2:$D$492,LARGE(('Eingabe Meldungen'!$A$2:$A$492=$B$220)*(ROW('Eingabe Meldungen'!$A$2:$A$492)-1),COUNTIF('Eingabe Meldungen'!$A$2:$A$492,$B$220)+1-ROW('Eingabe Meldungen'!A2)))),"",INDEX('Eingabe Meldungen'!$D$2:$D$492,LARGE(('Eingabe Meldungen'!$A$2:$A$492=$B$220)*(ROW('Eingabe Meldungen'!$A$2:$A$492)-1),COUNTIF('Eingabe Meldungen'!$A$2:$A$492,$B$220)+1-ROW('Eingabe Meldungen'!A2))))</f>
        <v>Florian</v>
      </c>
      <c r="D223" s="107">
        <f t="array" ref="D223">IF(B223&lt;&gt;"",INDEX('Eingabe Meldungen'!$C$2:$H$492,MATCH(B223&amp;C223,'Eingabe Meldungen'!$C$2:$C$492&amp;'Eingabe Meldungen'!$D$2:$D$492,0),6),"")</f>
        <v>2004</v>
      </c>
      <c r="E223" s="107" t="str">
        <f t="array" ref="E223">IF(B223&lt;&gt;"",INDEX('Eingabe Meldungen'!$C$2:$H$492,MATCH(B223&amp;C223,'Eingabe Meldungen'!$C$2:$C$492&amp;'Eingabe Meldungen'!$D$2:$D$492,0),4),"")</f>
        <v>Lgw. bis 67,5kg</v>
      </c>
      <c r="F223" s="39"/>
      <c r="G223" s="149"/>
      <c r="H223" s="40" t="e">
        <f t="shared" ref="H223:H245" si="11">RANK(G223,$G$222:$G$245,1)</f>
        <v>#N/A</v>
      </c>
      <c r="I223" s="107" t="str">
        <f t="array" ref="I223">IF(B223&lt;&gt;"",INDEX('Eingabe Meldungen'!$C$2:$J$492,MATCH(B223&amp;C223,'Eingabe Meldungen'!$C$2:$C$492&amp;'Eingabe Meldungen'!$D$2:$D$492,0),8),"")</f>
        <v>Marbacher Ruderverein</v>
      </c>
      <c r="J223" s="257"/>
      <c r="K223" s="257"/>
      <c r="L223" s="254"/>
      <c r="M223" s="258"/>
      <c r="N223" s="11"/>
      <c r="O223" s="11"/>
      <c r="P223" s="15"/>
      <c r="Q223" s="11"/>
      <c r="S223" s="11"/>
      <c r="T223" s="11"/>
    </row>
    <row r="224" spans="2:25" ht="13.5" customHeight="1" x14ac:dyDescent="0.2">
      <c r="B224" s="148" t="str">
        <f t="array" ref="B224">IF(ISERROR(INDEX('Eingabe Meldungen'!$C$2:$C$492,LARGE(('Eingabe Meldungen'!$A$2:$A$492=$B$220)*(ROW('Eingabe Meldungen'!$A$2:$A$492)-1),COUNTIF('Eingabe Meldungen'!$A$2:$A$492,$B$220)+1-ROW('Eingabe Meldungen'!A3)))),"",INDEX('Eingabe Meldungen'!$C$2:$C$492,LARGE(('Eingabe Meldungen'!$A$2:$A$492=$B$220)*(ROW('Eingabe Meldungen'!$A$2:$A$492)-1),COUNTIF('Eingabe Meldungen'!$A$2:$A$492,$B$220)+1-ROW('Eingabe Meldungen'!A3))))</f>
        <v>Swoboda</v>
      </c>
      <c r="C224" s="40" t="str">
        <f t="array" ref="C224">IF(ISERROR(INDEX('Eingabe Meldungen'!$D$2:$D$492,LARGE(('Eingabe Meldungen'!$A$2:$A$492=$B$220)*(ROW('Eingabe Meldungen'!$A$2:$A$492)-1),COUNTIF('Eingabe Meldungen'!$A$2:$A$492,$B$220)+1-ROW('Eingabe Meldungen'!A3)))),"",INDEX('Eingabe Meldungen'!$D$2:$D$492,LARGE(('Eingabe Meldungen'!$A$2:$A$492=$B$220)*(ROW('Eingabe Meldungen'!$A$2:$A$492)-1),COUNTIF('Eingabe Meldungen'!$A$2:$A$492,$B$220)+1-ROW('Eingabe Meldungen'!A3))))</f>
        <v>Luca</v>
      </c>
      <c r="D224" s="107">
        <f t="array" ref="D224">IF(B224&lt;&gt;"",INDEX('Eingabe Meldungen'!$C$2:$H$492,MATCH(B224&amp;C224,'Eingabe Meldungen'!$C$2:$C$492&amp;'Eingabe Meldungen'!$D$2:$D$492,0),6),"")</f>
        <v>2004</v>
      </c>
      <c r="E224" s="107" t="str">
        <f t="array" ref="E224">IF(B224&lt;&gt;"",INDEX('Eingabe Meldungen'!$C$2:$H$492,MATCH(B224&amp;C224,'Eingabe Meldungen'!$C$2:$C$492&amp;'Eingabe Meldungen'!$D$2:$D$492,0),4),"")</f>
        <v>Lgw. bis 67,5kg</v>
      </c>
      <c r="F224" s="39"/>
      <c r="G224" s="150"/>
      <c r="H224" s="40" t="e">
        <f t="shared" si="11"/>
        <v>#N/A</v>
      </c>
      <c r="I224" s="107" t="str">
        <f t="array" ref="I224">IF(B224&lt;&gt;"",INDEX('Eingabe Meldungen'!$C$2:$J$492,MATCH(B224&amp;C224,'Eingabe Meldungen'!$C$2:$C$492&amp;'Eingabe Meldungen'!$D$2:$D$492,0),8),"")</f>
        <v>RC Nürtingen</v>
      </c>
      <c r="J224" s="257"/>
      <c r="K224" s="257"/>
      <c r="L224" s="254"/>
      <c r="M224" s="258"/>
      <c r="N224" s="11"/>
      <c r="O224" s="11"/>
      <c r="P224" s="15"/>
      <c r="Q224" s="11"/>
      <c r="S224" s="11"/>
      <c r="T224" s="11"/>
    </row>
    <row r="225" spans="2:28" ht="13.5" customHeight="1" x14ac:dyDescent="0.2">
      <c r="B225" s="148" t="str">
        <f t="array" ref="B225">IF(ISERROR(INDEX('Eingabe Meldungen'!$C$2:$C$492,LARGE(('Eingabe Meldungen'!$A$2:$A$492=$B$220)*(ROW('Eingabe Meldungen'!$A$2:$A$492)-1),COUNTIF('Eingabe Meldungen'!$A$2:$A$492,$B$220)+1-ROW('Eingabe Meldungen'!A4)))),"",INDEX('Eingabe Meldungen'!$C$2:$C$492,LARGE(('Eingabe Meldungen'!$A$2:$A$492=$B$220)*(ROW('Eingabe Meldungen'!$A$2:$A$492)-1),COUNTIF('Eingabe Meldungen'!$A$2:$A$492,$B$220)+1-ROW('Eingabe Meldungen'!A4))))</f>
        <v>Schwarz</v>
      </c>
      <c r="C225" s="40" t="str">
        <f t="array" ref="C225">IF(ISERROR(INDEX('Eingabe Meldungen'!$D$2:$D$492,LARGE(('Eingabe Meldungen'!$A$2:$A$492=$B$220)*(ROW('Eingabe Meldungen'!$A$2:$A$492)-1),COUNTIF('Eingabe Meldungen'!$A$2:$A$492,$B$220)+1-ROW('Eingabe Meldungen'!A4)))),"",INDEX('Eingabe Meldungen'!$D$2:$D$492,LARGE(('Eingabe Meldungen'!$A$2:$A$492=$B$220)*(ROW('Eingabe Meldungen'!$A$2:$A$492)-1),COUNTIF('Eingabe Meldungen'!$A$2:$A$492,$B$220)+1-ROW('Eingabe Meldungen'!A4))))</f>
        <v>Max</v>
      </c>
      <c r="D225" s="107">
        <f t="array" ref="D225">IF(B225&lt;&gt;"",INDEX('Eingabe Meldungen'!$C$2:$H$492,MATCH(B225&amp;C225,'Eingabe Meldungen'!$C$2:$C$492&amp;'Eingabe Meldungen'!$D$2:$D$492,0),6),"")</f>
        <v>2004</v>
      </c>
      <c r="E225" s="107" t="str">
        <f t="array" ref="E225">IF(B225&lt;&gt;"",INDEX('Eingabe Meldungen'!$C$2:$H$492,MATCH(B225&amp;C225,'Eingabe Meldungen'!$C$2:$C$492&amp;'Eingabe Meldungen'!$D$2:$D$492,0),4),"")</f>
        <v>Lgw. bis 67,5kg</v>
      </c>
      <c r="F225" s="39"/>
      <c r="G225" s="150"/>
      <c r="H225" s="40" t="e">
        <f t="shared" si="11"/>
        <v>#N/A</v>
      </c>
      <c r="I225" s="107" t="str">
        <f t="array" ref="I225">IF(B225&lt;&gt;"",INDEX('Eingabe Meldungen'!$C$2:$J$492,MATCH(B225&amp;C225,'Eingabe Meldungen'!$C$2:$C$492&amp;'Eingabe Meldungen'!$D$2:$D$492,0),8),"")</f>
        <v>RC Nürtingen</v>
      </c>
      <c r="J225" s="257"/>
      <c r="K225" s="257"/>
      <c r="L225" s="254"/>
      <c r="M225" s="258"/>
      <c r="N225" s="11"/>
      <c r="O225" s="11"/>
      <c r="P225" s="15"/>
      <c r="Q225" s="11"/>
      <c r="S225" s="11"/>
      <c r="T225" s="11"/>
      <c r="W225" s="11"/>
      <c r="X225" s="11"/>
      <c r="Y225" s="15"/>
      <c r="Z225" s="11"/>
      <c r="AB225" s="11"/>
    </row>
    <row r="226" spans="2:28" ht="14.25" customHeight="1" x14ac:dyDescent="0.2">
      <c r="B226" s="148" t="str">
        <f t="array" ref="B226">IF(ISERROR(INDEX('Eingabe Meldungen'!$C$2:$C$492,LARGE(('Eingabe Meldungen'!$A$2:$A$492=$B$220)*(ROW('Eingabe Meldungen'!$A$2:$A$492)-1),COUNTIF('Eingabe Meldungen'!$A$2:$A$492,$B$220)+1-ROW('Eingabe Meldungen'!A5)))),"",INDEX('Eingabe Meldungen'!$C$2:$C$492,LARGE(('Eingabe Meldungen'!$A$2:$A$492=$B$220)*(ROW('Eingabe Meldungen'!$A$2:$A$492)-1),COUNTIF('Eingabe Meldungen'!$A$2:$A$492,$B$220)+1-ROW('Eingabe Meldungen'!A5))))</f>
        <v>Zahn</v>
      </c>
      <c r="C226" s="40" t="str">
        <f t="array" ref="C226">IF(ISERROR(INDEX('Eingabe Meldungen'!$D$2:$D$492,LARGE(('Eingabe Meldungen'!$A$2:$A$492=$B$220)*(ROW('Eingabe Meldungen'!$A$2:$A$492)-1),COUNTIF('Eingabe Meldungen'!$A$2:$A$492,$B$220)+1-ROW('Eingabe Meldungen'!A5)))),"",INDEX('Eingabe Meldungen'!$D$2:$D$492,LARGE(('Eingabe Meldungen'!$A$2:$A$492=$B$220)*(ROW('Eingabe Meldungen'!$A$2:$A$492)-1),COUNTIF('Eingabe Meldungen'!$A$2:$A$492,$B$220)+1-ROW('Eingabe Meldungen'!A5))))</f>
        <v>Simon</v>
      </c>
      <c r="D226" s="107">
        <f t="array" ref="D226">IF(B226&lt;&gt;"",INDEX('Eingabe Meldungen'!$C$2:$H$492,MATCH(B226&amp;C226,'Eingabe Meldungen'!$C$2:$C$492&amp;'Eingabe Meldungen'!$D$2:$D$492,0),6),"")</f>
        <v>2004</v>
      </c>
      <c r="E226" s="107" t="str">
        <f t="array" ref="E226">IF(B226&lt;&gt;"",INDEX('Eingabe Meldungen'!$C$2:$H$492,MATCH(B226&amp;C226,'Eingabe Meldungen'!$C$2:$C$492&amp;'Eingabe Meldungen'!$D$2:$D$492,0),4),"")</f>
        <v>Lgw. bis 67,5kg</v>
      </c>
      <c r="F226" s="39"/>
      <c r="G226" s="150"/>
      <c r="H226" s="40" t="e">
        <f t="shared" si="11"/>
        <v>#N/A</v>
      </c>
      <c r="I226" s="107" t="str">
        <f t="array" ref="I226">IF(B226&lt;&gt;"",INDEX('Eingabe Meldungen'!$C$2:$J$492,MATCH(B226&amp;C226,'Eingabe Meldungen'!$C$2:$C$492&amp;'Eingabe Meldungen'!$D$2:$D$492,0),8),"")</f>
        <v>Marbacher Ruderverein</v>
      </c>
      <c r="J226" s="257"/>
      <c r="K226" s="257"/>
      <c r="L226" s="254"/>
      <c r="M226" s="258"/>
      <c r="N226" s="11"/>
      <c r="O226" s="11"/>
      <c r="P226" s="15"/>
      <c r="Q226" s="11"/>
      <c r="S226" s="11"/>
      <c r="T226" s="11"/>
      <c r="W226" s="11"/>
      <c r="X226" s="11"/>
      <c r="Y226" s="15"/>
      <c r="Z226" s="11"/>
      <c r="AB226" s="11"/>
    </row>
    <row r="227" spans="2:28" ht="13.5" customHeight="1" x14ac:dyDescent="0.2">
      <c r="B227" s="148" t="str">
        <f t="array" ref="B227">IF(ISERROR(INDEX('Eingabe Meldungen'!$C$2:$C$492,LARGE(('Eingabe Meldungen'!$A$2:$A$492=$B$220)*(ROW('Eingabe Meldungen'!$A$2:$A$492)-1),COUNTIF('Eingabe Meldungen'!$A$2:$A$492,$B$220)+1-ROW('Eingabe Meldungen'!A6)))),"",INDEX('Eingabe Meldungen'!$C$2:$C$492,LARGE(('Eingabe Meldungen'!$A$2:$A$492=$B$220)*(ROW('Eingabe Meldungen'!$A$2:$A$492)-1),COUNTIF('Eingabe Meldungen'!$A$2:$A$492,$B$220)+1-ROW('Eingabe Meldungen'!A6))))</f>
        <v>Hodapp</v>
      </c>
      <c r="C227" s="40" t="str">
        <f t="array" ref="C227">IF(ISERROR(INDEX('Eingabe Meldungen'!$D$2:$D$492,LARGE(('Eingabe Meldungen'!$A$2:$A$492=$B$220)*(ROW('Eingabe Meldungen'!$A$2:$A$492)-1),COUNTIF('Eingabe Meldungen'!$A$2:$A$492,$B$220)+1-ROW('Eingabe Meldungen'!A6)))),"",INDEX('Eingabe Meldungen'!$D$2:$D$492,LARGE(('Eingabe Meldungen'!$A$2:$A$492=$B$220)*(ROW('Eingabe Meldungen'!$A$2:$A$492)-1),COUNTIF('Eingabe Meldungen'!$A$2:$A$492,$B$220)+1-ROW('Eingabe Meldungen'!A6))))</f>
        <v>Bjarne</v>
      </c>
      <c r="D227" s="107">
        <f t="array" ref="D227">IF(B227&lt;&gt;"",INDEX('Eingabe Meldungen'!$C$2:$H$492,MATCH(B227&amp;C227,'Eingabe Meldungen'!$C$2:$C$492&amp;'Eingabe Meldungen'!$D$2:$D$492,0),6),"")</f>
        <v>2005</v>
      </c>
      <c r="E227" s="107" t="str">
        <f t="array" ref="E227">IF(B227&lt;&gt;"",INDEX('Eingabe Meldungen'!$C$2:$H$492,MATCH(B227&amp;C227,'Eingabe Meldungen'!$C$2:$C$492&amp;'Eingabe Meldungen'!$D$2:$D$492,0),4),"")</f>
        <v>Lgw. bis 67,5kg</v>
      </c>
      <c r="F227" s="39"/>
      <c r="G227" s="150"/>
      <c r="H227" s="40" t="e">
        <f t="shared" si="11"/>
        <v>#N/A</v>
      </c>
      <c r="I227" s="107" t="str">
        <f t="array" ref="I227">IF(B227&lt;&gt;"",INDEX('Eingabe Meldungen'!$C$2:$J$492,MATCH(B227&amp;C227,'Eingabe Meldungen'!$C$2:$C$492&amp;'Eingabe Meldungen'!$D$2:$D$492,0),8),"")</f>
        <v>RC Nürtingen</v>
      </c>
      <c r="J227" s="257"/>
      <c r="K227" s="257"/>
      <c r="L227" s="254"/>
      <c r="M227" s="258"/>
      <c r="N227" s="11"/>
      <c r="O227" s="11"/>
      <c r="P227" s="15"/>
      <c r="Q227" s="11"/>
      <c r="S227" s="11"/>
      <c r="T227" s="11"/>
      <c r="W227" s="11"/>
      <c r="X227" s="11"/>
      <c r="Y227" s="15"/>
      <c r="Z227" s="11"/>
      <c r="AB227" s="11"/>
    </row>
    <row r="228" spans="2:28" ht="13.5" customHeight="1" x14ac:dyDescent="0.2">
      <c r="B228" s="148" t="str">
        <f t="array" ref="B228">IF(ISERROR(INDEX('Eingabe Meldungen'!$C$2:$C$492,LARGE(('Eingabe Meldungen'!$A$2:$A$492=$B$220)*(ROW('Eingabe Meldungen'!$A$2:$A$492)-1),COUNTIF('Eingabe Meldungen'!$A$2:$A$492,$B$220)+1-ROW('Eingabe Meldungen'!A7)))),"",INDEX('Eingabe Meldungen'!$C$2:$C$492,LARGE(('Eingabe Meldungen'!$A$2:$A$492=$B$220)*(ROW('Eingabe Meldungen'!$A$2:$A$492)-1),COUNTIF('Eingabe Meldungen'!$A$2:$A$492,$B$220)+1-ROW('Eingabe Meldungen'!A7))))</f>
        <v>Höring</v>
      </c>
      <c r="C228" s="40" t="str">
        <f t="array" ref="C228">IF(ISERROR(INDEX('Eingabe Meldungen'!$D$2:$D$492,LARGE(('Eingabe Meldungen'!$A$2:$A$492=$B$220)*(ROW('Eingabe Meldungen'!$A$2:$A$492)-1),COUNTIF('Eingabe Meldungen'!$A$2:$A$492,$B$220)+1-ROW('Eingabe Meldungen'!A7)))),"",INDEX('Eingabe Meldungen'!$D$2:$D$492,LARGE(('Eingabe Meldungen'!$A$2:$A$492=$B$220)*(ROW('Eingabe Meldungen'!$A$2:$A$492)-1),COUNTIF('Eingabe Meldungen'!$A$2:$A$492,$B$220)+1-ROW('Eingabe Meldungen'!A7))))</f>
        <v>Clemens</v>
      </c>
      <c r="D228" s="107">
        <f t="array" ref="D228">IF(B228&lt;&gt;"",INDEX('Eingabe Meldungen'!$C$2:$H$492,MATCH(B228&amp;C228,'Eingabe Meldungen'!$C$2:$C$492&amp;'Eingabe Meldungen'!$D$2:$D$492,0),6),"")</f>
        <v>2005</v>
      </c>
      <c r="E228" s="107" t="str">
        <f t="array" ref="E228">IF(B228&lt;&gt;"",INDEX('Eingabe Meldungen'!$C$2:$H$492,MATCH(B228&amp;C228,'Eingabe Meldungen'!$C$2:$C$492&amp;'Eingabe Meldungen'!$D$2:$D$492,0),4),"")</f>
        <v>Lgw. bis 67,5kg</v>
      </c>
      <c r="F228" s="39"/>
      <c r="G228" s="150"/>
      <c r="H228" s="40" t="e">
        <f t="shared" si="11"/>
        <v>#N/A</v>
      </c>
      <c r="I228" s="107" t="str">
        <f t="array" ref="I228">IF(B228&lt;&gt;"",INDEX('Eingabe Meldungen'!$C$2:$J$492,MATCH(B228&amp;C228,'Eingabe Meldungen'!$C$2:$C$492&amp;'Eingabe Meldungen'!$D$2:$D$492,0),8),"")</f>
        <v>RC Nürtingen</v>
      </c>
      <c r="J228" s="257"/>
      <c r="K228" s="257"/>
      <c r="L228" s="254"/>
      <c r="M228" s="258"/>
      <c r="N228" s="11"/>
      <c r="O228" s="11"/>
      <c r="P228" s="15"/>
      <c r="Q228" s="11"/>
      <c r="S228" s="11"/>
      <c r="T228" s="11"/>
      <c r="W228" s="11"/>
      <c r="X228" s="11"/>
      <c r="Y228" s="15"/>
      <c r="Z228" s="11"/>
      <c r="AB228" s="11"/>
    </row>
    <row r="229" spans="2:28" ht="13.5" customHeight="1" x14ac:dyDescent="0.2">
      <c r="B229" s="148" t="str">
        <f t="array" ref="B229">IF(ISERROR(INDEX('Eingabe Meldungen'!$C$2:$C$492,LARGE(('Eingabe Meldungen'!$A$2:$A$492=$B$220)*(ROW('Eingabe Meldungen'!$A$2:$A$492)-1),COUNTIF('Eingabe Meldungen'!$A$2:$A$492,$B$220)+1-ROW('Eingabe Meldungen'!A8)))),"",INDEX('Eingabe Meldungen'!$C$2:$C$492,LARGE(('Eingabe Meldungen'!$A$2:$A$492=$B$220)*(ROW('Eingabe Meldungen'!$A$2:$A$492)-1),COUNTIF('Eingabe Meldungen'!$A$2:$A$492,$B$220)+1-ROW('Eingabe Meldungen'!A8))))</f>
        <v>Wiens</v>
      </c>
      <c r="C229" s="40" t="str">
        <f t="array" ref="C229">IF(ISERROR(INDEX('Eingabe Meldungen'!$D$2:$D$492,LARGE(('Eingabe Meldungen'!$A$2:$A$492=$B$220)*(ROW('Eingabe Meldungen'!$A$2:$A$492)-1),COUNTIF('Eingabe Meldungen'!$A$2:$A$492,$B$220)+1-ROW('Eingabe Meldungen'!A8)))),"",INDEX('Eingabe Meldungen'!$D$2:$D$492,LARGE(('Eingabe Meldungen'!$A$2:$A$492=$B$220)*(ROW('Eingabe Meldungen'!$A$2:$A$492)-1),COUNTIF('Eingabe Meldungen'!$A$2:$A$492,$B$220)+1-ROW('Eingabe Meldungen'!A8))))</f>
        <v>Daniel</v>
      </c>
      <c r="D229" s="107">
        <f t="array" ref="D229">IF(B229&lt;&gt;"",INDEX('Eingabe Meldungen'!$C$2:$H$492,MATCH(B229&amp;C229,'Eingabe Meldungen'!$C$2:$C$492&amp;'Eingabe Meldungen'!$D$2:$D$492,0),6),"")</f>
        <v>2005</v>
      </c>
      <c r="E229" s="107" t="str">
        <f t="array" ref="E229">IF(B229&lt;&gt;"",INDEX('Eingabe Meldungen'!$C$2:$H$492,MATCH(B229&amp;C229,'Eingabe Meldungen'!$C$2:$C$492&amp;'Eingabe Meldungen'!$D$2:$D$492,0),4),"")</f>
        <v>Lgw. bis 67,5kg</v>
      </c>
      <c r="F229" s="39"/>
      <c r="G229" s="150"/>
      <c r="H229" s="40" t="e">
        <f t="shared" si="11"/>
        <v>#N/A</v>
      </c>
      <c r="I229" s="107" t="str">
        <f t="array" ref="I229">IF(B229&lt;&gt;"",INDEX('Eingabe Meldungen'!$C$2:$J$492,MATCH(B229&amp;C229,'Eingabe Meldungen'!$C$2:$C$492&amp;'Eingabe Meldungen'!$D$2:$D$492,0),8),"")</f>
        <v>RV Waldsee</v>
      </c>
      <c r="J229" s="257"/>
      <c r="K229" s="257"/>
      <c r="L229" s="254"/>
      <c r="M229" s="258"/>
      <c r="N229" s="11"/>
      <c r="O229" s="11"/>
      <c r="P229" s="15"/>
      <c r="Q229" s="11"/>
      <c r="S229" s="11"/>
      <c r="T229" s="11"/>
      <c r="W229" s="11"/>
      <c r="X229" s="11"/>
      <c r="Y229" s="15"/>
      <c r="Z229" s="11"/>
      <c r="AB229" s="11"/>
    </row>
    <row r="230" spans="2:28" ht="13.5" customHeight="1" x14ac:dyDescent="0.2">
      <c r="B230" s="148" t="str">
        <f t="array" ref="B230">IF(ISERROR(INDEX('Eingabe Meldungen'!$C$2:$C$492,LARGE(('Eingabe Meldungen'!$A$2:$A$492=$B$220)*(ROW('Eingabe Meldungen'!$A$2:$A$492)-1),COUNTIF('Eingabe Meldungen'!$A$2:$A$492,$B$220)+1-ROW('Eingabe Meldungen'!A9)))),"",INDEX('Eingabe Meldungen'!$C$2:$C$492,LARGE(('Eingabe Meldungen'!$A$2:$A$492=$B$220)*(ROW('Eingabe Meldungen'!$A$2:$A$492)-1),COUNTIF('Eingabe Meldungen'!$A$2:$A$492,$B$220)+1-ROW('Eingabe Meldungen'!A9))))</f>
        <v>Wolf</v>
      </c>
      <c r="C230" s="40" t="str">
        <f t="array" ref="C230">IF(ISERROR(INDEX('Eingabe Meldungen'!$D$2:$D$492,LARGE(('Eingabe Meldungen'!$A$2:$A$492=$B$220)*(ROW('Eingabe Meldungen'!$A$2:$A$492)-1),COUNTIF('Eingabe Meldungen'!$A$2:$A$492,$B$220)+1-ROW('Eingabe Meldungen'!A9)))),"",INDEX('Eingabe Meldungen'!$D$2:$D$492,LARGE(('Eingabe Meldungen'!$A$2:$A$492=$B$220)*(ROW('Eingabe Meldungen'!$A$2:$A$492)-1),COUNTIF('Eingabe Meldungen'!$A$2:$A$492,$B$220)+1-ROW('Eingabe Meldungen'!A9))))</f>
        <v>Enno</v>
      </c>
      <c r="D230" s="107">
        <f t="array" ref="D230">IF(B230&lt;&gt;"",INDEX('Eingabe Meldungen'!$C$2:$H$492,MATCH(B230&amp;C230,'Eingabe Meldungen'!$C$2:$C$492&amp;'Eingabe Meldungen'!$D$2:$D$492,0),6),"")</f>
        <v>2005</v>
      </c>
      <c r="E230" s="107" t="str">
        <f t="array" ref="E230">IF(B230&lt;&gt;"",INDEX('Eingabe Meldungen'!$C$2:$H$492,MATCH(B230&amp;C230,'Eingabe Meldungen'!$C$2:$C$492&amp;'Eingabe Meldungen'!$D$2:$D$492,0),4),"")</f>
        <v>Lgw. bis 67,5kg</v>
      </c>
      <c r="F230" s="39"/>
      <c r="G230" s="150"/>
      <c r="H230" s="40" t="e">
        <f t="shared" si="11"/>
        <v>#N/A</v>
      </c>
      <c r="I230" s="107" t="str">
        <f t="array" ref="I230">IF(B230&lt;&gt;"",INDEX('Eingabe Meldungen'!$C$2:$J$492,MATCH(B230&amp;C230,'Eingabe Meldungen'!$C$2:$C$492&amp;'Eingabe Meldungen'!$D$2:$D$492,0),8),"")</f>
        <v>HRG Schwaben</v>
      </c>
      <c r="J230" s="257"/>
      <c r="K230" s="257"/>
      <c r="L230" s="254"/>
      <c r="M230" s="262"/>
      <c r="N230" s="24"/>
      <c r="O230" s="11"/>
      <c r="P230" s="10"/>
      <c r="Q230" s="11"/>
      <c r="R230" s="11"/>
      <c r="S230" s="11"/>
      <c r="T230" s="11"/>
      <c r="U230" s="11"/>
      <c r="W230" s="11"/>
      <c r="X230" s="11"/>
      <c r="Y230" s="15"/>
      <c r="Z230" s="11"/>
      <c r="AB230" s="11"/>
    </row>
    <row r="231" spans="2:28" ht="13.5" customHeight="1" x14ac:dyDescent="0.2">
      <c r="B231" s="148" t="str">
        <f t="array" ref="B231">IF(ISERROR(INDEX('Eingabe Meldungen'!$C$2:$C$492,LARGE(('Eingabe Meldungen'!$A$2:$A$492=$B$220)*(ROW('Eingabe Meldungen'!$A$2:$A$492)-1),COUNTIF('Eingabe Meldungen'!$A$2:$A$492,$B$220)+1-ROW('Eingabe Meldungen'!A10)))),"",INDEX('Eingabe Meldungen'!$C$2:$C$492,LARGE(('Eingabe Meldungen'!$A$2:$A$492=$B$220)*(ROW('Eingabe Meldungen'!$A$2:$A$492)-1),COUNTIF('Eingabe Meldungen'!$A$2:$A$492,$B$220)+1-ROW('Eingabe Meldungen'!A10))))</f>
        <v>Fouque</v>
      </c>
      <c r="C231" s="40" t="str">
        <f t="array" ref="C231">IF(ISERROR(INDEX('Eingabe Meldungen'!$D$2:$D$492,LARGE(('Eingabe Meldungen'!$A$2:$A$492=$B$220)*(ROW('Eingabe Meldungen'!$A$2:$A$492)-1),COUNTIF('Eingabe Meldungen'!$A$2:$A$492,$B$220)+1-ROW('Eingabe Meldungen'!A10)))),"",INDEX('Eingabe Meldungen'!$D$2:$D$492,LARGE(('Eingabe Meldungen'!$A$2:$A$492=$B$220)*(ROW('Eingabe Meldungen'!$A$2:$A$492)-1),COUNTIF('Eingabe Meldungen'!$A$2:$A$492,$B$220)+1-ROW('Eingabe Meldungen'!A10))))</f>
        <v>Finn</v>
      </c>
      <c r="D231" s="107">
        <f t="array" ref="D231">IF(B231&lt;&gt;"",INDEX('Eingabe Meldungen'!$C$2:$H$492,MATCH(B231&amp;C231,'Eingabe Meldungen'!$C$2:$C$492&amp;'Eingabe Meldungen'!$D$2:$D$492,0),6),"")</f>
        <v>2005</v>
      </c>
      <c r="E231" s="107" t="str">
        <f t="array" ref="E231">IF(B231&lt;&gt;"",INDEX('Eingabe Meldungen'!$C$2:$H$492,MATCH(B231&amp;C231,'Eingabe Meldungen'!$C$2:$C$492&amp;'Eingabe Meldungen'!$D$2:$D$492,0),4),"")</f>
        <v>Lgw. bis 67,5kg</v>
      </c>
      <c r="F231" s="39"/>
      <c r="G231" s="150"/>
      <c r="H231" s="40" t="e">
        <f t="shared" si="11"/>
        <v>#N/A</v>
      </c>
      <c r="I231" s="107" t="str">
        <f t="array" ref="I231">IF(B231&lt;&gt;"",INDEX('Eingabe Meldungen'!$C$2:$J$492,MATCH(B231&amp;C231,'Eingabe Meldungen'!$C$2:$C$492&amp;'Eingabe Meldungen'!$D$2:$D$492,0),8),"")</f>
        <v>RC Nürtingen</v>
      </c>
      <c r="J231" s="257"/>
      <c r="K231" s="264"/>
      <c r="L231" s="265"/>
      <c r="M231" s="266"/>
      <c r="N231" s="17"/>
      <c r="O231" s="17"/>
      <c r="P231" s="17"/>
      <c r="Q231" s="17"/>
      <c r="R231" s="17"/>
      <c r="S231" s="17"/>
      <c r="T231" s="11"/>
      <c r="U231" s="11"/>
      <c r="W231" s="11"/>
      <c r="X231" s="11"/>
      <c r="Y231" s="15"/>
      <c r="Z231" s="11"/>
      <c r="AB231" s="11"/>
    </row>
    <row r="232" spans="2:28" ht="13.5" customHeight="1" x14ac:dyDescent="0.2">
      <c r="B232" s="148" t="str">
        <f t="array" ref="B232">IF(ISERROR(INDEX('Eingabe Meldungen'!$C$2:$C$492,LARGE(('Eingabe Meldungen'!$A$2:$A$492=$B$220)*(ROW('Eingabe Meldungen'!$A$2:$A$492)-1),COUNTIF('Eingabe Meldungen'!$A$2:$A$492,$B$220)+1-ROW('Eingabe Meldungen'!A11)))),"",INDEX('Eingabe Meldungen'!$C$2:$C$492,LARGE(('Eingabe Meldungen'!$A$2:$A$492=$B$220)*(ROW('Eingabe Meldungen'!$A$2:$A$492)-1),COUNTIF('Eingabe Meldungen'!$A$2:$A$492,$B$220)+1-ROW('Eingabe Meldungen'!A11))))</f>
        <v>Wilke</v>
      </c>
      <c r="C232" s="40" t="str">
        <f t="array" ref="C232">IF(ISERROR(INDEX('Eingabe Meldungen'!$D$2:$D$492,LARGE(('Eingabe Meldungen'!$A$2:$A$492=$B$220)*(ROW('Eingabe Meldungen'!$A$2:$A$492)-1),COUNTIF('Eingabe Meldungen'!$A$2:$A$492,$B$220)+1-ROW('Eingabe Meldungen'!A11)))),"",INDEX('Eingabe Meldungen'!$D$2:$D$492,LARGE(('Eingabe Meldungen'!$A$2:$A$492=$B$220)*(ROW('Eingabe Meldungen'!$A$2:$A$492)-1),COUNTIF('Eingabe Meldungen'!$A$2:$A$492,$B$220)+1-ROW('Eingabe Meldungen'!A11))))</f>
        <v>Henri</v>
      </c>
      <c r="D232" s="107">
        <f t="array" ref="D232">IF(B232&lt;&gt;"",INDEX('Eingabe Meldungen'!$C$2:$H$492,MATCH(B232&amp;C232,'Eingabe Meldungen'!$C$2:$C$492&amp;'Eingabe Meldungen'!$D$2:$D$492,0),6),"")</f>
        <v>2005</v>
      </c>
      <c r="E232" s="107" t="str">
        <f t="array" ref="E232">IF(B232&lt;&gt;"",INDEX('Eingabe Meldungen'!$C$2:$H$492,MATCH(B232&amp;C232,'Eingabe Meldungen'!$C$2:$C$492&amp;'Eingabe Meldungen'!$D$2:$D$492,0),4),"")</f>
        <v>Lgw. bis 67,5kg</v>
      </c>
      <c r="F232" s="39"/>
      <c r="G232" s="150"/>
      <c r="H232" s="40" t="e">
        <f t="shared" si="11"/>
        <v>#N/A</v>
      </c>
      <c r="I232" s="107" t="str">
        <f t="array" ref="I232">IF(B232&lt;&gt;"",INDEX('Eingabe Meldungen'!$C$2:$J$492,MATCH(B232&amp;C232,'Eingabe Meldungen'!$C$2:$C$492&amp;'Eingabe Meldungen'!$D$2:$D$492,0),8),"")</f>
        <v>Rudergesellschaft Heidelberg</v>
      </c>
      <c r="J232" s="257"/>
      <c r="K232" s="264"/>
      <c r="L232" s="265"/>
      <c r="M232" s="266"/>
      <c r="N232" s="17"/>
      <c r="O232" s="16"/>
      <c r="P232" s="17"/>
      <c r="Q232" s="17"/>
      <c r="R232" s="17"/>
      <c r="S232" s="17"/>
      <c r="T232" s="11"/>
      <c r="U232" s="11"/>
      <c r="W232" s="11"/>
      <c r="X232" s="11"/>
      <c r="Y232" s="15"/>
      <c r="Z232" s="11"/>
      <c r="AB232" s="11"/>
    </row>
    <row r="233" spans="2:28" ht="13.5" customHeight="1" x14ac:dyDescent="0.2">
      <c r="B233" s="148" t="str">
        <f t="array" ref="B233">IF(ISERROR(INDEX('Eingabe Meldungen'!$C$2:$C$492,LARGE(('Eingabe Meldungen'!$A$2:$A$492=$B$220)*(ROW('Eingabe Meldungen'!$A$2:$A$492)-1),COUNTIF('Eingabe Meldungen'!$A$2:$A$492,$B$220)+1-ROW('Eingabe Meldungen'!A12)))),"",INDEX('Eingabe Meldungen'!$C$2:$C$492,LARGE(('Eingabe Meldungen'!$A$2:$A$492=$B$220)*(ROW('Eingabe Meldungen'!$A$2:$A$492)-1),COUNTIF('Eingabe Meldungen'!$A$2:$A$492,$B$220)+1-ROW('Eingabe Meldungen'!A12))))</f>
        <v>Hannig</v>
      </c>
      <c r="C233" s="40" t="str">
        <f t="array" ref="C233">IF(ISERROR(INDEX('Eingabe Meldungen'!$D$2:$D$492,LARGE(('Eingabe Meldungen'!$A$2:$A$492=$B$220)*(ROW('Eingabe Meldungen'!$A$2:$A$492)-1),COUNTIF('Eingabe Meldungen'!$A$2:$A$492,$B$220)+1-ROW('Eingabe Meldungen'!A12)))),"",INDEX('Eingabe Meldungen'!$D$2:$D$492,LARGE(('Eingabe Meldungen'!$A$2:$A$492=$B$220)*(ROW('Eingabe Meldungen'!$A$2:$A$492)-1),COUNTIF('Eingabe Meldungen'!$A$2:$A$492,$B$220)+1-ROW('Eingabe Meldungen'!A12))))</f>
        <v>Jan</v>
      </c>
      <c r="D233" s="107">
        <f t="array" ref="D233">IF(B233&lt;&gt;"",INDEX('Eingabe Meldungen'!$C$2:$H$492,MATCH(B233&amp;C233,'Eingabe Meldungen'!$C$2:$C$492&amp;'Eingabe Meldungen'!$D$2:$D$492,0),6),"")</f>
        <v>2005</v>
      </c>
      <c r="E233" s="107" t="str">
        <f t="array" ref="E233">IF(B233&lt;&gt;"",INDEX('Eingabe Meldungen'!$C$2:$H$492,MATCH(B233&amp;C233,'Eingabe Meldungen'!$C$2:$C$492&amp;'Eingabe Meldungen'!$D$2:$D$492,0),4),"")</f>
        <v>Lgw. bis 67,5kg</v>
      </c>
      <c r="F233" s="39"/>
      <c r="G233" s="150"/>
      <c r="H233" s="40" t="e">
        <f t="shared" si="11"/>
        <v>#N/A</v>
      </c>
      <c r="I233" s="107" t="str">
        <f t="array" ref="I233">IF(B233&lt;&gt;"",INDEX('Eingabe Meldungen'!$C$2:$J$492,MATCH(B233&amp;C233,'Eingabe Meldungen'!$C$2:$C$492&amp;'Eingabe Meldungen'!$D$2:$D$492,0),8),"")</f>
        <v>Schweinfurter Ruder-Club Franken</v>
      </c>
      <c r="J233" s="257"/>
      <c r="K233" s="257"/>
      <c r="L233" s="254"/>
      <c r="M233" s="258"/>
      <c r="N233" s="11"/>
      <c r="O233" s="11"/>
      <c r="P233" s="15"/>
      <c r="Q233" s="11"/>
      <c r="T233" s="11"/>
      <c r="U233" s="11"/>
      <c r="W233" s="11"/>
      <c r="X233" s="11"/>
      <c r="Y233" s="15"/>
      <c r="Z233" s="11"/>
      <c r="AB233" s="11"/>
    </row>
    <row r="234" spans="2:28" ht="13.5" customHeight="1" x14ac:dyDescent="0.2">
      <c r="B234" s="148" t="str">
        <f t="array" ref="B234">IF(ISERROR(INDEX('Eingabe Meldungen'!$C$2:$C$492,LARGE(('Eingabe Meldungen'!$A$2:$A$492=$B$220)*(ROW('Eingabe Meldungen'!$A$2:$A$492)-1),COUNTIF('Eingabe Meldungen'!$A$2:$A$492,$B$220)+1-ROW('Eingabe Meldungen'!A13)))),"",INDEX('Eingabe Meldungen'!$C$2:$C$492,LARGE(('Eingabe Meldungen'!$A$2:$A$492=$B$220)*(ROW('Eingabe Meldungen'!$A$2:$A$492)-1),COUNTIF('Eingabe Meldungen'!$A$2:$A$492,$B$220)+1-ROW('Eingabe Meldungen'!A13))))</f>
        <v>Grimm</v>
      </c>
      <c r="C234" s="40" t="str">
        <f t="array" ref="C234">IF(ISERROR(INDEX('Eingabe Meldungen'!$D$2:$D$492,LARGE(('Eingabe Meldungen'!$A$2:$A$492=$B$220)*(ROW('Eingabe Meldungen'!$A$2:$A$492)-1),COUNTIF('Eingabe Meldungen'!$A$2:$A$492,$B$220)+1-ROW('Eingabe Meldungen'!A13)))),"",INDEX('Eingabe Meldungen'!$D$2:$D$492,LARGE(('Eingabe Meldungen'!$A$2:$A$492=$B$220)*(ROW('Eingabe Meldungen'!$A$2:$A$492)-1),COUNTIF('Eingabe Meldungen'!$A$2:$A$492,$B$220)+1-ROW('Eingabe Meldungen'!A13))))</f>
        <v>Lorenz</v>
      </c>
      <c r="D234" s="107">
        <f t="array" ref="D234">IF(B234&lt;&gt;"",INDEX('Eingabe Meldungen'!$C$2:$H$492,MATCH(B234&amp;C234,'Eingabe Meldungen'!$C$2:$C$492&amp;'Eingabe Meldungen'!$D$2:$D$492,0),6),"")</f>
        <v>2005</v>
      </c>
      <c r="E234" s="107" t="str">
        <f t="array" ref="E234">IF(B234&lt;&gt;"",INDEX('Eingabe Meldungen'!$C$2:$H$492,MATCH(B234&amp;C234,'Eingabe Meldungen'!$C$2:$C$492&amp;'Eingabe Meldungen'!$D$2:$D$492,0),4),"")</f>
        <v>Lgw. bis 67,5kg</v>
      </c>
      <c r="F234" s="39"/>
      <c r="G234" s="150"/>
      <c r="H234" s="40" t="e">
        <f t="shared" si="11"/>
        <v>#N/A</v>
      </c>
      <c r="I234" s="107" t="str">
        <f t="array" ref="I234">IF(B234&lt;&gt;"",INDEX('Eingabe Meldungen'!$C$2:$J$492,MATCH(B234&amp;C234,'Eingabe Meldungen'!$C$2:$C$492&amp;'Eingabe Meldungen'!$D$2:$D$492,0),8),"")</f>
        <v>Schweinfurter Ruder-Club Franken</v>
      </c>
      <c r="J234" s="257"/>
      <c r="K234" s="257"/>
      <c r="L234" s="254"/>
      <c r="M234" s="258"/>
      <c r="N234" s="11"/>
      <c r="O234" s="11"/>
      <c r="P234" s="15"/>
      <c r="Q234" s="11"/>
      <c r="T234" s="11"/>
      <c r="U234" s="11"/>
      <c r="W234" s="11"/>
      <c r="X234" s="11"/>
      <c r="Y234" s="15"/>
      <c r="Z234" s="11"/>
      <c r="AB234" s="11"/>
    </row>
    <row r="235" spans="2:28" ht="13.5" customHeight="1" x14ac:dyDescent="0.2">
      <c r="B235" s="148" t="str">
        <f t="array" ref="B235">IF(ISERROR(INDEX('Eingabe Meldungen'!$C$2:$C$492,LARGE(('Eingabe Meldungen'!$A$2:$A$492=$B$220)*(ROW('Eingabe Meldungen'!$A$2:$A$492)-1),COUNTIF('Eingabe Meldungen'!$A$2:$A$492,$B$220)+1-ROW('Eingabe Meldungen'!A14)))),"",INDEX('Eingabe Meldungen'!$C$2:$C$492,LARGE(('Eingabe Meldungen'!$A$2:$A$492=$B$220)*(ROW('Eingabe Meldungen'!$A$2:$A$492)-1),COUNTIF('Eingabe Meldungen'!$A$2:$A$492,$B$220)+1-ROW('Eingabe Meldungen'!A14))))</f>
        <v>Schnaidt</v>
      </c>
      <c r="C235" s="40" t="str">
        <f t="array" ref="C235">IF(ISERROR(INDEX('Eingabe Meldungen'!$D$2:$D$492,LARGE(('Eingabe Meldungen'!$A$2:$A$492=$B$220)*(ROW('Eingabe Meldungen'!$A$2:$A$492)-1),COUNTIF('Eingabe Meldungen'!$A$2:$A$492,$B$220)+1-ROW('Eingabe Meldungen'!A14)))),"",INDEX('Eingabe Meldungen'!$D$2:$D$492,LARGE(('Eingabe Meldungen'!$A$2:$A$492=$B$220)*(ROW('Eingabe Meldungen'!$A$2:$A$492)-1),COUNTIF('Eingabe Meldungen'!$A$2:$A$492,$B$220)+1-ROW('Eingabe Meldungen'!A14))))</f>
        <v>Manuel</v>
      </c>
      <c r="D235" s="107">
        <f t="array" ref="D235">IF(B235&lt;&gt;"",INDEX('Eingabe Meldungen'!$C$2:$H$492,MATCH(B235&amp;C235,'Eingabe Meldungen'!$C$2:$C$492&amp;'Eingabe Meldungen'!$D$2:$D$492,0),6),"")</f>
        <v>2005</v>
      </c>
      <c r="E235" s="107" t="str">
        <f t="array" ref="E235">IF(B235&lt;&gt;"",INDEX('Eingabe Meldungen'!$C$2:$H$492,MATCH(B235&amp;C235,'Eingabe Meldungen'!$C$2:$C$492&amp;'Eingabe Meldungen'!$D$2:$D$492,0),4),"")</f>
        <v>Lgw. bis 67,5kg</v>
      </c>
      <c r="F235" s="39"/>
      <c r="G235" s="150"/>
      <c r="H235" s="40" t="e">
        <f t="shared" si="11"/>
        <v>#N/A</v>
      </c>
      <c r="I235" s="107" t="str">
        <f t="array" ref="I235">IF(B235&lt;&gt;"",INDEX('Eingabe Meldungen'!$C$2:$J$492,MATCH(B235&amp;C235,'Eingabe Meldungen'!$C$2:$C$492&amp;'Eingabe Meldungen'!$D$2:$D$492,0),8),"")</f>
        <v>RC Nürtingen</v>
      </c>
      <c r="J235" s="257"/>
      <c r="K235" s="257"/>
      <c r="L235" s="254"/>
      <c r="M235" s="258"/>
      <c r="N235" s="11"/>
      <c r="O235" s="11"/>
      <c r="P235" s="15"/>
      <c r="Q235" s="11"/>
      <c r="T235" s="11"/>
      <c r="U235" s="11"/>
      <c r="W235" s="11"/>
      <c r="X235" s="11"/>
      <c r="Y235" s="15"/>
      <c r="Z235" s="11"/>
      <c r="AB235" s="11"/>
    </row>
    <row r="236" spans="2:28" ht="13.5" customHeight="1" x14ac:dyDescent="0.2">
      <c r="B236" s="148" t="str">
        <f t="array" ref="B236">IF(ISERROR(INDEX('Eingabe Meldungen'!$C$2:$C$492,LARGE(('Eingabe Meldungen'!$A$2:$A$492=$B$220)*(ROW('Eingabe Meldungen'!$A$2:$A$492)-1),COUNTIF('Eingabe Meldungen'!$A$2:$A$492,$B$220)+1-ROW('Eingabe Meldungen'!A15)))),"",INDEX('Eingabe Meldungen'!$C$2:$C$492,LARGE(('Eingabe Meldungen'!$A$2:$A$492=$B$220)*(ROW('Eingabe Meldungen'!$A$2:$A$492)-1),COUNTIF('Eingabe Meldungen'!$A$2:$A$492,$B$220)+1-ROW('Eingabe Meldungen'!A15))))</f>
        <v>Tschöke</v>
      </c>
      <c r="C236" s="40" t="str">
        <f t="array" ref="C236">IF(ISERROR(INDEX('Eingabe Meldungen'!$D$2:$D$492,LARGE(('Eingabe Meldungen'!$A$2:$A$492=$B$220)*(ROW('Eingabe Meldungen'!$A$2:$A$492)-1),COUNTIF('Eingabe Meldungen'!$A$2:$A$492,$B$220)+1-ROW('Eingabe Meldungen'!A15)))),"",INDEX('Eingabe Meldungen'!$D$2:$D$492,LARGE(('Eingabe Meldungen'!$A$2:$A$492=$B$220)*(ROW('Eingabe Meldungen'!$A$2:$A$492)-1),COUNTIF('Eingabe Meldungen'!$A$2:$A$492,$B$220)+1-ROW('Eingabe Meldungen'!A15))))</f>
        <v>Pascal</v>
      </c>
      <c r="D236" s="107">
        <f t="array" ref="D236">IF(B236&lt;&gt;"",INDEX('Eingabe Meldungen'!$C$2:$H$492,MATCH(B236&amp;C236,'Eingabe Meldungen'!$C$2:$C$492&amp;'Eingabe Meldungen'!$D$2:$D$492,0),6),"")</f>
        <v>2005</v>
      </c>
      <c r="E236" s="107" t="str">
        <f t="array" ref="E236">IF(B236&lt;&gt;"",INDEX('Eingabe Meldungen'!$C$2:$H$492,MATCH(B236&amp;C236,'Eingabe Meldungen'!$C$2:$C$492&amp;'Eingabe Meldungen'!$D$2:$D$492,0),4),"")</f>
        <v>Lgw. bis 67,5kg</v>
      </c>
      <c r="F236" s="39"/>
      <c r="G236" s="150"/>
      <c r="H236" s="40" t="e">
        <f t="shared" si="11"/>
        <v>#N/A</v>
      </c>
      <c r="I236" s="107" t="str">
        <f t="array" ref="I236">IF(B236&lt;&gt;"",INDEX('Eingabe Meldungen'!$C$2:$J$492,MATCH(B236&amp;C236,'Eingabe Meldungen'!$C$2:$C$492&amp;'Eingabe Meldungen'!$D$2:$D$492,0),8),"")</f>
        <v>RV Waldsee</v>
      </c>
      <c r="J236" s="257"/>
      <c r="K236" s="257"/>
      <c r="L236" s="254"/>
      <c r="M236" s="258"/>
      <c r="N236" s="11"/>
      <c r="O236" s="11"/>
      <c r="P236" s="15"/>
      <c r="Q236" s="11"/>
      <c r="T236" s="11"/>
      <c r="U236" s="11"/>
      <c r="W236" s="11"/>
      <c r="X236" s="11"/>
      <c r="Y236" s="15"/>
      <c r="Z236" s="11"/>
      <c r="AB236" s="11"/>
    </row>
    <row r="237" spans="2:28" ht="13.5" customHeight="1" x14ac:dyDescent="0.2">
      <c r="B237" s="148" t="str">
        <f t="array" ref="B237">IF(ISERROR(INDEX('Eingabe Meldungen'!$C$2:$C$492,LARGE(('Eingabe Meldungen'!$A$2:$A$492=$B$220)*(ROW('Eingabe Meldungen'!$A$2:$A$492)-1),COUNTIF('Eingabe Meldungen'!$A$2:$A$492,$B$220)+1-ROW('Eingabe Meldungen'!A16)))),"",INDEX('Eingabe Meldungen'!$C$2:$C$492,LARGE(('Eingabe Meldungen'!$A$2:$A$492=$B$220)*(ROW('Eingabe Meldungen'!$A$2:$A$492)-1),COUNTIF('Eingabe Meldungen'!$A$2:$A$492,$B$220)+1-ROW('Eingabe Meldungen'!A16))))</f>
        <v>Philipp</v>
      </c>
      <c r="C237" s="40" t="str">
        <f t="array" ref="C237">IF(ISERROR(INDEX('Eingabe Meldungen'!$D$2:$D$492,LARGE(('Eingabe Meldungen'!$A$2:$A$492=$B$220)*(ROW('Eingabe Meldungen'!$A$2:$A$492)-1),COUNTIF('Eingabe Meldungen'!$A$2:$A$492,$B$220)+1-ROW('Eingabe Meldungen'!A16)))),"",INDEX('Eingabe Meldungen'!$D$2:$D$492,LARGE(('Eingabe Meldungen'!$A$2:$A$492=$B$220)*(ROW('Eingabe Meldungen'!$A$2:$A$492)-1),COUNTIF('Eingabe Meldungen'!$A$2:$A$492,$B$220)+1-ROW('Eingabe Meldungen'!A16))))</f>
        <v>Paul</v>
      </c>
      <c r="D237" s="107">
        <f t="array" ref="D237">IF(B237&lt;&gt;"",INDEX('Eingabe Meldungen'!$C$2:$H$492,MATCH(B237&amp;C237,'Eingabe Meldungen'!$C$2:$C$492&amp;'Eingabe Meldungen'!$D$2:$D$492,0),6),"")</f>
        <v>2005</v>
      </c>
      <c r="E237" s="107" t="str">
        <f t="array" ref="E237">IF(B237&lt;&gt;"",INDEX('Eingabe Meldungen'!$C$2:$H$492,MATCH(B237&amp;C237,'Eingabe Meldungen'!$C$2:$C$492&amp;'Eingabe Meldungen'!$D$2:$D$492,0),4),"")</f>
        <v>Lgw. bis 67,5kg</v>
      </c>
      <c r="F237" s="39"/>
      <c r="G237" s="150"/>
      <c r="H237" s="40"/>
      <c r="I237" s="107" t="str">
        <f t="array" ref="I237">IF(B237&lt;&gt;"",INDEX('Eingabe Meldungen'!$C$2:$J$492,MATCH(B237&amp;C237,'Eingabe Meldungen'!$C$2:$C$492&amp;'Eingabe Meldungen'!$D$2:$D$492,0),8),"")</f>
        <v>Schweinfurter Ruder-Club Franken</v>
      </c>
      <c r="J237" s="257"/>
      <c r="K237" s="257"/>
      <c r="L237" s="254"/>
      <c r="M237" s="258"/>
      <c r="N237" s="11"/>
      <c r="O237" s="11"/>
      <c r="P237" s="15"/>
      <c r="Q237" s="11"/>
      <c r="T237" s="11"/>
      <c r="U237" s="11"/>
      <c r="W237" s="11"/>
      <c r="X237" s="11"/>
      <c r="Y237" s="15"/>
      <c r="Z237" s="11"/>
      <c r="AB237" s="11"/>
    </row>
    <row r="238" spans="2:28" ht="13.5" customHeight="1" x14ac:dyDescent="0.2">
      <c r="B238" s="148" t="str">
        <f t="array" ref="B238">IF(ISERROR(INDEX('Eingabe Meldungen'!$C$2:$C$492,LARGE(('Eingabe Meldungen'!$A$2:$A$492=$B$220)*(ROW('Eingabe Meldungen'!$A$2:$A$492)-1),COUNTIF('Eingabe Meldungen'!$A$2:$A$492,$B$220)+1-ROW('Eingabe Meldungen'!A17)))),"",INDEX('Eingabe Meldungen'!$C$2:$C$492,LARGE(('Eingabe Meldungen'!$A$2:$A$492=$B$220)*(ROW('Eingabe Meldungen'!$A$2:$A$492)-1),COUNTIF('Eingabe Meldungen'!$A$2:$A$492,$B$220)+1-ROW('Eingabe Meldungen'!A17))))</f>
        <v>Weckenmann</v>
      </c>
      <c r="C238" s="40" t="str">
        <f t="array" ref="C238">IF(ISERROR(INDEX('Eingabe Meldungen'!$D$2:$D$492,LARGE(('Eingabe Meldungen'!$A$2:$A$492=$B$220)*(ROW('Eingabe Meldungen'!$A$2:$A$492)-1),COUNTIF('Eingabe Meldungen'!$A$2:$A$492,$B$220)+1-ROW('Eingabe Meldungen'!A17)))),"",INDEX('Eingabe Meldungen'!$D$2:$D$492,LARGE(('Eingabe Meldungen'!$A$2:$A$492=$B$220)*(ROW('Eingabe Meldungen'!$A$2:$A$492)-1),COUNTIF('Eingabe Meldungen'!$A$2:$A$492,$B$220)+1-ROW('Eingabe Meldungen'!A17))))</f>
        <v>Phil Ole</v>
      </c>
      <c r="D238" s="107">
        <f t="array" ref="D238">IF(B238&lt;&gt;"",INDEX('Eingabe Meldungen'!$C$2:$H$492,MATCH(B238&amp;C238,'Eingabe Meldungen'!$C$2:$C$492&amp;'Eingabe Meldungen'!$D$2:$D$492,0),6),"")</f>
        <v>2005</v>
      </c>
      <c r="E238" s="107" t="str">
        <f t="array" ref="E238">IF(B238&lt;&gt;"",INDEX('Eingabe Meldungen'!$C$2:$H$492,MATCH(B238&amp;C238,'Eingabe Meldungen'!$C$2:$C$492&amp;'Eingabe Meldungen'!$D$2:$D$492,0),4),"")</f>
        <v>Lgw. bis 67,5kg</v>
      </c>
      <c r="F238" s="39"/>
      <c r="G238" s="150"/>
      <c r="H238" s="40"/>
      <c r="I238" s="107" t="str">
        <f t="array" ref="I238">IF(B238&lt;&gt;"",INDEX('Eingabe Meldungen'!$C$2:$J$492,MATCH(B238&amp;C238,'Eingabe Meldungen'!$C$2:$C$492&amp;'Eingabe Meldungen'!$D$2:$D$492,0),8),"")</f>
        <v>RC Nürtingen</v>
      </c>
      <c r="J238" s="257"/>
      <c r="K238" s="257"/>
      <c r="L238" s="254"/>
      <c r="M238" s="258"/>
      <c r="N238" s="11"/>
      <c r="O238" s="11"/>
      <c r="P238" s="15"/>
      <c r="Q238" s="11"/>
      <c r="T238" s="11"/>
      <c r="U238" s="11"/>
      <c r="W238" s="11"/>
      <c r="X238" s="11"/>
      <c r="Y238" s="15"/>
      <c r="Z238" s="11"/>
      <c r="AB238" s="11"/>
    </row>
    <row r="239" spans="2:28" ht="13.5" customHeight="1" x14ac:dyDescent="0.2">
      <c r="B239" s="148" t="str">
        <f t="array" ref="B239">IF(ISERROR(INDEX('Eingabe Meldungen'!$C$2:$C$492,LARGE(('Eingabe Meldungen'!$A$2:$A$492=$B$220)*(ROW('Eingabe Meldungen'!$A$2:$A$492)-1),COUNTIF('Eingabe Meldungen'!$A$2:$A$492,$B$220)+1-ROW('Eingabe Meldungen'!A18)))),"",INDEX('Eingabe Meldungen'!$C$2:$C$492,LARGE(('Eingabe Meldungen'!$A$2:$A$492=$B$220)*(ROW('Eingabe Meldungen'!$A$2:$A$492)-1),COUNTIF('Eingabe Meldungen'!$A$2:$A$492,$B$220)+1-ROW('Eingabe Meldungen'!A18))))</f>
        <v>Degasperi</v>
      </c>
      <c r="C239" s="40" t="str">
        <f t="array" ref="C239">IF(ISERROR(INDEX('Eingabe Meldungen'!$D$2:$D$492,LARGE(('Eingabe Meldungen'!$A$2:$A$492=$B$220)*(ROW('Eingabe Meldungen'!$A$2:$A$492)-1),COUNTIF('Eingabe Meldungen'!$A$2:$A$492,$B$220)+1-ROW('Eingabe Meldungen'!A18)))),"",INDEX('Eingabe Meldungen'!$D$2:$D$492,LARGE(('Eingabe Meldungen'!$A$2:$A$492=$B$220)*(ROW('Eingabe Meldungen'!$A$2:$A$492)-1),COUNTIF('Eingabe Meldungen'!$A$2:$A$492,$B$220)+1-ROW('Eingabe Meldungen'!A18))))</f>
        <v>Samuel</v>
      </c>
      <c r="D239" s="107">
        <f t="array" ref="D239">IF(B239&lt;&gt;"",INDEX('Eingabe Meldungen'!$C$2:$H$492,MATCH(B239&amp;C239,'Eingabe Meldungen'!$C$2:$C$492&amp;'Eingabe Meldungen'!$D$2:$D$492,0),6),"")</f>
        <v>2005</v>
      </c>
      <c r="E239" s="107" t="str">
        <f t="array" ref="E239">IF(B239&lt;&gt;"",INDEX('Eingabe Meldungen'!$C$2:$H$492,MATCH(B239&amp;C239,'Eingabe Meldungen'!$C$2:$C$492&amp;'Eingabe Meldungen'!$D$2:$D$492,0),4),"")</f>
        <v>Lgw. bis 67,5kg</v>
      </c>
      <c r="F239" s="39"/>
      <c r="G239" s="150"/>
      <c r="H239" s="40"/>
      <c r="I239" s="107" t="str">
        <f t="array" ref="I239">IF(B239&lt;&gt;"",INDEX('Eingabe Meldungen'!$C$2:$J$492,MATCH(B239&amp;C239,'Eingabe Meldungen'!$C$2:$C$492&amp;'Eingabe Meldungen'!$D$2:$D$492,0),8),"")</f>
        <v>RV Waldsee</v>
      </c>
      <c r="J239" s="257"/>
      <c r="K239" s="257"/>
      <c r="L239" s="254"/>
      <c r="M239" s="258"/>
      <c r="N239" s="11"/>
      <c r="O239" s="11"/>
      <c r="P239" s="15"/>
      <c r="Q239" s="11"/>
      <c r="T239" s="11"/>
      <c r="U239" s="11"/>
      <c r="W239" s="11"/>
      <c r="X239" s="11"/>
      <c r="Y239" s="15"/>
      <c r="Z239" s="11"/>
      <c r="AB239" s="11"/>
    </row>
    <row r="240" spans="2:28" ht="13.5" customHeight="1" x14ac:dyDescent="0.2">
      <c r="B240" s="148" t="str">
        <f t="array" ref="B240">IF(ISERROR(INDEX('Eingabe Meldungen'!$C$2:$C$492,LARGE(('Eingabe Meldungen'!$A$2:$A$492=$B$220)*(ROW('Eingabe Meldungen'!$A$2:$A$492)-1),COUNTIF('Eingabe Meldungen'!$A$2:$A$492,$B$220)+1-ROW('Eingabe Meldungen'!A19)))),"",INDEX('Eingabe Meldungen'!$C$2:$C$492,LARGE(('Eingabe Meldungen'!$A$2:$A$492=$B$220)*(ROW('Eingabe Meldungen'!$A$2:$A$492)-1),COUNTIF('Eingabe Meldungen'!$A$2:$A$492,$B$220)+1-ROW('Eingabe Meldungen'!A19))))</f>
        <v>Strohmann</v>
      </c>
      <c r="C240" s="40" t="str">
        <f t="array" ref="C240">IF(ISERROR(INDEX('Eingabe Meldungen'!$D$2:$D$492,LARGE(('Eingabe Meldungen'!$A$2:$A$492=$B$220)*(ROW('Eingabe Meldungen'!$A$2:$A$492)-1),COUNTIF('Eingabe Meldungen'!$A$2:$A$492,$B$220)+1-ROW('Eingabe Meldungen'!A19)))),"",INDEX('Eingabe Meldungen'!$D$2:$D$492,LARGE(('Eingabe Meldungen'!$A$2:$A$492=$B$220)*(ROW('Eingabe Meldungen'!$A$2:$A$492)-1),COUNTIF('Eingabe Meldungen'!$A$2:$A$492,$B$220)+1-ROW('Eingabe Meldungen'!A19))))</f>
        <v>Urs</v>
      </c>
      <c r="D240" s="107">
        <f t="array" ref="D240">IF(B240&lt;&gt;"",INDEX('Eingabe Meldungen'!$C$2:$H$492,MATCH(B240&amp;C240,'Eingabe Meldungen'!$C$2:$C$492&amp;'Eingabe Meldungen'!$D$2:$D$492,0),6),"")</f>
        <v>2005</v>
      </c>
      <c r="E240" s="107" t="str">
        <f t="array" ref="E240">IF(B240&lt;&gt;"",INDEX('Eingabe Meldungen'!$C$2:$H$492,MATCH(B240&amp;C240,'Eingabe Meldungen'!$C$2:$C$492&amp;'Eingabe Meldungen'!$D$2:$D$492,0),4),"")</f>
        <v>Lgw. bis 67,5kg</v>
      </c>
      <c r="F240" s="39"/>
      <c r="G240" s="150"/>
      <c r="H240" s="40"/>
      <c r="I240" s="107" t="str">
        <f t="array" ref="I240">IF(B240&lt;&gt;"",INDEX('Eingabe Meldungen'!$C$2:$J$492,MATCH(B240&amp;C240,'Eingabe Meldungen'!$C$2:$C$492&amp;'Eingabe Meldungen'!$D$2:$D$492,0),8),"")</f>
        <v>RC Nürtingen</v>
      </c>
      <c r="J240" s="257"/>
      <c r="K240" s="257"/>
      <c r="L240" s="254"/>
      <c r="M240" s="258"/>
      <c r="N240" s="11"/>
      <c r="O240" s="11"/>
      <c r="P240" s="15"/>
      <c r="Q240" s="11"/>
      <c r="T240" s="11"/>
      <c r="U240" s="11"/>
      <c r="W240" s="11"/>
      <c r="X240" s="11"/>
      <c r="Y240" s="15"/>
      <c r="Z240" s="11"/>
      <c r="AB240" s="11"/>
    </row>
    <row r="241" spans="2:28" ht="13.5" customHeight="1" x14ac:dyDescent="0.2">
      <c r="B241" s="148" t="str">
        <f t="array" ref="B241">IF(ISERROR(INDEX('Eingabe Meldungen'!$C$2:$C$492,LARGE(('Eingabe Meldungen'!$A$2:$A$492=$B$220)*(ROW('Eingabe Meldungen'!$A$2:$A$492)-1),COUNTIF('Eingabe Meldungen'!$A$2:$A$492,$B$220)+1-ROW('Eingabe Meldungen'!A20)))),"",INDEX('Eingabe Meldungen'!$C$2:$C$492,LARGE(('Eingabe Meldungen'!$A$2:$A$492=$B$220)*(ROW('Eingabe Meldungen'!$A$2:$A$492)-1),COUNTIF('Eingabe Meldungen'!$A$2:$A$492,$B$220)+1-ROW('Eingabe Meldungen'!A20))))</f>
        <v>Weiß</v>
      </c>
      <c r="C241" s="40" t="str">
        <f t="array" ref="C241">IF(ISERROR(INDEX('Eingabe Meldungen'!$D$2:$D$492,LARGE(('Eingabe Meldungen'!$A$2:$A$492=$B$220)*(ROW('Eingabe Meldungen'!$A$2:$A$492)-1),COUNTIF('Eingabe Meldungen'!$A$2:$A$492,$B$220)+1-ROW('Eingabe Meldungen'!A20)))),"",INDEX('Eingabe Meldungen'!$D$2:$D$492,LARGE(('Eingabe Meldungen'!$A$2:$A$492=$B$220)*(ROW('Eingabe Meldungen'!$A$2:$A$492)-1),COUNTIF('Eingabe Meldungen'!$A$2:$A$492,$B$220)+1-ROW('Eingabe Meldungen'!A20))))</f>
        <v>Vincent</v>
      </c>
      <c r="D241" s="107">
        <f t="array" ref="D241">IF(B241&lt;&gt;"",INDEX('Eingabe Meldungen'!$C$2:$H$492,MATCH(B241&amp;C241,'Eingabe Meldungen'!$C$2:$C$492&amp;'Eingabe Meldungen'!$D$2:$D$492,0),6),"")</f>
        <v>2005</v>
      </c>
      <c r="E241" s="107" t="str">
        <f t="array" ref="E241">IF(B241&lt;&gt;"",INDEX('Eingabe Meldungen'!$C$2:$H$492,MATCH(B241&amp;C241,'Eingabe Meldungen'!$C$2:$C$492&amp;'Eingabe Meldungen'!$D$2:$D$492,0),4),"")</f>
        <v>Lgw. bis 67,5kg</v>
      </c>
      <c r="F241" s="39"/>
      <c r="G241" s="150"/>
      <c r="H241" s="40"/>
      <c r="I241" s="107" t="str">
        <f t="array" ref="I241">IF(B241&lt;&gt;"",INDEX('Eingabe Meldungen'!$C$2:$J$492,MATCH(B241&amp;C241,'Eingabe Meldungen'!$C$2:$C$492&amp;'Eingabe Meldungen'!$D$2:$D$492,0),8),"")</f>
        <v>Schweinfurter Ruder-Club Franken</v>
      </c>
      <c r="J241" s="257"/>
      <c r="K241" s="257"/>
      <c r="L241" s="254"/>
      <c r="M241" s="258"/>
      <c r="N241" s="11"/>
      <c r="O241" s="11"/>
      <c r="P241" s="15"/>
      <c r="Q241" s="11"/>
      <c r="T241" s="11"/>
      <c r="U241" s="11"/>
      <c r="W241" s="11"/>
      <c r="X241" s="11"/>
      <c r="Y241" s="15"/>
      <c r="Z241" s="11"/>
      <c r="AB241" s="11"/>
    </row>
    <row r="242" spans="2:28" ht="13.5" customHeight="1" x14ac:dyDescent="0.2">
      <c r="B242" s="148" t="str">
        <f t="array" ref="B242">IF(ISERROR(INDEX('Eingabe Meldungen'!$C$2:$C$492,LARGE(('Eingabe Meldungen'!$A$2:$A$492=$B$220)*(ROW('Eingabe Meldungen'!$A$2:$A$492)-1),COUNTIF('Eingabe Meldungen'!$A$2:$A$492,$B$220)+1-ROW('Eingabe Meldungen'!A21)))),"",INDEX('Eingabe Meldungen'!$C$2:$C$492,LARGE(('Eingabe Meldungen'!$A$2:$A$492=$B$220)*(ROW('Eingabe Meldungen'!$A$2:$A$492)-1),COUNTIF('Eingabe Meldungen'!$A$2:$A$492,$B$220)+1-ROW('Eingabe Meldungen'!A21))))</f>
        <v>Schupp</v>
      </c>
      <c r="C242" s="40" t="str">
        <f t="array" ref="C242">IF(ISERROR(INDEX('Eingabe Meldungen'!$D$2:$D$492,LARGE(('Eingabe Meldungen'!$A$2:$A$492=$B$220)*(ROW('Eingabe Meldungen'!$A$2:$A$492)-1),COUNTIF('Eingabe Meldungen'!$A$2:$A$492,$B$220)+1-ROW('Eingabe Meldungen'!A21)))),"",INDEX('Eingabe Meldungen'!$D$2:$D$492,LARGE(('Eingabe Meldungen'!$A$2:$A$492=$B$220)*(ROW('Eingabe Meldungen'!$A$2:$A$492)-1),COUNTIF('Eingabe Meldungen'!$A$2:$A$492,$B$220)+1-ROW('Eingabe Meldungen'!A21))))</f>
        <v>Malthe</v>
      </c>
      <c r="D242" s="107">
        <f t="array" ref="D242">IF(B242&lt;&gt;"",INDEX('Eingabe Meldungen'!$C$2:$H$492,MATCH(B242&amp;C242,'Eingabe Meldungen'!$C$2:$C$492&amp;'Eingabe Meldungen'!$D$2:$D$492,0),6),"")</f>
        <v>2004</v>
      </c>
      <c r="E242" s="107" t="str">
        <f t="array" ref="E242">IF(B242&lt;&gt;"",INDEX('Eingabe Meldungen'!$C$2:$H$492,MATCH(B242&amp;C242,'Eingabe Meldungen'!$C$2:$C$492&amp;'Eingabe Meldungen'!$D$2:$D$492,0),4),"")</f>
        <v>Lgw. bis 67,5kg</v>
      </c>
      <c r="F242" s="39"/>
      <c r="G242" s="150"/>
      <c r="H242" s="40"/>
      <c r="I242" s="107" t="str">
        <f t="array" ref="I242">IF(B242&lt;&gt;"",INDEX('Eingabe Meldungen'!$C$2:$J$492,MATCH(B242&amp;C242,'Eingabe Meldungen'!$C$2:$C$492&amp;'Eingabe Meldungen'!$D$2:$D$492,0),8),"")</f>
        <v xml:space="preserve">WSV Schifferclub Neckarrems </v>
      </c>
      <c r="J242" s="257"/>
      <c r="K242" s="257"/>
      <c r="L242" s="254"/>
      <c r="M242" s="258"/>
      <c r="N242" s="11"/>
      <c r="O242" s="11"/>
      <c r="P242" s="15"/>
      <c r="Q242" s="11"/>
      <c r="T242" s="11"/>
      <c r="U242" s="11"/>
      <c r="W242" s="11"/>
      <c r="X242" s="11"/>
      <c r="Y242" s="15"/>
      <c r="Z242" s="11"/>
      <c r="AB242" s="11"/>
    </row>
    <row r="243" spans="2:28" ht="13.5" customHeight="1" x14ac:dyDescent="0.2">
      <c r="B243" s="148" t="str">
        <f t="array" ref="B243">IF(ISERROR(INDEX('Eingabe Meldungen'!$C$2:$C$492,LARGE(('Eingabe Meldungen'!$A$2:$A$492=$B$220)*(ROW('Eingabe Meldungen'!$A$2:$A$492)-1),COUNTIF('Eingabe Meldungen'!$A$2:$A$492,$B$220)+1-ROW('Eingabe Meldungen'!A22)))),"",INDEX('Eingabe Meldungen'!$C$2:$C$492,LARGE(('Eingabe Meldungen'!$A$2:$A$492=$B$220)*(ROW('Eingabe Meldungen'!$A$2:$A$492)-1),COUNTIF('Eingabe Meldungen'!$A$2:$A$492,$B$220)+1-ROW('Eingabe Meldungen'!A22))))</f>
        <v xml:space="preserve">Haag </v>
      </c>
      <c r="C243" s="40" t="str">
        <f t="array" ref="C243">IF(ISERROR(INDEX('Eingabe Meldungen'!$D$2:$D$492,LARGE(('Eingabe Meldungen'!$A$2:$A$492=$B$220)*(ROW('Eingabe Meldungen'!$A$2:$A$492)-1),COUNTIF('Eingabe Meldungen'!$A$2:$A$492,$B$220)+1-ROW('Eingabe Meldungen'!A22)))),"",INDEX('Eingabe Meldungen'!$D$2:$D$492,LARGE(('Eingabe Meldungen'!$A$2:$A$492=$B$220)*(ROW('Eingabe Meldungen'!$A$2:$A$492)-1),COUNTIF('Eingabe Meldungen'!$A$2:$A$492,$B$220)+1-ROW('Eingabe Meldungen'!A22))))</f>
        <v>Felix</v>
      </c>
      <c r="D243" s="107">
        <f t="array" ref="D243">IF(B243&lt;&gt;"",INDEX('Eingabe Meldungen'!$C$2:$H$492,MATCH(B243&amp;C243,'Eingabe Meldungen'!$C$2:$C$492&amp;'Eingabe Meldungen'!$D$2:$D$492,0),6),"")</f>
        <v>2004</v>
      </c>
      <c r="E243" s="107" t="str">
        <f t="array" ref="E243">IF(B243&lt;&gt;"",INDEX('Eingabe Meldungen'!$C$2:$H$492,MATCH(B243&amp;C243,'Eingabe Meldungen'!$C$2:$C$492&amp;'Eingabe Meldungen'!$D$2:$D$492,0),4),"")</f>
        <v>Lgw. bis 67,5kg</v>
      </c>
      <c r="F243" s="39"/>
      <c r="G243" s="150"/>
      <c r="H243" s="40"/>
      <c r="I243" s="107" t="str">
        <f t="array" ref="I243">IF(B243&lt;&gt;"",INDEX('Eingabe Meldungen'!$C$2:$J$492,MATCH(B243&amp;C243,'Eingabe Meldungen'!$C$2:$C$492&amp;'Eingabe Meldungen'!$D$2:$D$492,0),8),"")</f>
        <v>Marbacher Ruderverein</v>
      </c>
      <c r="J243" s="257"/>
      <c r="K243" s="257"/>
      <c r="L243" s="254"/>
      <c r="M243" s="258"/>
      <c r="N243" s="11"/>
      <c r="O243" s="11"/>
      <c r="P243" s="15"/>
      <c r="Q243" s="11"/>
      <c r="T243" s="11"/>
      <c r="U243" s="11"/>
      <c r="W243" s="11"/>
      <c r="X243" s="11"/>
      <c r="Y243" s="15"/>
      <c r="Z243" s="11"/>
      <c r="AB243" s="11"/>
    </row>
    <row r="244" spans="2:28" ht="13.5" customHeight="1" x14ac:dyDescent="0.2">
      <c r="B244" s="148" t="str">
        <f t="array" ref="B244">IF(ISERROR(INDEX('Eingabe Meldungen'!$C$2:$C$492,LARGE(('Eingabe Meldungen'!$A$2:$A$492=$B$220)*(ROW('Eingabe Meldungen'!$A$2:$A$492)-1),COUNTIF('Eingabe Meldungen'!$A$2:$A$492,$B$220)+1-ROW('Eingabe Meldungen'!A23)))),"",INDEX('Eingabe Meldungen'!$C$2:$C$492,LARGE(('Eingabe Meldungen'!$A$2:$A$492=$B$220)*(ROW('Eingabe Meldungen'!$A$2:$A$492)-1),COUNTIF('Eingabe Meldungen'!$A$2:$A$492,$B$220)+1-ROW('Eingabe Meldungen'!A23))))</f>
        <v/>
      </c>
      <c r="C244" s="40" t="str">
        <f t="array" ref="C244">IF(ISERROR(INDEX('Eingabe Meldungen'!$D$2:$D$492,LARGE(('Eingabe Meldungen'!$A$2:$A$492=$B$220)*(ROW('Eingabe Meldungen'!$A$2:$A$492)-1),COUNTIF('Eingabe Meldungen'!$A$2:$A$492,$B$220)+1-ROW('Eingabe Meldungen'!A23)))),"",INDEX('Eingabe Meldungen'!$D$2:$D$492,LARGE(('Eingabe Meldungen'!$A$2:$A$492=$B$220)*(ROW('Eingabe Meldungen'!$A$2:$A$492)-1),COUNTIF('Eingabe Meldungen'!$A$2:$A$492,$B$220)+1-ROW('Eingabe Meldungen'!A23))))</f>
        <v/>
      </c>
      <c r="D244" s="107" t="str">
        <f t="array" ref="D244">IF(B244&lt;&gt;"",INDEX('Eingabe Meldungen'!$C$2:$H$492,MATCH(B244&amp;C244,'Eingabe Meldungen'!$C$2:$C$492&amp;'Eingabe Meldungen'!$D$2:$D$492,0),6),"")</f>
        <v/>
      </c>
      <c r="E244" s="107" t="str">
        <f t="array" ref="E244">IF(B244&lt;&gt;"",INDEX('Eingabe Meldungen'!$C$2:$H$492,MATCH(B244&amp;C244,'Eingabe Meldungen'!$C$2:$C$492&amp;'Eingabe Meldungen'!$D$2:$D$492,0),4),"")</f>
        <v/>
      </c>
      <c r="F244" s="39"/>
      <c r="G244" s="150"/>
      <c r="H244" s="40"/>
      <c r="I244" s="107"/>
      <c r="J244" s="257"/>
      <c r="K244" s="257"/>
      <c r="L244" s="254"/>
      <c r="M244" s="258"/>
      <c r="N244" s="11"/>
      <c r="O244" s="11"/>
      <c r="P244" s="15"/>
      <c r="Q244" s="11"/>
      <c r="T244" s="11"/>
      <c r="U244" s="11"/>
      <c r="W244" s="11"/>
      <c r="X244" s="11"/>
      <c r="Y244" s="15"/>
      <c r="Z244" s="11"/>
      <c r="AB244" s="11"/>
    </row>
    <row r="245" spans="2:28" ht="13.5" customHeight="1" thickBot="1" x14ac:dyDescent="0.25">
      <c r="B245" s="148" t="str">
        <f t="array" ref="B245">IF(ISERROR(INDEX('Eingabe Meldungen'!$C$2:$C$492,LARGE(('Eingabe Meldungen'!$A$2:$A$492=$B$220)*(ROW('Eingabe Meldungen'!$A$2:$A$492)-1),COUNTIF('Eingabe Meldungen'!$A$2:$A$492,$B$220)+1-ROW('Eingabe Meldungen'!A24)))),"",INDEX('Eingabe Meldungen'!$C$2:$C$492,LARGE(('Eingabe Meldungen'!$A$2:$A$492=$B$220)*(ROW('Eingabe Meldungen'!$A$2:$A$492)-1),COUNTIF('Eingabe Meldungen'!$A$2:$A$492,$B$220)+1-ROW('Eingabe Meldungen'!A24))))</f>
        <v/>
      </c>
      <c r="C245" s="40" t="str">
        <f t="array" ref="C245">IF(ISERROR(INDEX('Eingabe Meldungen'!$D$2:$D$492,LARGE(('Eingabe Meldungen'!$A$2:$A$492=$B$220)*(ROW('Eingabe Meldungen'!$A$2:$A$492)-1),COUNTIF('Eingabe Meldungen'!$A$2:$A$492,$B$220)+1-ROW('Eingabe Meldungen'!A24)))),"",INDEX('Eingabe Meldungen'!$D$2:$D$492,LARGE(('Eingabe Meldungen'!$A$2:$A$492=$B$220)*(ROW('Eingabe Meldungen'!$A$2:$A$492)-1),COUNTIF('Eingabe Meldungen'!$A$2:$A$492,$B$220)+1-ROW('Eingabe Meldungen'!A24))))</f>
        <v/>
      </c>
      <c r="D245" s="107" t="str">
        <f t="array" ref="D245">IF(B245&lt;&gt;"",INDEX('Eingabe Meldungen'!$C$2:$H$492,MATCH(B245&amp;C245,'Eingabe Meldungen'!$C$2:$C$492&amp;'Eingabe Meldungen'!$D$2:$D$492,0),6),"")</f>
        <v/>
      </c>
      <c r="E245" s="107" t="str">
        <f t="array" ref="E245">IF(B245&lt;&gt;"",INDEX('Eingabe Meldungen'!$C$2:$H$492,MATCH(B245&amp;C245,'Eingabe Meldungen'!$C$2:$C$492&amp;'Eingabe Meldungen'!$D$2:$D$492,0),4),"")</f>
        <v/>
      </c>
      <c r="F245" s="39"/>
      <c r="G245" s="150"/>
      <c r="H245" s="40" t="e">
        <f t="shared" si="11"/>
        <v>#N/A</v>
      </c>
      <c r="I245" s="107" t="str">
        <f t="array" ref="I245">IF(B245&lt;&gt;"",INDEX('Eingabe Meldungen'!$C$2:$J$492,MATCH(B245&amp;C245,'Eingabe Meldungen'!$C$2:$C$492&amp;'Eingabe Meldungen'!$D$2:$D$492,0),8),"")</f>
        <v/>
      </c>
      <c r="J245" s="257"/>
      <c r="K245" s="257"/>
      <c r="L245" s="254"/>
      <c r="M245" s="258"/>
      <c r="N245" s="11"/>
      <c r="O245" s="11"/>
      <c r="P245" s="15"/>
      <c r="Q245" s="11"/>
      <c r="T245" s="11"/>
      <c r="U245" s="11"/>
      <c r="W245" s="11"/>
      <c r="X245" s="11"/>
      <c r="Y245" s="15"/>
      <c r="Z245" s="11"/>
      <c r="AB245" s="11"/>
    </row>
    <row r="246" spans="2:28" ht="24.75" hidden="1" customHeight="1" x14ac:dyDescent="0.2">
      <c r="B246" s="114">
        <f>B220+1</f>
        <v>14</v>
      </c>
      <c r="C246" s="108" t="str">
        <f>VLOOKUP(B246,Ausschreibung!$B$5:$I$35,2,FALSE)</f>
        <v>Ergocup</v>
      </c>
      <c r="D246" s="109">
        <f>VLOOKUP(B246,Ausschreibung!$B$5:$I$35,3,FALSE)</f>
        <v>0.60972222222222217</v>
      </c>
      <c r="E246" s="108" t="str">
        <f>VLOOKUP(B246,Ausschreibung!$B$5:$I$35,4,FALSE)</f>
        <v>Junioren B U17</v>
      </c>
      <c r="F246" s="108" t="str">
        <f>VLOOKUP(B246,Ausschreibung!$B$5:$I$35,5,FALSE)</f>
        <v>-</v>
      </c>
      <c r="G246" s="108" t="str">
        <f>VLOOKUP(B246,Ausschreibung!$B$5:$I$35,6,FALSE)</f>
        <v>15-16</v>
      </c>
      <c r="H246" s="108" t="str">
        <f>VLOOKUP(B246,Ausschreibung!$B$5:$I$35,8,FALSE)</f>
        <v>1500 m</v>
      </c>
      <c r="I246" s="108" t="s">
        <v>30</v>
      </c>
      <c r="J246" s="108"/>
      <c r="K246" s="40"/>
      <c r="L246" s="151"/>
      <c r="M246" s="147"/>
      <c r="N246" s="11"/>
      <c r="O246" s="11"/>
      <c r="P246" s="15"/>
      <c r="Q246" s="11"/>
      <c r="T246" s="11"/>
      <c r="U246" s="11"/>
      <c r="W246" s="11"/>
      <c r="X246" s="11"/>
      <c r="Y246" s="15"/>
      <c r="Z246" s="11"/>
      <c r="AB246" s="11"/>
    </row>
    <row r="247" spans="2:28" ht="13.5" hidden="1" customHeight="1" x14ac:dyDescent="0.2">
      <c r="B247" s="111" t="s">
        <v>1</v>
      </c>
      <c r="C247" s="104" t="s">
        <v>2</v>
      </c>
      <c r="D247" s="103" t="s">
        <v>49</v>
      </c>
      <c r="E247" s="146" t="s">
        <v>16</v>
      </c>
      <c r="F247" s="103" t="s">
        <v>18</v>
      </c>
      <c r="G247" s="105" t="s">
        <v>50</v>
      </c>
      <c r="H247" s="103" t="s">
        <v>51</v>
      </c>
      <c r="I247" s="106" t="s">
        <v>17</v>
      </c>
      <c r="J247" s="103"/>
      <c r="K247" s="40"/>
      <c r="L247" s="151"/>
      <c r="M247" s="147"/>
      <c r="N247" s="11"/>
      <c r="O247" s="11"/>
      <c r="P247" s="15"/>
      <c r="Q247" s="11"/>
      <c r="T247" s="11"/>
      <c r="U247" s="11"/>
      <c r="W247" s="11"/>
      <c r="X247" s="11"/>
      <c r="Y247" s="15"/>
      <c r="Z247" s="11"/>
      <c r="AB247" s="11"/>
    </row>
    <row r="248" spans="2:28" ht="13.5" hidden="1" customHeight="1" x14ac:dyDescent="0.2">
      <c r="B248" s="148" t="str">
        <f t="array" ref="B248">IF(ISERROR(INDEX('Eingabe Meldungen'!$C$2:$C$492,LARGE(('Eingabe Meldungen'!$A$2:$A$492=$B$246)*(ROW('Eingabe Meldungen'!$A$2:$A$492)-1),COUNTIF('Eingabe Meldungen'!$A$2:$A$492,$B$246)+1-ROW('Eingabe Meldungen'!A1)))),"",INDEX('Eingabe Meldungen'!$C$2:$C$492,LARGE(('Eingabe Meldungen'!$A$2:$A$492=$B$246)*(ROW('Eingabe Meldungen'!$A$2:$A$492)-1),COUNTIF('Eingabe Meldungen'!$A$2:$A$492,$B$246)+1-ROW('Eingabe Meldungen'!A1))))</f>
        <v>Schmiegelt</v>
      </c>
      <c r="C248" s="40" t="str">
        <f t="array" ref="C248">IF(ISERROR(INDEX('Eingabe Meldungen'!$D$2:$D$492,LARGE(('Eingabe Meldungen'!$A$2:$A$492=$B$246)*(ROW('Eingabe Meldungen'!$A$2:$A$492)-1),COUNTIF('Eingabe Meldungen'!$A$2:$A$492,$B$246)+1-ROW('Eingabe Meldungen'!A1)))),"",INDEX('Eingabe Meldungen'!$D$2:$D$492,LARGE(('Eingabe Meldungen'!$A$2:$A$492=$B$246)*(ROW('Eingabe Meldungen'!$A$2:$A$492)-1),COUNTIF('Eingabe Meldungen'!$A$2:$A$492,$B$246)+1-ROW('Eingabe Meldungen'!A1))))</f>
        <v>Adrian</v>
      </c>
      <c r="D248" s="107">
        <f t="array" ref="D248">IF(B248&lt;&gt;"",INDEX('Eingabe Meldungen'!$C$2:$H$492,MATCH(B248&amp;C248,'Eingabe Meldungen'!$C$2:$C$492&amp;'Eingabe Meldungen'!$D$2:$D$492,0),6),"")</f>
        <v>2005</v>
      </c>
      <c r="E248" s="107" t="str">
        <f t="array" ref="E248">IF(B248&lt;&gt;"",INDEX('Eingabe Meldungen'!$C$2:$H$492,MATCH(B248&amp;C248,'Eingabe Meldungen'!$C$2:$C$492&amp;'Eingabe Meldungen'!$D$2:$D$492,0),4),"")</f>
        <v>-</v>
      </c>
      <c r="F248" s="107">
        <v>1</v>
      </c>
      <c r="G248" s="149"/>
      <c r="H248" s="40" t="e">
        <f>RANK(G248,$G$248:$G$263,1)</f>
        <v>#N/A</v>
      </c>
      <c r="I248" s="107" t="str">
        <f t="array" ref="I248">IF(B248&lt;&gt;"",INDEX('Eingabe Meldungen'!$C$2:$J$492,MATCH(B248&amp;C248,'Eingabe Meldungen'!$C$2:$C$492&amp;'Eingabe Meldungen'!$D$2:$D$492,0),8),"")</f>
        <v>RC Nürtingen</v>
      </c>
      <c r="J248" s="40"/>
      <c r="K248" s="40"/>
      <c r="L248" s="151"/>
      <c r="M248" s="147"/>
      <c r="N248" s="11"/>
      <c r="O248" s="11"/>
      <c r="P248" s="15"/>
      <c r="Q248" s="11"/>
      <c r="T248" s="11"/>
      <c r="U248" s="11"/>
      <c r="W248" s="11"/>
      <c r="X248" s="11"/>
      <c r="Y248" s="15"/>
      <c r="Z248" s="11"/>
      <c r="AB248" s="11"/>
    </row>
    <row r="249" spans="2:28" ht="13.5" hidden="1" customHeight="1" x14ac:dyDescent="0.2">
      <c r="B249" s="148" t="str">
        <f t="array" ref="B249">IF(ISERROR(INDEX('Eingabe Meldungen'!$C$2:$C$492,LARGE(('Eingabe Meldungen'!$A$2:$A$492=$B$246)*(ROW('Eingabe Meldungen'!$A$2:$A$492)-1),COUNTIF('Eingabe Meldungen'!$A$2:$A$492,$B$246)+1-ROW('Eingabe Meldungen'!A2)))),"",INDEX('Eingabe Meldungen'!$C$2:$C$492,LARGE(('Eingabe Meldungen'!$A$2:$A$492=$B$246)*(ROW('Eingabe Meldungen'!$A$2:$A$492)-1),COUNTIF('Eingabe Meldungen'!$A$2:$A$492,$B$246)+1-ROW('Eingabe Meldungen'!A2))))</f>
        <v>Waller</v>
      </c>
      <c r="C249" s="40" t="str">
        <f t="array" ref="C249">IF(ISERROR(INDEX('Eingabe Meldungen'!$D$2:$D$492,LARGE(('Eingabe Meldungen'!$A$2:$A$492=$B$246)*(ROW('Eingabe Meldungen'!$A$2:$A$492)-1),COUNTIF('Eingabe Meldungen'!$A$2:$A$492,$B$246)+1-ROW('Eingabe Meldungen'!A2)))),"",INDEX('Eingabe Meldungen'!$D$2:$D$492,LARGE(('Eingabe Meldungen'!$A$2:$A$492=$B$246)*(ROW('Eingabe Meldungen'!$A$2:$A$492)-1),COUNTIF('Eingabe Meldungen'!$A$2:$A$492,$B$246)+1-ROW('Eingabe Meldungen'!A2))))</f>
        <v>Julian</v>
      </c>
      <c r="D249" s="107">
        <f t="array" ref="D249">IF(B249&lt;&gt;"",INDEX('Eingabe Meldungen'!$C$2:$H$492,MATCH(B249&amp;C249,'Eingabe Meldungen'!$C$2:$C$492&amp;'Eingabe Meldungen'!$D$2:$D$492,0),6),"")</f>
        <v>2005</v>
      </c>
      <c r="E249" s="107" t="str">
        <f t="array" ref="E249">IF(B249&lt;&gt;"",INDEX('Eingabe Meldungen'!$C$2:$H$492,MATCH(B249&amp;C249,'Eingabe Meldungen'!$C$2:$C$492&amp;'Eingabe Meldungen'!$D$2:$D$492,0),4),"")</f>
        <v>-</v>
      </c>
      <c r="F249" s="39">
        <v>2</v>
      </c>
      <c r="G249" s="149"/>
      <c r="H249" s="40" t="e">
        <f t="shared" ref="H249:H263" si="12">RANK(G249,$G$248:$G$263,1)</f>
        <v>#N/A</v>
      </c>
      <c r="I249" s="107" t="str">
        <f t="array" ref="I249">IF(B249&lt;&gt;"",INDEX('Eingabe Meldungen'!$C$2:$J$492,MATCH(B249&amp;C249,'Eingabe Meldungen'!$C$2:$C$492&amp;'Eingabe Meldungen'!$D$2:$D$492,0),8),"")</f>
        <v>Schweinfurter Ruder-Club Franken</v>
      </c>
      <c r="J249" s="40"/>
      <c r="K249" s="40"/>
      <c r="L249" s="151"/>
      <c r="M249" s="147"/>
      <c r="N249" s="11"/>
      <c r="O249" s="11"/>
      <c r="P249" s="15"/>
      <c r="Q249" s="11"/>
      <c r="T249" s="11"/>
      <c r="U249" s="11"/>
      <c r="W249" s="11"/>
      <c r="X249" s="11"/>
      <c r="Y249" s="15"/>
      <c r="Z249" s="11"/>
      <c r="AB249" s="11"/>
    </row>
    <row r="250" spans="2:28" ht="13.5" hidden="1" customHeight="1" x14ac:dyDescent="0.2">
      <c r="B250" s="148" t="str">
        <f t="array" ref="B250">IF(ISERROR(INDEX('Eingabe Meldungen'!$C$2:$C$492,LARGE(('Eingabe Meldungen'!$A$2:$A$492=$B$246)*(ROW('Eingabe Meldungen'!$A$2:$A$492)-1),COUNTIF('Eingabe Meldungen'!$A$2:$A$492,$B$246)+1-ROW('Eingabe Meldungen'!A3)))),"",INDEX('Eingabe Meldungen'!$C$2:$C$492,LARGE(('Eingabe Meldungen'!$A$2:$A$492=$B$246)*(ROW('Eingabe Meldungen'!$A$2:$A$492)-1),COUNTIF('Eingabe Meldungen'!$A$2:$A$492,$B$246)+1-ROW('Eingabe Meldungen'!A3))))</f>
        <v>Burkhart</v>
      </c>
      <c r="C250" s="40" t="str">
        <f t="array" ref="C250">IF(ISERROR(INDEX('Eingabe Meldungen'!$D$2:$D$492,LARGE(('Eingabe Meldungen'!$A$2:$A$492=$B$246)*(ROW('Eingabe Meldungen'!$A$2:$A$492)-1),COUNTIF('Eingabe Meldungen'!$A$2:$A$492,$B$246)+1-ROW('Eingabe Meldungen'!A3)))),"",INDEX('Eingabe Meldungen'!$D$2:$D$492,LARGE(('Eingabe Meldungen'!$A$2:$A$492=$B$246)*(ROW('Eingabe Meldungen'!$A$2:$A$492)-1),COUNTIF('Eingabe Meldungen'!$A$2:$A$492,$B$246)+1-ROW('Eingabe Meldungen'!A3))))</f>
        <v>Levin</v>
      </c>
      <c r="D250" s="107">
        <f t="array" ref="D250">IF(B250&lt;&gt;"",INDEX('Eingabe Meldungen'!$C$2:$H$492,MATCH(B250&amp;C250,'Eingabe Meldungen'!$C$2:$C$492&amp;'Eingabe Meldungen'!$D$2:$D$492,0),6),"")</f>
        <v>2005</v>
      </c>
      <c r="E250" s="107" t="str">
        <f t="array" ref="E250">IF(B250&lt;&gt;"",INDEX('Eingabe Meldungen'!$C$2:$H$492,MATCH(B250&amp;C250,'Eingabe Meldungen'!$C$2:$C$492&amp;'Eingabe Meldungen'!$D$2:$D$492,0),4),"")</f>
        <v>-</v>
      </c>
      <c r="F250" s="39">
        <v>3</v>
      </c>
      <c r="G250" s="150"/>
      <c r="H250" s="40" t="e">
        <f t="shared" si="12"/>
        <v>#N/A</v>
      </c>
      <c r="I250" s="107" t="str">
        <f t="array" ref="I250">IF(B250&lt;&gt;"",INDEX('Eingabe Meldungen'!$C$2:$J$492,MATCH(B250&amp;C250,'Eingabe Meldungen'!$C$2:$C$492&amp;'Eingabe Meldungen'!$D$2:$D$492,0),8),"")</f>
        <v>RC Nürtingen</v>
      </c>
      <c r="J250" s="40"/>
      <c r="K250" s="40"/>
      <c r="L250" s="151"/>
      <c r="M250" s="112"/>
      <c r="N250" s="24"/>
      <c r="O250" s="11"/>
      <c r="P250" s="10"/>
      <c r="Q250" s="11"/>
      <c r="R250" s="11"/>
      <c r="S250" s="11"/>
      <c r="T250" s="11"/>
      <c r="U250" s="11"/>
      <c r="W250" s="11"/>
      <c r="X250" s="11"/>
      <c r="Y250" s="15"/>
      <c r="Z250" s="11"/>
      <c r="AB250" s="11"/>
    </row>
    <row r="251" spans="2:28" ht="13.5" hidden="1" customHeight="1" x14ac:dyDescent="0.2">
      <c r="B251" s="148" t="str">
        <f t="array" ref="B251">IF(ISERROR(INDEX('Eingabe Meldungen'!$C$2:$C$492,LARGE(('Eingabe Meldungen'!$A$2:$A$492=$B$246)*(ROW('Eingabe Meldungen'!$A$2:$A$492)-1),COUNTIF('Eingabe Meldungen'!$A$2:$A$492,$B$246)+1-ROW('Eingabe Meldungen'!A4)))),"",INDEX('Eingabe Meldungen'!$C$2:$C$492,LARGE(('Eingabe Meldungen'!$A$2:$A$492=$B$246)*(ROW('Eingabe Meldungen'!$A$2:$A$492)-1),COUNTIF('Eingabe Meldungen'!$A$2:$A$492,$B$246)+1-ROW('Eingabe Meldungen'!A4))))</f>
        <v>Gathmann</v>
      </c>
      <c r="C251" s="40" t="str">
        <f t="array" ref="C251">IF(ISERROR(INDEX('Eingabe Meldungen'!$D$2:$D$492,LARGE(('Eingabe Meldungen'!$A$2:$A$492=$B$246)*(ROW('Eingabe Meldungen'!$A$2:$A$492)-1),COUNTIF('Eingabe Meldungen'!$A$2:$A$492,$B$246)+1-ROW('Eingabe Meldungen'!A4)))),"",INDEX('Eingabe Meldungen'!$D$2:$D$492,LARGE(('Eingabe Meldungen'!$A$2:$A$492=$B$246)*(ROW('Eingabe Meldungen'!$A$2:$A$492)-1),COUNTIF('Eingabe Meldungen'!$A$2:$A$492,$B$246)+1-ROW('Eingabe Meldungen'!A4))))</f>
        <v>Tobias</v>
      </c>
      <c r="D251" s="107">
        <f t="array" ref="D251">IF(B251&lt;&gt;"",INDEX('Eingabe Meldungen'!$C$2:$H$492,MATCH(B251&amp;C251,'Eingabe Meldungen'!$C$2:$C$492&amp;'Eingabe Meldungen'!$D$2:$D$492,0),6),"")</f>
        <v>2005</v>
      </c>
      <c r="E251" s="107" t="str">
        <f t="array" ref="E251">IF(B251&lt;&gt;"",INDEX('Eingabe Meldungen'!$C$2:$H$492,MATCH(B251&amp;C251,'Eingabe Meldungen'!$C$2:$C$492&amp;'Eingabe Meldungen'!$D$2:$D$492,0),4),"")</f>
        <v>-</v>
      </c>
      <c r="F251" s="39">
        <v>4</v>
      </c>
      <c r="G251" s="150"/>
      <c r="H251" s="40" t="e">
        <f t="shared" si="12"/>
        <v>#N/A</v>
      </c>
      <c r="I251" s="107" t="str">
        <f t="array" ref="I251">IF(B251&lt;&gt;"",INDEX('Eingabe Meldungen'!$C$2:$J$492,MATCH(B251&amp;C251,'Eingabe Meldungen'!$C$2:$C$492&amp;'Eingabe Meldungen'!$D$2:$D$492,0),8),"")</f>
        <v>Stuttgart-Cannstatter RC</v>
      </c>
      <c r="J251" s="40"/>
      <c r="K251" s="103"/>
      <c r="L251" s="116"/>
      <c r="M251" s="113"/>
      <c r="N251" s="17"/>
      <c r="O251" s="17"/>
      <c r="P251" s="17"/>
      <c r="Q251" s="17"/>
      <c r="R251" s="17"/>
      <c r="S251" s="17"/>
      <c r="T251" s="11"/>
      <c r="U251" s="11"/>
      <c r="W251" s="11"/>
      <c r="X251" s="11"/>
      <c r="Y251" s="15"/>
      <c r="Z251" s="11"/>
      <c r="AB251" s="11"/>
    </row>
    <row r="252" spans="2:28" ht="13.5" hidden="1" customHeight="1" x14ac:dyDescent="0.2">
      <c r="B252" s="148" t="str">
        <f t="array" ref="B252">IF(ISERROR(INDEX('Eingabe Meldungen'!$C$2:$C$492,LARGE(('Eingabe Meldungen'!$A$2:$A$492=$B$246)*(ROW('Eingabe Meldungen'!$A$2:$A$492)-1),COUNTIF('Eingabe Meldungen'!$A$2:$A$492,$B$246)+1-ROW('Eingabe Meldungen'!A5)))),"",INDEX('Eingabe Meldungen'!$C$2:$C$492,LARGE(('Eingabe Meldungen'!$A$2:$A$492=$B$246)*(ROW('Eingabe Meldungen'!$A$2:$A$492)-1),COUNTIF('Eingabe Meldungen'!$A$2:$A$492,$B$246)+1-ROW('Eingabe Meldungen'!A5))))</f>
        <v/>
      </c>
      <c r="C252" s="40" t="str">
        <f t="array" ref="C252">IF(ISERROR(INDEX('Eingabe Meldungen'!$D$2:$D$492,LARGE(('Eingabe Meldungen'!$A$2:$A$492=$B$246)*(ROW('Eingabe Meldungen'!$A$2:$A$492)-1),COUNTIF('Eingabe Meldungen'!$A$2:$A$492,$B$246)+1-ROW('Eingabe Meldungen'!A5)))),"",INDEX('Eingabe Meldungen'!$D$2:$D$492,LARGE(('Eingabe Meldungen'!$A$2:$A$492=$B$246)*(ROW('Eingabe Meldungen'!$A$2:$A$492)-1),COUNTIF('Eingabe Meldungen'!$A$2:$A$492,$B$246)+1-ROW('Eingabe Meldungen'!A5))))</f>
        <v/>
      </c>
      <c r="D252" s="107" t="str">
        <f t="array" ref="D252">IF(B252&lt;&gt;"",INDEX('Eingabe Meldungen'!$C$2:$H$492,MATCH(B252&amp;C252,'Eingabe Meldungen'!$C$2:$C$492&amp;'Eingabe Meldungen'!$D$2:$D$492,0),6),"")</f>
        <v/>
      </c>
      <c r="E252" s="107" t="str">
        <f t="array" ref="E252">IF(B252&lt;&gt;"",INDEX('Eingabe Meldungen'!$C$2:$H$492,MATCH(B252&amp;C252,'Eingabe Meldungen'!$C$2:$C$492&amp;'Eingabe Meldungen'!$D$2:$D$492,0),4),"")</f>
        <v/>
      </c>
      <c r="F252" s="39">
        <v>5</v>
      </c>
      <c r="G252" s="150"/>
      <c r="H252" s="40" t="e">
        <f t="shared" si="12"/>
        <v>#N/A</v>
      </c>
      <c r="I252" s="107" t="str">
        <f t="array" ref="I252">IF(B252&lt;&gt;"",INDEX('Eingabe Meldungen'!$C$2:$J$492,MATCH(B252&amp;C252,'Eingabe Meldungen'!$C$2:$C$492&amp;'Eingabe Meldungen'!$D$2:$D$492,0),8),"")</f>
        <v/>
      </c>
      <c r="J252" s="40"/>
      <c r="K252" s="103"/>
      <c r="L252" s="116"/>
      <c r="M252" s="113"/>
      <c r="N252" s="17"/>
      <c r="O252" s="16"/>
      <c r="P252" s="17"/>
      <c r="Q252" s="17"/>
      <c r="R252" s="17"/>
      <c r="S252" s="17"/>
      <c r="T252" s="11"/>
      <c r="U252" s="11"/>
      <c r="W252" s="11"/>
      <c r="X252" s="11"/>
      <c r="Y252" s="15"/>
      <c r="Z252" s="11"/>
      <c r="AB252" s="11"/>
    </row>
    <row r="253" spans="2:28" ht="13.5" hidden="1" customHeight="1" x14ac:dyDescent="0.2">
      <c r="B253" s="148" t="str">
        <f t="array" ref="B253">IF(ISERROR(INDEX('Eingabe Meldungen'!$C$2:$C$492,LARGE(('Eingabe Meldungen'!$A$2:$A$492=$B$246)*(ROW('Eingabe Meldungen'!$A$2:$A$492)-1),COUNTIF('Eingabe Meldungen'!$A$2:$A$492,$B$246)+1-ROW('Eingabe Meldungen'!A6)))),"",INDEX('Eingabe Meldungen'!$C$2:$C$492,LARGE(('Eingabe Meldungen'!$A$2:$A$492=$B$246)*(ROW('Eingabe Meldungen'!$A$2:$A$492)-1),COUNTIF('Eingabe Meldungen'!$A$2:$A$492,$B$246)+1-ROW('Eingabe Meldungen'!A6))))</f>
        <v/>
      </c>
      <c r="C253" s="40" t="str">
        <f t="array" ref="C253">IF(ISERROR(INDEX('Eingabe Meldungen'!$D$2:$D$492,LARGE(('Eingabe Meldungen'!$A$2:$A$492=$B$246)*(ROW('Eingabe Meldungen'!$A$2:$A$492)-1),COUNTIF('Eingabe Meldungen'!$A$2:$A$492,$B$246)+1-ROW('Eingabe Meldungen'!A6)))),"",INDEX('Eingabe Meldungen'!$D$2:$D$492,LARGE(('Eingabe Meldungen'!$A$2:$A$492=$B$246)*(ROW('Eingabe Meldungen'!$A$2:$A$492)-1),COUNTIF('Eingabe Meldungen'!$A$2:$A$492,$B$246)+1-ROW('Eingabe Meldungen'!A6))))</f>
        <v/>
      </c>
      <c r="D253" s="107" t="str">
        <f t="array" ref="D253">IF(B253&lt;&gt;"",INDEX('Eingabe Meldungen'!$C$2:$H$492,MATCH(B253&amp;C253,'Eingabe Meldungen'!$C$2:$C$492&amp;'Eingabe Meldungen'!$D$2:$D$492,0),6),"")</f>
        <v/>
      </c>
      <c r="E253" s="107" t="str">
        <f t="array" ref="E253">IF(B253&lt;&gt;"",INDEX('Eingabe Meldungen'!$C$2:$H$492,MATCH(B253&amp;C253,'Eingabe Meldungen'!$C$2:$C$492&amp;'Eingabe Meldungen'!$D$2:$D$492,0),4),"")</f>
        <v/>
      </c>
      <c r="F253" s="39">
        <v>6</v>
      </c>
      <c r="G253" s="150"/>
      <c r="H253" s="40" t="e">
        <f t="shared" si="12"/>
        <v>#N/A</v>
      </c>
      <c r="I253" s="107" t="str">
        <f t="array" ref="I253">IF(B253&lt;&gt;"",INDEX('Eingabe Meldungen'!$C$2:$J$492,MATCH(B253&amp;C253,'Eingabe Meldungen'!$C$2:$C$492&amp;'Eingabe Meldungen'!$D$2:$D$492,0),8),"")</f>
        <v/>
      </c>
      <c r="J253" s="40"/>
      <c r="K253" s="40"/>
      <c r="L253" s="151"/>
      <c r="M253" s="147"/>
      <c r="N253" s="11"/>
      <c r="O253" s="11"/>
      <c r="P253" s="15"/>
      <c r="Q253" s="11"/>
      <c r="T253" s="11"/>
      <c r="U253" s="11"/>
      <c r="W253" s="11"/>
      <c r="X253" s="11"/>
      <c r="Y253" s="15"/>
      <c r="Z253" s="11"/>
      <c r="AB253" s="11"/>
    </row>
    <row r="254" spans="2:28" ht="13.5" hidden="1" customHeight="1" x14ac:dyDescent="0.2">
      <c r="B254" s="148" t="str">
        <f t="array" ref="B254">IF(ISERROR(INDEX('Eingabe Meldungen'!$C$2:$C$492,LARGE(('Eingabe Meldungen'!$A$2:$A$492=$B$246)*(ROW('Eingabe Meldungen'!$A$2:$A$492)-1),COUNTIF('Eingabe Meldungen'!$A$2:$A$492,$B$246)+1-ROW('Eingabe Meldungen'!A8)))),"",INDEX('Eingabe Meldungen'!$C$2:$C$492,LARGE(('Eingabe Meldungen'!$A$2:$A$492=$B$246)*(ROW('Eingabe Meldungen'!$A$2:$A$492)-1),COUNTIF('Eingabe Meldungen'!$A$2:$A$492,$B$246)+1-ROW('Eingabe Meldungen'!A8))))</f>
        <v/>
      </c>
      <c r="C254" s="40" t="str">
        <f t="array" ref="C254">IF(ISERROR(INDEX('Eingabe Meldungen'!$D$2:$D$492,LARGE(('Eingabe Meldungen'!$A$2:$A$492=$B$246)*(ROW('Eingabe Meldungen'!$A$2:$A$492)-1),COUNTIF('Eingabe Meldungen'!$A$2:$A$492,$B$246)+1-ROW('Eingabe Meldungen'!A8)))),"",INDEX('Eingabe Meldungen'!$D$2:$D$492,LARGE(('Eingabe Meldungen'!$A$2:$A$492=$B$246)*(ROW('Eingabe Meldungen'!$A$2:$A$492)-1),COUNTIF('Eingabe Meldungen'!$A$2:$A$492,$B$246)+1-ROW('Eingabe Meldungen'!A8))))</f>
        <v/>
      </c>
      <c r="D254" s="107" t="str">
        <f t="array" ref="D254">IF(B254&lt;&gt;"",INDEX('Eingabe Meldungen'!$C$2:$H$492,MATCH(B254&amp;C254,'Eingabe Meldungen'!$C$2:$C$492&amp;'Eingabe Meldungen'!$D$2:$D$492,0),6),"")</f>
        <v/>
      </c>
      <c r="E254" s="107" t="str">
        <f t="array" ref="E254">IF(B254&lt;&gt;"",INDEX('Eingabe Meldungen'!$C$2:$H$492,MATCH(B254&amp;C254,'Eingabe Meldungen'!$C$2:$C$492&amp;'Eingabe Meldungen'!$D$2:$D$492,0),4),"")</f>
        <v/>
      </c>
      <c r="F254" s="39">
        <v>7</v>
      </c>
      <c r="G254" s="150"/>
      <c r="H254" s="40" t="e">
        <f t="shared" si="12"/>
        <v>#N/A</v>
      </c>
      <c r="I254" s="107" t="str">
        <f t="array" ref="I254">IF(B254&lt;&gt;"",INDEX('Eingabe Meldungen'!$C$2:$J$492,MATCH(B254&amp;C254,'Eingabe Meldungen'!$C$2:$C$492&amp;'Eingabe Meldungen'!$D$2:$D$492,0),8),"")</f>
        <v/>
      </c>
      <c r="J254" s="40"/>
      <c r="K254" s="40"/>
      <c r="L254" s="151"/>
      <c r="M254" s="147"/>
      <c r="N254" s="11"/>
      <c r="O254" s="11"/>
      <c r="P254" s="15"/>
      <c r="Q254" s="11"/>
      <c r="T254" s="11"/>
      <c r="U254" s="11"/>
      <c r="W254" s="11"/>
      <c r="X254" s="11"/>
      <c r="Y254" s="15"/>
      <c r="Z254" s="11"/>
      <c r="AB254" s="11"/>
    </row>
    <row r="255" spans="2:28" ht="13.5" hidden="1" customHeight="1" x14ac:dyDescent="0.2">
      <c r="B255" s="148" t="str">
        <f t="array" ref="B255">IF(ISERROR(INDEX('Eingabe Meldungen'!$C$2:$C$492,LARGE(('Eingabe Meldungen'!$A$2:$A$492=$B$246)*(ROW('Eingabe Meldungen'!$A$2:$A$492)-1),COUNTIF('Eingabe Meldungen'!$A$2:$A$492,$B$246)+1-ROW('Eingabe Meldungen'!A9)))),"",INDEX('Eingabe Meldungen'!$C$2:$C$492,LARGE(('Eingabe Meldungen'!$A$2:$A$492=$B$246)*(ROW('Eingabe Meldungen'!$A$2:$A$492)-1),COUNTIF('Eingabe Meldungen'!$A$2:$A$492,$B$246)+1-ROW('Eingabe Meldungen'!A9))))</f>
        <v/>
      </c>
      <c r="C255" s="40" t="str">
        <f t="array" ref="C255">IF(ISERROR(INDEX('Eingabe Meldungen'!$D$2:$D$492,LARGE(('Eingabe Meldungen'!$A$2:$A$492=$B$246)*(ROW('Eingabe Meldungen'!$A$2:$A$492)-1),COUNTIF('Eingabe Meldungen'!$A$2:$A$492,$B$246)+1-ROW('Eingabe Meldungen'!A9)))),"",INDEX('Eingabe Meldungen'!$D$2:$D$492,LARGE(('Eingabe Meldungen'!$A$2:$A$492=$B$246)*(ROW('Eingabe Meldungen'!$A$2:$A$492)-1),COUNTIF('Eingabe Meldungen'!$A$2:$A$492,$B$246)+1-ROW('Eingabe Meldungen'!A9))))</f>
        <v/>
      </c>
      <c r="D255" s="107" t="str">
        <f t="array" ref="D255">IF(B255&lt;&gt;"",INDEX('Eingabe Meldungen'!$C$2:$H$492,MATCH(B255&amp;C255,'Eingabe Meldungen'!$C$2:$C$492&amp;'Eingabe Meldungen'!$D$2:$D$492,0),6),"")</f>
        <v/>
      </c>
      <c r="E255" s="107" t="str">
        <f t="array" ref="E255">IF(B255&lt;&gt;"",INDEX('Eingabe Meldungen'!$C$2:$H$492,MATCH(B255&amp;C255,'Eingabe Meldungen'!$C$2:$C$492&amp;'Eingabe Meldungen'!$D$2:$D$492,0),4),"")</f>
        <v/>
      </c>
      <c r="F255" s="39">
        <v>8</v>
      </c>
      <c r="G255" s="150"/>
      <c r="H255" s="40" t="e">
        <f t="shared" si="12"/>
        <v>#N/A</v>
      </c>
      <c r="I255" s="107" t="str">
        <f t="array" ref="I255">IF(B255&lt;&gt;"",INDEX('Eingabe Meldungen'!$C$2:$J$492,MATCH(B255&amp;C255,'Eingabe Meldungen'!$C$2:$C$492&amp;'Eingabe Meldungen'!$D$2:$D$492,0),8),"")</f>
        <v/>
      </c>
      <c r="J255" s="40"/>
      <c r="K255" s="40"/>
      <c r="L255" s="151"/>
      <c r="M255" s="147"/>
      <c r="N255" s="11"/>
      <c r="O255" s="11"/>
      <c r="P255" s="15"/>
      <c r="Q255" s="11"/>
      <c r="T255" s="11"/>
      <c r="U255" s="11"/>
      <c r="W255" s="11"/>
      <c r="X255" s="11"/>
      <c r="Y255" s="15"/>
      <c r="Z255" s="11"/>
      <c r="AB255" s="11"/>
    </row>
    <row r="256" spans="2:28" ht="13.5" hidden="1" customHeight="1" x14ac:dyDescent="0.2">
      <c r="B256" s="148" t="str">
        <f t="array" ref="B256">IF(ISERROR(INDEX('Eingabe Meldungen'!$C$2:$C$492,LARGE(('Eingabe Meldungen'!$A$2:$A$492=$B$246)*(ROW('Eingabe Meldungen'!$A$2:$A$492)-1),COUNTIF('Eingabe Meldungen'!$A$2:$A$492,$B$246)+1-ROW('Eingabe Meldungen'!A10)))),"",INDEX('Eingabe Meldungen'!$C$2:$C$492,LARGE(('Eingabe Meldungen'!$A$2:$A$492=$B$246)*(ROW('Eingabe Meldungen'!$A$2:$A$492)-1),COUNTIF('Eingabe Meldungen'!$A$2:$A$492,$B$246)+1-ROW('Eingabe Meldungen'!A10))))</f>
        <v/>
      </c>
      <c r="C256" s="40" t="str">
        <f t="array" ref="C256">IF(ISERROR(INDEX('Eingabe Meldungen'!$D$2:$D$492,LARGE(('Eingabe Meldungen'!$A$2:$A$492=$B$246)*(ROW('Eingabe Meldungen'!$A$2:$A$492)-1),COUNTIF('Eingabe Meldungen'!$A$2:$A$492,$B$246)+1-ROW('Eingabe Meldungen'!A10)))),"",INDEX('Eingabe Meldungen'!$D$2:$D$492,LARGE(('Eingabe Meldungen'!$A$2:$A$492=$B$246)*(ROW('Eingabe Meldungen'!$A$2:$A$492)-1),COUNTIF('Eingabe Meldungen'!$A$2:$A$492,$B$246)+1-ROW('Eingabe Meldungen'!A10))))</f>
        <v/>
      </c>
      <c r="D256" s="107" t="str">
        <f t="array" ref="D256">IF(B256&lt;&gt;"",INDEX('Eingabe Meldungen'!$C$2:$H$492,MATCH(B256&amp;C256,'Eingabe Meldungen'!$C$2:$C$492&amp;'Eingabe Meldungen'!$D$2:$D$492,0),6),"")</f>
        <v/>
      </c>
      <c r="E256" s="107" t="str">
        <f t="array" ref="E256">IF(B256&lt;&gt;"",INDEX('Eingabe Meldungen'!$C$2:$H$492,MATCH(B256&amp;C256,'Eingabe Meldungen'!$C$2:$C$492&amp;'Eingabe Meldungen'!$D$2:$D$492,0),4),"")</f>
        <v/>
      </c>
      <c r="F256" s="39">
        <v>9</v>
      </c>
      <c r="G256" s="150"/>
      <c r="H256" s="40" t="e">
        <f t="shared" si="12"/>
        <v>#N/A</v>
      </c>
      <c r="I256" s="107" t="str">
        <f t="array" ref="I256">IF(B256&lt;&gt;"",INDEX('Eingabe Meldungen'!$C$2:$J$492,MATCH(B256&amp;C256,'Eingabe Meldungen'!$C$2:$C$492&amp;'Eingabe Meldungen'!$D$2:$D$492,0),8),"")</f>
        <v/>
      </c>
      <c r="J256" s="40"/>
      <c r="K256" s="40"/>
      <c r="L256" s="151"/>
      <c r="M256" s="147"/>
      <c r="N256" s="11"/>
      <c r="O256" s="11"/>
      <c r="P256" s="15"/>
      <c r="Q256" s="11"/>
      <c r="T256" s="11"/>
      <c r="U256" s="11"/>
      <c r="W256" s="11"/>
      <c r="X256" s="11"/>
      <c r="Y256" s="15"/>
      <c r="Z256" s="11"/>
      <c r="AB256" s="11"/>
    </row>
    <row r="257" spans="2:28" ht="13.5" hidden="1" customHeight="1" x14ac:dyDescent="0.2">
      <c r="B257" s="148" t="str">
        <f t="array" ref="B257">IF(ISERROR(INDEX('Eingabe Meldungen'!$C$2:$C$492,LARGE(('Eingabe Meldungen'!$A$2:$A$492=$B$246)*(ROW('Eingabe Meldungen'!$A$2:$A$492)-1),COUNTIF('Eingabe Meldungen'!$A$2:$A$492,$B$246)+1-ROW('Eingabe Meldungen'!A11)))),"",INDEX('Eingabe Meldungen'!$C$2:$C$492,LARGE(('Eingabe Meldungen'!$A$2:$A$492=$B$246)*(ROW('Eingabe Meldungen'!$A$2:$A$492)-1),COUNTIF('Eingabe Meldungen'!$A$2:$A$492,$B$246)+1-ROW('Eingabe Meldungen'!A11))))</f>
        <v/>
      </c>
      <c r="C257" s="40" t="str">
        <f t="array" ref="C257">IF(ISERROR(INDEX('Eingabe Meldungen'!$D$2:$D$492,LARGE(('Eingabe Meldungen'!$A$2:$A$492=$B$246)*(ROW('Eingabe Meldungen'!$A$2:$A$492)-1),COUNTIF('Eingabe Meldungen'!$A$2:$A$492,$B$246)+1-ROW('Eingabe Meldungen'!A11)))),"",INDEX('Eingabe Meldungen'!$D$2:$D$492,LARGE(('Eingabe Meldungen'!$A$2:$A$492=$B$246)*(ROW('Eingabe Meldungen'!$A$2:$A$492)-1),COUNTIF('Eingabe Meldungen'!$A$2:$A$492,$B$246)+1-ROW('Eingabe Meldungen'!A11))))</f>
        <v/>
      </c>
      <c r="D257" s="107" t="str">
        <f t="array" ref="D257">IF(B257&lt;&gt;"",INDEX('Eingabe Meldungen'!$C$2:$H$492,MATCH(B257&amp;C257,'Eingabe Meldungen'!$C$2:$C$492&amp;'Eingabe Meldungen'!$D$2:$D$492,0),6),"")</f>
        <v/>
      </c>
      <c r="E257" s="107" t="str">
        <f t="array" ref="E257">IF(B257&lt;&gt;"",INDEX('Eingabe Meldungen'!$C$2:$H$492,MATCH(B257&amp;C257,'Eingabe Meldungen'!$C$2:$C$492&amp;'Eingabe Meldungen'!$D$2:$D$492,0),4),"")</f>
        <v/>
      </c>
      <c r="F257" s="39">
        <v>10</v>
      </c>
      <c r="G257" s="150"/>
      <c r="H257" s="40" t="e">
        <f t="shared" si="12"/>
        <v>#N/A</v>
      </c>
      <c r="I257" s="107" t="str">
        <f t="array" ref="I257">IF(B257&lt;&gt;"",INDEX('Eingabe Meldungen'!$C$2:$J$492,MATCH(B257&amp;C257,'Eingabe Meldungen'!$C$2:$C$492&amp;'Eingabe Meldungen'!$D$2:$D$492,0),8),"")</f>
        <v/>
      </c>
      <c r="J257" s="40"/>
      <c r="K257" s="40"/>
      <c r="L257" s="151"/>
      <c r="M257" s="147"/>
      <c r="N257" s="11"/>
      <c r="O257" s="11"/>
      <c r="P257" s="15"/>
      <c r="Q257" s="11"/>
      <c r="T257" s="11"/>
      <c r="U257" s="11"/>
      <c r="W257" s="11"/>
      <c r="X257" s="11"/>
      <c r="Y257" s="15"/>
      <c r="Z257" s="11"/>
      <c r="AB257" s="11"/>
    </row>
    <row r="258" spans="2:28" ht="13.2" hidden="1" thickBot="1" x14ac:dyDescent="0.25">
      <c r="B258" s="148" t="str">
        <f t="array" ref="B258">IF(ISERROR(INDEX('Eingabe Meldungen'!$C$2:$C$492,LARGE(('Eingabe Meldungen'!$A$2:$A$492=$B$246)*(ROW('Eingabe Meldungen'!$A$2:$A$492)-1),COUNTIF('Eingabe Meldungen'!$A$2:$A$492,$B$246)+1-ROW('Eingabe Meldungen'!A12)))),"",INDEX('Eingabe Meldungen'!$C$2:$C$492,LARGE(('Eingabe Meldungen'!$A$2:$A$492=$B$246)*(ROW('Eingabe Meldungen'!$A$2:$A$492)-1),COUNTIF('Eingabe Meldungen'!$A$2:$A$492,$B$246)+1-ROW('Eingabe Meldungen'!A12))))</f>
        <v/>
      </c>
      <c r="C258" s="40" t="str">
        <f t="array" ref="C258">IF(ISERROR(INDEX('Eingabe Meldungen'!$D$2:$D$492,LARGE(('Eingabe Meldungen'!$A$2:$A$492=$B$246)*(ROW('Eingabe Meldungen'!$A$2:$A$492)-1),COUNTIF('Eingabe Meldungen'!$A$2:$A$492,$B$246)+1-ROW('Eingabe Meldungen'!A12)))),"",INDEX('Eingabe Meldungen'!$D$2:$D$492,LARGE(('Eingabe Meldungen'!$A$2:$A$492=$B$246)*(ROW('Eingabe Meldungen'!$A$2:$A$492)-1),COUNTIF('Eingabe Meldungen'!$A$2:$A$492,$B$246)+1-ROW('Eingabe Meldungen'!A12))))</f>
        <v/>
      </c>
      <c r="D258" s="107" t="str">
        <f t="array" ref="D258">IF(B258&lt;&gt;"",INDEX('Eingabe Meldungen'!$C$2:$H$492,MATCH(B258&amp;C258,'Eingabe Meldungen'!$C$2:$C$492&amp;'Eingabe Meldungen'!$D$2:$D$492,0),6),"")</f>
        <v/>
      </c>
      <c r="E258" s="107" t="str">
        <f t="array" ref="E258">IF(B258&lt;&gt;"",INDEX('Eingabe Meldungen'!$C$2:$H$492,MATCH(B258&amp;C258,'Eingabe Meldungen'!$C$2:$C$492&amp;'Eingabe Meldungen'!$D$2:$D$492,0),4),"")</f>
        <v/>
      </c>
      <c r="F258" s="39">
        <v>11</v>
      </c>
      <c r="G258" s="150"/>
      <c r="H258" s="40" t="e">
        <f t="shared" si="12"/>
        <v>#N/A</v>
      </c>
      <c r="I258" s="107" t="str">
        <f t="array" ref="I258">IF(B258&lt;&gt;"",INDEX('Eingabe Meldungen'!$C$2:$J$492,MATCH(B258&amp;C258,'Eingabe Meldungen'!$C$2:$C$492&amp;'Eingabe Meldungen'!$D$2:$D$492,0),8),"")</f>
        <v/>
      </c>
      <c r="J258" s="40"/>
      <c r="K258" s="40"/>
      <c r="L258" s="151"/>
      <c r="M258" s="147"/>
      <c r="N258" s="11"/>
      <c r="O258" s="11"/>
      <c r="P258" s="15"/>
      <c r="Q258" s="11"/>
      <c r="T258" s="11"/>
      <c r="U258" s="11"/>
      <c r="Y258" s="15"/>
    </row>
    <row r="259" spans="2:28" ht="15" hidden="1" customHeight="1" x14ac:dyDescent="0.2">
      <c r="B259" s="148" t="str">
        <f t="array" ref="B259">IF(ISERROR(INDEX('Eingabe Meldungen'!$C$2:$C$492,LARGE(('Eingabe Meldungen'!$A$2:$A$492=$B$246)*(ROW('Eingabe Meldungen'!$A$2:$A$492)-1),COUNTIF('Eingabe Meldungen'!$A$2:$A$492,$B$246)+1-ROW('Eingabe Meldungen'!A13)))),"",INDEX('Eingabe Meldungen'!$C$2:$C$492,LARGE(('Eingabe Meldungen'!$A$2:$A$492=$B$246)*(ROW('Eingabe Meldungen'!$A$2:$A$492)-1),COUNTIF('Eingabe Meldungen'!$A$2:$A$492,$B$246)+1-ROW('Eingabe Meldungen'!A13))))</f>
        <v/>
      </c>
      <c r="C259" s="40" t="str">
        <f t="array" ref="C259">IF(ISERROR(INDEX('Eingabe Meldungen'!$D$2:$D$492,LARGE(('Eingabe Meldungen'!$A$2:$A$492=$B$246)*(ROW('Eingabe Meldungen'!$A$2:$A$492)-1),COUNTIF('Eingabe Meldungen'!$A$2:$A$492,$B$246)+1-ROW('Eingabe Meldungen'!A13)))),"",INDEX('Eingabe Meldungen'!$D$2:$D$492,LARGE(('Eingabe Meldungen'!$A$2:$A$492=$B$246)*(ROW('Eingabe Meldungen'!$A$2:$A$492)-1),COUNTIF('Eingabe Meldungen'!$A$2:$A$492,$B$246)+1-ROW('Eingabe Meldungen'!A13))))</f>
        <v/>
      </c>
      <c r="D259" s="107" t="str">
        <f t="array" ref="D259">IF(B259&lt;&gt;"",INDEX('Eingabe Meldungen'!$C$2:$H$492,MATCH(B259&amp;C259,'Eingabe Meldungen'!$C$2:$C$492&amp;'Eingabe Meldungen'!$D$2:$D$492,0),6),"")</f>
        <v/>
      </c>
      <c r="E259" s="107" t="str">
        <f t="array" ref="E259">IF(B259&lt;&gt;"",INDEX('Eingabe Meldungen'!$C$2:$H$492,MATCH(B259&amp;C259,'Eingabe Meldungen'!$C$2:$C$492&amp;'Eingabe Meldungen'!$D$2:$D$492,0),4),"")</f>
        <v/>
      </c>
      <c r="F259" s="39">
        <v>12</v>
      </c>
      <c r="G259" s="150"/>
      <c r="H259" s="40" t="e">
        <f t="shared" si="12"/>
        <v>#N/A</v>
      </c>
      <c r="I259" s="107" t="str">
        <f t="array" ref="I259">IF(B259&lt;&gt;"",INDEX('Eingabe Meldungen'!$C$2:$J$492,MATCH(B259&amp;C259,'Eingabe Meldungen'!$C$2:$C$492&amp;'Eingabe Meldungen'!$D$2:$D$492,0),8),"")</f>
        <v/>
      </c>
      <c r="J259" s="40"/>
      <c r="K259" s="40"/>
      <c r="L259" s="151"/>
      <c r="M259" s="147"/>
      <c r="N259" s="11"/>
      <c r="O259" s="11"/>
      <c r="P259" s="15"/>
      <c r="Q259" s="11"/>
      <c r="T259" s="11"/>
      <c r="U259" s="11"/>
      <c r="W259" s="6"/>
      <c r="X259" s="9"/>
      <c r="Y259" s="8"/>
    </row>
    <row r="260" spans="2:28" ht="13.2" hidden="1" thickBot="1" x14ac:dyDescent="0.25">
      <c r="B260" s="148" t="str">
        <f t="array" ref="B260">IF(ISERROR(INDEX('Eingabe Meldungen'!$C$2:$C$492,LARGE(('Eingabe Meldungen'!$A$2:$A$492=$B$246)*(ROW('Eingabe Meldungen'!$A$2:$A$492)-1),COUNTIF('Eingabe Meldungen'!$A$2:$A$492,$B$246)+1-ROW('Eingabe Meldungen'!A14)))),"",INDEX('Eingabe Meldungen'!$C$2:$C$492,LARGE(('Eingabe Meldungen'!$A$2:$A$492=$B$246)*(ROW('Eingabe Meldungen'!$A$2:$A$492)-1),COUNTIF('Eingabe Meldungen'!$A$2:$A$492,$B$246)+1-ROW('Eingabe Meldungen'!A14))))</f>
        <v/>
      </c>
      <c r="C260" s="40" t="str">
        <f t="array" ref="C260">IF(ISERROR(INDEX('Eingabe Meldungen'!$D$2:$D$492,LARGE(('Eingabe Meldungen'!$A$2:$A$492=$B$246)*(ROW('Eingabe Meldungen'!$A$2:$A$492)-1),COUNTIF('Eingabe Meldungen'!$A$2:$A$492,$B$246)+1-ROW('Eingabe Meldungen'!A14)))),"",INDEX('Eingabe Meldungen'!$D$2:$D$492,LARGE(('Eingabe Meldungen'!$A$2:$A$492=$B$246)*(ROW('Eingabe Meldungen'!$A$2:$A$492)-1),COUNTIF('Eingabe Meldungen'!$A$2:$A$492,$B$246)+1-ROW('Eingabe Meldungen'!A14))))</f>
        <v/>
      </c>
      <c r="D260" s="107" t="str">
        <f t="array" ref="D260">IF(B260&lt;&gt;"",INDEX('Eingabe Meldungen'!$C$2:$H$492,MATCH(B260&amp;C260,'Eingabe Meldungen'!$C$2:$C$492&amp;'Eingabe Meldungen'!$D$2:$D$492,0),6),"")</f>
        <v/>
      </c>
      <c r="E260" s="107" t="str">
        <f t="array" ref="E260">IF(B260&lt;&gt;"",INDEX('Eingabe Meldungen'!$C$2:$H$492,MATCH(B260&amp;C260,'Eingabe Meldungen'!$C$2:$C$492&amp;'Eingabe Meldungen'!$D$2:$D$492,0),4),"")</f>
        <v/>
      </c>
      <c r="F260" s="39">
        <v>13</v>
      </c>
      <c r="G260" s="150"/>
      <c r="H260" s="40" t="e">
        <f t="shared" si="12"/>
        <v>#N/A</v>
      </c>
      <c r="I260" s="107" t="str">
        <f t="array" ref="I260">IF(B260&lt;&gt;"",INDEX('Eingabe Meldungen'!$C$2:$J$492,MATCH(B260&amp;C260,'Eingabe Meldungen'!$C$2:$C$492&amp;'Eingabe Meldungen'!$D$2:$D$492,0),8),"")</f>
        <v/>
      </c>
      <c r="J260" s="40"/>
      <c r="K260" s="40"/>
      <c r="L260" s="151"/>
      <c r="M260" s="147"/>
      <c r="N260" s="11"/>
      <c r="O260" s="11"/>
      <c r="P260" s="15"/>
      <c r="Q260" s="11"/>
      <c r="T260" s="11"/>
      <c r="U260" s="11"/>
      <c r="W260" s="6"/>
      <c r="X260" s="9"/>
      <c r="Y260" s="8"/>
    </row>
    <row r="261" spans="2:28" ht="13.2" hidden="1" thickBot="1" x14ac:dyDescent="0.25">
      <c r="B261" s="148" t="str">
        <f t="array" ref="B261">IF(ISERROR(INDEX('Eingabe Meldungen'!$C$2:$C$492,LARGE(('Eingabe Meldungen'!$A$2:$A$492=$B$246)*(ROW('Eingabe Meldungen'!$A$2:$A$492)-1),COUNTIF('Eingabe Meldungen'!$A$2:$A$492,$B$246)+1-ROW('Eingabe Meldungen'!A15)))),"",INDEX('Eingabe Meldungen'!$C$2:$C$492,LARGE(('Eingabe Meldungen'!$A$2:$A$492=$B$246)*(ROW('Eingabe Meldungen'!$A$2:$A$492)-1),COUNTIF('Eingabe Meldungen'!$A$2:$A$492,$B$246)+1-ROW('Eingabe Meldungen'!A15))))</f>
        <v/>
      </c>
      <c r="C261" s="40" t="str">
        <f t="array" ref="C261">IF(ISERROR(INDEX('Eingabe Meldungen'!$D$2:$D$492,LARGE(('Eingabe Meldungen'!$A$2:$A$492=$B$246)*(ROW('Eingabe Meldungen'!$A$2:$A$492)-1),COUNTIF('Eingabe Meldungen'!$A$2:$A$492,$B$246)+1-ROW('Eingabe Meldungen'!A15)))),"",INDEX('Eingabe Meldungen'!$D$2:$D$492,LARGE(('Eingabe Meldungen'!$A$2:$A$492=$B$246)*(ROW('Eingabe Meldungen'!$A$2:$A$492)-1),COUNTIF('Eingabe Meldungen'!$A$2:$A$492,$B$246)+1-ROW('Eingabe Meldungen'!A15))))</f>
        <v/>
      </c>
      <c r="D261" s="107" t="str">
        <f t="array" ref="D261">IF(B261&lt;&gt;"",INDEX('Eingabe Meldungen'!$C$2:$H$492,MATCH(B261&amp;C261,'Eingabe Meldungen'!$C$2:$C$492&amp;'Eingabe Meldungen'!$D$2:$D$492,0),6),"")</f>
        <v/>
      </c>
      <c r="E261" s="107" t="str">
        <f t="array" ref="E261">IF(B261&lt;&gt;"",INDEX('Eingabe Meldungen'!$C$2:$H$492,MATCH(B261&amp;C261,'Eingabe Meldungen'!$C$2:$C$492&amp;'Eingabe Meldungen'!$D$2:$D$492,0),4),"")</f>
        <v/>
      </c>
      <c r="F261" s="39">
        <v>14</v>
      </c>
      <c r="G261" s="150"/>
      <c r="H261" s="40" t="e">
        <f t="shared" si="12"/>
        <v>#N/A</v>
      </c>
      <c r="I261" s="107" t="str">
        <f t="array" ref="I261">IF(B261&lt;&gt;"",INDEX('Eingabe Meldungen'!$C$2:$J$492,MATCH(B261&amp;C261,'Eingabe Meldungen'!$C$2:$C$492&amp;'Eingabe Meldungen'!$D$2:$D$492,0),8),"")</f>
        <v/>
      </c>
      <c r="J261" s="40"/>
      <c r="K261" s="40"/>
      <c r="L261" s="151"/>
      <c r="M261" s="147"/>
      <c r="N261" s="11"/>
      <c r="O261" s="11"/>
      <c r="P261" s="15"/>
      <c r="Q261" s="11"/>
      <c r="T261" s="11"/>
      <c r="U261" s="11"/>
      <c r="Y261" s="15"/>
    </row>
    <row r="262" spans="2:28" ht="13.2" hidden="1" thickBot="1" x14ac:dyDescent="0.25">
      <c r="B262" s="148" t="str">
        <f t="array" ref="B262">IF(ISERROR(INDEX('Eingabe Meldungen'!$C$2:$C$492,LARGE(('Eingabe Meldungen'!$A$2:$A$492=$B$246)*(ROW('Eingabe Meldungen'!$A$2:$A$492)-1),COUNTIF('Eingabe Meldungen'!$A$2:$A$492,$B$246)+1-ROW('Eingabe Meldungen'!A16)))),"",INDEX('Eingabe Meldungen'!$C$2:$C$492,LARGE(('Eingabe Meldungen'!$A$2:$A$492=$B$246)*(ROW('Eingabe Meldungen'!$A$2:$A$492)-1),COUNTIF('Eingabe Meldungen'!$A$2:$A$492,$B$246)+1-ROW('Eingabe Meldungen'!A16))))</f>
        <v/>
      </c>
      <c r="C262" s="40" t="str">
        <f t="array" ref="C262">IF(ISERROR(INDEX('Eingabe Meldungen'!$D$2:$D$492,LARGE(('Eingabe Meldungen'!$A$2:$A$492=$B$246)*(ROW('Eingabe Meldungen'!$A$2:$A$492)-1),COUNTIF('Eingabe Meldungen'!$A$2:$A$492,$B$246)+1-ROW('Eingabe Meldungen'!A16)))),"",INDEX('Eingabe Meldungen'!$D$2:$D$492,LARGE(('Eingabe Meldungen'!$A$2:$A$492=$B$246)*(ROW('Eingabe Meldungen'!$A$2:$A$492)-1),COUNTIF('Eingabe Meldungen'!$A$2:$A$492,$B$246)+1-ROW('Eingabe Meldungen'!A16))))</f>
        <v/>
      </c>
      <c r="D262" s="107" t="str">
        <f t="array" ref="D262">IF(B262&lt;&gt;"",INDEX('Eingabe Meldungen'!$C$2:$H$492,MATCH(B262&amp;C262,'Eingabe Meldungen'!$C$2:$C$492&amp;'Eingabe Meldungen'!$D$2:$D$492,0),6),"")</f>
        <v/>
      </c>
      <c r="E262" s="107" t="str">
        <f t="array" ref="E262">IF(B262&lt;&gt;"",INDEX('Eingabe Meldungen'!$C$2:$H$492,MATCH(B262&amp;C262,'Eingabe Meldungen'!$C$2:$C$492&amp;'Eingabe Meldungen'!$D$2:$D$492,0),4),"")</f>
        <v/>
      </c>
      <c r="F262" s="39">
        <v>15</v>
      </c>
      <c r="G262" s="150"/>
      <c r="H262" s="40" t="e">
        <f t="shared" si="12"/>
        <v>#N/A</v>
      </c>
      <c r="I262" s="107" t="str">
        <f t="array" ref="I262">IF(B262&lt;&gt;"",INDEX('Eingabe Meldungen'!$C$2:$J$492,MATCH(B262&amp;C262,'Eingabe Meldungen'!$C$2:$C$492&amp;'Eingabe Meldungen'!$D$2:$D$492,0),8),"")</f>
        <v/>
      </c>
      <c r="J262" s="40"/>
      <c r="K262" s="40"/>
      <c r="L262" s="151"/>
      <c r="M262" s="147"/>
      <c r="N262" s="11"/>
      <c r="O262" s="11"/>
      <c r="P262" s="15"/>
      <c r="Q262" s="11"/>
      <c r="T262" s="11"/>
      <c r="U262" s="11"/>
      <c r="Y262" s="15"/>
    </row>
    <row r="263" spans="2:28" ht="13.2" hidden="1" thickBot="1" x14ac:dyDescent="0.25">
      <c r="B263" s="148" t="str">
        <f t="array" ref="B263">IF(ISERROR(INDEX('Eingabe Meldungen'!$C$2:$C$492,LARGE(('Eingabe Meldungen'!$A$2:$A$492=$B$246)*(ROW('Eingabe Meldungen'!$A$2:$A$492)-1),COUNTIF('Eingabe Meldungen'!$A$2:$A$492,$B$246)+1-ROW('Eingabe Meldungen'!A17)))),"",INDEX('Eingabe Meldungen'!$C$2:$C$492,LARGE(('Eingabe Meldungen'!$A$2:$A$492=$B$246)*(ROW('Eingabe Meldungen'!$A$2:$A$492)-1),COUNTIF('Eingabe Meldungen'!$A$2:$A$492,$B$246)+1-ROW('Eingabe Meldungen'!A17))))</f>
        <v/>
      </c>
      <c r="C263" s="40" t="str">
        <f t="array" ref="C263">IF(ISERROR(INDEX('Eingabe Meldungen'!$D$2:$D$492,LARGE(('Eingabe Meldungen'!$A$2:$A$492=$B$246)*(ROW('Eingabe Meldungen'!$A$2:$A$492)-1),COUNTIF('Eingabe Meldungen'!$A$2:$A$492,$B$246)+1-ROW('Eingabe Meldungen'!A17)))),"",INDEX('Eingabe Meldungen'!$D$2:$D$492,LARGE(('Eingabe Meldungen'!$A$2:$A$492=$B$246)*(ROW('Eingabe Meldungen'!$A$2:$A$492)-1),COUNTIF('Eingabe Meldungen'!$A$2:$A$492,$B$246)+1-ROW('Eingabe Meldungen'!A17))))</f>
        <v/>
      </c>
      <c r="D263" s="107" t="str">
        <f t="array" ref="D263">IF(B263&lt;&gt;"",INDEX('Eingabe Meldungen'!$C$2:$H$492,MATCH(B263&amp;C263,'Eingabe Meldungen'!$C$2:$C$492&amp;'Eingabe Meldungen'!$D$2:$D$492,0),6),"")</f>
        <v/>
      </c>
      <c r="E263" s="107" t="str">
        <f t="array" ref="E263">IF(B263&lt;&gt;"",INDEX('Eingabe Meldungen'!$C$2:$H$492,MATCH(B263&amp;C263,'Eingabe Meldungen'!$C$2:$C$492&amp;'Eingabe Meldungen'!$D$2:$D$492,0),4),"")</f>
        <v/>
      </c>
      <c r="F263" s="39">
        <v>16</v>
      </c>
      <c r="G263" s="150"/>
      <c r="H263" s="40" t="e">
        <f t="shared" si="12"/>
        <v>#N/A</v>
      </c>
      <c r="I263" s="107" t="str">
        <f t="array" ref="I263">IF(B263&lt;&gt;"",INDEX('Eingabe Meldungen'!$C$2:$J$492,MATCH(B263&amp;C263,'Eingabe Meldungen'!$C$2:$C$492&amp;'Eingabe Meldungen'!$D$2:$D$492,0),8),"")</f>
        <v/>
      </c>
      <c r="J263" s="40"/>
      <c r="K263" s="40"/>
      <c r="L263" s="151"/>
      <c r="M263" s="112"/>
      <c r="N263" s="24"/>
      <c r="O263" s="11"/>
      <c r="P263" s="10"/>
      <c r="Q263" s="11"/>
      <c r="R263" s="11"/>
      <c r="S263" s="11"/>
      <c r="T263" s="11"/>
      <c r="U263" s="11"/>
      <c r="Y263" s="15"/>
    </row>
    <row r="264" spans="2:28" ht="30" customHeight="1" x14ac:dyDescent="0.2">
      <c r="B264" s="120">
        <v>17</v>
      </c>
      <c r="C264" s="121" t="str">
        <f>VLOOKUP(B264,Ausschreibung!$B$5:$I$35,2,FALSE)</f>
        <v>Ergocup</v>
      </c>
      <c r="D264" s="122">
        <f>VLOOKUP(B264,Ausschreibung!$B$5:$I$35,3,FALSE)</f>
        <v>0.62083333333333324</v>
      </c>
      <c r="E264" s="121" t="str">
        <f>VLOOKUP(B264,Ausschreibung!$B$5:$I$35,4,FALSE)</f>
        <v>Juniorinnen A U19</v>
      </c>
      <c r="F264" s="121">
        <v>57.5</v>
      </c>
      <c r="G264" s="121" t="str">
        <f>VLOOKUP(B264,Ausschreibung!$B$5:$I$35,6,FALSE)</f>
        <v>17-18</v>
      </c>
      <c r="H264" s="121" t="str">
        <f>VLOOKUP(B264,Ausschreibung!$B$5:$I$35,8,FALSE)</f>
        <v>2000 m</v>
      </c>
      <c r="I264" s="121"/>
      <c r="J264" s="129">
        <f>D264-(2*$N$60)</f>
        <v>0.53749999999999987</v>
      </c>
      <c r="K264" s="129"/>
      <c r="L264" s="129">
        <f>D264-$N$60</f>
        <v>0.57916666666666661</v>
      </c>
      <c r="M264" s="123"/>
      <c r="N264" s="17"/>
      <c r="O264" s="17"/>
      <c r="P264" s="17"/>
      <c r="Q264" s="17"/>
      <c r="R264" s="17"/>
      <c r="S264" s="17"/>
      <c r="T264" s="11"/>
      <c r="U264" s="11"/>
      <c r="Y264" s="15"/>
    </row>
    <row r="265" spans="2:28" x14ac:dyDescent="0.2">
      <c r="B265" s="176" t="s">
        <v>1</v>
      </c>
      <c r="C265" s="177" t="s">
        <v>2</v>
      </c>
      <c r="D265" s="178" t="s">
        <v>4</v>
      </c>
      <c r="E265" s="179" t="s">
        <v>16</v>
      </c>
      <c r="F265" s="178" t="s">
        <v>18</v>
      </c>
      <c r="G265" s="178" t="s">
        <v>50</v>
      </c>
      <c r="H265" s="178" t="s">
        <v>51</v>
      </c>
      <c r="I265" s="180" t="s">
        <v>17</v>
      </c>
      <c r="J265" s="178" t="s">
        <v>85</v>
      </c>
      <c r="K265" s="179"/>
      <c r="L265" s="179" t="s">
        <v>50</v>
      </c>
      <c r="M265" s="185" t="s">
        <v>87</v>
      </c>
      <c r="N265" s="17"/>
      <c r="O265" s="16"/>
      <c r="P265" s="17"/>
      <c r="Q265" s="17"/>
      <c r="R265" s="17"/>
      <c r="S265" s="17"/>
      <c r="T265" s="11"/>
      <c r="U265" s="11"/>
      <c r="Y265" s="15"/>
    </row>
    <row r="266" spans="2:28" x14ac:dyDescent="0.2">
      <c r="B266" s="148" t="str">
        <f t="array" ref="B266">IF(ISERROR(INDEX('Eingabe Meldungen'!$C$2:$C$492,LARGE(('Eingabe Meldungen'!$A$2:$A$492=$B$264)*(ROW('Eingabe Meldungen'!$A$2:$A$492)-1),COUNTIF('Eingabe Meldungen'!$A$2:$A$492,$B$264)+1-ROW('Eingabe Meldungen'!A1)))),"",INDEX('Eingabe Meldungen'!$C$2:$C$492,LARGE(('Eingabe Meldungen'!$A$2:$A$492=$B$264)*(ROW('Eingabe Meldungen'!$A$2:$A$492)-1),COUNTIF('Eingabe Meldungen'!$A$2:$A$492,$B$264)+1-ROW('Eingabe Meldungen'!A1))))</f>
        <v>Röhling</v>
      </c>
      <c r="C266" s="40" t="str">
        <f t="array" ref="C266">IF(ISERROR(INDEX('Eingabe Meldungen'!$D$2:$D$492,LARGE(('Eingabe Meldungen'!$A$2:$A$492=$B$264)*(ROW('Eingabe Meldungen'!$A$2:$A$492)-1),COUNTIF('Eingabe Meldungen'!$A$2:$A$492,$B$264)+1-ROW('Eingabe Meldungen'!A1)))),"",INDEX('Eingabe Meldungen'!$D$2:$D$492,LARGE(('Eingabe Meldungen'!$A$2:$A$492=$B$264)*(ROW('Eingabe Meldungen'!$A$2:$A$492)-1),COUNTIF('Eingabe Meldungen'!$A$2:$A$492,$B$264)+1-ROW('Eingabe Meldungen'!A1))))</f>
        <v>Nina</v>
      </c>
      <c r="D266" s="107">
        <f t="array" ref="D266">IF(B266&lt;&gt;"",INDEX('Eingabe Meldungen'!$C$2:$H$492,MATCH(B266&amp;C266,'Eingabe Meldungen'!$C$2:$C$492&amp;'Eingabe Meldungen'!$D$2:$D$492,0),6),"")</f>
        <v>2003</v>
      </c>
      <c r="E266" s="107" t="str">
        <f t="array" ref="E266">IF(B266&lt;&gt;"",INDEX('Eingabe Meldungen'!$C$2:$H$492,MATCH(B266&amp;C266,'Eingabe Meldungen'!$C$2:$C$492&amp;'Eingabe Meldungen'!$D$2:$D$492,0),4),"")</f>
        <v>LGW. bis 60 kg</v>
      </c>
      <c r="F266" s="107"/>
      <c r="G266" s="149"/>
      <c r="H266" s="40" t="e">
        <f t="shared" ref="H266:H272" si="13">RANK(G266,$G$266:$G$272,1)</f>
        <v>#N/A</v>
      </c>
      <c r="I266" s="107" t="str">
        <f t="array" ref="I266">IF(B266&lt;&gt;"",INDEX('Eingabe Meldungen'!$C$2:$J$492,MATCH(B266&amp;C266,'Eingabe Meldungen'!$C$2:$C$492&amp;'Eingabe Meldungen'!$D$2:$D$492,0),8),"")</f>
        <v>RG Eberbach</v>
      </c>
      <c r="J266" s="257"/>
      <c r="K266" s="257"/>
      <c r="L266" s="254"/>
      <c r="M266" s="258"/>
      <c r="N266" s="11"/>
      <c r="O266" s="11"/>
      <c r="P266" s="15"/>
      <c r="Q266" s="11"/>
      <c r="T266" s="11"/>
      <c r="U266" s="11"/>
      <c r="Y266" s="15"/>
    </row>
    <row r="267" spans="2:28" x14ac:dyDescent="0.2">
      <c r="B267" s="148" t="str">
        <f t="array" ref="B267">IF(ISERROR(INDEX('Eingabe Meldungen'!$C$2:$C$492,LARGE(('Eingabe Meldungen'!$A$2:$A$492=$B$264)*(ROW('Eingabe Meldungen'!$A$2:$A$492)-1),COUNTIF('Eingabe Meldungen'!$A$2:$A$492,$B$264)+1-ROW('Eingabe Meldungen'!A2)))),"",INDEX('Eingabe Meldungen'!$C$2:$C$492,LARGE(('Eingabe Meldungen'!$A$2:$A$492=$B$264)*(ROW('Eingabe Meldungen'!$A$2:$A$492)-1),COUNTIF('Eingabe Meldungen'!$A$2:$A$492,$B$264)+1-ROW('Eingabe Meldungen'!A2))))</f>
        <v/>
      </c>
      <c r="C267" s="40" t="str">
        <f t="array" ref="C267">IF(ISERROR(INDEX('Eingabe Meldungen'!$D$2:$D$492,LARGE(('Eingabe Meldungen'!$A$2:$A$492=$B$264)*(ROW('Eingabe Meldungen'!$A$2:$A$492)-1),COUNTIF('Eingabe Meldungen'!$A$2:$A$492,$B$264)+1-ROW('Eingabe Meldungen'!A2)))),"",INDEX('Eingabe Meldungen'!$D$2:$D$492,LARGE(('Eingabe Meldungen'!$A$2:$A$492=$B$264)*(ROW('Eingabe Meldungen'!$A$2:$A$492)-1),COUNTIF('Eingabe Meldungen'!$A$2:$A$492,$B$264)+1-ROW('Eingabe Meldungen'!A2))))</f>
        <v/>
      </c>
      <c r="D267" s="107" t="str">
        <f t="array" ref="D267">IF(B267&lt;&gt;"",INDEX('Eingabe Meldungen'!$C$2:$H$492,MATCH(B267&amp;C267,'Eingabe Meldungen'!$C$2:$C$492&amp;'Eingabe Meldungen'!$D$2:$D$492,0),6),"")</f>
        <v/>
      </c>
      <c r="E267" s="107" t="str">
        <f t="array" ref="E267">IF(B267&lt;&gt;"",INDEX('Eingabe Meldungen'!$C$2:$H$492,MATCH(B267&amp;C267,'Eingabe Meldungen'!$C$2:$C$492&amp;'Eingabe Meldungen'!$D$2:$D$492,0),4),"")</f>
        <v/>
      </c>
      <c r="F267" s="107"/>
      <c r="G267" s="149"/>
      <c r="H267" s="40" t="e">
        <f t="shared" si="13"/>
        <v>#N/A</v>
      </c>
      <c r="I267" s="107" t="str">
        <f t="array" ref="I267">IF(B267&lt;&gt;"",INDEX('Eingabe Meldungen'!$C$2:$J$492,MATCH(B267&amp;C267,'Eingabe Meldungen'!$C$2:$C$492&amp;'Eingabe Meldungen'!$D$2:$D$492,0),8),"")</f>
        <v/>
      </c>
      <c r="J267" s="257"/>
      <c r="K267" s="257"/>
      <c r="L267" s="254"/>
      <c r="M267" s="258"/>
      <c r="N267" s="11"/>
      <c r="O267" s="11"/>
      <c r="P267" s="15"/>
      <c r="Q267" s="11"/>
      <c r="T267" s="11"/>
      <c r="U267" s="11"/>
      <c r="Y267" s="15"/>
    </row>
    <row r="268" spans="2:28" x14ac:dyDescent="0.2">
      <c r="B268" s="148" t="str">
        <f t="array" ref="B268">IF(ISERROR(INDEX('Eingabe Meldungen'!$C$2:$C$492,LARGE(('Eingabe Meldungen'!$A$2:$A$492=$B$264)*(ROW('Eingabe Meldungen'!$A$2:$A$492)-1),COUNTIF('Eingabe Meldungen'!$A$2:$A$492,$B$264)+1-ROW('Eingabe Meldungen'!A3)))),"",INDEX('Eingabe Meldungen'!$C$2:$C$492,LARGE(('Eingabe Meldungen'!$A$2:$A$492=$B$264)*(ROW('Eingabe Meldungen'!$A$2:$A$492)-1),COUNTIF('Eingabe Meldungen'!$A$2:$A$492,$B$264)+1-ROW('Eingabe Meldungen'!A3))))</f>
        <v/>
      </c>
      <c r="C268" s="40" t="str">
        <f t="array" ref="C268">IF(ISERROR(INDEX('Eingabe Meldungen'!$D$2:$D$492,LARGE(('Eingabe Meldungen'!$A$2:$A$492=$B$264)*(ROW('Eingabe Meldungen'!$A$2:$A$492)-1),COUNTIF('Eingabe Meldungen'!$A$2:$A$492,$B$264)+1-ROW('Eingabe Meldungen'!A3)))),"",INDEX('Eingabe Meldungen'!$D$2:$D$492,LARGE(('Eingabe Meldungen'!$A$2:$A$492=$B$264)*(ROW('Eingabe Meldungen'!$A$2:$A$492)-1),COUNTIF('Eingabe Meldungen'!$A$2:$A$492,$B$264)+1-ROW('Eingabe Meldungen'!A3))))</f>
        <v/>
      </c>
      <c r="D268" s="107" t="str">
        <f t="array" ref="D268">IF(B268&lt;&gt;"",INDEX('Eingabe Meldungen'!$C$2:$H$492,MATCH(B268&amp;C268,'Eingabe Meldungen'!$C$2:$C$492&amp;'Eingabe Meldungen'!$D$2:$D$492,0),6),"")</f>
        <v/>
      </c>
      <c r="E268" s="107" t="str">
        <f t="array" ref="E268">IF(B268&lt;&gt;"",INDEX('Eingabe Meldungen'!$C$2:$H$492,MATCH(B268&amp;C268,'Eingabe Meldungen'!$C$2:$C$492&amp;'Eingabe Meldungen'!$D$2:$D$492,0),4),"")</f>
        <v/>
      </c>
      <c r="F268" s="107"/>
      <c r="G268" s="149"/>
      <c r="H268" s="40" t="e">
        <f t="shared" si="13"/>
        <v>#N/A</v>
      </c>
      <c r="I268" s="107" t="str">
        <f t="array" ref="I268">IF(B268&lt;&gt;"",INDEX('Eingabe Meldungen'!$C$2:$J$492,MATCH(B268&amp;C268,'Eingabe Meldungen'!$C$2:$C$492&amp;'Eingabe Meldungen'!$D$2:$D$492,0),8),"")</f>
        <v/>
      </c>
      <c r="J268" s="257"/>
      <c r="K268" s="257"/>
      <c r="L268" s="254"/>
      <c r="M268" s="258"/>
      <c r="N268" s="11"/>
      <c r="O268" s="11"/>
      <c r="P268" s="15"/>
      <c r="Q268" s="11"/>
      <c r="T268" s="11"/>
      <c r="U268" s="11"/>
      <c r="Y268" s="15"/>
    </row>
    <row r="269" spans="2:28" x14ac:dyDescent="0.2">
      <c r="B269" s="148" t="str">
        <f t="array" ref="B269">IF(ISERROR(INDEX('Eingabe Meldungen'!$C$2:$C$492,LARGE(('Eingabe Meldungen'!$A$2:$A$492=$B$264)*(ROW('Eingabe Meldungen'!$A$2:$A$492)-1),COUNTIF('Eingabe Meldungen'!$A$2:$A$492,$B$264)+1-ROW('Eingabe Meldungen'!A4)))),"",INDEX('Eingabe Meldungen'!$C$2:$C$492,LARGE(('Eingabe Meldungen'!$A$2:$A$492=$B$264)*(ROW('Eingabe Meldungen'!$A$2:$A$492)-1),COUNTIF('Eingabe Meldungen'!$A$2:$A$492,$B$264)+1-ROW('Eingabe Meldungen'!A4))))</f>
        <v/>
      </c>
      <c r="C269" s="40" t="str">
        <f t="array" ref="C269">IF(ISERROR(INDEX('Eingabe Meldungen'!$D$2:$D$492,LARGE(('Eingabe Meldungen'!$A$2:$A$492=$B$264)*(ROW('Eingabe Meldungen'!$A$2:$A$492)-1),COUNTIF('Eingabe Meldungen'!$A$2:$A$492,$B$264)+1-ROW('Eingabe Meldungen'!A4)))),"",INDEX('Eingabe Meldungen'!$D$2:$D$492,LARGE(('Eingabe Meldungen'!$A$2:$A$492=$B$264)*(ROW('Eingabe Meldungen'!$A$2:$A$492)-1),COUNTIF('Eingabe Meldungen'!$A$2:$A$492,$B$264)+1-ROW('Eingabe Meldungen'!A4))))</f>
        <v/>
      </c>
      <c r="D269" s="107" t="str">
        <f t="array" ref="D269">IF(B269&lt;&gt;"",INDEX('Eingabe Meldungen'!$C$2:$H$492,MATCH(B269&amp;C269,'Eingabe Meldungen'!$C$2:$C$492&amp;'Eingabe Meldungen'!$D$2:$D$492,0),6),"")</f>
        <v/>
      </c>
      <c r="E269" s="107" t="str">
        <f t="array" ref="E269">IF(B269&lt;&gt;"",INDEX('Eingabe Meldungen'!$C$2:$H$492,MATCH(B269&amp;C269,'Eingabe Meldungen'!$C$2:$C$492&amp;'Eingabe Meldungen'!$D$2:$D$492,0),4),"")</f>
        <v/>
      </c>
      <c r="F269" s="107"/>
      <c r="G269" s="149"/>
      <c r="H269" s="40" t="e">
        <f t="shared" si="13"/>
        <v>#N/A</v>
      </c>
      <c r="I269" s="107" t="str">
        <f t="array" ref="I269">IF(B269&lt;&gt;"",INDEX('Eingabe Meldungen'!$C$2:$J$492,MATCH(B269&amp;C269,'Eingabe Meldungen'!$C$2:$C$492&amp;'Eingabe Meldungen'!$D$2:$D$492,0),8),"")</f>
        <v/>
      </c>
      <c r="J269" s="257"/>
      <c r="K269" s="257"/>
      <c r="L269" s="254"/>
      <c r="M269" s="258"/>
      <c r="N269" s="11"/>
      <c r="O269" s="11"/>
      <c r="P269" s="15"/>
      <c r="Q269" s="11"/>
      <c r="T269" s="11"/>
      <c r="U269" s="11"/>
      <c r="Y269" s="15"/>
    </row>
    <row r="270" spans="2:28" x14ac:dyDescent="0.2">
      <c r="B270" s="148" t="str">
        <f t="array" ref="B270">IF(ISERROR(INDEX('Eingabe Meldungen'!$C$2:$C$492,LARGE(('Eingabe Meldungen'!$A$2:$A$492=$B$264)*(ROW('Eingabe Meldungen'!$A$2:$A$492)-1),COUNTIF('Eingabe Meldungen'!$A$2:$A$492,$B$264)+1-ROW('Eingabe Meldungen'!A14)))),"",INDEX('Eingabe Meldungen'!$C$2:$C$492,LARGE(('Eingabe Meldungen'!$A$2:$A$492=$B$264)*(ROW('Eingabe Meldungen'!$A$2:$A$492)-1),COUNTIF('Eingabe Meldungen'!$A$2:$A$492,$B$264)+1-ROW('Eingabe Meldungen'!A14))))</f>
        <v/>
      </c>
      <c r="C270" s="40" t="str">
        <f t="array" ref="C270">IF(ISERROR(INDEX('Eingabe Meldungen'!$D$2:$D$492,LARGE(('Eingabe Meldungen'!$A$2:$A$492=$B$264)*(ROW('Eingabe Meldungen'!$A$2:$A$492)-1),COUNTIF('Eingabe Meldungen'!$A$2:$A$492,$B$264)+1-ROW('Eingabe Meldungen'!A14)))),"",INDEX('Eingabe Meldungen'!$D$2:$D$492,LARGE(('Eingabe Meldungen'!$A$2:$A$492=$B$264)*(ROW('Eingabe Meldungen'!$A$2:$A$492)-1),COUNTIF('Eingabe Meldungen'!$A$2:$A$492,$B$264)+1-ROW('Eingabe Meldungen'!A14))))</f>
        <v/>
      </c>
      <c r="D270" s="107" t="str">
        <f t="array" ref="D270">IF(B270&lt;&gt;"",INDEX('Eingabe Meldungen'!$C$2:$H$492,MATCH(B270&amp;C270,'Eingabe Meldungen'!$C$2:$C$492&amp;'Eingabe Meldungen'!$D$2:$D$492,0),6),"")</f>
        <v/>
      </c>
      <c r="E270" s="107" t="str">
        <f t="array" ref="E270">IF(B270&lt;&gt;"",INDEX('Eingabe Meldungen'!$C$2:$H$492,MATCH(B270&amp;C270,'Eingabe Meldungen'!$C$2:$C$492&amp;'Eingabe Meldungen'!$D$2:$D$492,0),4),"")</f>
        <v/>
      </c>
      <c r="F270" s="107"/>
      <c r="G270" s="149"/>
      <c r="H270" s="40" t="e">
        <f t="shared" si="13"/>
        <v>#N/A</v>
      </c>
      <c r="I270" s="107" t="str">
        <f t="array" ref="I270">IF(B270&lt;&gt;"",INDEX('Eingabe Meldungen'!$C$2:$J$492,MATCH(B270&amp;C270,'Eingabe Meldungen'!$C$2:$C$492&amp;'Eingabe Meldungen'!$D$2:$D$492,0),8),"")</f>
        <v/>
      </c>
      <c r="J270" s="257"/>
      <c r="K270" s="257"/>
      <c r="L270" s="254"/>
      <c r="M270" s="258"/>
      <c r="N270" s="24"/>
      <c r="O270" s="11"/>
      <c r="P270" s="10"/>
      <c r="Q270" s="11"/>
      <c r="R270" s="11"/>
      <c r="S270" s="11"/>
      <c r="T270" s="11"/>
      <c r="U270" s="11"/>
      <c r="Y270" s="15"/>
    </row>
    <row r="271" spans="2:28" x14ac:dyDescent="0.2">
      <c r="B271" s="148" t="str">
        <f t="array" ref="B271">IF(ISERROR(INDEX('Eingabe Meldungen'!$C$2:$C$492,LARGE(('Eingabe Meldungen'!$A$2:$A$492=$B$264)*(ROW('Eingabe Meldungen'!$A$2:$A$492)-1),COUNTIF('Eingabe Meldungen'!$A$2:$A$492,$B$264)+1-ROW('Eingabe Meldungen'!A15)))),"",INDEX('Eingabe Meldungen'!$C$2:$C$492,LARGE(('Eingabe Meldungen'!$A$2:$A$492=$B$264)*(ROW('Eingabe Meldungen'!$A$2:$A$492)-1),COUNTIF('Eingabe Meldungen'!$A$2:$A$492,$B$264)+1-ROW('Eingabe Meldungen'!A15))))</f>
        <v/>
      </c>
      <c r="C271" s="40" t="str">
        <f t="array" ref="C271">IF(ISERROR(INDEX('Eingabe Meldungen'!$D$2:$D$492,LARGE(('Eingabe Meldungen'!$A$2:$A$492=$B$264)*(ROW('Eingabe Meldungen'!$A$2:$A$492)-1),COUNTIF('Eingabe Meldungen'!$A$2:$A$492,$B$264)+1-ROW('Eingabe Meldungen'!A15)))),"",INDEX('Eingabe Meldungen'!$D$2:$D$492,LARGE(('Eingabe Meldungen'!$A$2:$A$492=$B$264)*(ROW('Eingabe Meldungen'!$A$2:$A$492)-1),COUNTIF('Eingabe Meldungen'!$A$2:$A$492,$B$264)+1-ROW('Eingabe Meldungen'!A15))))</f>
        <v/>
      </c>
      <c r="D271" s="107" t="str">
        <f t="array" ref="D271">IF(B271&lt;&gt;"",INDEX('Eingabe Meldungen'!$C$2:$H$492,MATCH(B271&amp;C271,'Eingabe Meldungen'!$C$2:$C$492&amp;'Eingabe Meldungen'!$D$2:$D$492,0),6),"")</f>
        <v/>
      </c>
      <c r="E271" s="107" t="str">
        <f t="array" ref="E271">IF(B271&lt;&gt;"",INDEX('Eingabe Meldungen'!$C$2:$H$492,MATCH(B271&amp;C271,'Eingabe Meldungen'!$C$2:$C$492&amp;'Eingabe Meldungen'!$D$2:$D$492,0),4),"")</f>
        <v/>
      </c>
      <c r="F271" s="107"/>
      <c r="G271" s="149"/>
      <c r="H271" s="40" t="e">
        <f t="shared" si="13"/>
        <v>#N/A</v>
      </c>
      <c r="I271" s="107" t="str">
        <f t="array" ref="I271">IF(B271&lt;&gt;"",INDEX('Eingabe Meldungen'!$C$2:$J$492,MATCH(B271&amp;C271,'Eingabe Meldungen'!$C$2:$C$492&amp;'Eingabe Meldungen'!$D$2:$D$492,0),8),"")</f>
        <v/>
      </c>
      <c r="J271" s="257"/>
      <c r="K271" s="257"/>
      <c r="L271" s="254"/>
      <c r="M271" s="258"/>
      <c r="N271" s="24"/>
      <c r="O271" s="11"/>
      <c r="P271" s="10"/>
      <c r="Q271" s="11"/>
      <c r="R271" s="11"/>
      <c r="S271" s="11"/>
      <c r="T271" s="11"/>
      <c r="U271" s="11"/>
      <c r="Y271" s="15"/>
    </row>
    <row r="272" spans="2:28" ht="13.2" thickBot="1" x14ac:dyDescent="0.25">
      <c r="B272" s="148" t="str">
        <f t="array" ref="B272">IF(ISERROR(INDEX('Eingabe Meldungen'!$C$2:$C$492,LARGE(('Eingabe Meldungen'!$A$2:$A$492=$B$264)*(ROW('Eingabe Meldungen'!$A$2:$A$492)-1),COUNTIF('Eingabe Meldungen'!$A$2:$A$492,$B$264)+1-ROW('Eingabe Meldungen'!A16)))),"",INDEX('Eingabe Meldungen'!$C$2:$C$492,LARGE(('Eingabe Meldungen'!$A$2:$A$492=$B$264)*(ROW('Eingabe Meldungen'!$A$2:$A$492)-1),COUNTIF('Eingabe Meldungen'!$A$2:$A$492,$B$264)+1-ROW('Eingabe Meldungen'!A16))))</f>
        <v/>
      </c>
      <c r="C272" s="40" t="str">
        <f t="array" ref="C272">IF(ISERROR(INDEX('Eingabe Meldungen'!$D$2:$D$492,LARGE(('Eingabe Meldungen'!$A$2:$A$492=$B$264)*(ROW('Eingabe Meldungen'!$A$2:$A$492)-1),COUNTIF('Eingabe Meldungen'!$A$2:$A$492,$B$264)+1-ROW('Eingabe Meldungen'!A16)))),"",INDEX('Eingabe Meldungen'!$D$2:$D$492,LARGE(('Eingabe Meldungen'!$A$2:$A$492=$B$264)*(ROW('Eingabe Meldungen'!$A$2:$A$492)-1),COUNTIF('Eingabe Meldungen'!$A$2:$A$492,$B$264)+1-ROW('Eingabe Meldungen'!A16))))</f>
        <v/>
      </c>
      <c r="D272" s="107" t="str">
        <f t="array" ref="D272">IF(B272&lt;&gt;"",INDEX('Eingabe Meldungen'!$C$2:$H$492,MATCH(B272&amp;C272,'Eingabe Meldungen'!$C$2:$C$492&amp;'Eingabe Meldungen'!$D$2:$D$492,0),6),"")</f>
        <v/>
      </c>
      <c r="E272" s="107" t="str">
        <f t="array" ref="E272">IF(B272&lt;&gt;"",INDEX('Eingabe Meldungen'!$C$2:$H$492,MATCH(B272&amp;C272,'Eingabe Meldungen'!$C$2:$C$492&amp;'Eingabe Meldungen'!$D$2:$D$492,0),4),"")</f>
        <v/>
      </c>
      <c r="F272" s="107"/>
      <c r="G272" s="149"/>
      <c r="H272" s="40" t="e">
        <f t="shared" si="13"/>
        <v>#N/A</v>
      </c>
      <c r="I272" s="107" t="str">
        <f t="array" ref="I272">IF(B272&lt;&gt;"",INDEX('Eingabe Meldungen'!$C$2:$J$492,MATCH(B272&amp;C272,'Eingabe Meldungen'!$C$2:$C$492&amp;'Eingabe Meldungen'!$D$2:$D$492,0),8),"")</f>
        <v/>
      </c>
      <c r="J272" s="257"/>
      <c r="K272" s="257"/>
      <c r="L272" s="254"/>
      <c r="M272" s="258"/>
      <c r="N272" s="24"/>
      <c r="O272" s="11"/>
      <c r="P272" s="10"/>
      <c r="Q272" s="11"/>
      <c r="R272" s="11"/>
      <c r="S272" s="11"/>
      <c r="T272" s="11"/>
      <c r="U272" s="11"/>
      <c r="Y272" s="15"/>
    </row>
    <row r="273" spans="2:25" ht="13.2" hidden="1" thickBot="1" x14ac:dyDescent="0.25">
      <c r="B273" s="164"/>
      <c r="C273" s="155"/>
      <c r="D273" s="165"/>
      <c r="E273" s="165"/>
      <c r="F273" s="119"/>
      <c r="G273" s="171"/>
      <c r="H273" s="155"/>
      <c r="I273" s="165"/>
      <c r="J273" s="155"/>
      <c r="K273" s="155"/>
      <c r="L273" s="156"/>
      <c r="M273" s="127"/>
      <c r="N273" s="24"/>
      <c r="O273" s="11"/>
      <c r="P273" s="10"/>
      <c r="Q273" s="11"/>
      <c r="R273" s="11"/>
      <c r="S273" s="11"/>
      <c r="T273" s="11"/>
      <c r="U273" s="11"/>
      <c r="Y273" s="15"/>
    </row>
    <row r="274" spans="2:25" ht="32.25" hidden="1" customHeight="1" x14ac:dyDescent="0.2">
      <c r="B274" s="114">
        <f>B264+1</f>
        <v>18</v>
      </c>
      <c r="C274" s="108" t="str">
        <f>VLOOKUP(B274,Ausschreibung!$B$5:$I$35,2,FALSE)</f>
        <v>Ergocup</v>
      </c>
      <c r="D274" s="109">
        <f>VLOOKUP(B274,Ausschreibung!$B$5:$I$35,3,FALSE)</f>
        <v>0.62083333333333324</v>
      </c>
      <c r="E274" s="108" t="str">
        <f>VLOOKUP(B274,Ausschreibung!$B$5:$I$35,4,FALSE)</f>
        <v>Juniorinnen A U19</v>
      </c>
      <c r="F274" s="108" t="str">
        <f>VLOOKUP(B274,Ausschreibung!$B$5:$I$35,5,FALSE)</f>
        <v>-</v>
      </c>
      <c r="G274" s="108" t="str">
        <f>VLOOKUP(B274,Ausschreibung!$B$5:$I$35,6,FALSE)</f>
        <v>17-18</v>
      </c>
      <c r="H274" s="108" t="str">
        <f>VLOOKUP(B274,Ausschreibung!$B$5:$I$35,8,FALSE)</f>
        <v>2000 m</v>
      </c>
      <c r="I274" s="108" t="s">
        <v>30</v>
      </c>
      <c r="J274" s="108"/>
      <c r="K274" s="40"/>
      <c r="L274" s="151"/>
      <c r="M274" s="112"/>
      <c r="N274" s="24"/>
      <c r="O274" s="11"/>
      <c r="P274" s="10"/>
      <c r="Q274" s="11"/>
      <c r="R274" s="11"/>
      <c r="S274" s="11"/>
      <c r="T274" s="11"/>
      <c r="U274" s="11"/>
      <c r="Y274" s="15"/>
    </row>
    <row r="275" spans="2:25" ht="15" hidden="1" customHeight="1" x14ac:dyDescent="0.2">
      <c r="B275" s="111" t="s">
        <v>1</v>
      </c>
      <c r="C275" s="104" t="s">
        <v>2</v>
      </c>
      <c r="D275" s="103" t="s">
        <v>49</v>
      </c>
      <c r="E275" s="146" t="s">
        <v>16</v>
      </c>
      <c r="F275" s="103" t="s">
        <v>18</v>
      </c>
      <c r="G275" s="105" t="s">
        <v>50</v>
      </c>
      <c r="H275" s="103" t="s">
        <v>51</v>
      </c>
      <c r="I275" s="106" t="s">
        <v>17</v>
      </c>
      <c r="J275" s="103"/>
      <c r="K275" s="40"/>
      <c r="L275" s="151"/>
      <c r="M275" s="112"/>
      <c r="N275" s="24"/>
      <c r="O275" s="11"/>
      <c r="P275" s="10"/>
      <c r="Q275" s="11"/>
      <c r="R275" s="11"/>
      <c r="S275" s="11"/>
      <c r="T275" s="11"/>
      <c r="U275" s="11"/>
      <c r="Y275" s="15"/>
    </row>
    <row r="276" spans="2:25" ht="14.25" hidden="1" customHeight="1" x14ac:dyDescent="0.2">
      <c r="B276" s="148" t="str">
        <f t="array" ref="B276">IF(ISERROR(INDEX('Eingabe Meldungen'!$C$2:$C$492,LARGE(('Eingabe Meldungen'!$A$2:$A$492=$B$274)*(ROW('Eingabe Meldungen'!$A$2:$A$492)-1),COUNTIF('Eingabe Meldungen'!$A$2:$A$492,$B$274)+1-ROW('Eingabe Meldungen'!A1)))),"",INDEX('Eingabe Meldungen'!$C$2:$C$492,LARGE(('Eingabe Meldungen'!$A$2:$A$492=$B$274)*(ROW('Eingabe Meldungen'!$A$2:$A$492)-1),COUNTIF('Eingabe Meldungen'!$A$2:$A$492,$B$274)+1-ROW('Eingabe Meldungen'!A1))))</f>
        <v>Löwer</v>
      </c>
      <c r="C276" s="40" t="str">
        <f t="array" ref="C276">IF(ISERROR(INDEX('Eingabe Meldungen'!$D$2:$D$492,LARGE(('Eingabe Meldungen'!$A$2:$A$492=$B$274)*(ROW('Eingabe Meldungen'!$A$2:$A$492)-1),COUNTIF('Eingabe Meldungen'!$A$2:$A$492,$B$274)+1-ROW('Eingabe Meldungen'!A1)))),"",INDEX('Eingabe Meldungen'!$D$2:$D$492,LARGE(('Eingabe Meldungen'!$A$2:$A$492=$B$274)*(ROW('Eingabe Meldungen'!$A$2:$A$492)-1),COUNTIF('Eingabe Meldungen'!$A$2:$A$492,$B$274)+1-ROW('Eingabe Meldungen'!A1))))</f>
        <v>Kim</v>
      </c>
      <c r="D276" s="107">
        <f t="array" ref="D276">IF(B276&lt;&gt;"",INDEX('Eingabe Meldungen'!$C$2:$H$492,MATCH(B276&amp;C276,'Eingabe Meldungen'!$C$2:$C$492&amp;'Eingabe Meldungen'!$D$2:$D$492,0),6),"")</f>
        <v>2002</v>
      </c>
      <c r="E276" s="107" t="str">
        <f t="array" ref="E276">IF(B276&lt;&gt;"",INDEX('Eingabe Meldungen'!$C$2:$H$492,MATCH(B276&amp;C276,'Eingabe Meldungen'!$C$2:$C$492&amp;'Eingabe Meldungen'!$D$2:$D$492,0),4),"")</f>
        <v>-</v>
      </c>
      <c r="F276" s="107">
        <v>1</v>
      </c>
      <c r="G276" s="149"/>
      <c r="H276" s="40" t="e">
        <f>RANK(G276,$G$276:$G$291,1)</f>
        <v>#N/A</v>
      </c>
      <c r="I276" s="107" t="str">
        <f t="array" ref="I276">IF(B276&lt;&gt;"",INDEX('Eingabe Meldungen'!$C$2:$J$492,MATCH(B276&amp;C276,'Eingabe Meldungen'!$C$2:$C$492&amp;'Eingabe Meldungen'!$D$2:$D$492,0),8),"")</f>
        <v>Marbacher Ruderverein</v>
      </c>
      <c r="J276" s="40"/>
      <c r="K276" s="40"/>
      <c r="L276" s="151"/>
      <c r="M276" s="112"/>
      <c r="N276" s="24"/>
      <c r="O276" s="11"/>
      <c r="P276" s="10"/>
      <c r="Q276" s="11"/>
      <c r="R276" s="11"/>
      <c r="S276" s="11"/>
      <c r="T276" s="11"/>
      <c r="U276" s="11"/>
      <c r="W276" s="6"/>
      <c r="X276" s="9"/>
      <c r="Y276" s="8"/>
    </row>
    <row r="277" spans="2:25" ht="13.2" hidden="1" thickBot="1" x14ac:dyDescent="0.25">
      <c r="B277" s="148" t="str">
        <f t="array" ref="B277">IF(ISERROR(INDEX('Eingabe Meldungen'!$C$2:$C$492,LARGE(('Eingabe Meldungen'!$A$2:$A$492=$B$274)*(ROW('Eingabe Meldungen'!$A$2:$A$492)-1),COUNTIF('Eingabe Meldungen'!$A$2:$A$492,$B$274)+1-ROW('Eingabe Meldungen'!A2)))),"",INDEX('Eingabe Meldungen'!$C$2:$C$492,LARGE(('Eingabe Meldungen'!$A$2:$A$492=$B$274)*(ROW('Eingabe Meldungen'!$A$2:$A$492)-1),COUNTIF('Eingabe Meldungen'!$A$2:$A$492,$B$274)+1-ROW('Eingabe Meldungen'!A2))))</f>
        <v>Groß</v>
      </c>
      <c r="C277" s="40" t="str">
        <f t="array" ref="C277">IF(ISERROR(INDEX('Eingabe Meldungen'!$D$2:$D$492,LARGE(('Eingabe Meldungen'!$A$2:$A$492=$B$274)*(ROW('Eingabe Meldungen'!$A$2:$A$492)-1),COUNTIF('Eingabe Meldungen'!$A$2:$A$492,$B$274)+1-ROW('Eingabe Meldungen'!A2)))),"",INDEX('Eingabe Meldungen'!$D$2:$D$492,LARGE(('Eingabe Meldungen'!$A$2:$A$492=$B$274)*(ROW('Eingabe Meldungen'!$A$2:$A$492)-1),COUNTIF('Eingabe Meldungen'!$A$2:$A$492,$B$274)+1-ROW('Eingabe Meldungen'!A2))))</f>
        <v>Amelie</v>
      </c>
      <c r="D277" s="107">
        <f t="array" ref="D277">IF(B277&lt;&gt;"",INDEX('Eingabe Meldungen'!$C$2:$H$492,MATCH(B277&amp;C277,'Eingabe Meldungen'!$C$2:$C$492&amp;'Eingabe Meldungen'!$D$2:$D$492,0),6),"")</f>
        <v>2003</v>
      </c>
      <c r="E277" s="107" t="str">
        <f t="array" ref="E277">IF(B277&lt;&gt;"",INDEX('Eingabe Meldungen'!$C$2:$H$492,MATCH(B277&amp;C277,'Eingabe Meldungen'!$C$2:$C$492&amp;'Eingabe Meldungen'!$D$2:$D$492,0),4),"")</f>
        <v>-</v>
      </c>
      <c r="F277" s="39">
        <v>2</v>
      </c>
      <c r="G277" s="149"/>
      <c r="H277" s="40" t="e">
        <f t="shared" ref="H277:H291" si="14">RANK(G277,$G$276:$G$291,1)</f>
        <v>#N/A</v>
      </c>
      <c r="I277" s="107" t="str">
        <f t="array" ref="I277">IF(B277&lt;&gt;"",INDEX('Eingabe Meldungen'!$C$2:$J$492,MATCH(B277&amp;C277,'Eingabe Meldungen'!$C$2:$C$492&amp;'Eingabe Meldungen'!$D$2:$D$492,0),8),"")</f>
        <v>Marbacher Ruderverein</v>
      </c>
      <c r="J277" s="40"/>
      <c r="K277" s="40"/>
      <c r="L277" s="151"/>
      <c r="M277" s="112"/>
      <c r="N277" s="24"/>
      <c r="O277" s="11"/>
      <c r="P277" s="10"/>
      <c r="Q277" s="11"/>
      <c r="R277" s="11"/>
      <c r="S277" s="11"/>
      <c r="T277" s="11"/>
      <c r="U277" s="11"/>
      <c r="W277" s="6"/>
      <c r="X277" s="9"/>
      <c r="Y277" s="8"/>
    </row>
    <row r="278" spans="2:25" ht="13.2" hidden="1" thickBot="1" x14ac:dyDescent="0.25">
      <c r="B278" s="148" t="str">
        <f t="array" ref="B278">IF(ISERROR(INDEX('Eingabe Meldungen'!$C$2:$C$492,LARGE(('Eingabe Meldungen'!$A$2:$A$492=$B$274)*(ROW('Eingabe Meldungen'!$A$2:$A$492)-1),COUNTIF('Eingabe Meldungen'!$A$2:$A$492,$B$274)+1-ROW('Eingabe Meldungen'!A3)))),"",INDEX('Eingabe Meldungen'!$C$2:$C$492,LARGE(('Eingabe Meldungen'!$A$2:$A$492=$B$274)*(ROW('Eingabe Meldungen'!$A$2:$A$492)-1),COUNTIF('Eingabe Meldungen'!$A$2:$A$492,$B$274)+1-ROW('Eingabe Meldungen'!A3))))</f>
        <v>Ross</v>
      </c>
      <c r="C278" s="40" t="str">
        <f t="array" ref="C278">IF(ISERROR(INDEX('Eingabe Meldungen'!$D$2:$D$492,LARGE(('Eingabe Meldungen'!$A$2:$A$492=$B$274)*(ROW('Eingabe Meldungen'!$A$2:$A$492)-1),COUNTIF('Eingabe Meldungen'!$A$2:$A$492,$B$274)+1-ROW('Eingabe Meldungen'!A3)))),"",INDEX('Eingabe Meldungen'!$D$2:$D$492,LARGE(('Eingabe Meldungen'!$A$2:$A$492=$B$274)*(ROW('Eingabe Meldungen'!$A$2:$A$492)-1),COUNTIF('Eingabe Meldungen'!$A$2:$A$492,$B$274)+1-ROW('Eingabe Meldungen'!A3))))</f>
        <v>Charlotte</v>
      </c>
      <c r="D278" s="107">
        <f t="array" ref="D278">IF(B278&lt;&gt;"",INDEX('Eingabe Meldungen'!$C$2:$H$492,MATCH(B278&amp;C278,'Eingabe Meldungen'!$C$2:$C$492&amp;'Eingabe Meldungen'!$D$2:$D$492,0),6),"")</f>
        <v>2003</v>
      </c>
      <c r="E278" s="107" t="str">
        <f t="array" ref="E278">IF(B278&lt;&gt;"",INDEX('Eingabe Meldungen'!$C$2:$H$492,MATCH(B278&amp;C278,'Eingabe Meldungen'!$C$2:$C$492&amp;'Eingabe Meldungen'!$D$2:$D$492,0),4),"")</f>
        <v>-</v>
      </c>
      <c r="F278" s="39">
        <v>3</v>
      </c>
      <c r="G278" s="150"/>
      <c r="H278" s="40" t="e">
        <f t="shared" si="14"/>
        <v>#N/A</v>
      </c>
      <c r="I278" s="107" t="str">
        <f t="array" ref="I278">IF(B278&lt;&gt;"",INDEX('Eingabe Meldungen'!$C$2:$J$492,MATCH(B278&amp;C278,'Eingabe Meldungen'!$C$2:$C$492&amp;'Eingabe Meldungen'!$D$2:$D$492,0),8),"")</f>
        <v>RC Nürtingen</v>
      </c>
      <c r="J278" s="40"/>
      <c r="K278" s="40"/>
      <c r="L278" s="151"/>
      <c r="M278" s="112"/>
      <c r="N278" s="24"/>
      <c r="O278" s="11"/>
      <c r="P278" s="10"/>
      <c r="Q278" s="11"/>
      <c r="R278" s="11"/>
      <c r="S278" s="11"/>
      <c r="T278" s="11"/>
      <c r="U278" s="11"/>
      <c r="Y278" s="15"/>
    </row>
    <row r="279" spans="2:25" ht="13.2" hidden="1" thickBot="1" x14ac:dyDescent="0.25">
      <c r="B279" s="148" t="str">
        <f t="array" ref="B279">IF(ISERROR(INDEX('Eingabe Meldungen'!$C$2:$C$492,LARGE(('Eingabe Meldungen'!$A$2:$A$492=$B$274)*(ROW('Eingabe Meldungen'!$A$2:$A$492)-1),COUNTIF('Eingabe Meldungen'!$A$2:$A$492,$B$274)+1-ROW('Eingabe Meldungen'!A4)))),"",INDEX('Eingabe Meldungen'!$C$2:$C$492,LARGE(('Eingabe Meldungen'!$A$2:$A$492=$B$274)*(ROW('Eingabe Meldungen'!$A$2:$A$492)-1),COUNTIF('Eingabe Meldungen'!$A$2:$A$492,$B$274)+1-ROW('Eingabe Meldungen'!A4))))</f>
        <v>Stephan</v>
      </c>
      <c r="C279" s="40" t="str">
        <f t="array" ref="C279">IF(ISERROR(INDEX('Eingabe Meldungen'!$D$2:$D$492,LARGE(('Eingabe Meldungen'!$A$2:$A$492=$B$274)*(ROW('Eingabe Meldungen'!$A$2:$A$492)-1),COUNTIF('Eingabe Meldungen'!$A$2:$A$492,$B$274)+1-ROW('Eingabe Meldungen'!A4)))),"",INDEX('Eingabe Meldungen'!$D$2:$D$492,LARGE(('Eingabe Meldungen'!$A$2:$A$492=$B$274)*(ROW('Eingabe Meldungen'!$A$2:$A$492)-1),COUNTIF('Eingabe Meldungen'!$A$2:$A$492,$B$274)+1-ROW('Eingabe Meldungen'!A4))))</f>
        <v>Julia</v>
      </c>
      <c r="D279" s="107">
        <f t="array" ref="D279">IF(B279&lt;&gt;"",INDEX('Eingabe Meldungen'!$C$2:$H$492,MATCH(B279&amp;C279,'Eingabe Meldungen'!$C$2:$C$492&amp;'Eingabe Meldungen'!$D$2:$D$492,0),6),"")</f>
        <v>2003</v>
      </c>
      <c r="E279" s="107" t="str">
        <f t="array" ref="E279">IF(B279&lt;&gt;"",INDEX('Eingabe Meldungen'!$C$2:$H$492,MATCH(B279&amp;C279,'Eingabe Meldungen'!$C$2:$C$492&amp;'Eingabe Meldungen'!$D$2:$D$492,0),4),"")</f>
        <v>-</v>
      </c>
      <c r="F279" s="39">
        <v>4</v>
      </c>
      <c r="G279" s="150"/>
      <c r="H279" s="40" t="e">
        <f t="shared" si="14"/>
        <v>#N/A</v>
      </c>
      <c r="I279" s="107" t="str">
        <f t="array" ref="I279">IF(B279&lt;&gt;"",INDEX('Eingabe Meldungen'!$C$2:$J$492,MATCH(B279&amp;C279,'Eingabe Meldungen'!$C$2:$C$492&amp;'Eingabe Meldungen'!$D$2:$D$492,0),8),"")</f>
        <v>Ruderverein Bad Wimpfen</v>
      </c>
      <c r="J279" s="40"/>
      <c r="K279" s="40"/>
      <c r="L279" s="151"/>
      <c r="M279" s="112"/>
      <c r="N279" s="24"/>
      <c r="O279" s="11"/>
      <c r="P279" s="10"/>
      <c r="Q279" s="11"/>
      <c r="R279" s="11"/>
      <c r="S279" s="11"/>
      <c r="T279" s="11"/>
      <c r="U279" s="11"/>
      <c r="Y279" s="15"/>
    </row>
    <row r="280" spans="2:25" ht="13.2" hidden="1" thickBot="1" x14ac:dyDescent="0.25">
      <c r="B280" s="148" t="str">
        <f t="array" ref="B280">IF(ISERROR(INDEX('Eingabe Meldungen'!$C$2:$C$492,LARGE(('Eingabe Meldungen'!$A$2:$A$492=$B$274)*(ROW('Eingabe Meldungen'!$A$2:$A$492)-1),COUNTIF('Eingabe Meldungen'!$A$2:$A$492,$B$274)+1-ROW('Eingabe Meldungen'!A5)))),"",INDEX('Eingabe Meldungen'!$C$2:$C$492,LARGE(('Eingabe Meldungen'!$A$2:$A$492=$B$274)*(ROW('Eingabe Meldungen'!$A$2:$A$492)-1),COUNTIF('Eingabe Meldungen'!$A$2:$A$492,$B$274)+1-ROW('Eingabe Meldungen'!A5))))</f>
        <v/>
      </c>
      <c r="C280" s="40" t="str">
        <f t="array" ref="C280">IF(ISERROR(INDEX('Eingabe Meldungen'!$D$2:$D$492,LARGE(('Eingabe Meldungen'!$A$2:$A$492=$B$274)*(ROW('Eingabe Meldungen'!$A$2:$A$492)-1),COUNTIF('Eingabe Meldungen'!$A$2:$A$492,$B$274)+1-ROW('Eingabe Meldungen'!A5)))),"",INDEX('Eingabe Meldungen'!$D$2:$D$492,LARGE(('Eingabe Meldungen'!$A$2:$A$492=$B$274)*(ROW('Eingabe Meldungen'!$A$2:$A$492)-1),COUNTIF('Eingabe Meldungen'!$A$2:$A$492,$B$274)+1-ROW('Eingabe Meldungen'!A5))))</f>
        <v/>
      </c>
      <c r="D280" s="107" t="str">
        <f t="array" ref="D280">IF(B280&lt;&gt;"",INDEX('Eingabe Meldungen'!$C$2:$H$492,MATCH(B280&amp;C280,'Eingabe Meldungen'!$C$2:$C$492&amp;'Eingabe Meldungen'!$D$2:$D$492,0),6),"")</f>
        <v/>
      </c>
      <c r="E280" s="107" t="str">
        <f t="array" ref="E280">IF(B280&lt;&gt;"",INDEX('Eingabe Meldungen'!$C$2:$H$492,MATCH(B280&amp;C280,'Eingabe Meldungen'!$C$2:$C$492&amp;'Eingabe Meldungen'!$D$2:$D$492,0),4),"")</f>
        <v/>
      </c>
      <c r="F280" s="39">
        <v>5</v>
      </c>
      <c r="G280" s="150"/>
      <c r="H280" s="40" t="e">
        <f t="shared" si="14"/>
        <v>#N/A</v>
      </c>
      <c r="I280" s="107" t="str">
        <f t="array" ref="I280">IF(B280&lt;&gt;"",INDEX('Eingabe Meldungen'!$C$2:$J$492,MATCH(B280&amp;C280,'Eingabe Meldungen'!$C$2:$C$492&amp;'Eingabe Meldungen'!$D$2:$D$492,0),8),"")</f>
        <v/>
      </c>
      <c r="J280" s="40"/>
      <c r="K280" s="40"/>
      <c r="L280" s="151"/>
      <c r="M280" s="112"/>
      <c r="N280" s="24"/>
      <c r="O280" s="11"/>
      <c r="P280" s="10"/>
      <c r="Q280" s="11"/>
      <c r="R280" s="11"/>
      <c r="S280" s="11"/>
      <c r="T280" s="11"/>
      <c r="U280" s="11"/>
      <c r="Y280" s="15"/>
    </row>
    <row r="281" spans="2:25" ht="13.2" hidden="1" thickBot="1" x14ac:dyDescent="0.25">
      <c r="B281" s="148" t="str">
        <f t="array" ref="B281">IF(ISERROR(INDEX('Eingabe Meldungen'!$C$2:$C$492,LARGE(('Eingabe Meldungen'!$A$2:$A$492=$B$274)*(ROW('Eingabe Meldungen'!$A$2:$A$492)-1),COUNTIF('Eingabe Meldungen'!$A$2:$A$492,$B$274)+1-ROW('Eingabe Meldungen'!A6)))),"",INDEX('Eingabe Meldungen'!$C$2:$C$492,LARGE(('Eingabe Meldungen'!$A$2:$A$492=$B$274)*(ROW('Eingabe Meldungen'!$A$2:$A$492)-1),COUNTIF('Eingabe Meldungen'!$A$2:$A$492,$B$274)+1-ROW('Eingabe Meldungen'!A6))))</f>
        <v/>
      </c>
      <c r="C281" s="40" t="str">
        <f t="array" ref="C281">IF(ISERROR(INDEX('Eingabe Meldungen'!$D$2:$D$492,LARGE(('Eingabe Meldungen'!$A$2:$A$492=$B$274)*(ROW('Eingabe Meldungen'!$A$2:$A$492)-1),COUNTIF('Eingabe Meldungen'!$A$2:$A$492,$B$274)+1-ROW('Eingabe Meldungen'!A6)))),"",INDEX('Eingabe Meldungen'!$D$2:$D$492,LARGE(('Eingabe Meldungen'!$A$2:$A$492=$B$274)*(ROW('Eingabe Meldungen'!$A$2:$A$492)-1),COUNTIF('Eingabe Meldungen'!$A$2:$A$492,$B$274)+1-ROW('Eingabe Meldungen'!A6))))</f>
        <v/>
      </c>
      <c r="D281" s="107" t="str">
        <f t="array" ref="D281">IF(B281&lt;&gt;"",INDEX('Eingabe Meldungen'!$C$2:$H$492,MATCH(B281&amp;C281,'Eingabe Meldungen'!$C$2:$C$492&amp;'Eingabe Meldungen'!$D$2:$D$492,0),6),"")</f>
        <v/>
      </c>
      <c r="E281" s="107" t="str">
        <f t="array" ref="E281">IF(B281&lt;&gt;"",INDEX('Eingabe Meldungen'!$C$2:$H$492,MATCH(B281&amp;C281,'Eingabe Meldungen'!$C$2:$C$492&amp;'Eingabe Meldungen'!$D$2:$D$492,0),4),"")</f>
        <v/>
      </c>
      <c r="F281" s="39">
        <v>6</v>
      </c>
      <c r="G281" s="150"/>
      <c r="H281" s="40" t="e">
        <f t="shared" si="14"/>
        <v>#N/A</v>
      </c>
      <c r="I281" s="107" t="str">
        <f t="array" ref="I281">IF(B281&lt;&gt;"",INDEX('Eingabe Meldungen'!$C$2:$J$492,MATCH(B281&amp;C281,'Eingabe Meldungen'!$C$2:$C$492&amp;'Eingabe Meldungen'!$D$2:$D$492,0),8),"")</f>
        <v/>
      </c>
      <c r="J281" s="40"/>
      <c r="K281" s="168"/>
      <c r="L281" s="169"/>
      <c r="M281" s="170"/>
      <c r="N281" s="24"/>
      <c r="O281" s="11"/>
      <c r="P281" s="10"/>
      <c r="Q281" s="11"/>
      <c r="R281" s="11"/>
      <c r="S281" s="11"/>
      <c r="T281" s="11"/>
      <c r="U281" s="11"/>
      <c r="Y281" s="15"/>
    </row>
    <row r="282" spans="2:25" ht="13.2" hidden="1" thickBot="1" x14ac:dyDescent="0.25">
      <c r="B282" s="148" t="str">
        <f t="array" ref="B282">IF(ISERROR(INDEX('Eingabe Meldungen'!$C$2:$C$492,LARGE(('Eingabe Meldungen'!$A$2:$A$492=$B$274)*(ROW('Eingabe Meldungen'!$A$2:$A$492)-1),COUNTIF('Eingabe Meldungen'!$A$2:$A$492,$B$274)+1-ROW('Eingabe Meldungen'!A8)))),"",INDEX('Eingabe Meldungen'!$C$2:$C$492,LARGE(('Eingabe Meldungen'!$A$2:$A$492=$B$274)*(ROW('Eingabe Meldungen'!$A$2:$A$492)-1),COUNTIF('Eingabe Meldungen'!$A$2:$A$492,$B$274)+1-ROW('Eingabe Meldungen'!A8))))</f>
        <v/>
      </c>
      <c r="C282" s="40" t="str">
        <f t="array" ref="C282">IF(ISERROR(INDEX('Eingabe Meldungen'!$D$2:$D$492,LARGE(('Eingabe Meldungen'!$A$2:$A$492=$B$274)*(ROW('Eingabe Meldungen'!$A$2:$A$492)-1),COUNTIF('Eingabe Meldungen'!$A$2:$A$492,$B$274)+1-ROW('Eingabe Meldungen'!A8)))),"",INDEX('Eingabe Meldungen'!$D$2:$D$492,LARGE(('Eingabe Meldungen'!$A$2:$A$492=$B$274)*(ROW('Eingabe Meldungen'!$A$2:$A$492)-1),COUNTIF('Eingabe Meldungen'!$A$2:$A$492,$B$274)+1-ROW('Eingabe Meldungen'!A8))))</f>
        <v/>
      </c>
      <c r="D282" s="107" t="str">
        <f t="array" ref="D282">IF(B282&lt;&gt;"",INDEX('Eingabe Meldungen'!$C$2:$H$492,MATCH(B282&amp;C282,'Eingabe Meldungen'!$C$2:$C$492&amp;'Eingabe Meldungen'!$D$2:$D$492,0),6),"")</f>
        <v/>
      </c>
      <c r="E282" s="107" t="str">
        <f t="array" ref="E282">IF(B282&lt;&gt;"",INDEX('Eingabe Meldungen'!$C$2:$H$492,MATCH(B282&amp;C282,'Eingabe Meldungen'!$C$2:$C$492&amp;'Eingabe Meldungen'!$D$2:$D$492,0),4),"")</f>
        <v/>
      </c>
      <c r="F282" s="39">
        <v>7</v>
      </c>
      <c r="G282" s="150"/>
      <c r="H282" s="40" t="e">
        <f t="shared" si="14"/>
        <v>#N/A</v>
      </c>
      <c r="I282" s="107" t="str">
        <f t="array" ref="I282">IF(B282&lt;&gt;"",INDEX('Eingabe Meldungen'!$C$2:$J$492,MATCH(B282&amp;C282,'Eingabe Meldungen'!$C$2:$C$492&amp;'Eingabe Meldungen'!$D$2:$D$492,0),8),"")</f>
        <v/>
      </c>
      <c r="J282" s="40"/>
      <c r="K282" s="168"/>
      <c r="L282" s="169"/>
      <c r="M282" s="170"/>
      <c r="N282" s="24"/>
      <c r="O282" s="11"/>
      <c r="P282" s="10"/>
      <c r="Q282" s="11"/>
      <c r="R282" s="11"/>
      <c r="S282" s="11"/>
      <c r="T282" s="11"/>
      <c r="U282" s="11"/>
      <c r="Y282" s="15"/>
    </row>
    <row r="283" spans="2:25" ht="13.2" hidden="1" thickBot="1" x14ac:dyDescent="0.25">
      <c r="B283" s="148" t="str">
        <f t="array" ref="B283">IF(ISERROR(INDEX('Eingabe Meldungen'!$C$2:$C$492,LARGE(('Eingabe Meldungen'!$A$2:$A$492=$B$274)*(ROW('Eingabe Meldungen'!$A$2:$A$492)-1),COUNTIF('Eingabe Meldungen'!$A$2:$A$492,$B$274)+1-ROW('Eingabe Meldungen'!A9)))),"",INDEX('Eingabe Meldungen'!$C$2:$C$492,LARGE(('Eingabe Meldungen'!$A$2:$A$492=$B$274)*(ROW('Eingabe Meldungen'!$A$2:$A$492)-1),COUNTIF('Eingabe Meldungen'!$A$2:$A$492,$B$274)+1-ROW('Eingabe Meldungen'!A9))))</f>
        <v/>
      </c>
      <c r="C283" s="40" t="str">
        <f t="array" ref="C283">IF(ISERROR(INDEX('Eingabe Meldungen'!$D$2:$D$492,LARGE(('Eingabe Meldungen'!$A$2:$A$492=$B$274)*(ROW('Eingabe Meldungen'!$A$2:$A$492)-1),COUNTIF('Eingabe Meldungen'!$A$2:$A$492,$B$274)+1-ROW('Eingabe Meldungen'!A9)))),"",INDEX('Eingabe Meldungen'!$D$2:$D$492,LARGE(('Eingabe Meldungen'!$A$2:$A$492=$B$274)*(ROW('Eingabe Meldungen'!$A$2:$A$492)-1),COUNTIF('Eingabe Meldungen'!$A$2:$A$492,$B$274)+1-ROW('Eingabe Meldungen'!A9))))</f>
        <v/>
      </c>
      <c r="D283" s="107" t="str">
        <f t="array" ref="D283">IF(B283&lt;&gt;"",INDEX('Eingabe Meldungen'!$C$2:$H$492,MATCH(B283&amp;C283,'Eingabe Meldungen'!$C$2:$C$492&amp;'Eingabe Meldungen'!$D$2:$D$492,0),6),"")</f>
        <v/>
      </c>
      <c r="E283" s="107" t="str">
        <f t="array" ref="E283">IF(B283&lt;&gt;"",INDEX('Eingabe Meldungen'!$C$2:$H$492,MATCH(B283&amp;C283,'Eingabe Meldungen'!$C$2:$C$492&amp;'Eingabe Meldungen'!$D$2:$D$492,0),4),"")</f>
        <v/>
      </c>
      <c r="F283" s="39">
        <v>8</v>
      </c>
      <c r="G283" s="150"/>
      <c r="H283" s="40" t="e">
        <f t="shared" si="14"/>
        <v>#N/A</v>
      </c>
      <c r="I283" s="107" t="str">
        <f t="array" ref="I283">IF(B283&lt;&gt;"",INDEX('Eingabe Meldungen'!$C$2:$J$492,MATCH(B283&amp;C283,'Eingabe Meldungen'!$C$2:$C$492&amp;'Eingabe Meldungen'!$D$2:$D$492,0),8),"")</f>
        <v/>
      </c>
      <c r="J283" s="40"/>
      <c r="K283" s="40"/>
      <c r="L283" s="151"/>
      <c r="M283" s="112"/>
      <c r="N283" s="24"/>
      <c r="O283" s="11"/>
      <c r="P283" s="10"/>
      <c r="Q283" s="11"/>
      <c r="R283" s="11"/>
      <c r="S283" s="11"/>
      <c r="T283" s="11"/>
      <c r="U283" s="11"/>
      <c r="Y283" s="15"/>
    </row>
    <row r="284" spans="2:25" ht="13.2" hidden="1" thickBot="1" x14ac:dyDescent="0.25">
      <c r="B284" s="148" t="str">
        <f t="array" ref="B284">IF(ISERROR(INDEX('Eingabe Meldungen'!$C$2:$C$492,LARGE(('Eingabe Meldungen'!$A$2:$A$492=$B$274)*(ROW('Eingabe Meldungen'!$A$2:$A$492)-1),COUNTIF('Eingabe Meldungen'!$A$2:$A$492,$B$274)+1-ROW('Eingabe Meldungen'!A10)))),"",INDEX('Eingabe Meldungen'!$C$2:$C$492,LARGE(('Eingabe Meldungen'!$A$2:$A$492=$B$274)*(ROW('Eingabe Meldungen'!$A$2:$A$492)-1),COUNTIF('Eingabe Meldungen'!$A$2:$A$492,$B$274)+1-ROW('Eingabe Meldungen'!A10))))</f>
        <v/>
      </c>
      <c r="C284" s="40" t="str">
        <f t="array" ref="C284">IF(ISERROR(INDEX('Eingabe Meldungen'!$D$2:$D$492,LARGE(('Eingabe Meldungen'!$A$2:$A$492=$B$274)*(ROW('Eingabe Meldungen'!$A$2:$A$492)-1),COUNTIF('Eingabe Meldungen'!$A$2:$A$492,$B$274)+1-ROW('Eingabe Meldungen'!A10)))),"",INDEX('Eingabe Meldungen'!$D$2:$D$492,LARGE(('Eingabe Meldungen'!$A$2:$A$492=$B$274)*(ROW('Eingabe Meldungen'!$A$2:$A$492)-1),COUNTIF('Eingabe Meldungen'!$A$2:$A$492,$B$274)+1-ROW('Eingabe Meldungen'!A10))))</f>
        <v/>
      </c>
      <c r="D284" s="107" t="str">
        <f t="array" ref="D284">IF(B284&lt;&gt;"",INDEX('Eingabe Meldungen'!$C$2:$H$492,MATCH(B284&amp;C284,'Eingabe Meldungen'!$C$2:$C$492&amp;'Eingabe Meldungen'!$D$2:$D$492,0),6),"")</f>
        <v/>
      </c>
      <c r="E284" s="107" t="str">
        <f t="array" ref="E284">IF(B284&lt;&gt;"",INDEX('Eingabe Meldungen'!$C$2:$H$492,MATCH(B284&amp;C284,'Eingabe Meldungen'!$C$2:$C$492&amp;'Eingabe Meldungen'!$D$2:$D$492,0),4),"")</f>
        <v/>
      </c>
      <c r="F284" s="39">
        <v>9</v>
      </c>
      <c r="G284" s="150"/>
      <c r="H284" s="40" t="e">
        <f t="shared" si="14"/>
        <v>#N/A</v>
      </c>
      <c r="I284" s="107" t="str">
        <f t="array" ref="I284">IF(B284&lt;&gt;"",INDEX('Eingabe Meldungen'!$C$2:$J$492,MATCH(B284&amp;C284,'Eingabe Meldungen'!$C$2:$C$492&amp;'Eingabe Meldungen'!$D$2:$D$492,0),8),"")</f>
        <v/>
      </c>
      <c r="J284" s="40"/>
      <c r="K284" s="40"/>
      <c r="L284" s="151"/>
      <c r="M284" s="112"/>
      <c r="N284" s="24"/>
      <c r="O284" s="11"/>
      <c r="P284" s="10"/>
      <c r="Q284" s="11"/>
      <c r="R284" s="11"/>
      <c r="S284" s="11"/>
      <c r="T284" s="11"/>
      <c r="U284" s="11"/>
      <c r="Y284" s="15"/>
    </row>
    <row r="285" spans="2:25" ht="13.2" hidden="1" thickBot="1" x14ac:dyDescent="0.25">
      <c r="B285" s="148" t="str">
        <f t="array" ref="B285">IF(ISERROR(INDEX('Eingabe Meldungen'!$C$2:$C$492,LARGE(('Eingabe Meldungen'!$A$2:$A$492=$B$274)*(ROW('Eingabe Meldungen'!$A$2:$A$492)-1),COUNTIF('Eingabe Meldungen'!$A$2:$A$492,$B$274)+1-ROW('Eingabe Meldungen'!A11)))),"",INDEX('Eingabe Meldungen'!$C$2:$C$492,LARGE(('Eingabe Meldungen'!$A$2:$A$492=$B$274)*(ROW('Eingabe Meldungen'!$A$2:$A$492)-1),COUNTIF('Eingabe Meldungen'!$A$2:$A$492,$B$274)+1-ROW('Eingabe Meldungen'!A11))))</f>
        <v/>
      </c>
      <c r="C285" s="40" t="str">
        <f t="array" ref="C285">IF(ISERROR(INDEX('Eingabe Meldungen'!$D$2:$D$492,LARGE(('Eingabe Meldungen'!$A$2:$A$492=$B$274)*(ROW('Eingabe Meldungen'!$A$2:$A$492)-1),COUNTIF('Eingabe Meldungen'!$A$2:$A$492,$B$274)+1-ROW('Eingabe Meldungen'!A11)))),"",INDEX('Eingabe Meldungen'!$D$2:$D$492,LARGE(('Eingabe Meldungen'!$A$2:$A$492=$B$274)*(ROW('Eingabe Meldungen'!$A$2:$A$492)-1),COUNTIF('Eingabe Meldungen'!$A$2:$A$492,$B$274)+1-ROW('Eingabe Meldungen'!A11))))</f>
        <v/>
      </c>
      <c r="D285" s="107" t="str">
        <f t="array" ref="D285">IF(B285&lt;&gt;"",INDEX('Eingabe Meldungen'!$C$2:$H$492,MATCH(B285&amp;C285,'Eingabe Meldungen'!$C$2:$C$492&amp;'Eingabe Meldungen'!$D$2:$D$492,0),6),"")</f>
        <v/>
      </c>
      <c r="E285" s="107" t="str">
        <f t="array" ref="E285">IF(B285&lt;&gt;"",INDEX('Eingabe Meldungen'!$C$2:$H$492,MATCH(B285&amp;C285,'Eingabe Meldungen'!$C$2:$C$492&amp;'Eingabe Meldungen'!$D$2:$D$492,0),4),"")</f>
        <v/>
      </c>
      <c r="F285" s="39">
        <v>10</v>
      </c>
      <c r="G285" s="150"/>
      <c r="H285" s="40" t="e">
        <f t="shared" si="14"/>
        <v>#N/A</v>
      </c>
      <c r="I285" s="107" t="str">
        <f t="array" ref="I285">IF(B285&lt;&gt;"",INDEX('Eingabe Meldungen'!$C$2:$J$492,MATCH(B285&amp;C285,'Eingabe Meldungen'!$C$2:$C$492&amp;'Eingabe Meldungen'!$D$2:$D$492,0),8),"")</f>
        <v/>
      </c>
      <c r="J285" s="40"/>
      <c r="K285" s="40"/>
      <c r="L285" s="151"/>
      <c r="M285" s="112"/>
      <c r="N285" s="24"/>
      <c r="O285" s="11"/>
      <c r="P285" s="10"/>
      <c r="Q285" s="11"/>
      <c r="R285" s="11"/>
      <c r="S285" s="11"/>
      <c r="T285" s="11"/>
      <c r="U285" s="11"/>
      <c r="Y285" s="15"/>
    </row>
    <row r="286" spans="2:25" ht="13.2" hidden="1" thickBot="1" x14ac:dyDescent="0.25">
      <c r="B286" s="148" t="str">
        <f t="array" ref="B286">IF(ISERROR(INDEX('Eingabe Meldungen'!$C$2:$C$492,LARGE(('Eingabe Meldungen'!$A$2:$A$492=$B$274)*(ROW('Eingabe Meldungen'!$A$2:$A$492)-1),COUNTIF('Eingabe Meldungen'!$A$2:$A$492,$B$274)+1-ROW('Eingabe Meldungen'!A12)))),"",INDEX('Eingabe Meldungen'!$C$2:$C$492,LARGE(('Eingabe Meldungen'!$A$2:$A$492=$B$274)*(ROW('Eingabe Meldungen'!$A$2:$A$492)-1),COUNTIF('Eingabe Meldungen'!$A$2:$A$492,$B$274)+1-ROW('Eingabe Meldungen'!A12))))</f>
        <v/>
      </c>
      <c r="C286" s="40" t="str">
        <f t="array" ref="C286">IF(ISERROR(INDEX('Eingabe Meldungen'!$D$2:$D$492,LARGE(('Eingabe Meldungen'!$A$2:$A$492=$B$274)*(ROW('Eingabe Meldungen'!$A$2:$A$492)-1),COUNTIF('Eingabe Meldungen'!$A$2:$A$492,$B$274)+1-ROW('Eingabe Meldungen'!A12)))),"",INDEX('Eingabe Meldungen'!$D$2:$D$492,LARGE(('Eingabe Meldungen'!$A$2:$A$492=$B$274)*(ROW('Eingabe Meldungen'!$A$2:$A$492)-1),COUNTIF('Eingabe Meldungen'!$A$2:$A$492,$B$274)+1-ROW('Eingabe Meldungen'!A12))))</f>
        <v/>
      </c>
      <c r="D286" s="107" t="str">
        <f t="array" ref="D286">IF(B286&lt;&gt;"",INDEX('Eingabe Meldungen'!$C$2:$H$492,MATCH(B286&amp;C286,'Eingabe Meldungen'!$C$2:$C$492&amp;'Eingabe Meldungen'!$D$2:$D$492,0),6),"")</f>
        <v/>
      </c>
      <c r="E286" s="107" t="str">
        <f t="array" ref="E286">IF(B286&lt;&gt;"",INDEX('Eingabe Meldungen'!$C$2:$H$492,MATCH(B286&amp;C286,'Eingabe Meldungen'!$C$2:$C$492&amp;'Eingabe Meldungen'!$D$2:$D$492,0),4),"")</f>
        <v/>
      </c>
      <c r="F286" s="39">
        <v>11</v>
      </c>
      <c r="G286" s="150"/>
      <c r="H286" s="40" t="e">
        <f t="shared" si="14"/>
        <v>#N/A</v>
      </c>
      <c r="I286" s="107" t="str">
        <f t="array" ref="I286">IF(B286&lt;&gt;"",INDEX('Eingabe Meldungen'!$C$2:$J$492,MATCH(B286&amp;C286,'Eingabe Meldungen'!$C$2:$C$492&amp;'Eingabe Meldungen'!$D$2:$D$492,0),8),"")</f>
        <v/>
      </c>
      <c r="J286" s="40"/>
      <c r="K286" s="40"/>
      <c r="L286" s="151"/>
      <c r="M286" s="112"/>
      <c r="N286" s="24"/>
      <c r="O286" s="11"/>
      <c r="P286" s="10"/>
      <c r="Q286" s="11"/>
      <c r="R286" s="11"/>
      <c r="S286" s="11"/>
      <c r="T286" s="11"/>
      <c r="U286" s="11"/>
      <c r="Y286" s="15"/>
    </row>
    <row r="287" spans="2:25" ht="13.2" hidden="1" thickBot="1" x14ac:dyDescent="0.25">
      <c r="B287" s="148" t="str">
        <f t="array" ref="B287">IF(ISERROR(INDEX('Eingabe Meldungen'!$C$2:$C$492,LARGE(('Eingabe Meldungen'!$A$2:$A$492=$B$274)*(ROW('Eingabe Meldungen'!$A$2:$A$492)-1),COUNTIF('Eingabe Meldungen'!$A$2:$A$492,$B$274)+1-ROW('Eingabe Meldungen'!A13)))),"",INDEX('Eingabe Meldungen'!$C$2:$C$492,LARGE(('Eingabe Meldungen'!$A$2:$A$492=$B$274)*(ROW('Eingabe Meldungen'!$A$2:$A$492)-1),COUNTIF('Eingabe Meldungen'!$A$2:$A$492,$B$274)+1-ROW('Eingabe Meldungen'!A13))))</f>
        <v/>
      </c>
      <c r="C287" s="40" t="str">
        <f t="array" ref="C287">IF(ISERROR(INDEX('Eingabe Meldungen'!$D$2:$D$492,LARGE(('Eingabe Meldungen'!$A$2:$A$492=$B$274)*(ROW('Eingabe Meldungen'!$A$2:$A$492)-1),COUNTIF('Eingabe Meldungen'!$A$2:$A$492,$B$274)+1-ROW('Eingabe Meldungen'!A13)))),"",INDEX('Eingabe Meldungen'!$D$2:$D$492,LARGE(('Eingabe Meldungen'!$A$2:$A$492=$B$274)*(ROW('Eingabe Meldungen'!$A$2:$A$492)-1),COUNTIF('Eingabe Meldungen'!$A$2:$A$492,$B$274)+1-ROW('Eingabe Meldungen'!A13))))</f>
        <v/>
      </c>
      <c r="D287" s="107" t="str">
        <f t="array" ref="D287">IF(B287&lt;&gt;"",INDEX('Eingabe Meldungen'!$C$2:$H$492,MATCH(B287&amp;C287,'Eingabe Meldungen'!$C$2:$C$492&amp;'Eingabe Meldungen'!$D$2:$D$492,0),6),"")</f>
        <v/>
      </c>
      <c r="E287" s="107" t="str">
        <f t="array" ref="E287">IF(B287&lt;&gt;"",INDEX('Eingabe Meldungen'!$C$2:$H$492,MATCH(B287&amp;C287,'Eingabe Meldungen'!$C$2:$C$492&amp;'Eingabe Meldungen'!$D$2:$D$492,0),4),"")</f>
        <v/>
      </c>
      <c r="F287" s="39">
        <v>12</v>
      </c>
      <c r="G287" s="150"/>
      <c r="H287" s="40" t="e">
        <f t="shared" si="14"/>
        <v>#N/A</v>
      </c>
      <c r="I287" s="107" t="str">
        <f t="array" ref="I287">IF(B287&lt;&gt;"",INDEX('Eingabe Meldungen'!$C$2:$J$492,MATCH(B287&amp;C287,'Eingabe Meldungen'!$C$2:$C$492&amp;'Eingabe Meldungen'!$D$2:$D$492,0),8),"")</f>
        <v/>
      </c>
      <c r="J287" s="40"/>
      <c r="K287" s="40"/>
      <c r="L287" s="151"/>
      <c r="M287" s="112"/>
      <c r="N287" s="24"/>
      <c r="O287" s="11"/>
      <c r="P287" s="10"/>
      <c r="Q287" s="11"/>
      <c r="R287" s="11"/>
      <c r="S287" s="11"/>
      <c r="T287" s="11"/>
      <c r="U287" s="11"/>
      <c r="Y287" s="15"/>
    </row>
    <row r="288" spans="2:25" ht="13.2" hidden="1" thickBot="1" x14ac:dyDescent="0.25">
      <c r="B288" s="148" t="str">
        <f t="array" ref="B288">IF(ISERROR(INDEX('Eingabe Meldungen'!$C$2:$C$492,LARGE(('Eingabe Meldungen'!$A$2:$A$492=$B$274)*(ROW('Eingabe Meldungen'!$A$2:$A$492)-1),COUNTIF('Eingabe Meldungen'!$A$2:$A$492,$B$274)+1-ROW('Eingabe Meldungen'!A14)))),"",INDEX('Eingabe Meldungen'!$C$2:$C$492,LARGE(('Eingabe Meldungen'!$A$2:$A$492=$B$274)*(ROW('Eingabe Meldungen'!$A$2:$A$492)-1),COUNTIF('Eingabe Meldungen'!$A$2:$A$492,$B$274)+1-ROW('Eingabe Meldungen'!A14))))</f>
        <v/>
      </c>
      <c r="C288" s="40" t="str">
        <f t="array" ref="C288">IF(ISERROR(INDEX('Eingabe Meldungen'!$D$2:$D$492,LARGE(('Eingabe Meldungen'!$A$2:$A$492=$B$274)*(ROW('Eingabe Meldungen'!$A$2:$A$492)-1),COUNTIF('Eingabe Meldungen'!$A$2:$A$492,$B$274)+1-ROW('Eingabe Meldungen'!A14)))),"",INDEX('Eingabe Meldungen'!$D$2:$D$492,LARGE(('Eingabe Meldungen'!$A$2:$A$492=$B$274)*(ROW('Eingabe Meldungen'!$A$2:$A$492)-1),COUNTIF('Eingabe Meldungen'!$A$2:$A$492,$B$274)+1-ROW('Eingabe Meldungen'!A14))))</f>
        <v/>
      </c>
      <c r="D288" s="107" t="str">
        <f t="array" ref="D288">IF(B288&lt;&gt;"",INDEX('Eingabe Meldungen'!$C$2:$H$492,MATCH(B288&amp;C288,'Eingabe Meldungen'!$C$2:$C$492&amp;'Eingabe Meldungen'!$D$2:$D$492,0),6),"")</f>
        <v/>
      </c>
      <c r="E288" s="107" t="str">
        <f t="array" ref="E288">IF(B288&lt;&gt;"",INDEX('Eingabe Meldungen'!$C$2:$H$492,MATCH(B288&amp;C288,'Eingabe Meldungen'!$C$2:$C$492&amp;'Eingabe Meldungen'!$D$2:$D$492,0),4),"")</f>
        <v/>
      </c>
      <c r="F288" s="39">
        <v>13</v>
      </c>
      <c r="G288" s="150"/>
      <c r="H288" s="40" t="e">
        <f t="shared" si="14"/>
        <v>#N/A</v>
      </c>
      <c r="I288" s="107" t="str">
        <f t="array" ref="I288">IF(B288&lt;&gt;"",INDEX('Eingabe Meldungen'!$C$2:$J$492,MATCH(B288&amp;C288,'Eingabe Meldungen'!$C$2:$C$492&amp;'Eingabe Meldungen'!$D$2:$D$492,0),8),"")</f>
        <v/>
      </c>
      <c r="J288" s="40"/>
      <c r="K288" s="40"/>
      <c r="L288" s="151"/>
      <c r="M288" s="112"/>
      <c r="N288" s="24"/>
      <c r="O288" s="11"/>
      <c r="P288" s="10"/>
      <c r="Q288" s="11"/>
      <c r="R288" s="11"/>
      <c r="S288" s="11"/>
      <c r="T288" s="11"/>
      <c r="U288" s="11"/>
      <c r="Y288" s="15"/>
    </row>
    <row r="289" spans="2:25" ht="15" hidden="1" customHeight="1" x14ac:dyDescent="0.2">
      <c r="B289" s="148" t="str">
        <f t="array" ref="B289">IF(ISERROR(INDEX('Eingabe Meldungen'!$C$2:$C$492,LARGE(('Eingabe Meldungen'!$A$2:$A$492=$B$274)*(ROW('Eingabe Meldungen'!$A$2:$A$492)-1),COUNTIF('Eingabe Meldungen'!$A$2:$A$492,$B$274)+1-ROW('Eingabe Meldungen'!A15)))),"",INDEX('Eingabe Meldungen'!$C$2:$C$492,LARGE(('Eingabe Meldungen'!$A$2:$A$492=$B$274)*(ROW('Eingabe Meldungen'!$A$2:$A$492)-1),COUNTIF('Eingabe Meldungen'!$A$2:$A$492,$B$274)+1-ROW('Eingabe Meldungen'!A15))))</f>
        <v/>
      </c>
      <c r="C289" s="40" t="str">
        <f t="array" ref="C289">IF(ISERROR(INDEX('Eingabe Meldungen'!$D$2:$D$492,LARGE(('Eingabe Meldungen'!$A$2:$A$492=$B$274)*(ROW('Eingabe Meldungen'!$A$2:$A$492)-1),COUNTIF('Eingabe Meldungen'!$A$2:$A$492,$B$274)+1-ROW('Eingabe Meldungen'!A15)))),"",INDEX('Eingabe Meldungen'!$D$2:$D$492,LARGE(('Eingabe Meldungen'!$A$2:$A$492=$B$274)*(ROW('Eingabe Meldungen'!$A$2:$A$492)-1),COUNTIF('Eingabe Meldungen'!$A$2:$A$492,$B$274)+1-ROW('Eingabe Meldungen'!A15))))</f>
        <v/>
      </c>
      <c r="D289" s="107" t="str">
        <f t="array" ref="D289">IF(B289&lt;&gt;"",INDEX('Eingabe Meldungen'!$C$2:$H$492,MATCH(B289&amp;C289,'Eingabe Meldungen'!$C$2:$C$492&amp;'Eingabe Meldungen'!$D$2:$D$492,0),6),"")</f>
        <v/>
      </c>
      <c r="E289" s="107" t="str">
        <f t="array" ref="E289">IF(B289&lt;&gt;"",INDEX('Eingabe Meldungen'!$C$2:$H$492,MATCH(B289&amp;C289,'Eingabe Meldungen'!$C$2:$C$492&amp;'Eingabe Meldungen'!$D$2:$D$492,0),4),"")</f>
        <v/>
      </c>
      <c r="F289" s="39">
        <v>14</v>
      </c>
      <c r="G289" s="150"/>
      <c r="H289" s="40" t="e">
        <f t="shared" si="14"/>
        <v>#N/A</v>
      </c>
      <c r="I289" s="107" t="str">
        <f t="array" ref="I289">IF(B289&lt;&gt;"",INDEX('Eingabe Meldungen'!$C$2:$J$492,MATCH(B289&amp;C289,'Eingabe Meldungen'!$C$2:$C$492&amp;'Eingabe Meldungen'!$D$2:$D$492,0),8),"")</f>
        <v/>
      </c>
      <c r="J289" s="40"/>
      <c r="K289" s="40"/>
      <c r="L289" s="151"/>
      <c r="M289" s="112"/>
      <c r="N289" s="24"/>
      <c r="O289" s="11"/>
      <c r="P289" s="10"/>
      <c r="Q289" s="11"/>
      <c r="R289" s="11"/>
      <c r="S289" s="11"/>
      <c r="T289" s="11"/>
      <c r="U289" s="11"/>
      <c r="W289" s="6"/>
      <c r="X289" s="9"/>
      <c r="Y289" s="8"/>
    </row>
    <row r="290" spans="2:25" ht="13.2" hidden="1" thickBot="1" x14ac:dyDescent="0.25">
      <c r="B290" s="148" t="str">
        <f t="array" ref="B290">IF(ISERROR(INDEX('Eingabe Meldungen'!$C$2:$C$492,LARGE(('Eingabe Meldungen'!$A$2:$A$492=$B$274)*(ROW('Eingabe Meldungen'!$A$2:$A$492)-1),COUNTIF('Eingabe Meldungen'!$A$2:$A$492,$B$274)+1-ROW('Eingabe Meldungen'!A16)))),"",INDEX('Eingabe Meldungen'!$C$2:$C$492,LARGE(('Eingabe Meldungen'!$A$2:$A$492=$B$274)*(ROW('Eingabe Meldungen'!$A$2:$A$492)-1),COUNTIF('Eingabe Meldungen'!$A$2:$A$492,$B$274)+1-ROW('Eingabe Meldungen'!A16))))</f>
        <v/>
      </c>
      <c r="C290" s="40" t="str">
        <f t="array" ref="C290">IF(ISERROR(INDEX('Eingabe Meldungen'!$D$2:$D$492,LARGE(('Eingabe Meldungen'!$A$2:$A$492=$B$274)*(ROW('Eingabe Meldungen'!$A$2:$A$492)-1),COUNTIF('Eingabe Meldungen'!$A$2:$A$492,$B$274)+1-ROW('Eingabe Meldungen'!A16)))),"",INDEX('Eingabe Meldungen'!$D$2:$D$492,LARGE(('Eingabe Meldungen'!$A$2:$A$492=$B$274)*(ROW('Eingabe Meldungen'!$A$2:$A$492)-1),COUNTIF('Eingabe Meldungen'!$A$2:$A$492,$B$274)+1-ROW('Eingabe Meldungen'!A16))))</f>
        <v/>
      </c>
      <c r="D290" s="107" t="str">
        <f t="array" ref="D290">IF(B290&lt;&gt;"",INDEX('Eingabe Meldungen'!$C$2:$H$492,MATCH(B290&amp;C290,'Eingabe Meldungen'!$C$2:$C$492&amp;'Eingabe Meldungen'!$D$2:$D$492,0),6),"")</f>
        <v/>
      </c>
      <c r="E290" s="107" t="str">
        <f t="array" ref="E290">IF(B290&lt;&gt;"",INDEX('Eingabe Meldungen'!$C$2:$H$492,MATCH(B290&amp;C290,'Eingabe Meldungen'!$C$2:$C$492&amp;'Eingabe Meldungen'!$D$2:$D$492,0),4),"")</f>
        <v/>
      </c>
      <c r="F290" s="39">
        <v>15</v>
      </c>
      <c r="G290" s="150"/>
      <c r="H290" s="40" t="e">
        <f t="shared" si="14"/>
        <v>#N/A</v>
      </c>
      <c r="I290" s="107" t="str">
        <f t="array" ref="I290">IF(B290&lt;&gt;"",INDEX('Eingabe Meldungen'!$C$2:$J$492,MATCH(B290&amp;C290,'Eingabe Meldungen'!$C$2:$C$492&amp;'Eingabe Meldungen'!$D$2:$D$492,0),8),"")</f>
        <v/>
      </c>
      <c r="J290" s="40"/>
      <c r="K290" s="40"/>
      <c r="L290" s="151"/>
      <c r="M290" s="112"/>
      <c r="N290" s="24"/>
      <c r="O290" s="11"/>
      <c r="P290" s="10"/>
      <c r="Q290" s="11"/>
      <c r="R290" s="11"/>
      <c r="S290" s="11"/>
      <c r="T290" s="11"/>
      <c r="U290" s="11"/>
      <c r="W290" s="6"/>
      <c r="X290" s="9"/>
      <c r="Y290" s="8"/>
    </row>
    <row r="291" spans="2:25" ht="13.2" hidden="1" thickBot="1" x14ac:dyDescent="0.25">
      <c r="B291" s="159" t="str">
        <f t="array" ref="B291">IF(ISERROR(INDEX('Eingabe Meldungen'!$C$2:$C$492,LARGE(('Eingabe Meldungen'!$A$2:$A$492=$B$274)*(ROW('Eingabe Meldungen'!$A$2:$A$492)-1),COUNTIF('Eingabe Meldungen'!$A$2:$A$492,$B$274)+1-ROW('Eingabe Meldungen'!A17)))),"",INDEX('Eingabe Meldungen'!$C$2:$C$492,LARGE(('Eingabe Meldungen'!$A$2:$A$492=$B$274)*(ROW('Eingabe Meldungen'!$A$2:$A$492)-1),COUNTIF('Eingabe Meldungen'!$A$2:$A$492,$B$274)+1-ROW('Eingabe Meldungen'!A17))))</f>
        <v/>
      </c>
      <c r="C291" s="160" t="str">
        <f t="array" ref="C291">IF(ISERROR(INDEX('Eingabe Meldungen'!$D$2:$D$492,LARGE(('Eingabe Meldungen'!$A$2:$A$492=$B$274)*(ROW('Eingabe Meldungen'!$A$2:$A$492)-1),COUNTIF('Eingabe Meldungen'!$A$2:$A$492,$B$274)+1-ROW('Eingabe Meldungen'!A17)))),"",INDEX('Eingabe Meldungen'!$D$2:$D$492,LARGE(('Eingabe Meldungen'!$A$2:$A$492=$B$274)*(ROW('Eingabe Meldungen'!$A$2:$A$492)-1),COUNTIF('Eingabe Meldungen'!$A$2:$A$492,$B$274)+1-ROW('Eingabe Meldungen'!A17))))</f>
        <v/>
      </c>
      <c r="D291" s="161" t="str">
        <f t="array" ref="D291">IF(B291&lt;&gt;"",INDEX('Eingabe Meldungen'!$C$2:$H$492,MATCH(B291&amp;C291,'Eingabe Meldungen'!$C$2:$C$492&amp;'Eingabe Meldungen'!$D$2:$D$492,0),6),"")</f>
        <v/>
      </c>
      <c r="E291" s="161" t="str">
        <f t="array" ref="E291">IF(B291&lt;&gt;"",INDEX('Eingabe Meldungen'!$C$2:$H$492,MATCH(B291&amp;C291,'Eingabe Meldungen'!$C$2:$C$492&amp;'Eingabe Meldungen'!$D$2:$D$492,0),4),"")</f>
        <v/>
      </c>
      <c r="F291" s="118">
        <v>16</v>
      </c>
      <c r="G291" s="175"/>
      <c r="H291" s="160" t="e">
        <f t="shared" si="14"/>
        <v>#N/A</v>
      </c>
      <c r="I291" s="161" t="str">
        <f t="array" ref="I291">IF(B291&lt;&gt;"",INDEX('Eingabe Meldungen'!$C$2:$J$492,MATCH(B291&amp;C291,'Eingabe Meldungen'!$C$2:$C$492&amp;'Eingabe Meldungen'!$D$2:$D$492,0),8),"")</f>
        <v/>
      </c>
      <c r="J291" s="160"/>
      <c r="K291" s="160"/>
      <c r="L291" s="162"/>
      <c r="M291" s="128"/>
      <c r="N291" s="24"/>
      <c r="O291" s="11"/>
      <c r="P291" s="10"/>
      <c r="Q291" s="11"/>
      <c r="R291" s="11"/>
      <c r="S291" s="11"/>
      <c r="T291" s="11"/>
      <c r="U291" s="11"/>
      <c r="Y291" s="15"/>
    </row>
    <row r="292" spans="2:25" ht="25.5" customHeight="1" x14ac:dyDescent="0.2">
      <c r="B292" s="120">
        <f>B274+1</f>
        <v>19</v>
      </c>
      <c r="C292" s="121" t="str">
        <f>VLOOKUP(B292,Ausschreibung!$B$5:$I$35,2,FALSE)</f>
        <v>Ergocup</v>
      </c>
      <c r="D292" s="122">
        <f>VLOOKUP(B292,Ausschreibung!$B$5:$I$35,3,FALSE)</f>
        <v>0.63124999999999987</v>
      </c>
      <c r="E292" s="121" t="str">
        <f>VLOOKUP(B292,Ausschreibung!$B$5:$I$35,4,FALSE)</f>
        <v>Junioren A U19</v>
      </c>
      <c r="F292" s="121">
        <v>67.5</v>
      </c>
      <c r="G292" s="121" t="str">
        <f>VLOOKUP(B292,Ausschreibung!$B$5:$I$35,6,FALSE)</f>
        <v>17-18</v>
      </c>
      <c r="H292" s="121" t="str">
        <f>VLOOKUP(B292,Ausschreibung!$B$5:$I$35,8,FALSE)</f>
        <v>2000 m</v>
      </c>
      <c r="I292" s="121"/>
      <c r="J292" s="129">
        <f>D292-(2*$N$60)</f>
        <v>0.5479166666666665</v>
      </c>
      <c r="K292" s="129"/>
      <c r="L292" s="129">
        <f>D292-$N$60</f>
        <v>0.58958333333333324</v>
      </c>
      <c r="M292" s="123"/>
      <c r="N292" s="24"/>
      <c r="O292" s="11"/>
      <c r="P292" s="10"/>
      <c r="Q292" s="11"/>
      <c r="R292" s="11"/>
      <c r="S292" s="11"/>
      <c r="T292" s="11"/>
      <c r="U292" s="11"/>
      <c r="Y292" s="15"/>
    </row>
    <row r="293" spans="2:25" x14ac:dyDescent="0.2">
      <c r="B293" s="176" t="s">
        <v>1</v>
      </c>
      <c r="C293" s="177" t="s">
        <v>2</v>
      </c>
      <c r="D293" s="178" t="s">
        <v>4</v>
      </c>
      <c r="E293" s="179" t="s">
        <v>16</v>
      </c>
      <c r="F293" s="178" t="s">
        <v>18</v>
      </c>
      <c r="G293" s="178" t="s">
        <v>50</v>
      </c>
      <c r="H293" s="178" t="s">
        <v>51</v>
      </c>
      <c r="I293" s="180" t="s">
        <v>17</v>
      </c>
      <c r="J293" s="178" t="s">
        <v>85</v>
      </c>
      <c r="K293" s="179"/>
      <c r="L293" s="179" t="s">
        <v>50</v>
      </c>
      <c r="M293" s="185" t="s">
        <v>87</v>
      </c>
      <c r="N293" s="24"/>
      <c r="O293" s="11"/>
      <c r="P293" s="10"/>
      <c r="Q293" s="11"/>
      <c r="R293" s="11"/>
      <c r="S293" s="11"/>
      <c r="T293" s="11"/>
      <c r="U293" s="11"/>
      <c r="Y293" s="15"/>
    </row>
    <row r="294" spans="2:25" x14ac:dyDescent="0.2">
      <c r="B294" s="148" t="str">
        <f t="array" ref="B294">IF(ISERROR(INDEX('Eingabe Meldungen'!$C$2:$C$492,LARGE(('Eingabe Meldungen'!$A$2:$A$492=$B$292)*(ROW('Eingabe Meldungen'!$A$2:$A$492)-1),COUNTIF('Eingabe Meldungen'!$A$2:$A$492,$B$292)+1-ROW('Eingabe Meldungen'!A1)))),"",INDEX('Eingabe Meldungen'!$C$2:$C$492,LARGE(('Eingabe Meldungen'!$A$2:$A$492=$B$292)*(ROW('Eingabe Meldungen'!$A$2:$A$492)-1),COUNTIF('Eingabe Meldungen'!$A$2:$A$492,$B$292)+1-ROW('Eingabe Meldungen'!A1))))</f>
        <v>Walz</v>
      </c>
      <c r="C294" s="40" t="str">
        <f t="array" ref="C294">IF(ISERROR(INDEX('Eingabe Meldungen'!$D$2:$D$492,LARGE(('Eingabe Meldungen'!$A$2:$A$492=$B$292)*(ROW('Eingabe Meldungen'!$A$2:$A$492)-1),COUNTIF('Eingabe Meldungen'!$A$2:$A$492,$B$292)+1-ROW('Eingabe Meldungen'!A1)))),"",INDEX('Eingabe Meldungen'!$D$2:$D$492,LARGE(('Eingabe Meldungen'!$A$2:$A$492=$B$292)*(ROW('Eingabe Meldungen'!$A$2:$A$492)-1),COUNTIF('Eingabe Meldungen'!$A$2:$A$492,$B$292)+1-ROW('Eingabe Meldungen'!A1))))</f>
        <v>Jona</v>
      </c>
      <c r="D294" s="107">
        <f t="array" ref="D294">IF(B294&lt;&gt;"",INDEX('Eingabe Meldungen'!$C$2:$H$492,MATCH(B294&amp;C294,'Eingabe Meldungen'!$C$2:$C$492&amp;'Eingabe Meldungen'!$D$2:$D$492,0),6),"")</f>
        <v>2003</v>
      </c>
      <c r="E294" s="107" t="str">
        <f t="array" ref="E294">IF(B294&lt;&gt;"",INDEX('Eingabe Meldungen'!$C$2:$H$492,MATCH(B294&amp;C294,'Eingabe Meldungen'!$C$2:$C$492&amp;'Eingabe Meldungen'!$D$2:$D$492,0),4),"")</f>
        <v>LGW. bis 70 kg</v>
      </c>
      <c r="F294" s="107"/>
      <c r="G294" s="149"/>
      <c r="H294" s="40" t="e">
        <f>RANK(G294,$G$294:$G$309,1)</f>
        <v>#N/A</v>
      </c>
      <c r="I294" s="107" t="str">
        <f t="array" ref="I294">IF(B294&lt;&gt;"",INDEX('Eingabe Meldungen'!$C$2:$J$492,MATCH(B294&amp;C294,'Eingabe Meldungen'!$C$2:$C$492&amp;'Eingabe Meldungen'!$D$2:$D$492,0),8),"")</f>
        <v>RC Nürtingen</v>
      </c>
      <c r="J294" s="257"/>
      <c r="K294" s="257"/>
      <c r="L294" s="254"/>
      <c r="M294" s="258"/>
      <c r="T294" s="11"/>
      <c r="U294" s="11"/>
      <c r="Y294" s="15"/>
    </row>
    <row r="295" spans="2:25" x14ac:dyDescent="0.2">
      <c r="B295" s="148" t="str">
        <f t="array" ref="B295">IF(ISERROR(INDEX('Eingabe Meldungen'!$C$2:$C$492,LARGE(('Eingabe Meldungen'!$A$2:$A$492=$B$292)*(ROW('Eingabe Meldungen'!$A$2:$A$492)-1),COUNTIF('Eingabe Meldungen'!$A$2:$A$492,$B$292)+1-ROW('Eingabe Meldungen'!A2)))),"",INDEX('Eingabe Meldungen'!$C$2:$C$492,LARGE(('Eingabe Meldungen'!$A$2:$A$492=$B$292)*(ROW('Eingabe Meldungen'!$A$2:$A$492)-1),COUNTIF('Eingabe Meldungen'!$A$2:$A$492,$B$292)+1-ROW('Eingabe Meldungen'!A2))))</f>
        <v>Weber</v>
      </c>
      <c r="C295" s="40" t="str">
        <f t="array" ref="C295">IF(ISERROR(INDEX('Eingabe Meldungen'!$D$2:$D$492,LARGE(('Eingabe Meldungen'!$A$2:$A$492=$B$292)*(ROW('Eingabe Meldungen'!$A$2:$A$492)-1),COUNTIF('Eingabe Meldungen'!$A$2:$A$492,$B$292)+1-ROW('Eingabe Meldungen'!A2)))),"",INDEX('Eingabe Meldungen'!$D$2:$D$492,LARGE(('Eingabe Meldungen'!$A$2:$A$492=$B$292)*(ROW('Eingabe Meldungen'!$A$2:$A$492)-1),COUNTIF('Eingabe Meldungen'!$A$2:$A$492,$B$292)+1-ROW('Eingabe Meldungen'!A2))))</f>
        <v>Nils</v>
      </c>
      <c r="D295" s="107">
        <f t="array" ref="D295">IF(B295&lt;&gt;"",INDEX('Eingabe Meldungen'!$C$2:$H$492,MATCH(B295&amp;C295,'Eingabe Meldungen'!$C$2:$C$492&amp;'Eingabe Meldungen'!$D$2:$D$492,0),6),"")</f>
        <v>2003</v>
      </c>
      <c r="E295" s="107" t="str">
        <f t="array" ref="E295">IF(B295&lt;&gt;"",INDEX('Eingabe Meldungen'!$C$2:$H$492,MATCH(B295&amp;C295,'Eingabe Meldungen'!$C$2:$C$492&amp;'Eingabe Meldungen'!$D$2:$D$492,0),4),"")</f>
        <v>LGW. bis 70 kg</v>
      </c>
      <c r="F295" s="39"/>
      <c r="G295" s="149"/>
      <c r="H295" s="40" t="e">
        <f t="shared" ref="H295:H309" si="15">RANK(G295,$G$294:$G$309,1)</f>
        <v>#N/A</v>
      </c>
      <c r="I295" s="107" t="str">
        <f t="array" ref="I295">IF(B295&lt;&gt;"",INDEX('Eingabe Meldungen'!$C$2:$J$492,MATCH(B295&amp;C295,'Eingabe Meldungen'!$C$2:$C$492&amp;'Eingabe Meldungen'!$D$2:$D$492,0),8),"")</f>
        <v>RG Eberbach</v>
      </c>
      <c r="J295" s="257"/>
      <c r="K295" s="257"/>
      <c r="L295" s="254"/>
      <c r="M295" s="258"/>
      <c r="T295" s="11"/>
      <c r="U295" s="11"/>
      <c r="Y295" s="15"/>
    </row>
    <row r="296" spans="2:25" x14ac:dyDescent="0.2">
      <c r="B296" s="148" t="str">
        <f t="array" ref="B296">IF(ISERROR(INDEX('Eingabe Meldungen'!$C$2:$C$492,LARGE(('Eingabe Meldungen'!$A$2:$A$492=$B$292)*(ROW('Eingabe Meldungen'!$A$2:$A$492)-1),COUNTIF('Eingabe Meldungen'!$A$2:$A$492,$B$292)+1-ROW('Eingabe Meldungen'!A3)))),"",INDEX('Eingabe Meldungen'!$C$2:$C$492,LARGE(('Eingabe Meldungen'!$A$2:$A$492=$B$292)*(ROW('Eingabe Meldungen'!$A$2:$A$492)-1),COUNTIF('Eingabe Meldungen'!$A$2:$A$492,$B$292)+1-ROW('Eingabe Meldungen'!A3))))</f>
        <v/>
      </c>
      <c r="C296" s="40" t="str">
        <f t="array" ref="C296">IF(ISERROR(INDEX('Eingabe Meldungen'!$D$2:$D$492,LARGE(('Eingabe Meldungen'!$A$2:$A$492=$B$292)*(ROW('Eingabe Meldungen'!$A$2:$A$492)-1),COUNTIF('Eingabe Meldungen'!$A$2:$A$492,$B$292)+1-ROW('Eingabe Meldungen'!A3)))),"",INDEX('Eingabe Meldungen'!$D$2:$D$492,LARGE(('Eingabe Meldungen'!$A$2:$A$492=$B$292)*(ROW('Eingabe Meldungen'!$A$2:$A$492)-1),COUNTIF('Eingabe Meldungen'!$A$2:$A$492,$B$292)+1-ROW('Eingabe Meldungen'!A3))))</f>
        <v/>
      </c>
      <c r="D296" s="107" t="str">
        <f t="array" ref="D296">IF(B296&lt;&gt;"",INDEX('Eingabe Meldungen'!$C$2:$H$492,MATCH(B296&amp;C296,'Eingabe Meldungen'!$C$2:$C$492&amp;'Eingabe Meldungen'!$D$2:$D$492,0),6),"")</f>
        <v/>
      </c>
      <c r="E296" s="107" t="str">
        <f t="array" ref="E296">IF(B296&lt;&gt;"",INDEX('Eingabe Meldungen'!$C$2:$H$492,MATCH(B296&amp;C296,'Eingabe Meldungen'!$C$2:$C$492&amp;'Eingabe Meldungen'!$D$2:$D$492,0),4),"")</f>
        <v/>
      </c>
      <c r="F296" s="39"/>
      <c r="G296" s="150"/>
      <c r="H296" s="40" t="e">
        <f t="shared" si="15"/>
        <v>#N/A</v>
      </c>
      <c r="I296" s="107" t="str">
        <f t="array" ref="I296">IF(B296&lt;&gt;"",INDEX('Eingabe Meldungen'!$C$2:$J$492,MATCH(B296&amp;C296,'Eingabe Meldungen'!$C$2:$C$492&amp;'Eingabe Meldungen'!$D$2:$D$492,0),8),"")</f>
        <v/>
      </c>
      <c r="J296" s="257"/>
      <c r="K296" s="257"/>
      <c r="L296" s="254"/>
      <c r="M296" s="258"/>
      <c r="T296" s="11"/>
      <c r="U296" s="11"/>
      <c r="Y296" s="15"/>
    </row>
    <row r="297" spans="2:25" x14ac:dyDescent="0.2">
      <c r="B297" s="148" t="str">
        <f t="array" ref="B297">IF(ISERROR(INDEX('Eingabe Meldungen'!$C$2:$C$492,LARGE(('Eingabe Meldungen'!$A$2:$A$492=$B$292)*(ROW('Eingabe Meldungen'!$A$2:$A$492)-1),COUNTIF('Eingabe Meldungen'!$A$2:$A$492,$B$292)+1-ROW('Eingabe Meldungen'!A4)))),"",INDEX('Eingabe Meldungen'!$C$2:$C$492,LARGE(('Eingabe Meldungen'!$A$2:$A$492=$B$292)*(ROW('Eingabe Meldungen'!$A$2:$A$492)-1),COUNTIF('Eingabe Meldungen'!$A$2:$A$492,$B$292)+1-ROW('Eingabe Meldungen'!A4))))</f>
        <v/>
      </c>
      <c r="C297" s="40" t="str">
        <f t="array" ref="C297">IF(ISERROR(INDEX('Eingabe Meldungen'!$D$2:$D$492,LARGE(('Eingabe Meldungen'!$A$2:$A$492=$B$292)*(ROW('Eingabe Meldungen'!$A$2:$A$492)-1),COUNTIF('Eingabe Meldungen'!$A$2:$A$492,$B$292)+1-ROW('Eingabe Meldungen'!A4)))),"",INDEX('Eingabe Meldungen'!$D$2:$D$492,LARGE(('Eingabe Meldungen'!$A$2:$A$492=$B$292)*(ROW('Eingabe Meldungen'!$A$2:$A$492)-1),COUNTIF('Eingabe Meldungen'!$A$2:$A$492,$B$292)+1-ROW('Eingabe Meldungen'!A4))))</f>
        <v/>
      </c>
      <c r="D297" s="107" t="str">
        <f t="array" ref="D297">IF(B297&lt;&gt;"",INDEX('Eingabe Meldungen'!$C$2:$H$492,MATCH(B297&amp;C297,'Eingabe Meldungen'!$C$2:$C$492&amp;'Eingabe Meldungen'!$D$2:$D$492,0),6),"")</f>
        <v/>
      </c>
      <c r="E297" s="107" t="str">
        <f t="array" ref="E297">IF(B297&lt;&gt;"",INDEX('Eingabe Meldungen'!$C$2:$H$492,MATCH(B297&amp;C297,'Eingabe Meldungen'!$C$2:$C$492&amp;'Eingabe Meldungen'!$D$2:$D$492,0),4),"")</f>
        <v/>
      </c>
      <c r="F297" s="39"/>
      <c r="G297" s="150"/>
      <c r="H297" s="40" t="e">
        <f t="shared" si="15"/>
        <v>#N/A</v>
      </c>
      <c r="I297" s="107" t="str">
        <f t="array" ref="I297">IF(B297&lt;&gt;"",INDEX('Eingabe Meldungen'!$C$2:$J$492,MATCH(B297&amp;C297,'Eingabe Meldungen'!$C$2:$C$492&amp;'Eingabe Meldungen'!$D$2:$D$492,0),8),"")</f>
        <v/>
      </c>
      <c r="J297" s="257"/>
      <c r="K297" s="257"/>
      <c r="L297" s="254"/>
      <c r="M297" s="258"/>
      <c r="T297" s="11"/>
      <c r="U297" s="11"/>
      <c r="Y297" s="15"/>
    </row>
    <row r="298" spans="2:25" x14ac:dyDescent="0.2">
      <c r="B298" s="148" t="str">
        <f t="array" ref="B298">IF(ISERROR(INDEX('Eingabe Meldungen'!$C$2:$C$492,LARGE(('Eingabe Meldungen'!$A$2:$A$492=$B$292)*(ROW('Eingabe Meldungen'!$A$2:$A$492)-1),COUNTIF('Eingabe Meldungen'!$A$2:$A$492,$B$292)+1-ROW('Eingabe Meldungen'!A5)))),"",INDEX('Eingabe Meldungen'!$C$2:$C$492,LARGE(('Eingabe Meldungen'!$A$2:$A$492=$B$292)*(ROW('Eingabe Meldungen'!$A$2:$A$492)-1),COUNTIF('Eingabe Meldungen'!$A$2:$A$492,$B$292)+1-ROW('Eingabe Meldungen'!A5))))</f>
        <v/>
      </c>
      <c r="C298" s="40" t="str">
        <f t="array" ref="C298">IF(ISERROR(INDEX('Eingabe Meldungen'!$D$2:$D$492,LARGE(('Eingabe Meldungen'!$A$2:$A$492=$B$292)*(ROW('Eingabe Meldungen'!$A$2:$A$492)-1),COUNTIF('Eingabe Meldungen'!$A$2:$A$492,$B$292)+1-ROW('Eingabe Meldungen'!A5)))),"",INDEX('Eingabe Meldungen'!$D$2:$D$492,LARGE(('Eingabe Meldungen'!$A$2:$A$492=$B$292)*(ROW('Eingabe Meldungen'!$A$2:$A$492)-1),COUNTIF('Eingabe Meldungen'!$A$2:$A$492,$B$292)+1-ROW('Eingabe Meldungen'!A5))))</f>
        <v/>
      </c>
      <c r="D298" s="107" t="str">
        <f t="array" ref="D298">IF(B298&lt;&gt;"",INDEX('Eingabe Meldungen'!$C$2:$H$492,MATCH(B298&amp;C298,'Eingabe Meldungen'!$C$2:$C$492&amp;'Eingabe Meldungen'!$D$2:$D$492,0),6),"")</f>
        <v/>
      </c>
      <c r="E298" s="107" t="str">
        <f t="array" ref="E298">IF(B298&lt;&gt;"",INDEX('Eingabe Meldungen'!$C$2:$H$492,MATCH(B298&amp;C298,'Eingabe Meldungen'!$C$2:$C$492&amp;'Eingabe Meldungen'!$D$2:$D$492,0),4),"")</f>
        <v/>
      </c>
      <c r="F298" s="39"/>
      <c r="G298" s="150"/>
      <c r="H298" s="40" t="e">
        <f t="shared" si="15"/>
        <v>#N/A</v>
      </c>
      <c r="I298" s="107" t="str">
        <f t="array" ref="I298">IF(B298&lt;&gt;"",INDEX('Eingabe Meldungen'!$C$2:$J$492,MATCH(B298&amp;C298,'Eingabe Meldungen'!$C$2:$C$492&amp;'Eingabe Meldungen'!$D$2:$D$492,0),8),"")</f>
        <v/>
      </c>
      <c r="J298" s="257"/>
      <c r="K298" s="257"/>
      <c r="L298" s="254"/>
      <c r="M298" s="258"/>
      <c r="T298" s="11"/>
      <c r="U298" s="11"/>
      <c r="Y298" s="15"/>
    </row>
    <row r="299" spans="2:25" x14ac:dyDescent="0.2">
      <c r="B299" s="148" t="str">
        <f t="array" ref="B299">IF(ISERROR(INDEX('Eingabe Meldungen'!$C$2:$C$492,LARGE(('Eingabe Meldungen'!$A$2:$A$492=$B$292)*(ROW('Eingabe Meldungen'!$A$2:$A$492)-1),COUNTIF('Eingabe Meldungen'!$A$2:$A$492,$B$292)+1-ROW('Eingabe Meldungen'!A6)))),"",INDEX('Eingabe Meldungen'!$C$2:$C$492,LARGE(('Eingabe Meldungen'!$A$2:$A$492=$B$292)*(ROW('Eingabe Meldungen'!$A$2:$A$492)-1),COUNTIF('Eingabe Meldungen'!$A$2:$A$492,$B$292)+1-ROW('Eingabe Meldungen'!A6))))</f>
        <v/>
      </c>
      <c r="C299" s="40" t="str">
        <f t="array" ref="C299">IF(ISERROR(INDEX('Eingabe Meldungen'!$D$2:$D$492,LARGE(('Eingabe Meldungen'!$A$2:$A$492=$B$292)*(ROW('Eingabe Meldungen'!$A$2:$A$492)-1),COUNTIF('Eingabe Meldungen'!$A$2:$A$492,$B$292)+1-ROW('Eingabe Meldungen'!A6)))),"",INDEX('Eingabe Meldungen'!$D$2:$D$492,LARGE(('Eingabe Meldungen'!$A$2:$A$492=$B$292)*(ROW('Eingabe Meldungen'!$A$2:$A$492)-1),COUNTIF('Eingabe Meldungen'!$A$2:$A$492,$B$292)+1-ROW('Eingabe Meldungen'!A6))))</f>
        <v/>
      </c>
      <c r="D299" s="107" t="str">
        <f t="array" ref="D299">IF(B299&lt;&gt;"",INDEX('Eingabe Meldungen'!$C$2:$H$492,MATCH(B299&amp;C299,'Eingabe Meldungen'!$C$2:$C$492&amp;'Eingabe Meldungen'!$D$2:$D$492,0),6),"")</f>
        <v/>
      </c>
      <c r="E299" s="107" t="str">
        <f t="array" ref="E299">IF(B299&lt;&gt;"",INDEX('Eingabe Meldungen'!$C$2:$H$492,MATCH(B299&amp;C299,'Eingabe Meldungen'!$C$2:$C$492&amp;'Eingabe Meldungen'!$D$2:$D$492,0),4),"")</f>
        <v/>
      </c>
      <c r="F299" s="39"/>
      <c r="G299" s="150"/>
      <c r="H299" s="40" t="e">
        <f t="shared" si="15"/>
        <v>#N/A</v>
      </c>
      <c r="I299" s="107" t="str">
        <f t="array" ref="I299">IF(B299&lt;&gt;"",INDEX('Eingabe Meldungen'!$C$2:$J$492,MATCH(B299&amp;C299,'Eingabe Meldungen'!$C$2:$C$492&amp;'Eingabe Meldungen'!$D$2:$D$492,0),8),"")</f>
        <v/>
      </c>
      <c r="J299" s="257"/>
      <c r="K299" s="257"/>
      <c r="L299" s="254"/>
      <c r="M299" s="258"/>
      <c r="T299" s="11"/>
      <c r="U299" s="11"/>
      <c r="Y299" s="15"/>
    </row>
    <row r="300" spans="2:25" ht="12" customHeight="1" x14ac:dyDescent="0.2">
      <c r="B300" s="148" t="str">
        <f t="array" ref="B300">IF(ISERROR(INDEX('Eingabe Meldungen'!$C$2:$C$492,LARGE(('Eingabe Meldungen'!$A$2:$A$492=$B$292)*(ROW('Eingabe Meldungen'!$A$2:$A$492)-1),COUNTIF('Eingabe Meldungen'!$A$2:$A$492,$B$292)+1-ROW('Eingabe Meldungen'!A7)))),"",INDEX('Eingabe Meldungen'!$C$2:$C$492,LARGE(('Eingabe Meldungen'!$A$2:$A$492=$B$292)*(ROW('Eingabe Meldungen'!$A$2:$A$492)-1),COUNTIF('Eingabe Meldungen'!$A$2:$A$492,$B$292)+1-ROW('Eingabe Meldungen'!A7))))</f>
        <v/>
      </c>
      <c r="C300" s="40" t="str">
        <f t="array" ref="C300">IF(ISERROR(INDEX('Eingabe Meldungen'!$D$2:$D$492,LARGE(('Eingabe Meldungen'!$A$2:$A$492=$B$292)*(ROW('Eingabe Meldungen'!$A$2:$A$492)-1),COUNTIF('Eingabe Meldungen'!$A$2:$A$492,$B$292)+1-ROW('Eingabe Meldungen'!A7)))),"",INDEX('Eingabe Meldungen'!$D$2:$D$492,LARGE(('Eingabe Meldungen'!$A$2:$A$492=$B$292)*(ROW('Eingabe Meldungen'!$A$2:$A$492)-1),COUNTIF('Eingabe Meldungen'!$A$2:$A$492,$B$292)+1-ROW('Eingabe Meldungen'!A7))))</f>
        <v/>
      </c>
      <c r="D300" s="107" t="str">
        <f t="array" ref="D300">IF(B300&lt;&gt;"",INDEX('Eingabe Meldungen'!$C$2:$H$492,MATCH(B300&amp;C300,'Eingabe Meldungen'!$C$2:$C$492&amp;'Eingabe Meldungen'!$D$2:$D$492,0),6),"")</f>
        <v/>
      </c>
      <c r="E300" s="107" t="str">
        <f t="array" ref="E300">IF(B300&lt;&gt;"",INDEX('Eingabe Meldungen'!$C$2:$H$492,MATCH(B300&amp;C300,'Eingabe Meldungen'!$C$2:$C$492&amp;'Eingabe Meldungen'!$D$2:$D$492,0),4),"")</f>
        <v/>
      </c>
      <c r="F300" s="39"/>
      <c r="G300" s="150"/>
      <c r="H300" s="40" t="e">
        <f t="shared" si="15"/>
        <v>#N/A</v>
      </c>
      <c r="I300" s="107" t="str">
        <f t="array" ref="I300">IF(B300&lt;&gt;"",INDEX('Eingabe Meldungen'!$C$2:$J$492,MATCH(B300&amp;C300,'Eingabe Meldungen'!$C$2:$C$492&amp;'Eingabe Meldungen'!$D$2:$D$492,0),8),"")</f>
        <v/>
      </c>
      <c r="J300" s="257"/>
      <c r="K300" s="257"/>
      <c r="L300" s="254"/>
      <c r="M300" s="258"/>
      <c r="T300" s="11"/>
      <c r="U300" s="11"/>
      <c r="Y300" s="15"/>
    </row>
    <row r="301" spans="2:25" x14ac:dyDescent="0.2">
      <c r="B301" s="148" t="str">
        <f t="array" ref="B301">IF(ISERROR(INDEX('Eingabe Meldungen'!$C$2:$C$492,LARGE(('Eingabe Meldungen'!$A$2:$A$492=$B$292)*(ROW('Eingabe Meldungen'!$A$2:$A$492)-1),COUNTIF('Eingabe Meldungen'!$A$2:$A$492,$B$292)+1-ROW('Eingabe Meldungen'!A8)))),"",INDEX('Eingabe Meldungen'!$C$2:$C$492,LARGE(('Eingabe Meldungen'!$A$2:$A$492=$B$292)*(ROW('Eingabe Meldungen'!$A$2:$A$492)-1),COUNTIF('Eingabe Meldungen'!$A$2:$A$492,$B$292)+1-ROW('Eingabe Meldungen'!A8))))</f>
        <v/>
      </c>
      <c r="C301" s="40" t="str">
        <f t="array" ref="C301">IF(ISERROR(INDEX('Eingabe Meldungen'!$D$2:$D$492,LARGE(('Eingabe Meldungen'!$A$2:$A$492=$B$292)*(ROW('Eingabe Meldungen'!$A$2:$A$492)-1),COUNTIF('Eingabe Meldungen'!$A$2:$A$492,$B$292)+1-ROW('Eingabe Meldungen'!A8)))),"",INDEX('Eingabe Meldungen'!$D$2:$D$492,LARGE(('Eingabe Meldungen'!$A$2:$A$492=$B$292)*(ROW('Eingabe Meldungen'!$A$2:$A$492)-1),COUNTIF('Eingabe Meldungen'!$A$2:$A$492,$B$292)+1-ROW('Eingabe Meldungen'!A8))))</f>
        <v/>
      </c>
      <c r="D301" s="107" t="str">
        <f t="array" ref="D301">IF(B301&lt;&gt;"",INDEX('Eingabe Meldungen'!$C$2:$H$492,MATCH(B301&amp;C301,'Eingabe Meldungen'!$C$2:$C$492&amp;'Eingabe Meldungen'!$D$2:$D$492,0),6),"")</f>
        <v/>
      </c>
      <c r="E301" s="107" t="str">
        <f t="array" ref="E301">IF(B301&lt;&gt;"",INDEX('Eingabe Meldungen'!$C$2:$H$492,MATCH(B301&amp;C301,'Eingabe Meldungen'!$C$2:$C$492&amp;'Eingabe Meldungen'!$D$2:$D$492,0),4),"")</f>
        <v/>
      </c>
      <c r="F301" s="39"/>
      <c r="G301" s="150"/>
      <c r="H301" s="40" t="e">
        <f t="shared" si="15"/>
        <v>#N/A</v>
      </c>
      <c r="I301" s="107" t="str">
        <f t="array" ref="I301">IF(B301&lt;&gt;"",INDEX('Eingabe Meldungen'!$C$2:$J$492,MATCH(B301&amp;C301,'Eingabe Meldungen'!$C$2:$C$492&amp;'Eingabe Meldungen'!$D$2:$D$492,0),8),"")</f>
        <v/>
      </c>
      <c r="J301" s="257"/>
      <c r="K301" s="257"/>
      <c r="L301" s="254"/>
      <c r="M301" s="258"/>
      <c r="T301" s="11"/>
      <c r="U301" s="11"/>
      <c r="W301" s="6"/>
      <c r="X301" s="9"/>
      <c r="Y301" s="8"/>
    </row>
    <row r="302" spans="2:25" x14ac:dyDescent="0.2">
      <c r="B302" s="148" t="str">
        <f t="array" ref="B302">IF(ISERROR(INDEX('Eingabe Meldungen'!$C$2:$C$492,LARGE(('Eingabe Meldungen'!$A$2:$A$492=$B$292)*(ROW('Eingabe Meldungen'!$A$2:$A$492)-1),COUNTIF('Eingabe Meldungen'!$A$2:$A$492,$B$292)+1-ROW('Eingabe Meldungen'!A9)))),"",INDEX('Eingabe Meldungen'!$C$2:$C$492,LARGE(('Eingabe Meldungen'!$A$2:$A$492=$B$292)*(ROW('Eingabe Meldungen'!$A$2:$A$492)-1),COUNTIF('Eingabe Meldungen'!$A$2:$A$492,$B$292)+1-ROW('Eingabe Meldungen'!A9))))</f>
        <v/>
      </c>
      <c r="C302" s="40" t="str">
        <f t="array" ref="C302">IF(ISERROR(INDEX('Eingabe Meldungen'!$D$2:$D$492,LARGE(('Eingabe Meldungen'!$A$2:$A$492=$B$292)*(ROW('Eingabe Meldungen'!$A$2:$A$492)-1),COUNTIF('Eingabe Meldungen'!$A$2:$A$492,$B$292)+1-ROW('Eingabe Meldungen'!A9)))),"",INDEX('Eingabe Meldungen'!$D$2:$D$492,LARGE(('Eingabe Meldungen'!$A$2:$A$492=$B$292)*(ROW('Eingabe Meldungen'!$A$2:$A$492)-1),COUNTIF('Eingabe Meldungen'!$A$2:$A$492,$B$292)+1-ROW('Eingabe Meldungen'!A9))))</f>
        <v/>
      </c>
      <c r="D302" s="107" t="str">
        <f t="array" ref="D302">IF(B302&lt;&gt;"",INDEX('Eingabe Meldungen'!$C$2:$H$492,MATCH(B302&amp;C302,'Eingabe Meldungen'!$C$2:$C$492&amp;'Eingabe Meldungen'!$D$2:$D$492,0),6),"")</f>
        <v/>
      </c>
      <c r="E302" s="107" t="str">
        <f t="array" ref="E302">IF(B302&lt;&gt;"",INDEX('Eingabe Meldungen'!$C$2:$H$492,MATCH(B302&amp;C302,'Eingabe Meldungen'!$C$2:$C$492&amp;'Eingabe Meldungen'!$D$2:$D$492,0),4),"")</f>
        <v/>
      </c>
      <c r="F302" s="39"/>
      <c r="G302" s="150"/>
      <c r="H302" s="40" t="e">
        <f t="shared" si="15"/>
        <v>#N/A</v>
      </c>
      <c r="I302" s="107" t="str">
        <f t="array" ref="I302">IF(B302&lt;&gt;"",INDEX('Eingabe Meldungen'!$C$2:$J$492,MATCH(B302&amp;C302,'Eingabe Meldungen'!$C$2:$C$492&amp;'Eingabe Meldungen'!$D$2:$D$492,0),8),"")</f>
        <v/>
      </c>
      <c r="J302" s="257"/>
      <c r="K302" s="257"/>
      <c r="L302" s="254"/>
      <c r="M302" s="258"/>
      <c r="T302" s="11"/>
      <c r="U302" s="11"/>
      <c r="W302" s="6"/>
      <c r="X302" s="9"/>
      <c r="Y302" s="8"/>
    </row>
    <row r="303" spans="2:25" x14ac:dyDescent="0.2">
      <c r="B303" s="148" t="str">
        <f t="array" ref="B303">IF(ISERROR(INDEX('Eingabe Meldungen'!$C$2:$C$492,LARGE(('Eingabe Meldungen'!$A$2:$A$492=$B$292)*(ROW('Eingabe Meldungen'!$A$2:$A$492)-1),COUNTIF('Eingabe Meldungen'!$A$2:$A$492,$B$292)+1-ROW('Eingabe Meldungen'!A10)))),"",INDEX('Eingabe Meldungen'!$C$2:$C$492,LARGE(('Eingabe Meldungen'!$A$2:$A$492=$B$292)*(ROW('Eingabe Meldungen'!$A$2:$A$492)-1),COUNTIF('Eingabe Meldungen'!$A$2:$A$492,$B$292)+1-ROW('Eingabe Meldungen'!A10))))</f>
        <v/>
      </c>
      <c r="C303" s="40" t="str">
        <f t="array" ref="C303">IF(ISERROR(INDEX('Eingabe Meldungen'!$D$2:$D$492,LARGE(('Eingabe Meldungen'!$A$2:$A$492=$B$292)*(ROW('Eingabe Meldungen'!$A$2:$A$492)-1),COUNTIF('Eingabe Meldungen'!$A$2:$A$492,$B$292)+1-ROW('Eingabe Meldungen'!A10)))),"",INDEX('Eingabe Meldungen'!$D$2:$D$492,LARGE(('Eingabe Meldungen'!$A$2:$A$492=$B$292)*(ROW('Eingabe Meldungen'!$A$2:$A$492)-1),COUNTIF('Eingabe Meldungen'!$A$2:$A$492,$B$292)+1-ROW('Eingabe Meldungen'!A10))))</f>
        <v/>
      </c>
      <c r="D303" s="107" t="str">
        <f t="array" ref="D303">IF(B303&lt;&gt;"",INDEX('Eingabe Meldungen'!$C$2:$H$492,MATCH(B303&amp;C303,'Eingabe Meldungen'!$C$2:$C$492&amp;'Eingabe Meldungen'!$D$2:$D$492,0),6),"")</f>
        <v/>
      </c>
      <c r="E303" s="107" t="str">
        <f t="array" ref="E303">IF(B303&lt;&gt;"",INDEX('Eingabe Meldungen'!$C$2:$H$492,MATCH(B303&amp;C303,'Eingabe Meldungen'!$C$2:$C$492&amp;'Eingabe Meldungen'!$D$2:$D$492,0),4),"")</f>
        <v/>
      </c>
      <c r="F303" s="39"/>
      <c r="G303" s="150"/>
      <c r="H303" s="40" t="e">
        <f t="shared" si="15"/>
        <v>#N/A</v>
      </c>
      <c r="I303" s="107" t="str">
        <f t="array" ref="I303">IF(B303&lt;&gt;"",INDEX('Eingabe Meldungen'!$C$2:$J$492,MATCH(B303&amp;C303,'Eingabe Meldungen'!$C$2:$C$492&amp;'Eingabe Meldungen'!$D$2:$D$492,0),8),"")</f>
        <v/>
      </c>
      <c r="J303" s="257"/>
      <c r="K303" s="257"/>
      <c r="L303" s="254"/>
      <c r="M303" s="258"/>
      <c r="T303" s="11"/>
      <c r="U303" s="11"/>
      <c r="Y303" s="15"/>
    </row>
    <row r="304" spans="2:25" x14ac:dyDescent="0.2">
      <c r="B304" s="148" t="str">
        <f t="array" ref="B304">IF(ISERROR(INDEX('Eingabe Meldungen'!$C$2:$C$492,LARGE(('Eingabe Meldungen'!$A$2:$A$492=$B$292)*(ROW('Eingabe Meldungen'!$A$2:$A$492)-1),COUNTIF('Eingabe Meldungen'!$A$2:$A$492,$B$292)+1-ROW('Eingabe Meldungen'!A11)))),"",INDEX('Eingabe Meldungen'!$C$2:$C$492,LARGE(('Eingabe Meldungen'!$A$2:$A$492=$B$292)*(ROW('Eingabe Meldungen'!$A$2:$A$492)-1),COUNTIF('Eingabe Meldungen'!$A$2:$A$492,$B$292)+1-ROW('Eingabe Meldungen'!A11))))</f>
        <v/>
      </c>
      <c r="C304" s="40" t="str">
        <f t="array" ref="C304">IF(ISERROR(INDEX('Eingabe Meldungen'!$D$2:$D$492,LARGE(('Eingabe Meldungen'!$A$2:$A$492=$B$292)*(ROW('Eingabe Meldungen'!$A$2:$A$492)-1),COUNTIF('Eingabe Meldungen'!$A$2:$A$492,$B$292)+1-ROW('Eingabe Meldungen'!A11)))),"",INDEX('Eingabe Meldungen'!$D$2:$D$492,LARGE(('Eingabe Meldungen'!$A$2:$A$492=$B$292)*(ROW('Eingabe Meldungen'!$A$2:$A$492)-1),COUNTIF('Eingabe Meldungen'!$A$2:$A$492,$B$292)+1-ROW('Eingabe Meldungen'!A11))))</f>
        <v/>
      </c>
      <c r="D304" s="107" t="str">
        <f t="array" ref="D304">IF(B304&lt;&gt;"",INDEX('Eingabe Meldungen'!$C$2:$H$492,MATCH(B304&amp;C304,'Eingabe Meldungen'!$C$2:$C$492&amp;'Eingabe Meldungen'!$D$2:$D$492,0),6),"")</f>
        <v/>
      </c>
      <c r="E304" s="107" t="str">
        <f t="array" ref="E304">IF(B304&lt;&gt;"",INDEX('Eingabe Meldungen'!$C$2:$H$492,MATCH(B304&amp;C304,'Eingabe Meldungen'!$C$2:$C$492&amp;'Eingabe Meldungen'!$D$2:$D$492,0),4),"")</f>
        <v/>
      </c>
      <c r="F304" s="39"/>
      <c r="G304" s="150"/>
      <c r="H304" s="40" t="e">
        <f t="shared" si="15"/>
        <v>#N/A</v>
      </c>
      <c r="I304" s="107" t="str">
        <f t="array" ref="I304">IF(B304&lt;&gt;"",INDEX('Eingabe Meldungen'!$C$2:$J$492,MATCH(B304&amp;C304,'Eingabe Meldungen'!$C$2:$C$492&amp;'Eingabe Meldungen'!$D$2:$D$492,0),8),"")</f>
        <v/>
      </c>
      <c r="J304" s="257"/>
      <c r="K304" s="257"/>
      <c r="L304" s="254"/>
      <c r="M304" s="258"/>
      <c r="T304" s="11"/>
      <c r="U304" s="11"/>
      <c r="Y304" s="15"/>
    </row>
    <row r="305" spans="2:25" x14ac:dyDescent="0.2">
      <c r="B305" s="148" t="str">
        <f t="array" ref="B305">IF(ISERROR(INDEX('Eingabe Meldungen'!$C$2:$C$492,LARGE(('Eingabe Meldungen'!$A$2:$A$492=$B$292)*(ROW('Eingabe Meldungen'!$A$2:$A$492)-1),COUNTIF('Eingabe Meldungen'!$A$2:$A$492,$B$292)+1-ROW('Eingabe Meldungen'!A12)))),"",INDEX('Eingabe Meldungen'!$C$2:$C$492,LARGE(('Eingabe Meldungen'!$A$2:$A$492=$B$292)*(ROW('Eingabe Meldungen'!$A$2:$A$492)-1),COUNTIF('Eingabe Meldungen'!$A$2:$A$492,$B$292)+1-ROW('Eingabe Meldungen'!A12))))</f>
        <v/>
      </c>
      <c r="C305" s="40" t="str">
        <f t="array" ref="C305">IF(ISERROR(INDEX('Eingabe Meldungen'!$D$2:$D$492,LARGE(('Eingabe Meldungen'!$A$2:$A$492=$B$292)*(ROW('Eingabe Meldungen'!$A$2:$A$492)-1),COUNTIF('Eingabe Meldungen'!$A$2:$A$492,$B$292)+1-ROW('Eingabe Meldungen'!A12)))),"",INDEX('Eingabe Meldungen'!$D$2:$D$492,LARGE(('Eingabe Meldungen'!$A$2:$A$492=$B$292)*(ROW('Eingabe Meldungen'!$A$2:$A$492)-1),COUNTIF('Eingabe Meldungen'!$A$2:$A$492,$B$292)+1-ROW('Eingabe Meldungen'!A12))))</f>
        <v/>
      </c>
      <c r="D305" s="107" t="str">
        <f t="array" ref="D305">IF(B305&lt;&gt;"",INDEX('Eingabe Meldungen'!$C$2:$H$492,MATCH(B305&amp;C305,'Eingabe Meldungen'!$C$2:$C$492&amp;'Eingabe Meldungen'!$D$2:$D$492,0),6),"")</f>
        <v/>
      </c>
      <c r="E305" s="107" t="str">
        <f t="array" ref="E305">IF(B305&lt;&gt;"",INDEX('Eingabe Meldungen'!$C$2:$H$492,MATCH(B305&amp;C305,'Eingabe Meldungen'!$C$2:$C$492&amp;'Eingabe Meldungen'!$D$2:$D$492,0),4),"")</f>
        <v/>
      </c>
      <c r="F305" s="39"/>
      <c r="G305" s="150"/>
      <c r="H305" s="40" t="e">
        <f t="shared" si="15"/>
        <v>#N/A</v>
      </c>
      <c r="I305" s="107" t="str">
        <f t="array" ref="I305">IF(B305&lt;&gt;"",INDEX('Eingabe Meldungen'!$C$2:$J$492,MATCH(B305&amp;C305,'Eingabe Meldungen'!$C$2:$C$492&amp;'Eingabe Meldungen'!$D$2:$D$492,0),8),"")</f>
        <v/>
      </c>
      <c r="J305" s="257"/>
      <c r="K305" s="257"/>
      <c r="L305" s="254"/>
      <c r="M305" s="258"/>
      <c r="T305" s="11"/>
      <c r="U305" s="11"/>
      <c r="Y305" s="15"/>
    </row>
    <row r="306" spans="2:25" x14ac:dyDescent="0.2">
      <c r="B306" s="148" t="str">
        <f t="array" ref="B306">IF(ISERROR(INDEX('Eingabe Meldungen'!$C$2:$C$492,LARGE(('Eingabe Meldungen'!$A$2:$A$492=$B$292)*(ROW('Eingabe Meldungen'!$A$2:$A$492)-1),COUNTIF('Eingabe Meldungen'!$A$2:$A$492,$B$292)+1-ROW('Eingabe Meldungen'!A13)))),"",INDEX('Eingabe Meldungen'!$C$2:$C$492,LARGE(('Eingabe Meldungen'!$A$2:$A$492=$B$292)*(ROW('Eingabe Meldungen'!$A$2:$A$492)-1),COUNTIF('Eingabe Meldungen'!$A$2:$A$492,$B$292)+1-ROW('Eingabe Meldungen'!A13))))</f>
        <v/>
      </c>
      <c r="C306" s="40" t="str">
        <f t="array" ref="C306">IF(ISERROR(INDEX('Eingabe Meldungen'!$D$2:$D$492,LARGE(('Eingabe Meldungen'!$A$2:$A$492=$B$292)*(ROW('Eingabe Meldungen'!$A$2:$A$492)-1),COUNTIF('Eingabe Meldungen'!$A$2:$A$492,$B$292)+1-ROW('Eingabe Meldungen'!A13)))),"",INDEX('Eingabe Meldungen'!$D$2:$D$492,LARGE(('Eingabe Meldungen'!$A$2:$A$492=$B$292)*(ROW('Eingabe Meldungen'!$A$2:$A$492)-1),COUNTIF('Eingabe Meldungen'!$A$2:$A$492,$B$292)+1-ROW('Eingabe Meldungen'!A13))))</f>
        <v/>
      </c>
      <c r="D306" s="107" t="str">
        <f t="array" ref="D306">IF(B306&lt;&gt;"",INDEX('Eingabe Meldungen'!$C$2:$H$492,MATCH(B306&amp;C306,'Eingabe Meldungen'!$C$2:$C$492&amp;'Eingabe Meldungen'!$D$2:$D$492,0),6),"")</f>
        <v/>
      </c>
      <c r="E306" s="107" t="str">
        <f t="array" ref="E306">IF(B306&lt;&gt;"",INDEX('Eingabe Meldungen'!$C$2:$H$492,MATCH(B306&amp;C306,'Eingabe Meldungen'!$C$2:$C$492&amp;'Eingabe Meldungen'!$D$2:$D$492,0),4),"")</f>
        <v/>
      </c>
      <c r="F306" s="39"/>
      <c r="G306" s="150"/>
      <c r="H306" s="40" t="e">
        <f t="shared" si="15"/>
        <v>#N/A</v>
      </c>
      <c r="I306" s="107" t="str">
        <f t="array" ref="I306">IF(B306&lt;&gt;"",INDEX('Eingabe Meldungen'!$C$2:$J$492,MATCH(B306&amp;C306,'Eingabe Meldungen'!$C$2:$C$492&amp;'Eingabe Meldungen'!$D$2:$D$492,0),8),"")</f>
        <v/>
      </c>
      <c r="J306" s="257"/>
      <c r="K306" s="257"/>
      <c r="L306" s="254"/>
      <c r="M306" s="258"/>
      <c r="N306" s="11"/>
      <c r="O306" s="11"/>
      <c r="P306" s="15"/>
      <c r="Q306" s="11"/>
      <c r="S306" s="11"/>
      <c r="T306" s="11"/>
      <c r="U306" s="11"/>
      <c r="Y306" s="15"/>
    </row>
    <row r="307" spans="2:25" x14ac:dyDescent="0.2">
      <c r="B307" s="148" t="str">
        <f t="array" ref="B307">IF(ISERROR(INDEX('Eingabe Meldungen'!$C$2:$C$492,LARGE(('Eingabe Meldungen'!$A$2:$A$492=$B$292)*(ROW('Eingabe Meldungen'!$A$2:$A$492)-1),COUNTIF('Eingabe Meldungen'!$A$2:$A$492,$B$292)+1-ROW('Eingabe Meldungen'!A14)))),"",INDEX('Eingabe Meldungen'!$C$2:$C$492,LARGE(('Eingabe Meldungen'!$A$2:$A$492=$B$292)*(ROW('Eingabe Meldungen'!$A$2:$A$492)-1),COUNTIF('Eingabe Meldungen'!$A$2:$A$492,$B$292)+1-ROW('Eingabe Meldungen'!A14))))</f>
        <v/>
      </c>
      <c r="C307" s="40" t="str">
        <f t="array" ref="C307">IF(ISERROR(INDEX('Eingabe Meldungen'!$D$2:$D$492,LARGE(('Eingabe Meldungen'!$A$2:$A$492=$B$292)*(ROW('Eingabe Meldungen'!$A$2:$A$492)-1),COUNTIF('Eingabe Meldungen'!$A$2:$A$492,$B$292)+1-ROW('Eingabe Meldungen'!A14)))),"",INDEX('Eingabe Meldungen'!$D$2:$D$492,LARGE(('Eingabe Meldungen'!$A$2:$A$492=$B$292)*(ROW('Eingabe Meldungen'!$A$2:$A$492)-1),COUNTIF('Eingabe Meldungen'!$A$2:$A$492,$B$292)+1-ROW('Eingabe Meldungen'!A14))))</f>
        <v/>
      </c>
      <c r="D307" s="107" t="str">
        <f t="array" ref="D307">IF(B307&lt;&gt;"",INDEX('Eingabe Meldungen'!$C$2:$H$492,MATCH(B307&amp;C307,'Eingabe Meldungen'!$C$2:$C$492&amp;'Eingabe Meldungen'!$D$2:$D$492,0),6),"")</f>
        <v/>
      </c>
      <c r="E307" s="107" t="str">
        <f t="array" ref="E307">IF(B307&lt;&gt;"",INDEX('Eingabe Meldungen'!$C$2:$H$492,MATCH(B307&amp;C307,'Eingabe Meldungen'!$C$2:$C$492&amp;'Eingabe Meldungen'!$D$2:$D$492,0),4),"")</f>
        <v/>
      </c>
      <c r="F307" s="39"/>
      <c r="G307" s="150"/>
      <c r="H307" s="40" t="e">
        <f t="shared" si="15"/>
        <v>#N/A</v>
      </c>
      <c r="I307" s="107" t="str">
        <f t="array" ref="I307">IF(B307&lt;&gt;"",INDEX('Eingabe Meldungen'!$C$2:$J$492,MATCH(B307&amp;C307,'Eingabe Meldungen'!$C$2:$C$492&amp;'Eingabe Meldungen'!$D$2:$D$492,0),8),"")</f>
        <v/>
      </c>
      <c r="J307" s="257"/>
      <c r="K307" s="257"/>
      <c r="L307" s="254"/>
      <c r="M307" s="258"/>
      <c r="N307" s="11"/>
      <c r="O307" s="11"/>
      <c r="P307" s="15"/>
      <c r="Q307" s="11"/>
      <c r="S307" s="11"/>
      <c r="T307" s="11"/>
      <c r="U307" s="11"/>
      <c r="Y307" s="15"/>
    </row>
    <row r="308" spans="2:25" x14ac:dyDescent="0.2">
      <c r="B308" s="148" t="str">
        <f t="array" ref="B308">IF(ISERROR(INDEX('Eingabe Meldungen'!$C$2:$C$492,LARGE(('Eingabe Meldungen'!$A$2:$A$492=$B$292)*(ROW('Eingabe Meldungen'!$A$2:$A$492)-1),COUNTIF('Eingabe Meldungen'!$A$2:$A$492,$B$292)+1-ROW('Eingabe Meldungen'!A15)))),"",INDEX('Eingabe Meldungen'!$C$2:$C$492,LARGE(('Eingabe Meldungen'!$A$2:$A$492=$B$292)*(ROW('Eingabe Meldungen'!$A$2:$A$492)-1),COUNTIF('Eingabe Meldungen'!$A$2:$A$492,$B$292)+1-ROW('Eingabe Meldungen'!A15))))</f>
        <v/>
      </c>
      <c r="C308" s="40" t="str">
        <f t="array" ref="C308">IF(ISERROR(INDEX('Eingabe Meldungen'!$D$2:$D$492,LARGE(('Eingabe Meldungen'!$A$2:$A$492=$B$292)*(ROW('Eingabe Meldungen'!$A$2:$A$492)-1),COUNTIF('Eingabe Meldungen'!$A$2:$A$492,$B$292)+1-ROW('Eingabe Meldungen'!A15)))),"",INDEX('Eingabe Meldungen'!$D$2:$D$492,LARGE(('Eingabe Meldungen'!$A$2:$A$492=$B$292)*(ROW('Eingabe Meldungen'!$A$2:$A$492)-1),COUNTIF('Eingabe Meldungen'!$A$2:$A$492,$B$292)+1-ROW('Eingabe Meldungen'!A15))))</f>
        <v/>
      </c>
      <c r="D308" s="107" t="str">
        <f t="array" ref="D308">IF(B308&lt;&gt;"",INDEX('Eingabe Meldungen'!$C$2:$H$492,MATCH(B308&amp;C308,'Eingabe Meldungen'!$C$2:$C$492&amp;'Eingabe Meldungen'!$D$2:$D$492,0),6),"")</f>
        <v/>
      </c>
      <c r="E308" s="107" t="str">
        <f t="array" ref="E308">IF(B308&lt;&gt;"",INDEX('Eingabe Meldungen'!$C$2:$H$492,MATCH(B308&amp;C308,'Eingabe Meldungen'!$C$2:$C$492&amp;'Eingabe Meldungen'!$D$2:$D$492,0),4),"")</f>
        <v/>
      </c>
      <c r="F308" s="39"/>
      <c r="G308" s="150"/>
      <c r="H308" s="40" t="e">
        <f t="shared" si="15"/>
        <v>#N/A</v>
      </c>
      <c r="I308" s="107" t="str">
        <f t="array" ref="I308">IF(B308&lt;&gt;"",INDEX('Eingabe Meldungen'!$C$2:$J$492,MATCH(B308&amp;C308,'Eingabe Meldungen'!$C$2:$C$492&amp;'Eingabe Meldungen'!$D$2:$D$492,0),8),"")</f>
        <v/>
      </c>
      <c r="J308" s="257"/>
      <c r="K308" s="257"/>
      <c r="L308" s="254"/>
      <c r="M308" s="258"/>
      <c r="N308" s="11"/>
      <c r="O308" s="11"/>
      <c r="P308" s="15"/>
      <c r="Q308" s="11"/>
      <c r="S308" s="11"/>
      <c r="T308" s="11"/>
      <c r="U308" s="11"/>
      <c r="Y308" s="15"/>
    </row>
    <row r="309" spans="2:25" ht="13.2" thickBot="1" x14ac:dyDescent="0.25">
      <c r="B309" s="148" t="str">
        <f t="array" ref="B309">IF(ISERROR(INDEX('Eingabe Meldungen'!$C$2:$C$492,LARGE(('Eingabe Meldungen'!$A$2:$A$492=$B$292)*(ROW('Eingabe Meldungen'!$A$2:$A$492)-1),COUNTIF('Eingabe Meldungen'!$A$2:$A$492,$B$292)+1-ROW('Eingabe Meldungen'!A16)))),"",INDEX('Eingabe Meldungen'!$C$2:$C$492,LARGE(('Eingabe Meldungen'!$A$2:$A$492=$B$292)*(ROW('Eingabe Meldungen'!$A$2:$A$492)-1),COUNTIF('Eingabe Meldungen'!$A$2:$A$492,$B$292)+1-ROW('Eingabe Meldungen'!A16))))</f>
        <v/>
      </c>
      <c r="C309" s="40" t="str">
        <f t="array" ref="C309">IF(ISERROR(INDEX('Eingabe Meldungen'!$D$2:$D$492,LARGE(('Eingabe Meldungen'!$A$2:$A$492=$B$292)*(ROW('Eingabe Meldungen'!$A$2:$A$492)-1),COUNTIF('Eingabe Meldungen'!$A$2:$A$492,$B$292)+1-ROW('Eingabe Meldungen'!A16)))),"",INDEX('Eingabe Meldungen'!$D$2:$D$492,LARGE(('Eingabe Meldungen'!$A$2:$A$492=$B$292)*(ROW('Eingabe Meldungen'!$A$2:$A$492)-1),COUNTIF('Eingabe Meldungen'!$A$2:$A$492,$B$292)+1-ROW('Eingabe Meldungen'!A16))))</f>
        <v/>
      </c>
      <c r="D309" s="107" t="str">
        <f t="array" ref="D309">IF(B309&lt;&gt;"",INDEX('Eingabe Meldungen'!$C$2:$H$492,MATCH(B309&amp;C309,'Eingabe Meldungen'!$C$2:$C$492&amp;'Eingabe Meldungen'!$D$2:$D$492,0),6),"")</f>
        <v/>
      </c>
      <c r="E309" s="153" t="str">
        <f t="array" ref="E309">IF(B309&lt;&gt;"",INDEX('Eingabe Meldungen'!$C$2:$H$492,MATCH(B309&amp;C309,'Eingabe Meldungen'!$C$2:$C$492&amp;'Eingabe Meldungen'!$D$2:$D$492,0),4),"")</f>
        <v/>
      </c>
      <c r="F309" s="115"/>
      <c r="G309" s="154"/>
      <c r="H309" s="44" t="e">
        <f t="shared" si="15"/>
        <v>#N/A</v>
      </c>
      <c r="I309" s="153" t="str">
        <f t="array" ref="I309">IF(B309&lt;&gt;"",INDEX('Eingabe Meldungen'!$C$2:$J$492,MATCH(B309&amp;C309,'Eingabe Meldungen'!$C$2:$C$492&amp;'Eingabe Meldungen'!$D$2:$D$492,0),8),"")</f>
        <v/>
      </c>
      <c r="J309" s="259"/>
      <c r="K309" s="259"/>
      <c r="L309" s="260"/>
      <c r="M309" s="261"/>
      <c r="N309" s="11"/>
      <c r="O309" s="11"/>
      <c r="P309" s="15"/>
      <c r="Q309" s="11"/>
      <c r="S309" s="11"/>
      <c r="T309" s="11"/>
      <c r="U309" s="11"/>
      <c r="Y309" s="15"/>
    </row>
    <row r="310" spans="2:25" ht="22.5" hidden="1" customHeight="1" x14ac:dyDescent="0.2">
      <c r="B310" s="124">
        <f>B292+1</f>
        <v>20</v>
      </c>
      <c r="C310" s="125" t="str">
        <f>VLOOKUP(B310,Ausschreibung!$B$5:$I$35,2,FALSE)</f>
        <v>Ergocup</v>
      </c>
      <c r="D310" s="126">
        <f>VLOOKUP(B310,Ausschreibung!$B$5:$I$35,3,FALSE)</f>
        <v>0.63124999999999987</v>
      </c>
      <c r="E310" s="125" t="str">
        <f>VLOOKUP(B310,Ausschreibung!$B$5:$I$35,4,FALSE)</f>
        <v>Junioren A U19</v>
      </c>
      <c r="F310" s="125" t="str">
        <f>VLOOKUP(B310,Ausschreibung!$B$5:$I$35,5,FALSE)</f>
        <v>-</v>
      </c>
      <c r="G310" s="125" t="str">
        <f>VLOOKUP(B310,Ausschreibung!$B$5:$I$35,6,FALSE)</f>
        <v>17-18</v>
      </c>
      <c r="H310" s="125" t="str">
        <f>VLOOKUP(B310,Ausschreibung!$B$5:$I$35,8,FALSE)</f>
        <v>2000 m</v>
      </c>
      <c r="I310" s="125" t="s">
        <v>30</v>
      </c>
      <c r="J310" s="125"/>
      <c r="K310" s="155"/>
      <c r="L310" s="156"/>
      <c r="M310" s="157"/>
      <c r="N310" s="11"/>
      <c r="O310" s="11"/>
      <c r="P310" s="15"/>
      <c r="Q310" s="11"/>
      <c r="S310" s="11"/>
      <c r="T310" s="11"/>
      <c r="U310" s="11"/>
      <c r="Y310" s="15"/>
    </row>
    <row r="311" spans="2:25" ht="13.2" hidden="1" thickBot="1" x14ac:dyDescent="0.25">
      <c r="B311" s="111" t="s">
        <v>1</v>
      </c>
      <c r="C311" s="104" t="s">
        <v>2</v>
      </c>
      <c r="D311" s="103" t="s">
        <v>49</v>
      </c>
      <c r="E311" s="146" t="s">
        <v>16</v>
      </c>
      <c r="F311" s="103" t="s">
        <v>18</v>
      </c>
      <c r="G311" s="105" t="s">
        <v>50</v>
      </c>
      <c r="H311" s="103" t="s">
        <v>51</v>
      </c>
      <c r="I311" s="106" t="s">
        <v>17</v>
      </c>
      <c r="J311" s="103"/>
      <c r="K311" s="40"/>
      <c r="L311" s="151"/>
      <c r="M311" s="147"/>
      <c r="N311" s="11"/>
      <c r="O311" s="11"/>
      <c r="P311" s="15"/>
      <c r="Q311" s="11"/>
      <c r="S311" s="11"/>
      <c r="T311" s="11"/>
      <c r="U311" s="11"/>
      <c r="Y311" s="15"/>
    </row>
    <row r="312" spans="2:25" ht="13.2" hidden="1" thickBot="1" x14ac:dyDescent="0.25">
      <c r="B312" s="148" t="str">
        <f t="array" ref="B312">IF(ISERROR(INDEX('Eingabe Meldungen'!$C$2:$C$492,LARGE(('Eingabe Meldungen'!$A$2:$A$492=$B$310)*(ROW('Eingabe Meldungen'!$A$2:$A$492)-1),COUNTIF('Eingabe Meldungen'!$A$2:$A$492,$B$310)+1-ROW('Eingabe Meldungen'!A1)))),"",INDEX('Eingabe Meldungen'!$C$2:$C$492,LARGE(('Eingabe Meldungen'!$A$2:$A$492=$B$310)*(ROW('Eingabe Meldungen'!$A$2:$A$492)-1),COUNTIF('Eingabe Meldungen'!$A$2:$A$492,$B$310)+1-ROW('Eingabe Meldungen'!A1))))</f>
        <v>Bachmann</v>
      </c>
      <c r="C312" s="40" t="str">
        <f t="array" ref="C312">IF(ISERROR(INDEX('Eingabe Meldungen'!$D$2:$D$492,LARGE(('Eingabe Meldungen'!$A$2:$A$492=$B$310)*(ROW('Eingabe Meldungen'!$A$2:$A$492)-1),COUNTIF('Eingabe Meldungen'!$A$2:$A$492,$B$310)+1-ROW('Eingabe Meldungen'!A1)))),"",INDEX('Eingabe Meldungen'!$D$2:$D$492,LARGE(('Eingabe Meldungen'!$A$2:$A$492=$B$310)*(ROW('Eingabe Meldungen'!$A$2:$A$492)-1),COUNTIF('Eingabe Meldungen'!$A$2:$A$492,$B$310)+1-ROW('Eingabe Meldungen'!A1))))</f>
        <v>Julius</v>
      </c>
      <c r="D312" s="107">
        <f t="array" ref="D312">IF(B312&lt;&gt;"",INDEX('Eingabe Meldungen'!$C$2:$H$492,MATCH(B312&amp;C312,'Eingabe Meldungen'!$C$2:$C$492&amp;'Eingabe Meldungen'!$D$2:$D$492,0),6),"")</f>
        <v>2002</v>
      </c>
      <c r="E312" s="107" t="str">
        <f t="array" ref="E312">IF(B312&lt;&gt;"",INDEX('Eingabe Meldungen'!$C$2:$H$492,MATCH(B312&amp;C312,'Eingabe Meldungen'!$C$2:$C$492&amp;'Eingabe Meldungen'!$D$2:$D$492,0),4),"")</f>
        <v>-</v>
      </c>
      <c r="F312" s="107">
        <v>1</v>
      </c>
      <c r="G312" s="149"/>
      <c r="H312" s="40" t="e">
        <f>RANK(G312,$G$312:$G$327,1)</f>
        <v>#N/A</v>
      </c>
      <c r="I312" s="107" t="str">
        <f t="array" ref="I312">IF(B312&lt;&gt;"",INDEX('Eingabe Meldungen'!$C$2:$J$492,MATCH(B312&amp;C312,'Eingabe Meldungen'!$C$2:$C$492&amp;'Eingabe Meldungen'!$D$2:$D$492,0),8),"")</f>
        <v>HRG Schwaben</v>
      </c>
      <c r="J312" s="40"/>
      <c r="K312" s="40"/>
      <c r="L312" s="151"/>
      <c r="M312" s="147"/>
      <c r="N312" s="11"/>
      <c r="O312" s="11"/>
      <c r="P312" s="15"/>
      <c r="Q312" s="11"/>
      <c r="S312" s="11"/>
      <c r="T312" s="11"/>
      <c r="U312" s="11"/>
      <c r="Y312" s="15"/>
    </row>
    <row r="313" spans="2:25" ht="13.5" hidden="1" customHeight="1" x14ac:dyDescent="0.2">
      <c r="B313" s="148" t="str">
        <f t="array" ref="B313">IF(ISERROR(INDEX('Eingabe Meldungen'!$C$2:$C$492,LARGE(('Eingabe Meldungen'!$A$2:$A$492=$B$310)*(ROW('Eingabe Meldungen'!$A$2:$A$492)-1),COUNTIF('Eingabe Meldungen'!$A$2:$A$492,$B$310)+1-ROW('Eingabe Meldungen'!A2)))),"",INDEX('Eingabe Meldungen'!$C$2:$C$492,LARGE(('Eingabe Meldungen'!$A$2:$A$492=$B$310)*(ROW('Eingabe Meldungen'!$A$2:$A$492)-1),COUNTIF('Eingabe Meldungen'!$A$2:$A$492,$B$310)+1-ROW('Eingabe Meldungen'!A2))))</f>
        <v>Hamzaoui</v>
      </c>
      <c r="C313" s="40" t="str">
        <f t="array" ref="C313">IF(ISERROR(INDEX('Eingabe Meldungen'!$D$2:$D$492,LARGE(('Eingabe Meldungen'!$A$2:$A$492=$B$310)*(ROW('Eingabe Meldungen'!$A$2:$A$492)-1),COUNTIF('Eingabe Meldungen'!$A$2:$A$492,$B$310)+1-ROW('Eingabe Meldungen'!A2)))),"",INDEX('Eingabe Meldungen'!$D$2:$D$492,LARGE(('Eingabe Meldungen'!$A$2:$A$492=$B$310)*(ROW('Eingabe Meldungen'!$A$2:$A$492)-1),COUNTIF('Eingabe Meldungen'!$A$2:$A$492,$B$310)+1-ROW('Eingabe Meldungen'!A2))))</f>
        <v>Latif</v>
      </c>
      <c r="D313" s="107">
        <f t="array" ref="D313">IF(B313&lt;&gt;"",INDEX('Eingabe Meldungen'!$C$2:$H$492,MATCH(B313&amp;C313,'Eingabe Meldungen'!$C$2:$C$492&amp;'Eingabe Meldungen'!$D$2:$D$492,0),6),"")</f>
        <v>2003</v>
      </c>
      <c r="E313" s="107" t="str">
        <f t="array" ref="E313">IF(B313&lt;&gt;"",INDEX('Eingabe Meldungen'!$C$2:$H$492,MATCH(B313&amp;C313,'Eingabe Meldungen'!$C$2:$C$492&amp;'Eingabe Meldungen'!$D$2:$D$492,0),4),"")</f>
        <v>-</v>
      </c>
      <c r="F313" s="39">
        <v>2</v>
      </c>
      <c r="G313" s="149"/>
      <c r="H313" s="40" t="e">
        <f t="shared" ref="H313:H327" si="16">RANK(G313,$G$312:$G$327,1)</f>
        <v>#N/A</v>
      </c>
      <c r="I313" s="107" t="str">
        <f t="array" ref="I313">IF(B313&lt;&gt;"",INDEX('Eingabe Meldungen'!$C$2:$J$492,MATCH(B313&amp;C313,'Eingabe Meldungen'!$C$2:$C$492&amp;'Eingabe Meldungen'!$D$2:$D$492,0),8),"")</f>
        <v>RG Eberbach</v>
      </c>
      <c r="J313" s="40"/>
      <c r="K313" s="40"/>
      <c r="L313" s="151"/>
      <c r="M313" s="147"/>
      <c r="N313" s="11"/>
      <c r="O313" s="11"/>
      <c r="P313" s="15"/>
      <c r="Q313" s="11"/>
      <c r="S313" s="11"/>
      <c r="T313" s="11"/>
      <c r="U313" s="11"/>
      <c r="Y313" s="15"/>
    </row>
    <row r="314" spans="2:25" ht="15" hidden="1" customHeight="1" x14ac:dyDescent="0.2">
      <c r="B314" s="148" t="str">
        <f t="array" ref="B314">IF(ISERROR(INDEX('Eingabe Meldungen'!$C$2:$C$492,LARGE(('Eingabe Meldungen'!$A$2:$A$492=$B$310)*(ROW('Eingabe Meldungen'!$A$2:$A$492)-1),COUNTIF('Eingabe Meldungen'!$A$2:$A$492,$B$310)+1-ROW('Eingabe Meldungen'!A3)))),"",INDEX('Eingabe Meldungen'!$C$2:$C$492,LARGE(('Eingabe Meldungen'!$A$2:$A$492=$B$310)*(ROW('Eingabe Meldungen'!$A$2:$A$492)-1),COUNTIF('Eingabe Meldungen'!$A$2:$A$492,$B$310)+1-ROW('Eingabe Meldungen'!A3))))</f>
        <v>Spandel</v>
      </c>
      <c r="C314" s="40" t="str">
        <f t="array" ref="C314">IF(ISERROR(INDEX('Eingabe Meldungen'!$D$2:$D$492,LARGE(('Eingabe Meldungen'!$A$2:$A$492=$B$310)*(ROW('Eingabe Meldungen'!$A$2:$A$492)-1),COUNTIF('Eingabe Meldungen'!$A$2:$A$492,$B$310)+1-ROW('Eingabe Meldungen'!A3)))),"",INDEX('Eingabe Meldungen'!$D$2:$D$492,LARGE(('Eingabe Meldungen'!$A$2:$A$492=$B$310)*(ROW('Eingabe Meldungen'!$A$2:$A$492)-1),COUNTIF('Eingabe Meldungen'!$A$2:$A$492,$B$310)+1-ROW('Eingabe Meldungen'!A3))))</f>
        <v>Maximilian</v>
      </c>
      <c r="D314" s="107">
        <f t="array" ref="D314">IF(B314&lt;&gt;"",INDEX('Eingabe Meldungen'!$C$2:$H$492,MATCH(B314&amp;C314,'Eingabe Meldungen'!$C$2:$C$492&amp;'Eingabe Meldungen'!$D$2:$D$492,0),6),"")</f>
        <v>2003</v>
      </c>
      <c r="E314" s="107" t="str">
        <f t="array" ref="E314">IF(B314&lt;&gt;"",INDEX('Eingabe Meldungen'!$C$2:$H$492,MATCH(B314&amp;C314,'Eingabe Meldungen'!$C$2:$C$492&amp;'Eingabe Meldungen'!$D$2:$D$492,0),4),"")</f>
        <v>-</v>
      </c>
      <c r="F314" s="39">
        <v>3</v>
      </c>
      <c r="G314" s="150"/>
      <c r="H314" s="40" t="e">
        <f t="shared" si="16"/>
        <v>#N/A</v>
      </c>
      <c r="I314" s="107" t="str">
        <f t="array" ref="I314">IF(B314&lt;&gt;"",INDEX('Eingabe Meldungen'!$C$2:$J$492,MATCH(B314&amp;C314,'Eingabe Meldungen'!$C$2:$C$492&amp;'Eingabe Meldungen'!$D$2:$D$492,0),8),"")</f>
        <v>Marbacher Ruderverein</v>
      </c>
      <c r="J314" s="40"/>
      <c r="K314" s="40"/>
      <c r="L314" s="151"/>
      <c r="M314" s="147"/>
      <c r="N314" s="11"/>
      <c r="O314" s="11"/>
      <c r="P314" s="15"/>
      <c r="Q314" s="11"/>
      <c r="S314" s="11"/>
      <c r="T314" s="11"/>
      <c r="U314" s="11"/>
    </row>
    <row r="315" spans="2:25" ht="13.2" hidden="1" thickBot="1" x14ac:dyDescent="0.25">
      <c r="B315" s="148" t="str">
        <f t="array" ref="B315">IF(ISERROR(INDEX('Eingabe Meldungen'!$C$2:$C$492,LARGE(('Eingabe Meldungen'!$A$2:$A$492=$B$310)*(ROW('Eingabe Meldungen'!$A$2:$A$492)-1),COUNTIF('Eingabe Meldungen'!$A$2:$A$492,$B$310)+1-ROW('Eingabe Meldungen'!A4)))),"",INDEX('Eingabe Meldungen'!$C$2:$C$492,LARGE(('Eingabe Meldungen'!$A$2:$A$492=$B$310)*(ROW('Eingabe Meldungen'!$A$2:$A$492)-1),COUNTIF('Eingabe Meldungen'!$A$2:$A$492,$B$310)+1-ROW('Eingabe Meldungen'!A4))))</f>
        <v>Walter</v>
      </c>
      <c r="C315" s="40" t="str">
        <f t="array" ref="C315">IF(ISERROR(INDEX('Eingabe Meldungen'!$D$2:$D$492,LARGE(('Eingabe Meldungen'!$A$2:$A$492=$B$310)*(ROW('Eingabe Meldungen'!$A$2:$A$492)-1),COUNTIF('Eingabe Meldungen'!$A$2:$A$492,$B$310)+1-ROW('Eingabe Meldungen'!A4)))),"",INDEX('Eingabe Meldungen'!$D$2:$D$492,LARGE(('Eingabe Meldungen'!$A$2:$A$492=$B$310)*(ROW('Eingabe Meldungen'!$A$2:$A$492)-1),COUNTIF('Eingabe Meldungen'!$A$2:$A$492,$B$310)+1-ROW('Eingabe Meldungen'!A4))))</f>
        <v>Miron</v>
      </c>
      <c r="D315" s="107">
        <f t="array" ref="D315">IF(B315&lt;&gt;"",INDEX('Eingabe Meldungen'!$C$2:$H$492,MATCH(B315&amp;C315,'Eingabe Meldungen'!$C$2:$C$492&amp;'Eingabe Meldungen'!$D$2:$D$492,0),6),"")</f>
        <v>2003</v>
      </c>
      <c r="E315" s="107" t="str">
        <f t="array" ref="E315">IF(B315&lt;&gt;"",INDEX('Eingabe Meldungen'!$C$2:$H$492,MATCH(B315&amp;C315,'Eingabe Meldungen'!$C$2:$C$492&amp;'Eingabe Meldungen'!$D$2:$D$492,0),4),"")</f>
        <v>-</v>
      </c>
      <c r="F315" s="39">
        <v>4</v>
      </c>
      <c r="G315" s="150"/>
      <c r="H315" s="40" t="e">
        <f t="shared" si="16"/>
        <v>#N/A</v>
      </c>
      <c r="I315" s="107" t="str">
        <f t="array" ref="I315">IF(B315&lt;&gt;"",INDEX('Eingabe Meldungen'!$C$2:$J$492,MATCH(B315&amp;C315,'Eingabe Meldungen'!$C$2:$C$492&amp;'Eingabe Meldungen'!$D$2:$D$492,0),8),"")</f>
        <v>RG Eberbach</v>
      </c>
      <c r="J315" s="40"/>
      <c r="K315" s="40"/>
      <c r="L315" s="151"/>
      <c r="M315" s="147"/>
      <c r="N315" s="11"/>
      <c r="O315" s="11"/>
      <c r="P315" s="15"/>
      <c r="Q315" s="11"/>
      <c r="S315" s="11"/>
      <c r="T315" s="11"/>
      <c r="U315" s="11"/>
    </row>
    <row r="316" spans="2:25" ht="13.2" hidden="1" thickBot="1" x14ac:dyDescent="0.25">
      <c r="B316" s="148" t="str">
        <f t="array" ref="B316">IF(ISERROR(INDEX('Eingabe Meldungen'!$C$2:$C$492,LARGE(('Eingabe Meldungen'!$A$2:$A$492=$B$310)*(ROW('Eingabe Meldungen'!$A$2:$A$492)-1),COUNTIF('Eingabe Meldungen'!$A$2:$A$492,$B$310)+1-ROW('Eingabe Meldungen'!A5)))),"",INDEX('Eingabe Meldungen'!$C$2:$C$492,LARGE(('Eingabe Meldungen'!$A$2:$A$492=$B$310)*(ROW('Eingabe Meldungen'!$A$2:$A$492)-1),COUNTIF('Eingabe Meldungen'!$A$2:$A$492,$B$310)+1-ROW('Eingabe Meldungen'!A5))))</f>
        <v>Tafelmaier</v>
      </c>
      <c r="C316" s="40" t="str">
        <f t="array" ref="C316">IF(ISERROR(INDEX('Eingabe Meldungen'!$D$2:$D$492,LARGE(('Eingabe Meldungen'!$A$2:$A$492=$B$310)*(ROW('Eingabe Meldungen'!$A$2:$A$492)-1),COUNTIF('Eingabe Meldungen'!$A$2:$A$492,$B$310)+1-ROW('Eingabe Meldungen'!A5)))),"",INDEX('Eingabe Meldungen'!$D$2:$D$492,LARGE(('Eingabe Meldungen'!$A$2:$A$492=$B$310)*(ROW('Eingabe Meldungen'!$A$2:$A$492)-1),COUNTIF('Eingabe Meldungen'!$A$2:$A$492,$B$310)+1-ROW('Eingabe Meldungen'!A5))))</f>
        <v>Moritz</v>
      </c>
      <c r="D316" s="107">
        <f t="array" ref="D316">IF(B316&lt;&gt;"",INDEX('Eingabe Meldungen'!$C$2:$H$492,MATCH(B316&amp;C316,'Eingabe Meldungen'!$C$2:$C$492&amp;'Eingabe Meldungen'!$D$2:$D$492,0),6),"")</f>
        <v>2003</v>
      </c>
      <c r="E316" s="107" t="str">
        <f t="array" ref="E316">IF(B316&lt;&gt;"",INDEX('Eingabe Meldungen'!$C$2:$H$492,MATCH(B316&amp;C316,'Eingabe Meldungen'!$C$2:$C$492&amp;'Eingabe Meldungen'!$D$2:$D$492,0),4),"")</f>
        <v>-</v>
      </c>
      <c r="F316" s="39">
        <v>5</v>
      </c>
      <c r="G316" s="150"/>
      <c r="H316" s="40" t="e">
        <f t="shared" si="16"/>
        <v>#N/A</v>
      </c>
      <c r="I316" s="107" t="str">
        <f t="array" ref="I316">IF(B316&lt;&gt;"",INDEX('Eingabe Meldungen'!$C$2:$J$492,MATCH(B316&amp;C316,'Eingabe Meldungen'!$C$2:$C$492&amp;'Eingabe Meldungen'!$D$2:$D$492,0),8),"")</f>
        <v>Marbacher Ruderverein</v>
      </c>
      <c r="J316" s="40"/>
      <c r="K316" s="40"/>
      <c r="L316" s="151"/>
      <c r="M316" s="147"/>
      <c r="N316" s="11"/>
      <c r="O316" s="11"/>
      <c r="P316" s="15"/>
      <c r="Q316" s="11"/>
      <c r="S316" s="11"/>
      <c r="T316" s="11"/>
      <c r="U316" s="11"/>
      <c r="Y316" s="15"/>
    </row>
    <row r="317" spans="2:25" ht="13.2" hidden="1" thickBot="1" x14ac:dyDescent="0.25">
      <c r="B317" s="148" t="str">
        <f t="array" ref="B317">IF(ISERROR(INDEX('Eingabe Meldungen'!$C$2:$C$492,LARGE(('Eingabe Meldungen'!$A$2:$A$492=$B$310)*(ROW('Eingabe Meldungen'!$A$2:$A$492)-1),COUNTIF('Eingabe Meldungen'!$A$2:$A$492,$B$310)+1-ROW('Eingabe Meldungen'!A6)))),"",INDEX('Eingabe Meldungen'!$C$2:$C$492,LARGE(('Eingabe Meldungen'!$A$2:$A$492=$B$310)*(ROW('Eingabe Meldungen'!$A$2:$A$492)-1),COUNTIF('Eingabe Meldungen'!$A$2:$A$492,$B$310)+1-ROW('Eingabe Meldungen'!A6))))</f>
        <v>Keefer</v>
      </c>
      <c r="C317" s="40" t="str">
        <f t="array" ref="C317">IF(ISERROR(INDEX('Eingabe Meldungen'!$D$2:$D$492,LARGE(('Eingabe Meldungen'!$A$2:$A$492=$B$310)*(ROW('Eingabe Meldungen'!$A$2:$A$492)-1),COUNTIF('Eingabe Meldungen'!$A$2:$A$492,$B$310)+1-ROW('Eingabe Meldungen'!A6)))),"",INDEX('Eingabe Meldungen'!$D$2:$D$492,LARGE(('Eingabe Meldungen'!$A$2:$A$492=$B$310)*(ROW('Eingabe Meldungen'!$A$2:$A$492)-1),COUNTIF('Eingabe Meldungen'!$A$2:$A$492,$B$310)+1-ROW('Eingabe Meldungen'!A6))))</f>
        <v>Nicolai</v>
      </c>
      <c r="D317" s="107">
        <f t="array" ref="D317">IF(B317&lt;&gt;"",INDEX('Eingabe Meldungen'!$C$2:$H$492,MATCH(B317&amp;C317,'Eingabe Meldungen'!$C$2:$C$492&amp;'Eingabe Meldungen'!$D$2:$D$492,0),6),"")</f>
        <v>2003</v>
      </c>
      <c r="E317" s="107" t="str">
        <f t="array" ref="E317">IF(B317&lt;&gt;"",INDEX('Eingabe Meldungen'!$C$2:$H$492,MATCH(B317&amp;C317,'Eingabe Meldungen'!$C$2:$C$492&amp;'Eingabe Meldungen'!$D$2:$D$492,0),4),"")</f>
        <v>-</v>
      </c>
      <c r="F317" s="39">
        <v>6</v>
      </c>
      <c r="G317" s="150"/>
      <c r="H317" s="40" t="e">
        <f t="shared" si="16"/>
        <v>#N/A</v>
      </c>
      <c r="I317" s="107" t="str">
        <f t="array" ref="I317">IF(B317&lt;&gt;"",INDEX('Eingabe Meldungen'!$C$2:$J$492,MATCH(B317&amp;C317,'Eingabe Meldungen'!$C$2:$C$492&amp;'Eingabe Meldungen'!$D$2:$D$492,0),8),"")</f>
        <v>Marbacher Ruderverein</v>
      </c>
      <c r="J317" s="40"/>
      <c r="K317" s="40"/>
      <c r="L317" s="151"/>
      <c r="M317" s="147"/>
      <c r="N317" s="11"/>
      <c r="O317" s="11"/>
      <c r="P317" s="15"/>
      <c r="Q317" s="11"/>
      <c r="S317" s="11"/>
      <c r="T317" s="11"/>
      <c r="U317" s="11"/>
      <c r="Y317" s="15"/>
    </row>
    <row r="318" spans="2:25" ht="13.2" hidden="1" thickBot="1" x14ac:dyDescent="0.25">
      <c r="B318" s="148" t="str">
        <f t="array" ref="B318">IF(ISERROR(INDEX('Eingabe Meldungen'!$C$2:$C$492,LARGE(('Eingabe Meldungen'!$A$2:$A$492=$B$310)*(ROW('Eingabe Meldungen'!$A$2:$A$492)-1),COUNTIF('Eingabe Meldungen'!$A$2:$A$492,$B$310)+1-ROW('Eingabe Meldungen'!A8)))),"",INDEX('Eingabe Meldungen'!$C$2:$C$492,LARGE(('Eingabe Meldungen'!$A$2:$A$492=$B$310)*(ROW('Eingabe Meldungen'!$A$2:$A$492)-1),COUNTIF('Eingabe Meldungen'!$A$2:$A$492,$B$310)+1-ROW('Eingabe Meldungen'!A8))))</f>
        <v/>
      </c>
      <c r="C318" s="40" t="str">
        <f t="array" ref="C318">IF(ISERROR(INDEX('Eingabe Meldungen'!$D$2:$D$492,LARGE(('Eingabe Meldungen'!$A$2:$A$492=$B$310)*(ROW('Eingabe Meldungen'!$A$2:$A$492)-1),COUNTIF('Eingabe Meldungen'!$A$2:$A$492,$B$310)+1-ROW('Eingabe Meldungen'!A8)))),"",INDEX('Eingabe Meldungen'!$D$2:$D$492,LARGE(('Eingabe Meldungen'!$A$2:$A$492=$B$310)*(ROW('Eingabe Meldungen'!$A$2:$A$492)-1),COUNTIF('Eingabe Meldungen'!$A$2:$A$492,$B$310)+1-ROW('Eingabe Meldungen'!A8))))</f>
        <v/>
      </c>
      <c r="D318" s="107" t="str">
        <f t="array" ref="D318">IF(B318&lt;&gt;"",INDEX('Eingabe Meldungen'!$C$2:$H$492,MATCH(B318&amp;C318,'Eingabe Meldungen'!$C$2:$C$492&amp;'Eingabe Meldungen'!$D$2:$D$492,0),6),"")</f>
        <v/>
      </c>
      <c r="E318" s="107" t="str">
        <f t="array" ref="E318">IF(B318&lt;&gt;"",INDEX('Eingabe Meldungen'!$C$2:$H$492,MATCH(B318&amp;C318,'Eingabe Meldungen'!$C$2:$C$492&amp;'Eingabe Meldungen'!$D$2:$D$492,0),4),"")</f>
        <v/>
      </c>
      <c r="F318" s="39">
        <v>7</v>
      </c>
      <c r="G318" s="150"/>
      <c r="H318" s="40" t="e">
        <f t="shared" si="16"/>
        <v>#N/A</v>
      </c>
      <c r="I318" s="107" t="str">
        <f t="array" ref="I318">IF(B318&lt;&gt;"",INDEX('Eingabe Meldungen'!$C$2:$J$492,MATCH(B318&amp;C318,'Eingabe Meldungen'!$C$2:$C$492&amp;'Eingabe Meldungen'!$D$2:$D$492,0),8),"")</f>
        <v/>
      </c>
      <c r="J318" s="40"/>
      <c r="K318" s="40"/>
      <c r="L318" s="151"/>
      <c r="M318" s="112"/>
      <c r="O318" s="11"/>
      <c r="P318" s="10"/>
      <c r="Q318" s="11"/>
      <c r="R318" s="11"/>
      <c r="S318" s="11"/>
      <c r="T318" s="11"/>
      <c r="U318" s="11"/>
      <c r="Y318" s="15"/>
    </row>
    <row r="319" spans="2:25" ht="13.2" hidden="1" thickBot="1" x14ac:dyDescent="0.25">
      <c r="B319" s="148" t="str">
        <f t="array" ref="B319">IF(ISERROR(INDEX('Eingabe Meldungen'!$C$2:$C$492,LARGE(('Eingabe Meldungen'!$A$2:$A$492=$B$310)*(ROW('Eingabe Meldungen'!$A$2:$A$492)-1),COUNTIF('Eingabe Meldungen'!$A$2:$A$492,$B$310)+1-ROW('Eingabe Meldungen'!A9)))),"",INDEX('Eingabe Meldungen'!$C$2:$C$492,LARGE(('Eingabe Meldungen'!$A$2:$A$492=$B$310)*(ROW('Eingabe Meldungen'!$A$2:$A$492)-1),COUNTIF('Eingabe Meldungen'!$A$2:$A$492,$B$310)+1-ROW('Eingabe Meldungen'!A9))))</f>
        <v/>
      </c>
      <c r="C319" s="40" t="str">
        <f t="array" ref="C319">IF(ISERROR(INDEX('Eingabe Meldungen'!$D$2:$D$492,LARGE(('Eingabe Meldungen'!$A$2:$A$492=$B$310)*(ROW('Eingabe Meldungen'!$A$2:$A$492)-1),COUNTIF('Eingabe Meldungen'!$A$2:$A$492,$B$310)+1-ROW('Eingabe Meldungen'!A9)))),"",INDEX('Eingabe Meldungen'!$D$2:$D$492,LARGE(('Eingabe Meldungen'!$A$2:$A$492=$B$310)*(ROW('Eingabe Meldungen'!$A$2:$A$492)-1),COUNTIF('Eingabe Meldungen'!$A$2:$A$492,$B$310)+1-ROW('Eingabe Meldungen'!A9))))</f>
        <v/>
      </c>
      <c r="D319" s="107" t="str">
        <f t="array" ref="D319">IF(B319&lt;&gt;"",INDEX('Eingabe Meldungen'!$C$2:$H$492,MATCH(B319&amp;C319,'Eingabe Meldungen'!$C$2:$C$492&amp;'Eingabe Meldungen'!$D$2:$D$492,0),6),"")</f>
        <v/>
      </c>
      <c r="E319" s="107" t="str">
        <f t="array" ref="E319">IF(B319&lt;&gt;"",INDEX('Eingabe Meldungen'!$C$2:$H$492,MATCH(B319&amp;C319,'Eingabe Meldungen'!$C$2:$C$492&amp;'Eingabe Meldungen'!$D$2:$D$492,0),4),"")</f>
        <v/>
      </c>
      <c r="F319" s="39">
        <v>8</v>
      </c>
      <c r="G319" s="150"/>
      <c r="H319" s="40" t="e">
        <f t="shared" si="16"/>
        <v>#N/A</v>
      </c>
      <c r="I319" s="107" t="str">
        <f t="array" ref="I319">IF(B319&lt;&gt;"",INDEX('Eingabe Meldungen'!$C$2:$J$492,MATCH(B319&amp;C319,'Eingabe Meldungen'!$C$2:$C$492&amp;'Eingabe Meldungen'!$D$2:$D$492,0),8),"")</f>
        <v/>
      </c>
      <c r="J319" s="40"/>
      <c r="K319" s="40"/>
      <c r="L319" s="151"/>
      <c r="M319" s="147"/>
      <c r="O319" s="11"/>
      <c r="P319" s="10"/>
      <c r="Q319" s="11"/>
      <c r="R319" s="11"/>
      <c r="S319" s="11"/>
      <c r="T319" s="11"/>
      <c r="U319" s="11"/>
      <c r="Y319" s="15"/>
    </row>
    <row r="320" spans="2:25" ht="13.2" hidden="1" thickBot="1" x14ac:dyDescent="0.25">
      <c r="B320" s="148" t="str">
        <f t="array" ref="B320">IF(ISERROR(INDEX('Eingabe Meldungen'!$C$2:$C$492,LARGE(('Eingabe Meldungen'!$A$2:$A$492=$B$310)*(ROW('Eingabe Meldungen'!$A$2:$A$492)-1),COUNTIF('Eingabe Meldungen'!$A$2:$A$492,$B$310)+1-ROW('Eingabe Meldungen'!A10)))),"",INDEX('Eingabe Meldungen'!$C$2:$C$492,LARGE(('Eingabe Meldungen'!$A$2:$A$492=$B$310)*(ROW('Eingabe Meldungen'!$A$2:$A$492)-1),COUNTIF('Eingabe Meldungen'!$A$2:$A$492,$B$310)+1-ROW('Eingabe Meldungen'!A10))))</f>
        <v/>
      </c>
      <c r="C320" s="40" t="str">
        <f t="array" ref="C320">IF(ISERROR(INDEX('Eingabe Meldungen'!$D$2:$D$492,LARGE(('Eingabe Meldungen'!$A$2:$A$492=$B$310)*(ROW('Eingabe Meldungen'!$A$2:$A$492)-1),COUNTIF('Eingabe Meldungen'!$A$2:$A$492,$B$310)+1-ROW('Eingabe Meldungen'!A10)))),"",INDEX('Eingabe Meldungen'!$D$2:$D$492,LARGE(('Eingabe Meldungen'!$A$2:$A$492=$B$310)*(ROW('Eingabe Meldungen'!$A$2:$A$492)-1),COUNTIF('Eingabe Meldungen'!$A$2:$A$492,$B$310)+1-ROW('Eingabe Meldungen'!A10))))</f>
        <v/>
      </c>
      <c r="D320" s="107" t="str">
        <f t="array" ref="D320">IF(B320&lt;&gt;"",INDEX('Eingabe Meldungen'!$C$2:$H$492,MATCH(B320&amp;C320,'Eingabe Meldungen'!$C$2:$C$492&amp;'Eingabe Meldungen'!$D$2:$D$492,0),6),"")</f>
        <v/>
      </c>
      <c r="E320" s="107" t="str">
        <f t="array" ref="E320">IF(B320&lt;&gt;"",INDEX('Eingabe Meldungen'!$C$2:$H$492,MATCH(B320&amp;C320,'Eingabe Meldungen'!$C$2:$C$492&amp;'Eingabe Meldungen'!$D$2:$D$492,0),4),"")</f>
        <v/>
      </c>
      <c r="F320" s="39">
        <v>9</v>
      </c>
      <c r="G320" s="150"/>
      <c r="H320" s="40" t="e">
        <f t="shared" si="16"/>
        <v>#N/A</v>
      </c>
      <c r="I320" s="107" t="str">
        <f t="array" ref="I320">IF(B320&lt;&gt;"",INDEX('Eingabe Meldungen'!$C$2:$J$492,MATCH(B320&amp;C320,'Eingabe Meldungen'!$C$2:$C$492&amp;'Eingabe Meldungen'!$D$2:$D$492,0),8),"")</f>
        <v/>
      </c>
      <c r="J320" s="40"/>
      <c r="K320" s="40"/>
      <c r="L320" s="151"/>
      <c r="M320" s="147"/>
      <c r="O320" s="11"/>
      <c r="P320" s="10"/>
      <c r="Q320" s="11"/>
      <c r="R320" s="11"/>
      <c r="S320" s="11"/>
      <c r="T320" s="11"/>
      <c r="U320" s="11"/>
      <c r="Y320" s="15"/>
    </row>
    <row r="321" spans="2:25" ht="13.2" hidden="1" thickBot="1" x14ac:dyDescent="0.25">
      <c r="B321" s="148" t="str">
        <f t="array" ref="B321">IF(ISERROR(INDEX('Eingabe Meldungen'!$C$2:$C$492,LARGE(('Eingabe Meldungen'!$A$2:$A$492=$B$310)*(ROW('Eingabe Meldungen'!$A$2:$A$492)-1),COUNTIF('Eingabe Meldungen'!$A$2:$A$492,$B$310)+1-ROW('Eingabe Meldungen'!A11)))),"",INDEX('Eingabe Meldungen'!$C$2:$C$492,LARGE(('Eingabe Meldungen'!$A$2:$A$492=$B$310)*(ROW('Eingabe Meldungen'!$A$2:$A$492)-1),COUNTIF('Eingabe Meldungen'!$A$2:$A$492,$B$310)+1-ROW('Eingabe Meldungen'!A11))))</f>
        <v/>
      </c>
      <c r="C321" s="40" t="str">
        <f t="array" ref="C321">IF(ISERROR(INDEX('Eingabe Meldungen'!$D$2:$D$492,LARGE(('Eingabe Meldungen'!$A$2:$A$492=$B$310)*(ROW('Eingabe Meldungen'!$A$2:$A$492)-1),COUNTIF('Eingabe Meldungen'!$A$2:$A$492,$B$310)+1-ROW('Eingabe Meldungen'!A11)))),"",INDEX('Eingabe Meldungen'!$D$2:$D$492,LARGE(('Eingabe Meldungen'!$A$2:$A$492=$B$310)*(ROW('Eingabe Meldungen'!$A$2:$A$492)-1),COUNTIF('Eingabe Meldungen'!$A$2:$A$492,$B$310)+1-ROW('Eingabe Meldungen'!A11))))</f>
        <v/>
      </c>
      <c r="D321" s="107" t="str">
        <f t="array" ref="D321">IF(B321&lt;&gt;"",INDEX('Eingabe Meldungen'!$C$2:$H$492,MATCH(B321&amp;C321,'Eingabe Meldungen'!$C$2:$C$492&amp;'Eingabe Meldungen'!$D$2:$D$492,0),6),"")</f>
        <v/>
      </c>
      <c r="E321" s="107" t="str">
        <f t="array" ref="E321">IF(B321&lt;&gt;"",INDEX('Eingabe Meldungen'!$C$2:$H$492,MATCH(B321&amp;C321,'Eingabe Meldungen'!$C$2:$C$492&amp;'Eingabe Meldungen'!$D$2:$D$492,0),4),"")</f>
        <v/>
      </c>
      <c r="F321" s="39">
        <v>10</v>
      </c>
      <c r="G321" s="150"/>
      <c r="H321" s="40" t="e">
        <f t="shared" si="16"/>
        <v>#N/A</v>
      </c>
      <c r="I321" s="107" t="str">
        <f t="array" ref="I321">IF(B321&lt;&gt;"",INDEX('Eingabe Meldungen'!$C$2:$J$492,MATCH(B321&amp;C321,'Eingabe Meldungen'!$C$2:$C$492&amp;'Eingabe Meldungen'!$D$2:$D$492,0),8),"")</f>
        <v/>
      </c>
      <c r="J321" s="40"/>
      <c r="K321" s="40"/>
      <c r="L321" s="151"/>
      <c r="M321" s="112"/>
      <c r="O321" s="11"/>
      <c r="P321" s="10"/>
      <c r="Q321" s="11"/>
      <c r="R321" s="11"/>
      <c r="S321" s="11"/>
      <c r="T321" s="11"/>
      <c r="U321" s="11"/>
      <c r="Y321" s="15"/>
    </row>
    <row r="322" spans="2:25" ht="13.2" hidden="1" thickBot="1" x14ac:dyDescent="0.25">
      <c r="B322" s="148" t="str">
        <f t="array" ref="B322">IF(ISERROR(INDEX('Eingabe Meldungen'!$C$2:$C$492,LARGE(('Eingabe Meldungen'!$A$2:$A$492=$B$310)*(ROW('Eingabe Meldungen'!$A$2:$A$492)-1),COUNTIF('Eingabe Meldungen'!$A$2:$A$492,$B$310)+1-ROW('Eingabe Meldungen'!A12)))),"",INDEX('Eingabe Meldungen'!$C$2:$C$492,LARGE(('Eingabe Meldungen'!$A$2:$A$492=$B$310)*(ROW('Eingabe Meldungen'!$A$2:$A$492)-1),COUNTIF('Eingabe Meldungen'!$A$2:$A$492,$B$310)+1-ROW('Eingabe Meldungen'!A12))))</f>
        <v/>
      </c>
      <c r="C322" s="40" t="str">
        <f t="array" ref="C322">IF(ISERROR(INDEX('Eingabe Meldungen'!$D$2:$D$492,LARGE(('Eingabe Meldungen'!$A$2:$A$492=$B$310)*(ROW('Eingabe Meldungen'!$A$2:$A$492)-1),COUNTIF('Eingabe Meldungen'!$A$2:$A$492,$B$310)+1-ROW('Eingabe Meldungen'!A12)))),"",INDEX('Eingabe Meldungen'!$D$2:$D$492,LARGE(('Eingabe Meldungen'!$A$2:$A$492=$B$310)*(ROW('Eingabe Meldungen'!$A$2:$A$492)-1),COUNTIF('Eingabe Meldungen'!$A$2:$A$492,$B$310)+1-ROW('Eingabe Meldungen'!A12))))</f>
        <v/>
      </c>
      <c r="D322" s="107" t="str">
        <f t="array" ref="D322">IF(B322&lt;&gt;"",INDEX('Eingabe Meldungen'!$C$2:$H$492,MATCH(B322&amp;C322,'Eingabe Meldungen'!$C$2:$C$492&amp;'Eingabe Meldungen'!$D$2:$D$492,0),6),"")</f>
        <v/>
      </c>
      <c r="E322" s="107" t="str">
        <f t="array" ref="E322">IF(B322&lt;&gt;"",INDEX('Eingabe Meldungen'!$C$2:$H$492,MATCH(B322&amp;C322,'Eingabe Meldungen'!$C$2:$C$492&amp;'Eingabe Meldungen'!$D$2:$D$492,0),4),"")</f>
        <v/>
      </c>
      <c r="F322" s="39">
        <v>11</v>
      </c>
      <c r="G322" s="150"/>
      <c r="H322" s="40" t="e">
        <f t="shared" si="16"/>
        <v>#N/A</v>
      </c>
      <c r="I322" s="107" t="str">
        <f t="array" ref="I322">IF(B322&lt;&gt;"",INDEX('Eingabe Meldungen'!$C$2:$J$492,MATCH(B322&amp;C322,'Eingabe Meldungen'!$C$2:$C$492&amp;'Eingabe Meldungen'!$D$2:$D$492,0),8),"")</f>
        <v/>
      </c>
      <c r="J322" s="40"/>
      <c r="K322" s="40"/>
      <c r="L322" s="151"/>
      <c r="M322" s="112"/>
      <c r="O322" s="11"/>
      <c r="P322" s="10"/>
      <c r="Q322" s="11"/>
      <c r="R322" s="11"/>
      <c r="S322" s="11"/>
      <c r="T322" s="11"/>
      <c r="U322" s="11"/>
      <c r="Y322" s="15"/>
    </row>
    <row r="323" spans="2:25" ht="13.2" hidden="1" thickBot="1" x14ac:dyDescent="0.25">
      <c r="B323" s="148" t="str">
        <f t="array" ref="B323">IF(ISERROR(INDEX('Eingabe Meldungen'!$C$2:$C$492,LARGE(('Eingabe Meldungen'!$A$2:$A$492=$B$310)*(ROW('Eingabe Meldungen'!$A$2:$A$492)-1),COUNTIF('Eingabe Meldungen'!$A$2:$A$492,$B$310)+1-ROW('Eingabe Meldungen'!A13)))),"",INDEX('Eingabe Meldungen'!$C$2:$C$492,LARGE(('Eingabe Meldungen'!$A$2:$A$492=$B$310)*(ROW('Eingabe Meldungen'!$A$2:$A$492)-1),COUNTIF('Eingabe Meldungen'!$A$2:$A$492,$B$310)+1-ROW('Eingabe Meldungen'!A13))))</f>
        <v/>
      </c>
      <c r="C323" s="40" t="str">
        <f t="array" ref="C323">IF(ISERROR(INDEX('Eingabe Meldungen'!$D$2:$D$492,LARGE(('Eingabe Meldungen'!$A$2:$A$492=$B$310)*(ROW('Eingabe Meldungen'!$A$2:$A$492)-1),COUNTIF('Eingabe Meldungen'!$A$2:$A$492,$B$310)+1-ROW('Eingabe Meldungen'!A13)))),"",INDEX('Eingabe Meldungen'!$D$2:$D$492,LARGE(('Eingabe Meldungen'!$A$2:$A$492=$B$310)*(ROW('Eingabe Meldungen'!$A$2:$A$492)-1),COUNTIF('Eingabe Meldungen'!$A$2:$A$492,$B$310)+1-ROW('Eingabe Meldungen'!A13))))</f>
        <v/>
      </c>
      <c r="D323" s="107" t="str">
        <f t="array" ref="D323">IF(B323&lt;&gt;"",INDEX('Eingabe Meldungen'!$C$2:$H$492,MATCH(B323&amp;C323,'Eingabe Meldungen'!$C$2:$C$492&amp;'Eingabe Meldungen'!$D$2:$D$492,0),6),"")</f>
        <v/>
      </c>
      <c r="E323" s="107" t="str">
        <f t="array" ref="E323">IF(B323&lt;&gt;"",INDEX('Eingabe Meldungen'!$C$2:$H$492,MATCH(B323&amp;C323,'Eingabe Meldungen'!$C$2:$C$492&amp;'Eingabe Meldungen'!$D$2:$D$492,0),4),"")</f>
        <v/>
      </c>
      <c r="F323" s="39">
        <v>12</v>
      </c>
      <c r="G323" s="150"/>
      <c r="H323" s="40" t="e">
        <f t="shared" si="16"/>
        <v>#N/A</v>
      </c>
      <c r="I323" s="107" t="str">
        <f t="array" ref="I323">IF(B323&lt;&gt;"",INDEX('Eingabe Meldungen'!$C$2:$J$492,MATCH(B323&amp;C323,'Eingabe Meldungen'!$C$2:$C$492&amp;'Eingabe Meldungen'!$D$2:$D$492,0),8),"")</f>
        <v/>
      </c>
      <c r="J323" s="40"/>
      <c r="K323" s="40"/>
      <c r="L323" s="151"/>
      <c r="M323" s="112"/>
      <c r="O323" s="11"/>
      <c r="P323" s="10"/>
      <c r="Q323" s="11"/>
      <c r="R323" s="11"/>
      <c r="S323" s="11"/>
      <c r="T323" s="11"/>
      <c r="U323" s="11"/>
      <c r="Y323" s="15"/>
    </row>
    <row r="324" spans="2:25" ht="13.2" hidden="1" thickBot="1" x14ac:dyDescent="0.25">
      <c r="B324" s="148" t="str">
        <f t="array" ref="B324">IF(ISERROR(INDEX('Eingabe Meldungen'!$C$2:$C$492,LARGE(('Eingabe Meldungen'!$A$2:$A$492=$B$310)*(ROW('Eingabe Meldungen'!$A$2:$A$492)-1),COUNTIF('Eingabe Meldungen'!$A$2:$A$492,$B$310)+1-ROW('Eingabe Meldungen'!A14)))),"",INDEX('Eingabe Meldungen'!$C$2:$C$492,LARGE(('Eingabe Meldungen'!$A$2:$A$492=$B$310)*(ROW('Eingabe Meldungen'!$A$2:$A$492)-1),COUNTIF('Eingabe Meldungen'!$A$2:$A$492,$B$310)+1-ROW('Eingabe Meldungen'!A14))))</f>
        <v/>
      </c>
      <c r="C324" s="40" t="str">
        <f t="array" ref="C324">IF(ISERROR(INDEX('Eingabe Meldungen'!$D$2:$D$492,LARGE(('Eingabe Meldungen'!$A$2:$A$492=$B$310)*(ROW('Eingabe Meldungen'!$A$2:$A$492)-1),COUNTIF('Eingabe Meldungen'!$A$2:$A$492,$B$310)+1-ROW('Eingabe Meldungen'!A14)))),"",INDEX('Eingabe Meldungen'!$D$2:$D$492,LARGE(('Eingabe Meldungen'!$A$2:$A$492=$B$310)*(ROW('Eingabe Meldungen'!$A$2:$A$492)-1),COUNTIF('Eingabe Meldungen'!$A$2:$A$492,$B$310)+1-ROW('Eingabe Meldungen'!A14))))</f>
        <v/>
      </c>
      <c r="D324" s="107" t="str">
        <f t="array" ref="D324">IF(B324&lt;&gt;"",INDEX('Eingabe Meldungen'!$C$2:$H$492,MATCH(B324&amp;C324,'Eingabe Meldungen'!$C$2:$C$492&amp;'Eingabe Meldungen'!$D$2:$D$492,0),6),"")</f>
        <v/>
      </c>
      <c r="E324" s="107" t="str">
        <f t="array" ref="E324">IF(B324&lt;&gt;"",INDEX('Eingabe Meldungen'!$C$2:$H$492,MATCH(B324&amp;C324,'Eingabe Meldungen'!$C$2:$C$492&amp;'Eingabe Meldungen'!$D$2:$D$492,0),4),"")</f>
        <v/>
      </c>
      <c r="F324" s="39">
        <v>13</v>
      </c>
      <c r="G324" s="150"/>
      <c r="H324" s="40" t="e">
        <f t="shared" si="16"/>
        <v>#N/A</v>
      </c>
      <c r="I324" s="107" t="str">
        <f t="array" ref="I324">IF(B324&lt;&gt;"",INDEX('Eingabe Meldungen'!$C$2:$J$492,MATCH(B324&amp;C324,'Eingabe Meldungen'!$C$2:$C$492&amp;'Eingabe Meldungen'!$D$2:$D$492,0),8),"")</f>
        <v/>
      </c>
      <c r="J324" s="40"/>
      <c r="K324" s="40"/>
      <c r="L324" s="151"/>
      <c r="M324" s="112"/>
      <c r="O324" s="11"/>
      <c r="P324" s="10"/>
      <c r="Q324" s="11"/>
      <c r="R324" s="11"/>
      <c r="S324" s="11"/>
      <c r="T324" s="11"/>
      <c r="U324" s="11"/>
      <c r="Y324" s="15"/>
    </row>
    <row r="325" spans="2:25" ht="13.2" hidden="1" thickBot="1" x14ac:dyDescent="0.25">
      <c r="B325" s="148" t="str">
        <f t="array" ref="B325">IF(ISERROR(INDEX('Eingabe Meldungen'!$C$2:$C$492,LARGE(('Eingabe Meldungen'!$A$2:$A$492=$B$310)*(ROW('Eingabe Meldungen'!$A$2:$A$492)-1),COUNTIF('Eingabe Meldungen'!$A$2:$A$492,$B$310)+1-ROW('Eingabe Meldungen'!A15)))),"",INDEX('Eingabe Meldungen'!$C$2:$C$492,LARGE(('Eingabe Meldungen'!$A$2:$A$492=$B$310)*(ROW('Eingabe Meldungen'!$A$2:$A$492)-1),COUNTIF('Eingabe Meldungen'!$A$2:$A$492,$B$310)+1-ROW('Eingabe Meldungen'!A15))))</f>
        <v/>
      </c>
      <c r="C325" s="40" t="str">
        <f t="array" ref="C325">IF(ISERROR(INDEX('Eingabe Meldungen'!$D$2:$D$492,LARGE(('Eingabe Meldungen'!$A$2:$A$492=$B$310)*(ROW('Eingabe Meldungen'!$A$2:$A$492)-1),COUNTIF('Eingabe Meldungen'!$A$2:$A$492,$B$310)+1-ROW('Eingabe Meldungen'!A15)))),"",INDEX('Eingabe Meldungen'!$D$2:$D$492,LARGE(('Eingabe Meldungen'!$A$2:$A$492=$B$310)*(ROW('Eingabe Meldungen'!$A$2:$A$492)-1),COUNTIF('Eingabe Meldungen'!$A$2:$A$492,$B$310)+1-ROW('Eingabe Meldungen'!A15))))</f>
        <v/>
      </c>
      <c r="D325" s="107" t="str">
        <f t="array" ref="D325">IF(B325&lt;&gt;"",INDEX('Eingabe Meldungen'!$C$2:$H$492,MATCH(B325&amp;C325,'Eingabe Meldungen'!$C$2:$C$492&amp;'Eingabe Meldungen'!$D$2:$D$492,0),6),"")</f>
        <v/>
      </c>
      <c r="E325" s="107" t="str">
        <f t="array" ref="E325">IF(B325&lt;&gt;"",INDEX('Eingabe Meldungen'!$C$2:$H$492,MATCH(B325&amp;C325,'Eingabe Meldungen'!$C$2:$C$492&amp;'Eingabe Meldungen'!$D$2:$D$492,0),4),"")</f>
        <v/>
      </c>
      <c r="F325" s="39">
        <v>14</v>
      </c>
      <c r="G325" s="150"/>
      <c r="H325" s="40" t="e">
        <f t="shared" si="16"/>
        <v>#N/A</v>
      </c>
      <c r="I325" s="107" t="str">
        <f t="array" ref="I325">IF(B325&lt;&gt;"",INDEX('Eingabe Meldungen'!$C$2:$J$492,MATCH(B325&amp;C325,'Eingabe Meldungen'!$C$2:$C$492&amp;'Eingabe Meldungen'!$D$2:$D$492,0),8),"")</f>
        <v/>
      </c>
      <c r="J325" s="40"/>
      <c r="K325" s="40"/>
      <c r="L325" s="151"/>
      <c r="M325" s="112"/>
      <c r="O325" s="11"/>
      <c r="P325" s="10"/>
      <c r="Q325" s="11"/>
      <c r="R325" s="11"/>
      <c r="S325" s="11"/>
      <c r="T325" s="11"/>
      <c r="U325" s="11"/>
      <c r="Y325" s="15"/>
    </row>
    <row r="326" spans="2:25" ht="13.2" hidden="1" thickBot="1" x14ac:dyDescent="0.25">
      <c r="B326" s="148" t="str">
        <f t="array" ref="B326">IF(ISERROR(INDEX('Eingabe Meldungen'!$C$2:$C$492,LARGE(('Eingabe Meldungen'!$A$2:$A$492=$B$310)*(ROW('Eingabe Meldungen'!$A$2:$A$492)-1),COUNTIF('Eingabe Meldungen'!$A$2:$A$492,$B$310)+1-ROW('Eingabe Meldungen'!A16)))),"",INDEX('Eingabe Meldungen'!$C$2:$C$492,LARGE(('Eingabe Meldungen'!$A$2:$A$492=$B$310)*(ROW('Eingabe Meldungen'!$A$2:$A$492)-1),COUNTIF('Eingabe Meldungen'!$A$2:$A$492,$B$310)+1-ROW('Eingabe Meldungen'!A16))))</f>
        <v/>
      </c>
      <c r="C326" s="40" t="str">
        <f t="array" ref="C326">IF(ISERROR(INDEX('Eingabe Meldungen'!$D$2:$D$492,LARGE(('Eingabe Meldungen'!$A$2:$A$492=$B$310)*(ROW('Eingabe Meldungen'!$A$2:$A$492)-1),COUNTIF('Eingabe Meldungen'!$A$2:$A$492,$B$310)+1-ROW('Eingabe Meldungen'!A16)))),"",INDEX('Eingabe Meldungen'!$D$2:$D$492,LARGE(('Eingabe Meldungen'!$A$2:$A$492=$B$310)*(ROW('Eingabe Meldungen'!$A$2:$A$492)-1),COUNTIF('Eingabe Meldungen'!$A$2:$A$492,$B$310)+1-ROW('Eingabe Meldungen'!A16))))</f>
        <v/>
      </c>
      <c r="D326" s="107" t="str">
        <f t="array" ref="D326">IF(B326&lt;&gt;"",INDEX('Eingabe Meldungen'!$C$2:$H$492,MATCH(B326&amp;C326,'Eingabe Meldungen'!$C$2:$C$492&amp;'Eingabe Meldungen'!$D$2:$D$492,0),6),"")</f>
        <v/>
      </c>
      <c r="E326" s="107" t="str">
        <f t="array" ref="E326">IF(B326&lt;&gt;"",INDEX('Eingabe Meldungen'!$C$2:$H$492,MATCH(B326&amp;C326,'Eingabe Meldungen'!$C$2:$C$492&amp;'Eingabe Meldungen'!$D$2:$D$492,0),4),"")</f>
        <v/>
      </c>
      <c r="F326" s="39">
        <v>15</v>
      </c>
      <c r="G326" s="150"/>
      <c r="H326" s="40" t="e">
        <f t="shared" si="16"/>
        <v>#N/A</v>
      </c>
      <c r="I326" s="107" t="str">
        <f t="array" ref="I326">IF(B326&lt;&gt;"",INDEX('Eingabe Meldungen'!$C$2:$J$492,MATCH(B326&amp;C326,'Eingabe Meldungen'!$C$2:$C$492&amp;'Eingabe Meldungen'!$D$2:$D$492,0),8),"")</f>
        <v/>
      </c>
      <c r="J326" s="40"/>
      <c r="K326" s="40"/>
      <c r="L326" s="151"/>
      <c r="M326" s="112"/>
      <c r="O326" s="11"/>
      <c r="P326" s="10"/>
      <c r="Q326" s="11"/>
      <c r="R326" s="11"/>
      <c r="S326" s="11"/>
      <c r="T326" s="11"/>
      <c r="U326" s="11"/>
      <c r="Y326" s="15"/>
    </row>
    <row r="327" spans="2:25" ht="15.75" hidden="1" customHeight="1" x14ac:dyDescent="0.2">
      <c r="B327" s="148" t="str">
        <f t="array" ref="B327">IF(ISERROR(INDEX('Eingabe Meldungen'!$C$2:$C$492,LARGE(('Eingabe Meldungen'!$A$2:$A$492=$B$310)*(ROW('Eingabe Meldungen'!$A$2:$A$492)-1),COUNTIF('Eingabe Meldungen'!$A$2:$A$492,$B$310)+1-ROW('Eingabe Meldungen'!A17)))),"",INDEX('Eingabe Meldungen'!$C$2:$C$492,LARGE(('Eingabe Meldungen'!$A$2:$A$492=$B$310)*(ROW('Eingabe Meldungen'!$A$2:$A$492)-1),COUNTIF('Eingabe Meldungen'!$A$2:$A$492,$B$310)+1-ROW('Eingabe Meldungen'!A17))))</f>
        <v/>
      </c>
      <c r="C327" s="40" t="str">
        <f t="array" ref="C327">IF(ISERROR(INDEX('Eingabe Meldungen'!$D$2:$D$492,LARGE(('Eingabe Meldungen'!$A$2:$A$492=$B$310)*(ROW('Eingabe Meldungen'!$A$2:$A$492)-1),COUNTIF('Eingabe Meldungen'!$A$2:$A$492,$B$310)+1-ROW('Eingabe Meldungen'!A17)))),"",INDEX('Eingabe Meldungen'!$D$2:$D$492,LARGE(('Eingabe Meldungen'!$A$2:$A$492=$B$310)*(ROW('Eingabe Meldungen'!$A$2:$A$492)-1),COUNTIF('Eingabe Meldungen'!$A$2:$A$492,$B$310)+1-ROW('Eingabe Meldungen'!A17))))</f>
        <v/>
      </c>
      <c r="D327" s="107" t="str">
        <f t="array" ref="D327">IF(B327&lt;&gt;"",INDEX('Eingabe Meldungen'!$C$2:$H$492,MATCH(B327&amp;C327,'Eingabe Meldungen'!$C$2:$C$492&amp;'Eingabe Meldungen'!$D$2:$D$492,0),6),"")</f>
        <v/>
      </c>
      <c r="E327" s="107" t="str">
        <f t="array" ref="E327">IF(B327&lt;&gt;"",INDEX('Eingabe Meldungen'!$C$2:$H$492,MATCH(B327&amp;C327,'Eingabe Meldungen'!$C$2:$C$492&amp;'Eingabe Meldungen'!$D$2:$D$492,0),4),"")</f>
        <v/>
      </c>
      <c r="F327" s="39">
        <v>16</v>
      </c>
      <c r="G327" s="150"/>
      <c r="H327" s="40" t="e">
        <f t="shared" si="16"/>
        <v>#N/A</v>
      </c>
      <c r="I327" s="107" t="str">
        <f t="array" ref="I327">IF(B327&lt;&gt;"",INDEX('Eingabe Meldungen'!$C$2:$J$492,MATCH(B327&amp;C327,'Eingabe Meldungen'!$C$2:$C$492&amp;'Eingabe Meldungen'!$D$2:$D$492,0),8),"")</f>
        <v/>
      </c>
      <c r="J327" s="40"/>
      <c r="K327" s="40"/>
      <c r="L327" s="151"/>
      <c r="M327" s="112"/>
      <c r="O327" s="11"/>
      <c r="P327" s="10"/>
      <c r="Q327" s="11"/>
      <c r="R327" s="11"/>
      <c r="S327" s="11"/>
      <c r="T327" s="11"/>
      <c r="U327" s="11"/>
      <c r="Y327" s="15"/>
    </row>
    <row r="328" spans="2:25" ht="33" hidden="1" customHeight="1" x14ac:dyDescent="0.2">
      <c r="B328" s="114">
        <f>B310+1</f>
        <v>21</v>
      </c>
      <c r="C328" s="108" t="str">
        <f>VLOOKUP(B328,Ausschreibung!$B$5:$I$35,2,FALSE)</f>
        <v>Ergocup</v>
      </c>
      <c r="D328" s="109">
        <f>VLOOKUP(B328,Ausschreibung!$B$5:$I$35,3,FALSE)</f>
        <v>0.6416666666666665</v>
      </c>
      <c r="E328" s="108" t="str">
        <f>VLOOKUP(B328,Ausschreibung!$B$5:$I$35,4,FALSE)</f>
        <v>Seniorinnen A</v>
      </c>
      <c r="F328" s="108" t="str">
        <f>VLOOKUP(B328,Ausschreibung!$B$5:$I$35,5,FALSE)</f>
        <v>LGW. bis 61 kg</v>
      </c>
      <c r="G328" s="108" t="str">
        <f>VLOOKUP(B328,Ausschreibung!$B$5:$I$35,6,FALSE)</f>
        <v>19 und älter</v>
      </c>
      <c r="H328" s="108" t="str">
        <f>VLOOKUP(B328,Ausschreibung!$B$5:$I$35,8,FALSE)</f>
        <v>2000 m</v>
      </c>
      <c r="I328" s="108" t="s">
        <v>30</v>
      </c>
      <c r="J328" s="108"/>
      <c r="K328" s="40"/>
      <c r="L328" s="151"/>
      <c r="M328" s="112"/>
      <c r="O328" s="11"/>
      <c r="P328" s="10"/>
      <c r="Q328" s="11"/>
      <c r="R328" s="11"/>
      <c r="S328" s="11"/>
      <c r="T328" s="11"/>
      <c r="U328" s="11"/>
      <c r="Y328" s="15"/>
    </row>
    <row r="329" spans="2:25" ht="13.2" hidden="1" thickBot="1" x14ac:dyDescent="0.25">
      <c r="B329" s="111" t="s">
        <v>1</v>
      </c>
      <c r="C329" s="104" t="s">
        <v>2</v>
      </c>
      <c r="D329" s="103" t="s">
        <v>49</v>
      </c>
      <c r="E329" s="146" t="s">
        <v>16</v>
      </c>
      <c r="F329" s="103" t="s">
        <v>18</v>
      </c>
      <c r="G329" s="105" t="s">
        <v>50</v>
      </c>
      <c r="H329" s="103" t="s">
        <v>51</v>
      </c>
      <c r="I329" s="106" t="s">
        <v>17</v>
      </c>
      <c r="J329" s="103"/>
      <c r="K329" s="40"/>
      <c r="L329" s="151"/>
      <c r="M329" s="112"/>
      <c r="O329" s="11"/>
      <c r="P329" s="10"/>
      <c r="Q329" s="11"/>
      <c r="R329" s="11"/>
      <c r="S329" s="11"/>
      <c r="T329" s="11"/>
      <c r="U329" s="11"/>
      <c r="Y329" s="15"/>
    </row>
    <row r="330" spans="2:25" ht="13.2" hidden="1" thickBot="1" x14ac:dyDescent="0.25">
      <c r="B330" s="148" t="str">
        <f t="array" ref="B330">IF(ISERROR(INDEX('Eingabe Meldungen'!$C$2:$C$492,LARGE(('Eingabe Meldungen'!$A$2:$A$492=$B$328)*(ROW('Eingabe Meldungen'!$A$2:$A$492)-1),COUNTIF('Eingabe Meldungen'!$A$2:$A$492,$B$328)+1-ROW('Eingabe Meldungen'!A1)))),"",INDEX('Eingabe Meldungen'!$C$2:$C$492,LARGE(('Eingabe Meldungen'!$A$2:$A$492=$B$328)*(ROW('Eingabe Meldungen'!$A$2:$A$492)-1),COUNTIF('Eingabe Meldungen'!$A$2:$A$492,$B$328)+1-ROW('Eingabe Meldungen'!A1))))</f>
        <v>Leuter</v>
      </c>
      <c r="C330" s="40" t="str">
        <f t="array" ref="C330">IF(ISERROR(INDEX('Eingabe Meldungen'!$D$2:$D$492,LARGE(('Eingabe Meldungen'!$A$2:$A$492=$B$328)*(ROW('Eingabe Meldungen'!$A$2:$A$492)-1),COUNTIF('Eingabe Meldungen'!$A$2:$A$492,$B$328)+1-ROW('Eingabe Meldungen'!A1)))),"",INDEX('Eingabe Meldungen'!$D$2:$D$492,LARGE(('Eingabe Meldungen'!$A$2:$A$492=$B$328)*(ROW('Eingabe Meldungen'!$A$2:$A$492)-1),COUNTIF('Eingabe Meldungen'!$A$2:$A$492,$B$328)+1-ROW('Eingabe Meldungen'!A1))))</f>
        <v>Nadine</v>
      </c>
      <c r="D330" s="107">
        <f t="array" ref="D330">IF(B330&lt;&gt;"",INDEX('Eingabe Meldungen'!$C$2:$H$492,MATCH(B330&amp;C330,'Eingabe Meldungen'!$C$2:$C$492&amp;'Eingabe Meldungen'!$D$2:$D$492,0),6),"")</f>
        <v>1995</v>
      </c>
      <c r="E330" s="107" t="str">
        <f t="array" ref="E330">IF(B330&lt;&gt;"",INDEX('Eingabe Meldungen'!$C$2:$H$492,MATCH(B330&amp;C330,'Eingabe Meldungen'!$C$2:$C$492&amp;'Eingabe Meldungen'!$D$2:$D$492,0),4),"")</f>
        <v>LGW. bis 61 kg</v>
      </c>
      <c r="F330" s="107">
        <v>1</v>
      </c>
      <c r="G330" s="149"/>
      <c r="H330" s="40" t="e">
        <f>RANK(G330,$G$330:$G$345,1)</f>
        <v>#N/A</v>
      </c>
      <c r="I330" s="107" t="str">
        <f t="array" ref="I330">IF(B330&lt;&gt;"",INDEX('Eingabe Meldungen'!$C$2:$J$492,MATCH(B330&amp;C330,'Eingabe Meldungen'!$C$2:$C$492&amp;'Eingabe Meldungen'!$D$2:$D$492,0),8),"")</f>
        <v>RV Waldsee</v>
      </c>
      <c r="J330" s="40"/>
      <c r="K330" s="40"/>
      <c r="L330" s="151"/>
      <c r="M330" s="112"/>
      <c r="O330" s="11"/>
      <c r="P330" s="10"/>
      <c r="Q330" s="11"/>
      <c r="R330" s="11"/>
      <c r="S330" s="11"/>
      <c r="T330" s="11"/>
      <c r="U330" s="11"/>
      <c r="Y330" s="15"/>
    </row>
    <row r="331" spans="2:25" ht="13.2" hidden="1" thickBot="1" x14ac:dyDescent="0.25">
      <c r="B331" s="148" t="str">
        <f t="array" ref="B331">IF(ISERROR(INDEX('Eingabe Meldungen'!$C$2:$C$492,LARGE(('Eingabe Meldungen'!$A$2:$A$492=$B$328)*(ROW('Eingabe Meldungen'!$A$2:$A$492)-1),COUNTIF('Eingabe Meldungen'!$A$2:$A$492,$B$328)+1-ROW('Eingabe Meldungen'!A2)))),"",INDEX('Eingabe Meldungen'!$C$2:$C$492,LARGE(('Eingabe Meldungen'!$A$2:$A$492=$B$328)*(ROW('Eingabe Meldungen'!$A$2:$A$492)-1),COUNTIF('Eingabe Meldungen'!$A$2:$A$492,$B$328)+1-ROW('Eingabe Meldungen'!A2))))</f>
        <v>Reimer</v>
      </c>
      <c r="C331" s="40" t="str">
        <f t="array" ref="C331">IF(ISERROR(INDEX('Eingabe Meldungen'!$D$2:$D$492,LARGE(('Eingabe Meldungen'!$A$2:$A$492=$B$328)*(ROW('Eingabe Meldungen'!$A$2:$A$492)-1),COUNTIF('Eingabe Meldungen'!$A$2:$A$492,$B$328)+1-ROW('Eingabe Meldungen'!A2)))),"",INDEX('Eingabe Meldungen'!$D$2:$D$492,LARGE(('Eingabe Meldungen'!$A$2:$A$492=$B$328)*(ROW('Eingabe Meldungen'!$A$2:$A$492)-1),COUNTIF('Eingabe Meldungen'!$A$2:$A$492,$B$328)+1-ROW('Eingabe Meldungen'!A2))))</f>
        <v>Cathrin</v>
      </c>
      <c r="D331" s="107">
        <f t="array" ref="D331">IF(B331&lt;&gt;"",INDEX('Eingabe Meldungen'!$C$2:$H$492,MATCH(B331&amp;C331,'Eingabe Meldungen'!$C$2:$C$492&amp;'Eingabe Meldungen'!$D$2:$D$492,0),6),"")</f>
        <v>2001</v>
      </c>
      <c r="E331" s="107" t="str">
        <f t="array" ref="E331">IF(B331&lt;&gt;"",INDEX('Eingabe Meldungen'!$C$2:$H$492,MATCH(B331&amp;C331,'Eingabe Meldungen'!$C$2:$C$492&amp;'Eingabe Meldungen'!$D$2:$D$492,0),4),"")</f>
        <v>LGW. bis 61 kg</v>
      </c>
      <c r="F331" s="39">
        <v>2</v>
      </c>
      <c r="G331" s="149"/>
      <c r="H331" s="40" t="e">
        <f t="shared" ref="H331:H345" si="17">RANK(G331,$G$330:$G$345,1)</f>
        <v>#N/A</v>
      </c>
      <c r="I331" s="107" t="str">
        <f t="array" ref="I331">IF(B331&lt;&gt;"",INDEX('Eingabe Meldungen'!$C$2:$J$492,MATCH(B331&amp;C331,'Eingabe Meldungen'!$C$2:$C$492&amp;'Eingabe Meldungen'!$D$2:$D$492,0),8),"")</f>
        <v>RV Waldsee</v>
      </c>
      <c r="J331" s="40"/>
      <c r="K331" s="40"/>
      <c r="L331" s="151"/>
      <c r="M331" s="112"/>
      <c r="O331" s="11"/>
      <c r="P331" s="10"/>
      <c r="Q331" s="11"/>
      <c r="R331" s="11"/>
      <c r="S331" s="11"/>
      <c r="T331" s="11"/>
      <c r="U331" s="11"/>
      <c r="Y331" s="15"/>
    </row>
    <row r="332" spans="2:25" ht="13.2" hidden="1" thickBot="1" x14ac:dyDescent="0.25">
      <c r="B332" s="148" t="str">
        <f t="array" ref="B332">IF(ISERROR(INDEX('Eingabe Meldungen'!$C$2:$C$492,LARGE(('Eingabe Meldungen'!$A$2:$A$492=$B$328)*(ROW('Eingabe Meldungen'!$A$2:$A$492)-1),COUNTIF('Eingabe Meldungen'!$A$2:$A$492,$B$328)+1-ROW('Eingabe Meldungen'!A3)))),"",INDEX('Eingabe Meldungen'!$C$2:$C$492,LARGE(('Eingabe Meldungen'!$A$2:$A$492=$B$328)*(ROW('Eingabe Meldungen'!$A$2:$A$492)-1),COUNTIF('Eingabe Meldungen'!$A$2:$A$492,$B$328)+1-ROW('Eingabe Meldungen'!A3))))</f>
        <v>Outojane</v>
      </c>
      <c r="C332" s="40" t="str">
        <f t="array" ref="C332">IF(ISERROR(INDEX('Eingabe Meldungen'!$D$2:$D$492,LARGE(('Eingabe Meldungen'!$A$2:$A$492=$B$328)*(ROW('Eingabe Meldungen'!$A$2:$A$492)-1),COUNTIF('Eingabe Meldungen'!$A$2:$A$492,$B$328)+1-ROW('Eingabe Meldungen'!A3)))),"",INDEX('Eingabe Meldungen'!$D$2:$D$492,LARGE(('Eingabe Meldungen'!$A$2:$A$492=$B$328)*(ROW('Eingabe Meldungen'!$A$2:$A$492)-1),COUNTIF('Eingabe Meldungen'!$A$2:$A$492,$B$328)+1-ROW('Eingabe Meldungen'!A3))))</f>
        <v>Hanaa</v>
      </c>
      <c r="D332" s="107">
        <f t="array" ref="D332">IF(B332&lt;&gt;"",INDEX('Eingabe Meldungen'!$C$2:$H$492,MATCH(B332&amp;C332,'Eingabe Meldungen'!$C$2:$C$492&amp;'Eingabe Meldungen'!$D$2:$D$492,0),6),"")</f>
        <v>2001</v>
      </c>
      <c r="E332" s="107" t="str">
        <f t="array" ref="E332">IF(B332&lt;&gt;"",INDEX('Eingabe Meldungen'!$C$2:$H$492,MATCH(B332&amp;C332,'Eingabe Meldungen'!$C$2:$C$492&amp;'Eingabe Meldungen'!$D$2:$D$492,0),4),"")</f>
        <v>LGW. bis 61 kg</v>
      </c>
      <c r="F332" s="39">
        <v>3</v>
      </c>
      <c r="G332" s="150"/>
      <c r="H332" s="40" t="e">
        <f t="shared" si="17"/>
        <v>#N/A</v>
      </c>
      <c r="I332" s="107" t="str">
        <f t="array" ref="I332">IF(B332&lt;&gt;"",INDEX('Eingabe Meldungen'!$C$2:$J$492,MATCH(B332&amp;C332,'Eingabe Meldungen'!$C$2:$C$492&amp;'Eingabe Meldungen'!$D$2:$D$492,0),8),"")</f>
        <v>RG Eberbach</v>
      </c>
      <c r="J332" s="40"/>
      <c r="K332" s="40"/>
      <c r="L332" s="151"/>
      <c r="M332" s="147"/>
      <c r="O332" s="11"/>
      <c r="P332" s="10"/>
      <c r="Q332" s="11"/>
      <c r="R332" s="11"/>
      <c r="S332" s="11"/>
      <c r="T332" s="11"/>
      <c r="U332" s="11"/>
      <c r="Y332" s="15"/>
    </row>
    <row r="333" spans="2:25" ht="13.2" hidden="1" thickBot="1" x14ac:dyDescent="0.25">
      <c r="B333" s="148" t="str">
        <f t="array" ref="B333">IF(ISERROR(INDEX('Eingabe Meldungen'!$C$2:$C$492,LARGE(('Eingabe Meldungen'!$A$2:$A$492=$B$328)*(ROW('Eingabe Meldungen'!$A$2:$A$492)-1),COUNTIF('Eingabe Meldungen'!$A$2:$A$492,$B$328)+1-ROW('Eingabe Meldungen'!A4)))),"",INDEX('Eingabe Meldungen'!$C$2:$C$492,LARGE(('Eingabe Meldungen'!$A$2:$A$492=$B$328)*(ROW('Eingabe Meldungen'!$A$2:$A$492)-1),COUNTIF('Eingabe Meldungen'!$A$2:$A$492,$B$328)+1-ROW('Eingabe Meldungen'!A4))))</f>
        <v/>
      </c>
      <c r="C333" s="40" t="str">
        <f t="array" ref="C333">IF(ISERROR(INDEX('Eingabe Meldungen'!$D$2:$D$492,LARGE(('Eingabe Meldungen'!$A$2:$A$492=$B$328)*(ROW('Eingabe Meldungen'!$A$2:$A$492)-1),COUNTIF('Eingabe Meldungen'!$A$2:$A$492,$B$328)+1-ROW('Eingabe Meldungen'!A4)))),"",INDEX('Eingabe Meldungen'!$D$2:$D$492,LARGE(('Eingabe Meldungen'!$A$2:$A$492=$B$328)*(ROW('Eingabe Meldungen'!$A$2:$A$492)-1),COUNTIF('Eingabe Meldungen'!$A$2:$A$492,$B$328)+1-ROW('Eingabe Meldungen'!A4))))</f>
        <v/>
      </c>
      <c r="D333" s="107" t="str">
        <f t="array" ref="D333">IF(B333&lt;&gt;"",INDEX('Eingabe Meldungen'!$C$2:$H$492,MATCH(B333&amp;C333,'Eingabe Meldungen'!$C$2:$C$492&amp;'Eingabe Meldungen'!$D$2:$D$492,0),6),"")</f>
        <v/>
      </c>
      <c r="E333" s="107" t="str">
        <f t="array" ref="E333">IF(B333&lt;&gt;"",INDEX('Eingabe Meldungen'!$C$2:$H$492,MATCH(B333&amp;C333,'Eingabe Meldungen'!$C$2:$C$492&amp;'Eingabe Meldungen'!$D$2:$D$492,0),4),"")</f>
        <v/>
      </c>
      <c r="F333" s="39">
        <v>4</v>
      </c>
      <c r="G333" s="150"/>
      <c r="H333" s="40" t="e">
        <f t="shared" si="17"/>
        <v>#N/A</v>
      </c>
      <c r="I333" s="107" t="str">
        <f t="array" ref="I333">IF(B333&lt;&gt;"",INDEX('Eingabe Meldungen'!$C$2:$J$492,MATCH(B333&amp;C333,'Eingabe Meldungen'!$C$2:$C$492&amp;'Eingabe Meldungen'!$D$2:$D$492,0),8),"")</f>
        <v/>
      </c>
      <c r="J333" s="40"/>
      <c r="K333" s="40"/>
      <c r="L333" s="151"/>
      <c r="M333" s="147"/>
      <c r="O333" s="11"/>
      <c r="P333" s="10"/>
      <c r="Q333" s="11"/>
      <c r="R333" s="11"/>
      <c r="S333" s="11"/>
      <c r="T333" s="11"/>
      <c r="U333" s="11"/>
      <c r="Y333" s="15"/>
    </row>
    <row r="334" spans="2:25" ht="13.2" hidden="1" thickBot="1" x14ac:dyDescent="0.25">
      <c r="B334" s="148" t="str">
        <f t="array" ref="B334">IF(ISERROR(INDEX('Eingabe Meldungen'!$C$2:$C$492,LARGE(('Eingabe Meldungen'!$A$2:$A$492=$B$328)*(ROW('Eingabe Meldungen'!$A$2:$A$492)-1),COUNTIF('Eingabe Meldungen'!$A$2:$A$492,$B$328)+1-ROW('Eingabe Meldungen'!A5)))),"",INDEX('Eingabe Meldungen'!$C$2:$C$492,LARGE(('Eingabe Meldungen'!$A$2:$A$492=$B$328)*(ROW('Eingabe Meldungen'!$A$2:$A$492)-1),COUNTIF('Eingabe Meldungen'!$A$2:$A$492,$B$328)+1-ROW('Eingabe Meldungen'!A5))))</f>
        <v/>
      </c>
      <c r="C334" s="40" t="str">
        <f t="array" ref="C334">IF(ISERROR(INDEX('Eingabe Meldungen'!$D$2:$D$492,LARGE(('Eingabe Meldungen'!$A$2:$A$492=$B$328)*(ROW('Eingabe Meldungen'!$A$2:$A$492)-1),COUNTIF('Eingabe Meldungen'!$A$2:$A$492,$B$328)+1-ROW('Eingabe Meldungen'!A5)))),"",INDEX('Eingabe Meldungen'!$D$2:$D$492,LARGE(('Eingabe Meldungen'!$A$2:$A$492=$B$328)*(ROW('Eingabe Meldungen'!$A$2:$A$492)-1),COUNTIF('Eingabe Meldungen'!$A$2:$A$492,$B$328)+1-ROW('Eingabe Meldungen'!A5))))</f>
        <v/>
      </c>
      <c r="D334" s="107" t="str">
        <f t="array" ref="D334">IF(B334&lt;&gt;"",INDEX('Eingabe Meldungen'!$C$2:$H$492,MATCH(B334&amp;C334,'Eingabe Meldungen'!$C$2:$C$492&amp;'Eingabe Meldungen'!$D$2:$D$492,0),6),"")</f>
        <v/>
      </c>
      <c r="E334" s="107" t="str">
        <f t="array" ref="E334">IF(B334&lt;&gt;"",INDEX('Eingabe Meldungen'!$C$2:$H$492,MATCH(B334&amp;C334,'Eingabe Meldungen'!$C$2:$C$492&amp;'Eingabe Meldungen'!$D$2:$D$492,0),4),"")</f>
        <v/>
      </c>
      <c r="F334" s="39">
        <v>5</v>
      </c>
      <c r="G334" s="150"/>
      <c r="H334" s="40" t="e">
        <f t="shared" si="17"/>
        <v>#N/A</v>
      </c>
      <c r="I334" s="107" t="str">
        <f t="array" ref="I334">IF(B334&lt;&gt;"",INDEX('Eingabe Meldungen'!$C$2:$J$492,MATCH(B334&amp;C334,'Eingabe Meldungen'!$C$2:$C$492&amp;'Eingabe Meldungen'!$D$2:$D$492,0),8),"")</f>
        <v/>
      </c>
      <c r="J334" s="40"/>
      <c r="K334" s="40"/>
      <c r="L334" s="151"/>
      <c r="M334" s="112"/>
      <c r="O334" s="11"/>
      <c r="P334" s="10"/>
      <c r="Q334" s="11"/>
      <c r="R334" s="11"/>
      <c r="S334" s="11"/>
      <c r="T334" s="11"/>
      <c r="U334" s="11"/>
      <c r="Y334" s="15"/>
    </row>
    <row r="335" spans="2:25" ht="13.2" hidden="1" thickBot="1" x14ac:dyDescent="0.25">
      <c r="B335" s="148" t="str">
        <f t="array" ref="B335">IF(ISERROR(INDEX('Eingabe Meldungen'!$C$2:$C$492,LARGE(('Eingabe Meldungen'!$A$2:$A$492=$B$328)*(ROW('Eingabe Meldungen'!$A$2:$A$492)-1),COUNTIF('Eingabe Meldungen'!$A$2:$A$492,$B$328)+1-ROW('Eingabe Meldungen'!A6)))),"",INDEX('Eingabe Meldungen'!$C$2:$C$492,LARGE(('Eingabe Meldungen'!$A$2:$A$492=$B$328)*(ROW('Eingabe Meldungen'!$A$2:$A$492)-1),COUNTIF('Eingabe Meldungen'!$A$2:$A$492,$B$328)+1-ROW('Eingabe Meldungen'!A6))))</f>
        <v/>
      </c>
      <c r="C335" s="40" t="str">
        <f t="array" ref="C335">IF(ISERROR(INDEX('Eingabe Meldungen'!$D$2:$D$492,LARGE(('Eingabe Meldungen'!$A$2:$A$492=$B$328)*(ROW('Eingabe Meldungen'!$A$2:$A$492)-1),COUNTIF('Eingabe Meldungen'!$A$2:$A$492,$B$328)+1-ROW('Eingabe Meldungen'!A6)))),"",INDEX('Eingabe Meldungen'!$D$2:$D$492,LARGE(('Eingabe Meldungen'!$A$2:$A$492=$B$328)*(ROW('Eingabe Meldungen'!$A$2:$A$492)-1),COUNTIF('Eingabe Meldungen'!$A$2:$A$492,$B$328)+1-ROW('Eingabe Meldungen'!A6))))</f>
        <v/>
      </c>
      <c r="D335" s="107" t="str">
        <f t="array" ref="D335">IF(B335&lt;&gt;"",INDEX('Eingabe Meldungen'!$C$2:$H$492,MATCH(B335&amp;C335,'Eingabe Meldungen'!$C$2:$C$492&amp;'Eingabe Meldungen'!$D$2:$D$492,0),6),"")</f>
        <v/>
      </c>
      <c r="E335" s="107" t="str">
        <f t="array" ref="E335">IF(B335&lt;&gt;"",INDEX('Eingabe Meldungen'!$C$2:$H$492,MATCH(B335&amp;C335,'Eingabe Meldungen'!$C$2:$C$492&amp;'Eingabe Meldungen'!$D$2:$D$492,0),4),"")</f>
        <v/>
      </c>
      <c r="F335" s="39">
        <v>6</v>
      </c>
      <c r="G335" s="150"/>
      <c r="H335" s="40" t="e">
        <f t="shared" si="17"/>
        <v>#N/A</v>
      </c>
      <c r="I335" s="107" t="str">
        <f t="array" ref="I335">IF(B335&lt;&gt;"",INDEX('Eingabe Meldungen'!$C$2:$J$492,MATCH(B335&amp;C335,'Eingabe Meldungen'!$C$2:$C$492&amp;'Eingabe Meldungen'!$D$2:$D$492,0),8),"")</f>
        <v/>
      </c>
      <c r="J335" s="40"/>
      <c r="K335" s="40"/>
      <c r="L335" s="151"/>
      <c r="M335" s="112"/>
      <c r="O335" s="11"/>
      <c r="P335" s="10"/>
      <c r="Q335" s="11"/>
      <c r="R335" s="11"/>
      <c r="S335" s="11"/>
      <c r="T335" s="11"/>
      <c r="U335" s="11"/>
      <c r="Y335" s="15"/>
    </row>
    <row r="336" spans="2:25" ht="13.2" hidden="1" thickBot="1" x14ac:dyDescent="0.25">
      <c r="B336" s="148" t="str">
        <f t="array" ref="B336">IF(ISERROR(INDEX('Eingabe Meldungen'!$C$2:$C$492,LARGE(('Eingabe Meldungen'!$A$2:$A$492=$B$328)*(ROW('Eingabe Meldungen'!$A$2:$A$492)-1),COUNTIF('Eingabe Meldungen'!$A$2:$A$492,$B$328)+1-ROW('Eingabe Meldungen'!A8)))),"",INDEX('Eingabe Meldungen'!$C$2:$C$492,LARGE(('Eingabe Meldungen'!$A$2:$A$492=$B$328)*(ROW('Eingabe Meldungen'!$A$2:$A$492)-1),COUNTIF('Eingabe Meldungen'!$A$2:$A$492,$B$328)+1-ROW('Eingabe Meldungen'!A8))))</f>
        <v/>
      </c>
      <c r="C336" s="40" t="str">
        <f t="array" ref="C336">IF(ISERROR(INDEX('Eingabe Meldungen'!$D$2:$D$492,LARGE(('Eingabe Meldungen'!$A$2:$A$492=$B$328)*(ROW('Eingabe Meldungen'!$A$2:$A$492)-1),COUNTIF('Eingabe Meldungen'!$A$2:$A$492,$B$328)+1-ROW('Eingabe Meldungen'!A8)))),"",INDEX('Eingabe Meldungen'!$D$2:$D$492,LARGE(('Eingabe Meldungen'!$A$2:$A$492=$B$328)*(ROW('Eingabe Meldungen'!$A$2:$A$492)-1),COUNTIF('Eingabe Meldungen'!$A$2:$A$492,$B$328)+1-ROW('Eingabe Meldungen'!A8))))</f>
        <v/>
      </c>
      <c r="D336" s="107" t="str">
        <f t="array" ref="D336">IF(B336&lt;&gt;"",INDEX('Eingabe Meldungen'!$C$2:$H$492,MATCH(B336&amp;C336,'Eingabe Meldungen'!$C$2:$C$492&amp;'Eingabe Meldungen'!$D$2:$D$492,0),6),"")</f>
        <v/>
      </c>
      <c r="E336" s="107" t="str">
        <f t="array" ref="E336">IF(B336&lt;&gt;"",INDEX('Eingabe Meldungen'!$C$2:$H$492,MATCH(B336&amp;C336,'Eingabe Meldungen'!$C$2:$C$492&amp;'Eingabe Meldungen'!$D$2:$D$492,0),4),"")</f>
        <v/>
      </c>
      <c r="F336" s="39">
        <v>7</v>
      </c>
      <c r="G336" s="150"/>
      <c r="H336" s="40" t="e">
        <f t="shared" si="17"/>
        <v>#N/A</v>
      </c>
      <c r="I336" s="107" t="str">
        <f t="array" ref="I336">IF(B336&lt;&gt;"",INDEX('Eingabe Meldungen'!$C$2:$J$492,MATCH(B336&amp;C336,'Eingabe Meldungen'!$C$2:$C$492&amp;'Eingabe Meldungen'!$D$2:$D$492,0),8),"")</f>
        <v/>
      </c>
      <c r="J336" s="40"/>
      <c r="K336" s="40"/>
      <c r="L336" s="151"/>
      <c r="M336" s="112"/>
      <c r="O336" s="11"/>
      <c r="P336" s="10"/>
      <c r="Q336" s="11"/>
      <c r="R336" s="11"/>
      <c r="S336" s="11"/>
      <c r="T336" s="11"/>
      <c r="U336" s="11"/>
      <c r="Y336" s="15"/>
    </row>
    <row r="337" spans="2:25" ht="13.2" hidden="1" thickBot="1" x14ac:dyDescent="0.25">
      <c r="B337" s="148" t="str">
        <f t="array" ref="B337">IF(ISERROR(INDEX('Eingabe Meldungen'!$C$2:$C$492,LARGE(('Eingabe Meldungen'!$A$2:$A$492=$B$328)*(ROW('Eingabe Meldungen'!$A$2:$A$492)-1),COUNTIF('Eingabe Meldungen'!$A$2:$A$492,$B$328)+1-ROW('Eingabe Meldungen'!A9)))),"",INDEX('Eingabe Meldungen'!$C$2:$C$492,LARGE(('Eingabe Meldungen'!$A$2:$A$492=$B$328)*(ROW('Eingabe Meldungen'!$A$2:$A$492)-1),COUNTIF('Eingabe Meldungen'!$A$2:$A$492,$B$328)+1-ROW('Eingabe Meldungen'!A9))))</f>
        <v/>
      </c>
      <c r="C337" s="40" t="str">
        <f t="array" ref="C337">IF(ISERROR(INDEX('Eingabe Meldungen'!$D$2:$D$492,LARGE(('Eingabe Meldungen'!$A$2:$A$492=$B$328)*(ROW('Eingabe Meldungen'!$A$2:$A$492)-1),COUNTIF('Eingabe Meldungen'!$A$2:$A$492,$B$328)+1-ROW('Eingabe Meldungen'!A9)))),"",INDEX('Eingabe Meldungen'!$D$2:$D$492,LARGE(('Eingabe Meldungen'!$A$2:$A$492=$B$328)*(ROW('Eingabe Meldungen'!$A$2:$A$492)-1),COUNTIF('Eingabe Meldungen'!$A$2:$A$492,$B$328)+1-ROW('Eingabe Meldungen'!A9))))</f>
        <v/>
      </c>
      <c r="D337" s="107" t="str">
        <f t="array" ref="D337">IF(B337&lt;&gt;"",INDEX('Eingabe Meldungen'!$C$2:$H$492,MATCH(B337&amp;C337,'Eingabe Meldungen'!$C$2:$C$492&amp;'Eingabe Meldungen'!$D$2:$D$492,0),6),"")</f>
        <v/>
      </c>
      <c r="E337" s="107" t="str">
        <f t="array" ref="E337">IF(B337&lt;&gt;"",INDEX('Eingabe Meldungen'!$C$2:$H$492,MATCH(B337&amp;C337,'Eingabe Meldungen'!$C$2:$C$492&amp;'Eingabe Meldungen'!$D$2:$D$492,0),4),"")</f>
        <v/>
      </c>
      <c r="F337" s="39">
        <v>8</v>
      </c>
      <c r="G337" s="150"/>
      <c r="H337" s="40" t="e">
        <f t="shared" si="17"/>
        <v>#N/A</v>
      </c>
      <c r="I337" s="107" t="str">
        <f t="array" ref="I337">IF(B337&lt;&gt;"",INDEX('Eingabe Meldungen'!$C$2:$J$492,MATCH(B337&amp;C337,'Eingabe Meldungen'!$C$2:$C$492&amp;'Eingabe Meldungen'!$D$2:$D$492,0),8),"")</f>
        <v/>
      </c>
      <c r="J337" s="40"/>
      <c r="K337" s="40"/>
      <c r="L337" s="151"/>
      <c r="M337" s="112"/>
      <c r="O337" s="11"/>
      <c r="P337" s="10"/>
      <c r="Q337" s="11"/>
      <c r="R337" s="11"/>
      <c r="S337" s="11"/>
      <c r="T337" s="11"/>
      <c r="U337" s="11"/>
      <c r="Y337" s="15"/>
    </row>
    <row r="338" spans="2:25" ht="13.2" hidden="1" thickBot="1" x14ac:dyDescent="0.25">
      <c r="B338" s="148" t="str">
        <f t="array" ref="B338">IF(ISERROR(INDEX('Eingabe Meldungen'!$C$2:$C$492,LARGE(('Eingabe Meldungen'!$A$2:$A$492=$B$328)*(ROW('Eingabe Meldungen'!$A$2:$A$492)-1),COUNTIF('Eingabe Meldungen'!$A$2:$A$492,$B$328)+1-ROW('Eingabe Meldungen'!A10)))),"",INDEX('Eingabe Meldungen'!$C$2:$C$492,LARGE(('Eingabe Meldungen'!$A$2:$A$492=$B$328)*(ROW('Eingabe Meldungen'!$A$2:$A$492)-1),COUNTIF('Eingabe Meldungen'!$A$2:$A$492,$B$328)+1-ROW('Eingabe Meldungen'!A10))))</f>
        <v/>
      </c>
      <c r="C338" s="40" t="str">
        <f t="array" ref="C338">IF(ISERROR(INDEX('Eingabe Meldungen'!$D$2:$D$492,LARGE(('Eingabe Meldungen'!$A$2:$A$492=$B$328)*(ROW('Eingabe Meldungen'!$A$2:$A$492)-1),COUNTIF('Eingabe Meldungen'!$A$2:$A$492,$B$328)+1-ROW('Eingabe Meldungen'!A10)))),"",INDEX('Eingabe Meldungen'!$D$2:$D$492,LARGE(('Eingabe Meldungen'!$A$2:$A$492=$B$328)*(ROW('Eingabe Meldungen'!$A$2:$A$492)-1),COUNTIF('Eingabe Meldungen'!$A$2:$A$492,$B$328)+1-ROW('Eingabe Meldungen'!A10))))</f>
        <v/>
      </c>
      <c r="D338" s="107" t="str">
        <f t="array" ref="D338">IF(B338&lt;&gt;"",INDEX('Eingabe Meldungen'!$C$2:$H$492,MATCH(B338&amp;C338,'Eingabe Meldungen'!$C$2:$C$492&amp;'Eingabe Meldungen'!$D$2:$D$492,0),6),"")</f>
        <v/>
      </c>
      <c r="E338" s="107" t="str">
        <f t="array" ref="E338">IF(B338&lt;&gt;"",INDEX('Eingabe Meldungen'!$C$2:$H$492,MATCH(B338&amp;C338,'Eingabe Meldungen'!$C$2:$C$492&amp;'Eingabe Meldungen'!$D$2:$D$492,0),4),"")</f>
        <v/>
      </c>
      <c r="F338" s="39">
        <v>9</v>
      </c>
      <c r="G338" s="150"/>
      <c r="H338" s="40" t="e">
        <f t="shared" si="17"/>
        <v>#N/A</v>
      </c>
      <c r="I338" s="107" t="str">
        <f t="array" ref="I338">IF(B338&lt;&gt;"",INDEX('Eingabe Meldungen'!$C$2:$J$492,MATCH(B338&amp;C338,'Eingabe Meldungen'!$C$2:$C$492&amp;'Eingabe Meldungen'!$D$2:$D$492,0),8),"")</f>
        <v/>
      </c>
      <c r="J338" s="40"/>
      <c r="K338" s="40"/>
      <c r="L338" s="151"/>
      <c r="M338" s="112"/>
      <c r="O338" s="11"/>
      <c r="P338" s="10"/>
      <c r="Q338" s="11"/>
      <c r="R338" s="11"/>
      <c r="S338" s="11"/>
      <c r="T338" s="11"/>
      <c r="U338" s="11"/>
      <c r="Y338" s="15"/>
    </row>
    <row r="339" spans="2:25" ht="12.75" hidden="1" customHeight="1" x14ac:dyDescent="0.2">
      <c r="B339" s="148" t="str">
        <f t="array" ref="B339">IF(ISERROR(INDEX('Eingabe Meldungen'!$C$2:$C$492,LARGE(('Eingabe Meldungen'!$A$2:$A$492=$B$328)*(ROW('Eingabe Meldungen'!$A$2:$A$492)-1),COUNTIF('Eingabe Meldungen'!$A$2:$A$492,$B$328)+1-ROW('Eingabe Meldungen'!A11)))),"",INDEX('Eingabe Meldungen'!$C$2:$C$492,LARGE(('Eingabe Meldungen'!$A$2:$A$492=$B$328)*(ROW('Eingabe Meldungen'!$A$2:$A$492)-1),COUNTIF('Eingabe Meldungen'!$A$2:$A$492,$B$328)+1-ROW('Eingabe Meldungen'!A11))))</f>
        <v/>
      </c>
      <c r="C339" s="40" t="str">
        <f t="array" ref="C339">IF(ISERROR(INDEX('Eingabe Meldungen'!$D$2:$D$492,LARGE(('Eingabe Meldungen'!$A$2:$A$492=$B$328)*(ROW('Eingabe Meldungen'!$A$2:$A$492)-1),COUNTIF('Eingabe Meldungen'!$A$2:$A$492,$B$328)+1-ROW('Eingabe Meldungen'!A11)))),"",INDEX('Eingabe Meldungen'!$D$2:$D$492,LARGE(('Eingabe Meldungen'!$A$2:$A$492=$B$328)*(ROW('Eingabe Meldungen'!$A$2:$A$492)-1),COUNTIF('Eingabe Meldungen'!$A$2:$A$492,$B$328)+1-ROW('Eingabe Meldungen'!A11))))</f>
        <v/>
      </c>
      <c r="D339" s="107" t="str">
        <f t="array" ref="D339">IF(B339&lt;&gt;"",INDEX('Eingabe Meldungen'!$C$2:$H$492,MATCH(B339&amp;C339,'Eingabe Meldungen'!$C$2:$C$492&amp;'Eingabe Meldungen'!$D$2:$D$492,0),6),"")</f>
        <v/>
      </c>
      <c r="E339" s="107" t="str">
        <f t="array" ref="E339">IF(B339&lt;&gt;"",INDEX('Eingabe Meldungen'!$C$2:$H$492,MATCH(B339&amp;C339,'Eingabe Meldungen'!$C$2:$C$492&amp;'Eingabe Meldungen'!$D$2:$D$492,0),4),"")</f>
        <v/>
      </c>
      <c r="F339" s="39">
        <v>10</v>
      </c>
      <c r="G339" s="150"/>
      <c r="H339" s="40" t="e">
        <f t="shared" si="17"/>
        <v>#N/A</v>
      </c>
      <c r="I339" s="107" t="str">
        <f t="array" ref="I339">IF(B339&lt;&gt;"",INDEX('Eingabe Meldungen'!$C$2:$J$492,MATCH(B339&amp;C339,'Eingabe Meldungen'!$C$2:$C$492&amp;'Eingabe Meldungen'!$D$2:$D$492,0),8),"")</f>
        <v/>
      </c>
      <c r="J339" s="40"/>
      <c r="K339" s="40"/>
      <c r="L339" s="151"/>
      <c r="M339" s="112"/>
      <c r="O339" s="11"/>
      <c r="P339" s="10"/>
      <c r="Q339" s="11"/>
      <c r="R339" s="11"/>
      <c r="S339" s="11"/>
      <c r="T339" s="11"/>
      <c r="U339" s="11"/>
    </row>
    <row r="340" spans="2:25" ht="13.2" hidden="1" thickBot="1" x14ac:dyDescent="0.25">
      <c r="B340" s="148" t="str">
        <f t="array" ref="B340">IF(ISERROR(INDEX('Eingabe Meldungen'!$C$2:$C$492,LARGE(('Eingabe Meldungen'!$A$2:$A$492=$B$328)*(ROW('Eingabe Meldungen'!$A$2:$A$492)-1),COUNTIF('Eingabe Meldungen'!$A$2:$A$492,$B$328)+1-ROW('Eingabe Meldungen'!A12)))),"",INDEX('Eingabe Meldungen'!$C$2:$C$492,LARGE(('Eingabe Meldungen'!$A$2:$A$492=$B$328)*(ROW('Eingabe Meldungen'!$A$2:$A$492)-1),COUNTIF('Eingabe Meldungen'!$A$2:$A$492,$B$328)+1-ROW('Eingabe Meldungen'!A12))))</f>
        <v/>
      </c>
      <c r="C340" s="40" t="str">
        <f t="array" ref="C340">IF(ISERROR(INDEX('Eingabe Meldungen'!$D$2:$D$492,LARGE(('Eingabe Meldungen'!$A$2:$A$492=$B$328)*(ROW('Eingabe Meldungen'!$A$2:$A$492)-1),COUNTIF('Eingabe Meldungen'!$A$2:$A$492,$B$328)+1-ROW('Eingabe Meldungen'!A12)))),"",INDEX('Eingabe Meldungen'!$D$2:$D$492,LARGE(('Eingabe Meldungen'!$A$2:$A$492=$B$328)*(ROW('Eingabe Meldungen'!$A$2:$A$492)-1),COUNTIF('Eingabe Meldungen'!$A$2:$A$492,$B$328)+1-ROW('Eingabe Meldungen'!A12))))</f>
        <v/>
      </c>
      <c r="D340" s="107" t="str">
        <f t="array" ref="D340">IF(B340&lt;&gt;"",INDEX('Eingabe Meldungen'!$C$2:$H$492,MATCH(B340&amp;C340,'Eingabe Meldungen'!$C$2:$C$492&amp;'Eingabe Meldungen'!$D$2:$D$492,0),6),"")</f>
        <v/>
      </c>
      <c r="E340" s="107" t="str">
        <f t="array" ref="E340">IF(B340&lt;&gt;"",INDEX('Eingabe Meldungen'!$C$2:$H$492,MATCH(B340&amp;C340,'Eingabe Meldungen'!$C$2:$C$492&amp;'Eingabe Meldungen'!$D$2:$D$492,0),4),"")</f>
        <v/>
      </c>
      <c r="F340" s="39">
        <v>11</v>
      </c>
      <c r="G340" s="150"/>
      <c r="H340" s="40" t="e">
        <f t="shared" si="17"/>
        <v>#N/A</v>
      </c>
      <c r="I340" s="107" t="str">
        <f t="array" ref="I340">IF(B340&lt;&gt;"",INDEX('Eingabe Meldungen'!$C$2:$J$492,MATCH(B340&amp;C340,'Eingabe Meldungen'!$C$2:$C$492&amp;'Eingabe Meldungen'!$D$2:$D$492,0),8),"")</f>
        <v/>
      </c>
      <c r="J340" s="40"/>
      <c r="K340" s="40"/>
      <c r="L340" s="151"/>
      <c r="M340" s="112"/>
      <c r="O340" s="11"/>
      <c r="P340" s="10"/>
      <c r="Q340" s="11"/>
      <c r="R340" s="11"/>
      <c r="S340" s="11"/>
      <c r="T340" s="11"/>
      <c r="U340" s="11"/>
    </row>
    <row r="341" spans="2:25" ht="13.2" hidden="1" thickBot="1" x14ac:dyDescent="0.25">
      <c r="B341" s="148" t="str">
        <f t="array" ref="B341">IF(ISERROR(INDEX('Eingabe Meldungen'!$C$2:$C$492,LARGE(('Eingabe Meldungen'!$A$2:$A$492=$B$328)*(ROW('Eingabe Meldungen'!$A$2:$A$492)-1),COUNTIF('Eingabe Meldungen'!$A$2:$A$492,$B$328)+1-ROW('Eingabe Meldungen'!A13)))),"",INDEX('Eingabe Meldungen'!$C$2:$C$492,LARGE(('Eingabe Meldungen'!$A$2:$A$492=$B$328)*(ROW('Eingabe Meldungen'!$A$2:$A$492)-1),COUNTIF('Eingabe Meldungen'!$A$2:$A$492,$B$328)+1-ROW('Eingabe Meldungen'!A13))))</f>
        <v/>
      </c>
      <c r="C341" s="40" t="str">
        <f t="array" ref="C341">IF(ISERROR(INDEX('Eingabe Meldungen'!$D$2:$D$492,LARGE(('Eingabe Meldungen'!$A$2:$A$492=$B$328)*(ROW('Eingabe Meldungen'!$A$2:$A$492)-1),COUNTIF('Eingabe Meldungen'!$A$2:$A$492,$B$328)+1-ROW('Eingabe Meldungen'!A13)))),"",INDEX('Eingabe Meldungen'!$D$2:$D$492,LARGE(('Eingabe Meldungen'!$A$2:$A$492=$B$328)*(ROW('Eingabe Meldungen'!$A$2:$A$492)-1),COUNTIF('Eingabe Meldungen'!$A$2:$A$492,$B$328)+1-ROW('Eingabe Meldungen'!A13))))</f>
        <v/>
      </c>
      <c r="D341" s="107" t="str">
        <f t="array" ref="D341">IF(B341&lt;&gt;"",INDEX('Eingabe Meldungen'!$C$2:$H$492,MATCH(B341&amp;C341,'Eingabe Meldungen'!$C$2:$C$492&amp;'Eingabe Meldungen'!$D$2:$D$492,0),6),"")</f>
        <v/>
      </c>
      <c r="E341" s="107" t="str">
        <f t="array" ref="E341">IF(B341&lt;&gt;"",INDEX('Eingabe Meldungen'!$C$2:$H$492,MATCH(B341&amp;C341,'Eingabe Meldungen'!$C$2:$C$492&amp;'Eingabe Meldungen'!$D$2:$D$492,0),4),"")</f>
        <v/>
      </c>
      <c r="F341" s="39">
        <v>12</v>
      </c>
      <c r="G341" s="150"/>
      <c r="H341" s="40" t="e">
        <f t="shared" si="17"/>
        <v>#N/A</v>
      </c>
      <c r="I341" s="107" t="str">
        <f t="array" ref="I341">IF(B341&lt;&gt;"",INDEX('Eingabe Meldungen'!$C$2:$J$492,MATCH(B341&amp;C341,'Eingabe Meldungen'!$C$2:$C$492&amp;'Eingabe Meldungen'!$D$2:$D$492,0),8),"")</f>
        <v/>
      </c>
      <c r="J341" s="40"/>
      <c r="K341" s="40"/>
      <c r="L341" s="151"/>
      <c r="M341" s="112"/>
      <c r="O341" s="11"/>
      <c r="P341" s="10"/>
      <c r="Q341" s="11"/>
      <c r="R341" s="11"/>
      <c r="S341" s="11"/>
      <c r="T341" s="11"/>
      <c r="U341" s="11"/>
      <c r="Y341" s="15"/>
    </row>
    <row r="342" spans="2:25" ht="13.2" hidden="1" thickBot="1" x14ac:dyDescent="0.25">
      <c r="B342" s="148" t="str">
        <f t="array" ref="B342">IF(ISERROR(INDEX('Eingabe Meldungen'!$C$2:$C$492,LARGE(('Eingabe Meldungen'!$A$2:$A$492=$B$328)*(ROW('Eingabe Meldungen'!$A$2:$A$492)-1),COUNTIF('Eingabe Meldungen'!$A$2:$A$492,$B$328)+1-ROW('Eingabe Meldungen'!A14)))),"",INDEX('Eingabe Meldungen'!$C$2:$C$492,LARGE(('Eingabe Meldungen'!$A$2:$A$492=$B$328)*(ROW('Eingabe Meldungen'!$A$2:$A$492)-1),COUNTIF('Eingabe Meldungen'!$A$2:$A$492,$B$328)+1-ROW('Eingabe Meldungen'!A14))))</f>
        <v/>
      </c>
      <c r="C342" s="40" t="str">
        <f t="array" ref="C342">IF(ISERROR(INDEX('Eingabe Meldungen'!$D$2:$D$492,LARGE(('Eingabe Meldungen'!$A$2:$A$492=$B$328)*(ROW('Eingabe Meldungen'!$A$2:$A$492)-1),COUNTIF('Eingabe Meldungen'!$A$2:$A$492,$B$328)+1-ROW('Eingabe Meldungen'!A14)))),"",INDEX('Eingabe Meldungen'!$D$2:$D$492,LARGE(('Eingabe Meldungen'!$A$2:$A$492=$B$328)*(ROW('Eingabe Meldungen'!$A$2:$A$492)-1),COUNTIF('Eingabe Meldungen'!$A$2:$A$492,$B$328)+1-ROW('Eingabe Meldungen'!A14))))</f>
        <v/>
      </c>
      <c r="D342" s="107" t="str">
        <f t="array" ref="D342">IF(B342&lt;&gt;"",INDEX('Eingabe Meldungen'!$C$2:$H$492,MATCH(B342&amp;C342,'Eingabe Meldungen'!$C$2:$C$492&amp;'Eingabe Meldungen'!$D$2:$D$492,0),6),"")</f>
        <v/>
      </c>
      <c r="E342" s="107" t="str">
        <f t="array" ref="E342">IF(B342&lt;&gt;"",INDEX('Eingabe Meldungen'!$C$2:$H$492,MATCH(B342&amp;C342,'Eingabe Meldungen'!$C$2:$C$492&amp;'Eingabe Meldungen'!$D$2:$D$492,0),4),"")</f>
        <v/>
      </c>
      <c r="F342" s="39">
        <v>13</v>
      </c>
      <c r="G342" s="150"/>
      <c r="H342" s="40" t="e">
        <f t="shared" si="17"/>
        <v>#N/A</v>
      </c>
      <c r="I342" s="107" t="str">
        <f t="array" ref="I342">IF(B342&lt;&gt;"",INDEX('Eingabe Meldungen'!$C$2:$J$492,MATCH(B342&amp;C342,'Eingabe Meldungen'!$C$2:$C$492&amp;'Eingabe Meldungen'!$D$2:$D$492,0),8),"")</f>
        <v/>
      </c>
      <c r="J342" s="40"/>
      <c r="K342" s="40"/>
      <c r="L342" s="151"/>
      <c r="M342" s="112"/>
      <c r="O342" s="11"/>
      <c r="P342" s="10"/>
      <c r="Q342" s="11"/>
      <c r="R342" s="11"/>
      <c r="S342" s="11"/>
      <c r="T342" s="11"/>
      <c r="U342" s="11"/>
      <c r="Y342" s="15"/>
    </row>
    <row r="343" spans="2:25" ht="13.2" hidden="1" thickBot="1" x14ac:dyDescent="0.25">
      <c r="B343" s="148" t="str">
        <f t="array" ref="B343">IF(ISERROR(INDEX('Eingabe Meldungen'!$C$2:$C$492,LARGE(('Eingabe Meldungen'!$A$2:$A$492=$B$328)*(ROW('Eingabe Meldungen'!$A$2:$A$492)-1),COUNTIF('Eingabe Meldungen'!$A$2:$A$492,$B$328)+1-ROW('Eingabe Meldungen'!A15)))),"",INDEX('Eingabe Meldungen'!$C$2:$C$492,LARGE(('Eingabe Meldungen'!$A$2:$A$492=$B$328)*(ROW('Eingabe Meldungen'!$A$2:$A$492)-1),COUNTIF('Eingabe Meldungen'!$A$2:$A$492,$B$328)+1-ROW('Eingabe Meldungen'!A15))))</f>
        <v/>
      </c>
      <c r="C343" s="40" t="str">
        <f t="array" ref="C343">IF(ISERROR(INDEX('Eingabe Meldungen'!$D$2:$D$492,LARGE(('Eingabe Meldungen'!$A$2:$A$492=$B$328)*(ROW('Eingabe Meldungen'!$A$2:$A$492)-1),COUNTIF('Eingabe Meldungen'!$A$2:$A$492,$B$328)+1-ROW('Eingabe Meldungen'!A15)))),"",INDEX('Eingabe Meldungen'!$D$2:$D$492,LARGE(('Eingabe Meldungen'!$A$2:$A$492=$B$328)*(ROW('Eingabe Meldungen'!$A$2:$A$492)-1),COUNTIF('Eingabe Meldungen'!$A$2:$A$492,$B$328)+1-ROW('Eingabe Meldungen'!A15))))</f>
        <v/>
      </c>
      <c r="D343" s="107" t="str">
        <f t="array" ref="D343">IF(B343&lt;&gt;"",INDEX('Eingabe Meldungen'!$C$2:$H$492,MATCH(B343&amp;C343,'Eingabe Meldungen'!$C$2:$C$492&amp;'Eingabe Meldungen'!$D$2:$D$492,0),6),"")</f>
        <v/>
      </c>
      <c r="E343" s="107" t="str">
        <f t="array" ref="E343">IF(B343&lt;&gt;"",INDEX('Eingabe Meldungen'!$C$2:$H$492,MATCH(B343&amp;C343,'Eingabe Meldungen'!$C$2:$C$492&amp;'Eingabe Meldungen'!$D$2:$D$492,0),4),"")</f>
        <v/>
      </c>
      <c r="F343" s="39">
        <v>14</v>
      </c>
      <c r="G343" s="150"/>
      <c r="H343" s="40" t="e">
        <f t="shared" si="17"/>
        <v>#N/A</v>
      </c>
      <c r="I343" s="107" t="str">
        <f t="array" ref="I343">IF(B343&lt;&gt;"",INDEX('Eingabe Meldungen'!$C$2:$J$492,MATCH(B343&amp;C343,'Eingabe Meldungen'!$C$2:$C$492&amp;'Eingabe Meldungen'!$D$2:$D$492,0),8),"")</f>
        <v/>
      </c>
      <c r="J343" s="40"/>
      <c r="K343" s="40"/>
      <c r="L343" s="151"/>
      <c r="M343" s="112"/>
      <c r="O343" s="11"/>
      <c r="P343" s="10"/>
      <c r="Q343" s="11"/>
      <c r="R343" s="11"/>
      <c r="S343" s="11"/>
      <c r="T343" s="11"/>
      <c r="U343" s="11"/>
      <c r="Y343" s="15"/>
    </row>
    <row r="344" spans="2:25" ht="13.2" hidden="1" thickBot="1" x14ac:dyDescent="0.25">
      <c r="B344" s="148" t="str">
        <f t="array" ref="B344">IF(ISERROR(INDEX('Eingabe Meldungen'!$C$2:$C$492,LARGE(('Eingabe Meldungen'!$A$2:$A$492=$B$328)*(ROW('Eingabe Meldungen'!$A$2:$A$492)-1),COUNTIF('Eingabe Meldungen'!$A$2:$A$492,$B$328)+1-ROW('Eingabe Meldungen'!A16)))),"",INDEX('Eingabe Meldungen'!$C$2:$C$492,LARGE(('Eingabe Meldungen'!$A$2:$A$492=$B$328)*(ROW('Eingabe Meldungen'!$A$2:$A$492)-1),COUNTIF('Eingabe Meldungen'!$A$2:$A$492,$B$328)+1-ROW('Eingabe Meldungen'!A16))))</f>
        <v/>
      </c>
      <c r="C344" s="40" t="str">
        <f t="array" ref="C344">IF(ISERROR(INDEX('Eingabe Meldungen'!$D$2:$D$492,LARGE(('Eingabe Meldungen'!$A$2:$A$492=$B$328)*(ROW('Eingabe Meldungen'!$A$2:$A$492)-1),COUNTIF('Eingabe Meldungen'!$A$2:$A$492,$B$328)+1-ROW('Eingabe Meldungen'!A16)))),"",INDEX('Eingabe Meldungen'!$D$2:$D$492,LARGE(('Eingabe Meldungen'!$A$2:$A$492=$B$328)*(ROW('Eingabe Meldungen'!$A$2:$A$492)-1),COUNTIF('Eingabe Meldungen'!$A$2:$A$492,$B$328)+1-ROW('Eingabe Meldungen'!A16))))</f>
        <v/>
      </c>
      <c r="D344" s="107" t="str">
        <f t="array" ref="D344">IF(B344&lt;&gt;"",INDEX('Eingabe Meldungen'!$C$2:$H$492,MATCH(B344&amp;C344,'Eingabe Meldungen'!$C$2:$C$492&amp;'Eingabe Meldungen'!$D$2:$D$492,0),6),"")</f>
        <v/>
      </c>
      <c r="E344" s="107" t="str">
        <f t="array" ref="E344">IF(B344&lt;&gt;"",INDEX('Eingabe Meldungen'!$C$2:$H$492,MATCH(B344&amp;C344,'Eingabe Meldungen'!$C$2:$C$492&amp;'Eingabe Meldungen'!$D$2:$D$492,0),4),"")</f>
        <v/>
      </c>
      <c r="F344" s="39">
        <v>15</v>
      </c>
      <c r="G344" s="150"/>
      <c r="H344" s="40" t="e">
        <f t="shared" si="17"/>
        <v>#N/A</v>
      </c>
      <c r="I344" s="107" t="str">
        <f t="array" ref="I344">IF(B344&lt;&gt;"",INDEX('Eingabe Meldungen'!$C$2:$J$492,MATCH(B344&amp;C344,'Eingabe Meldungen'!$C$2:$C$492&amp;'Eingabe Meldungen'!$D$2:$D$492,0),8),"")</f>
        <v/>
      </c>
      <c r="J344" s="40"/>
      <c r="K344" s="40"/>
      <c r="L344" s="151"/>
      <c r="M344" s="112"/>
      <c r="O344" s="11"/>
      <c r="P344" s="10"/>
      <c r="Q344" s="11"/>
      <c r="R344" s="11"/>
      <c r="S344" s="11"/>
      <c r="T344" s="11"/>
      <c r="U344" s="11"/>
      <c r="Y344" s="15"/>
    </row>
    <row r="345" spans="2:25" ht="13.2" hidden="1" thickBot="1" x14ac:dyDescent="0.25">
      <c r="B345" s="148" t="str">
        <f t="array" ref="B345">IF(ISERROR(INDEX('Eingabe Meldungen'!$C$2:$C$492,LARGE(('Eingabe Meldungen'!$A$2:$A$492=$B$328)*(ROW('Eingabe Meldungen'!$A$2:$A$492)-1),COUNTIF('Eingabe Meldungen'!$A$2:$A$492,$B$328)+1-ROW('Eingabe Meldungen'!A17)))),"",INDEX('Eingabe Meldungen'!$C$2:$C$492,LARGE(('Eingabe Meldungen'!$A$2:$A$492=$B$328)*(ROW('Eingabe Meldungen'!$A$2:$A$492)-1),COUNTIF('Eingabe Meldungen'!$A$2:$A$492,$B$328)+1-ROW('Eingabe Meldungen'!A17))))</f>
        <v/>
      </c>
      <c r="C345" s="40" t="str">
        <f t="array" ref="C345">IF(ISERROR(INDEX('Eingabe Meldungen'!$D$2:$D$492,LARGE(('Eingabe Meldungen'!$A$2:$A$492=$B$328)*(ROW('Eingabe Meldungen'!$A$2:$A$492)-1),COUNTIF('Eingabe Meldungen'!$A$2:$A$492,$B$328)+1-ROW('Eingabe Meldungen'!A17)))),"",INDEX('Eingabe Meldungen'!$D$2:$D$492,LARGE(('Eingabe Meldungen'!$A$2:$A$492=$B$328)*(ROW('Eingabe Meldungen'!$A$2:$A$492)-1),COUNTIF('Eingabe Meldungen'!$A$2:$A$492,$B$328)+1-ROW('Eingabe Meldungen'!A17))))</f>
        <v/>
      </c>
      <c r="D345" s="107" t="str">
        <f t="array" ref="D345">IF(B345&lt;&gt;"",INDEX('Eingabe Meldungen'!$C$2:$H$492,MATCH(B345&amp;C345,'Eingabe Meldungen'!$C$2:$C$492&amp;'Eingabe Meldungen'!$D$2:$D$492,0),6),"")</f>
        <v/>
      </c>
      <c r="E345" s="107" t="str">
        <f t="array" ref="E345">IF(B345&lt;&gt;"",INDEX('Eingabe Meldungen'!$C$2:$H$492,MATCH(B345&amp;C345,'Eingabe Meldungen'!$C$2:$C$492&amp;'Eingabe Meldungen'!$D$2:$D$492,0),4),"")</f>
        <v/>
      </c>
      <c r="F345" s="39">
        <v>16</v>
      </c>
      <c r="G345" s="150"/>
      <c r="H345" s="40" t="e">
        <f t="shared" si="17"/>
        <v>#N/A</v>
      </c>
      <c r="I345" s="107" t="str">
        <f t="array" ref="I345">IF(B345&lt;&gt;"",INDEX('Eingabe Meldungen'!$C$2:$J$492,MATCH(B345&amp;C345,'Eingabe Meldungen'!$C$2:$C$492&amp;'Eingabe Meldungen'!$D$2:$D$492,0),8),"")</f>
        <v/>
      </c>
      <c r="J345" s="40"/>
      <c r="K345" s="40"/>
      <c r="L345" s="151"/>
      <c r="M345" s="147"/>
      <c r="O345" s="11"/>
      <c r="P345" s="10"/>
      <c r="Q345" s="11"/>
      <c r="R345" s="11"/>
      <c r="S345" s="11"/>
      <c r="T345" s="11"/>
      <c r="U345" s="11"/>
      <c r="Y345" s="15"/>
    </row>
    <row r="346" spans="2:25" ht="13.2" hidden="1" thickBot="1" x14ac:dyDescent="0.25">
      <c r="B346" s="148"/>
      <c r="C346" s="40"/>
      <c r="D346" s="107"/>
      <c r="E346" s="107"/>
      <c r="F346" s="39"/>
      <c r="G346" s="167"/>
      <c r="H346" s="40"/>
      <c r="I346" s="107"/>
      <c r="J346" s="40"/>
      <c r="K346" s="40"/>
      <c r="L346" s="151"/>
      <c r="M346" s="147"/>
      <c r="O346" s="11"/>
      <c r="P346" s="10"/>
      <c r="Q346" s="11"/>
      <c r="R346" s="11"/>
      <c r="S346" s="11"/>
      <c r="T346" s="11"/>
      <c r="U346" s="11"/>
      <c r="Y346" s="15"/>
    </row>
    <row r="347" spans="2:25" ht="28.5" hidden="1" customHeight="1" x14ac:dyDescent="0.2">
      <c r="B347" s="114">
        <f>B328+1</f>
        <v>22</v>
      </c>
      <c r="C347" s="108" t="str">
        <f>VLOOKUP(B347,Ausschreibung!$B$5:$I$35,2,FALSE)</f>
        <v>Ergocup</v>
      </c>
      <c r="D347" s="109">
        <f>VLOOKUP(B347,Ausschreibung!$B$5:$I$35,3,FALSE)</f>
        <v>0.6416666666666665</v>
      </c>
      <c r="E347" s="108" t="str">
        <f>VLOOKUP(B347,Ausschreibung!$B$5:$I$35,4,FALSE)</f>
        <v>Seniorinnen A</v>
      </c>
      <c r="F347" s="108" t="str">
        <f>VLOOKUP(B347,Ausschreibung!$B$5:$I$35,5,FALSE)</f>
        <v>-</v>
      </c>
      <c r="G347" s="108" t="str">
        <f>VLOOKUP(B347,Ausschreibung!$B$5:$I$35,6,FALSE)</f>
        <v>19 und älter</v>
      </c>
      <c r="H347" s="108" t="str">
        <f>VLOOKUP(B347,Ausschreibung!$B$5:$I$35,8,FALSE)</f>
        <v>2000 m</v>
      </c>
      <c r="I347" s="108" t="s">
        <v>30</v>
      </c>
      <c r="J347" s="108"/>
      <c r="K347" s="172">
        <f>SUM(G368:G369)</f>
        <v>0</v>
      </c>
      <c r="L347" s="173"/>
      <c r="M347" s="112"/>
      <c r="O347" s="11"/>
      <c r="P347" s="10"/>
      <c r="Q347" s="11"/>
      <c r="R347" s="11"/>
      <c r="S347" s="11"/>
      <c r="T347" s="11"/>
      <c r="U347" s="11"/>
      <c r="Y347" s="15"/>
    </row>
    <row r="348" spans="2:25" ht="13.2" hidden="1" thickBot="1" x14ac:dyDescent="0.25">
      <c r="B348" s="111" t="s">
        <v>1</v>
      </c>
      <c r="C348" s="104" t="s">
        <v>2</v>
      </c>
      <c r="D348" s="103" t="s">
        <v>49</v>
      </c>
      <c r="E348" s="146" t="s">
        <v>16</v>
      </c>
      <c r="F348" s="103" t="s">
        <v>18</v>
      </c>
      <c r="G348" s="105" t="s">
        <v>50</v>
      </c>
      <c r="H348" s="103" t="s">
        <v>51</v>
      </c>
      <c r="I348" s="106" t="s">
        <v>17</v>
      </c>
      <c r="J348" s="103"/>
      <c r="K348" s="40"/>
      <c r="L348" s="151"/>
      <c r="M348" s="112"/>
      <c r="O348" s="11"/>
      <c r="P348" s="10"/>
      <c r="Q348" s="11"/>
      <c r="R348" s="11"/>
      <c r="S348" s="11"/>
      <c r="T348" s="11"/>
      <c r="U348" s="11"/>
      <c r="Y348" s="15"/>
    </row>
    <row r="349" spans="2:25" ht="13.2" hidden="1" thickBot="1" x14ac:dyDescent="0.25">
      <c r="B349" s="148" t="str">
        <f t="array" ref="B349">IF(ISERROR(INDEX('Eingabe Meldungen'!$C$2:$C$492,LARGE(('Eingabe Meldungen'!$A$2:$A$492=$B$347)*(ROW('Eingabe Meldungen'!$A$2:$A$492)-1),COUNTIF('Eingabe Meldungen'!$A$2:$A$492,$B$347)+1-ROW('Eingabe Meldungen'!A1)))),"",INDEX('Eingabe Meldungen'!$C$2:$C$492,LARGE(('Eingabe Meldungen'!$A$2:$A$492=$B$347)*(ROW('Eingabe Meldungen'!$A$2:$A$492)-1),COUNTIF('Eingabe Meldungen'!$A$2:$A$492,$B$347)+1-ROW('Eingabe Meldungen'!A1))))</f>
        <v>Marquardt</v>
      </c>
      <c r="C349" s="40" t="str">
        <f t="array" ref="C349">IF(ISERROR(INDEX('Eingabe Meldungen'!$D$2:$D$492,LARGE(('Eingabe Meldungen'!$A$2:$A$492=$B$347)*(ROW('Eingabe Meldungen'!$A$2:$A$492)-1),COUNTIF('Eingabe Meldungen'!$A$2:$A$492,$B$347)+1-ROW('Eingabe Meldungen'!A1)))),"",INDEX('Eingabe Meldungen'!$D$2:$D$492,LARGE(('Eingabe Meldungen'!$A$2:$A$492=$B$347)*(ROW('Eingabe Meldungen'!$A$2:$A$492)-1),COUNTIF('Eingabe Meldungen'!$A$2:$A$492,$B$347)+1-ROW('Eingabe Meldungen'!A1))))</f>
        <v>Linda</v>
      </c>
      <c r="D349" s="107">
        <f t="array" ref="D349">IF(B349&lt;&gt;"",INDEX('Eingabe Meldungen'!$C$2:$H$492,MATCH(B349&amp;C349,'Eingabe Meldungen'!$C$2:$C$492&amp;'Eingabe Meldungen'!$D$2:$D$492,0),6),"")</f>
        <v>1995</v>
      </c>
      <c r="E349" s="107" t="str">
        <f t="array" ref="E349">IF(B349&lt;&gt;"",INDEX('Eingabe Meldungen'!$C$2:$H$492,MATCH(B349&amp;C349,'Eingabe Meldungen'!$C$2:$C$492&amp;'Eingabe Meldungen'!$D$2:$D$492,0),4),"")</f>
        <v>-</v>
      </c>
      <c r="F349" s="107">
        <v>1</v>
      </c>
      <c r="G349" s="149"/>
      <c r="H349" s="40" t="e">
        <f>RANK(G349,$G$349:$G$364,1)</f>
        <v>#N/A</v>
      </c>
      <c r="I349" s="107" t="str">
        <f t="array" ref="I349">IF(B349&lt;&gt;"",INDEX('Eingabe Meldungen'!$C$2:$J$492,MATCH(B349&amp;C349,'Eingabe Meldungen'!$C$2:$C$492&amp;'Eingabe Meldungen'!$D$2:$D$492,0),8),"")</f>
        <v>Ruderverein Bad Wimpfen</v>
      </c>
      <c r="J349" s="40"/>
      <c r="K349" s="172">
        <f>SUM(G370:G371)</f>
        <v>0</v>
      </c>
      <c r="L349" s="173"/>
      <c r="M349" s="112"/>
      <c r="O349" s="11"/>
      <c r="P349" s="10"/>
      <c r="Q349" s="11"/>
      <c r="R349" s="11"/>
      <c r="S349" s="11"/>
      <c r="T349" s="11"/>
      <c r="U349" s="11"/>
      <c r="Y349" s="15"/>
    </row>
    <row r="350" spans="2:25" ht="13.2" hidden="1" thickBot="1" x14ac:dyDescent="0.25">
      <c r="B350" s="148" t="str">
        <f t="array" ref="B350">IF(ISERROR(INDEX('Eingabe Meldungen'!$C$2:$C$492,LARGE(('Eingabe Meldungen'!$A$2:$A$492=$B$347)*(ROW('Eingabe Meldungen'!$A$2:$A$492)-1),COUNTIF('Eingabe Meldungen'!$A$2:$A$492,$B$347)+1-ROW('Eingabe Meldungen'!A2)))),"",INDEX('Eingabe Meldungen'!$C$2:$C$492,LARGE(('Eingabe Meldungen'!$A$2:$A$492=$B$347)*(ROW('Eingabe Meldungen'!$A$2:$A$492)-1),COUNTIF('Eingabe Meldungen'!$A$2:$A$492,$B$347)+1-ROW('Eingabe Meldungen'!A2))))</f>
        <v>Jendrozek</v>
      </c>
      <c r="C350" s="40" t="str">
        <f t="array" ref="C350">IF(ISERROR(INDEX('Eingabe Meldungen'!$D$2:$D$492,LARGE(('Eingabe Meldungen'!$A$2:$A$492=$B$347)*(ROW('Eingabe Meldungen'!$A$2:$A$492)-1),COUNTIF('Eingabe Meldungen'!$A$2:$A$492,$B$347)+1-ROW('Eingabe Meldungen'!A2)))),"",INDEX('Eingabe Meldungen'!$D$2:$D$492,LARGE(('Eingabe Meldungen'!$A$2:$A$492=$B$347)*(ROW('Eingabe Meldungen'!$A$2:$A$492)-1),COUNTIF('Eingabe Meldungen'!$A$2:$A$492,$B$347)+1-ROW('Eingabe Meldungen'!A2))))</f>
        <v>Luisa</v>
      </c>
      <c r="D350" s="107">
        <f t="array" ref="D350">IF(B350&lt;&gt;"",INDEX('Eingabe Meldungen'!$C$2:$H$492,MATCH(B350&amp;C350,'Eingabe Meldungen'!$C$2:$C$492&amp;'Eingabe Meldungen'!$D$2:$D$492,0),6),"")</f>
        <v>1998</v>
      </c>
      <c r="E350" s="107" t="str">
        <f t="array" ref="E350">IF(B350&lt;&gt;"",INDEX('Eingabe Meldungen'!$C$2:$H$492,MATCH(B350&amp;C350,'Eingabe Meldungen'!$C$2:$C$492&amp;'Eingabe Meldungen'!$D$2:$D$492,0),4),"")</f>
        <v>-</v>
      </c>
      <c r="F350" s="39">
        <v>2</v>
      </c>
      <c r="G350" s="149"/>
      <c r="H350" s="40" t="e">
        <f t="shared" ref="H350:H364" si="18">RANK(G350,$G$349:$G$364,1)</f>
        <v>#N/A</v>
      </c>
      <c r="I350" s="107" t="str">
        <f t="array" ref="I350">IF(B350&lt;&gt;"",INDEX('Eingabe Meldungen'!$C$2:$J$492,MATCH(B350&amp;C350,'Eingabe Meldungen'!$C$2:$C$492&amp;'Eingabe Meldungen'!$D$2:$D$492,0),8),"")</f>
        <v>Stuttgarter RG</v>
      </c>
      <c r="J350" s="40"/>
      <c r="K350" s="40"/>
      <c r="L350" s="151"/>
      <c r="M350" s="112"/>
      <c r="O350" s="11"/>
      <c r="P350" s="10"/>
      <c r="Q350" s="11"/>
      <c r="R350" s="11"/>
      <c r="S350" s="11"/>
      <c r="T350" s="11"/>
      <c r="U350" s="11"/>
      <c r="Y350" s="15"/>
    </row>
    <row r="351" spans="2:25" ht="13.2" hidden="1" thickBot="1" x14ac:dyDescent="0.25">
      <c r="B351" s="148" t="str">
        <f t="array" ref="B351">IF(ISERROR(INDEX('Eingabe Meldungen'!$C$2:$C$492,LARGE(('Eingabe Meldungen'!$A$2:$A$492=$B$347)*(ROW('Eingabe Meldungen'!$A$2:$A$492)-1),COUNTIF('Eingabe Meldungen'!$A$2:$A$492,$B$347)+1-ROW('Eingabe Meldungen'!A3)))),"",INDEX('Eingabe Meldungen'!$C$2:$C$492,LARGE(('Eingabe Meldungen'!$A$2:$A$492=$B$347)*(ROW('Eingabe Meldungen'!$A$2:$A$492)-1),COUNTIF('Eingabe Meldungen'!$A$2:$A$492,$B$347)+1-ROW('Eingabe Meldungen'!A3))))</f>
        <v>Bergler</v>
      </c>
      <c r="C351" s="40" t="str">
        <f t="array" ref="C351">IF(ISERROR(INDEX('Eingabe Meldungen'!$D$2:$D$492,LARGE(('Eingabe Meldungen'!$A$2:$A$492=$B$347)*(ROW('Eingabe Meldungen'!$A$2:$A$492)-1),COUNTIF('Eingabe Meldungen'!$A$2:$A$492,$B$347)+1-ROW('Eingabe Meldungen'!A3)))),"",INDEX('Eingabe Meldungen'!$D$2:$D$492,LARGE(('Eingabe Meldungen'!$A$2:$A$492=$B$347)*(ROW('Eingabe Meldungen'!$A$2:$A$492)-1),COUNTIF('Eingabe Meldungen'!$A$2:$A$492,$B$347)+1-ROW('Eingabe Meldungen'!A3))))</f>
        <v>Nils</v>
      </c>
      <c r="D351" s="107">
        <f t="array" ref="D351">IF(B351&lt;&gt;"",INDEX('Eingabe Meldungen'!$C$2:$H$492,MATCH(B351&amp;C351,'Eingabe Meldungen'!$C$2:$C$492&amp;'Eingabe Meldungen'!$D$2:$D$492,0),6),"")</f>
        <v>2001</v>
      </c>
      <c r="E351" s="107" t="str">
        <f t="array" ref="E351">IF(B351&lt;&gt;"",INDEX('Eingabe Meldungen'!$C$2:$H$492,MATCH(B351&amp;C351,'Eingabe Meldungen'!$C$2:$C$492&amp;'Eingabe Meldungen'!$D$2:$D$492,0),4),"")</f>
        <v>-</v>
      </c>
      <c r="F351" s="39">
        <v>3</v>
      </c>
      <c r="G351" s="150"/>
      <c r="H351" s="40" t="e">
        <f t="shared" si="18"/>
        <v>#N/A</v>
      </c>
      <c r="I351" s="107" t="str">
        <f t="array" ref="I351">IF(B351&lt;&gt;"",INDEX('Eingabe Meldungen'!$C$2:$J$492,MATCH(B351&amp;C351,'Eingabe Meldungen'!$C$2:$C$492&amp;'Eingabe Meldungen'!$D$2:$D$492,0),8),"")</f>
        <v>RG Eberbach</v>
      </c>
      <c r="J351" s="40"/>
      <c r="K351" s="172">
        <f>SUM(G372:G373)</f>
        <v>0</v>
      </c>
      <c r="L351" s="173"/>
      <c r="M351" s="112"/>
      <c r="O351" s="11"/>
      <c r="P351" s="10"/>
      <c r="Q351" s="11"/>
      <c r="R351" s="11"/>
      <c r="S351" s="11"/>
      <c r="T351" s="11"/>
      <c r="U351" s="11"/>
      <c r="Y351" s="15"/>
    </row>
    <row r="352" spans="2:25" ht="16.5" hidden="1" customHeight="1" x14ac:dyDescent="0.2">
      <c r="B352" s="148" t="str">
        <f t="array" ref="B352">IF(ISERROR(INDEX('Eingabe Meldungen'!$C$2:$C$492,LARGE(('Eingabe Meldungen'!$A$2:$A$492=$B$347)*(ROW('Eingabe Meldungen'!$A$2:$A$492)-1),COUNTIF('Eingabe Meldungen'!$A$2:$A$492,$B$347)+1-ROW('Eingabe Meldungen'!A4)))),"",INDEX('Eingabe Meldungen'!$C$2:$C$492,LARGE(('Eingabe Meldungen'!$A$2:$A$492=$B$347)*(ROW('Eingabe Meldungen'!$A$2:$A$492)-1),COUNTIF('Eingabe Meldungen'!$A$2:$A$492,$B$347)+1-ROW('Eingabe Meldungen'!A4))))</f>
        <v/>
      </c>
      <c r="C352" s="40" t="str">
        <f t="array" ref="C352">IF(ISERROR(INDEX('Eingabe Meldungen'!$D$2:$D$492,LARGE(('Eingabe Meldungen'!$A$2:$A$492=$B$347)*(ROW('Eingabe Meldungen'!$A$2:$A$492)-1),COUNTIF('Eingabe Meldungen'!$A$2:$A$492,$B$347)+1-ROW('Eingabe Meldungen'!A4)))),"",INDEX('Eingabe Meldungen'!$D$2:$D$492,LARGE(('Eingabe Meldungen'!$A$2:$A$492=$B$347)*(ROW('Eingabe Meldungen'!$A$2:$A$492)-1),COUNTIF('Eingabe Meldungen'!$A$2:$A$492,$B$347)+1-ROW('Eingabe Meldungen'!A4))))</f>
        <v/>
      </c>
      <c r="D352" s="107" t="str">
        <f t="array" ref="D352">IF(B352&lt;&gt;"",INDEX('Eingabe Meldungen'!$C$2:$H$492,MATCH(B352&amp;C352,'Eingabe Meldungen'!$C$2:$C$492&amp;'Eingabe Meldungen'!$D$2:$D$492,0),6),"")</f>
        <v/>
      </c>
      <c r="E352" s="107" t="str">
        <f t="array" ref="E352">IF(B352&lt;&gt;"",INDEX('Eingabe Meldungen'!$C$2:$H$492,MATCH(B352&amp;C352,'Eingabe Meldungen'!$C$2:$C$492&amp;'Eingabe Meldungen'!$D$2:$D$492,0),4),"")</f>
        <v/>
      </c>
      <c r="F352" s="39">
        <v>4</v>
      </c>
      <c r="G352" s="150"/>
      <c r="H352" s="40" t="e">
        <f t="shared" si="18"/>
        <v>#N/A</v>
      </c>
      <c r="I352" s="107" t="str">
        <f t="array" ref="I352">IF(B352&lt;&gt;"",INDEX('Eingabe Meldungen'!$C$2:$J$492,MATCH(B352&amp;C352,'Eingabe Meldungen'!$C$2:$C$492&amp;'Eingabe Meldungen'!$D$2:$D$492,0),8),"")</f>
        <v/>
      </c>
      <c r="J352" s="40"/>
      <c r="K352" s="40"/>
      <c r="L352" s="151"/>
      <c r="M352" s="112"/>
      <c r="O352" s="11"/>
      <c r="P352" s="10"/>
      <c r="Q352" s="11"/>
      <c r="R352" s="11"/>
      <c r="S352" s="11"/>
      <c r="T352" s="11"/>
      <c r="U352" s="11"/>
      <c r="Y352" s="15"/>
    </row>
    <row r="353" spans="2:25" ht="15" hidden="1" customHeight="1" x14ac:dyDescent="0.2">
      <c r="B353" s="148" t="str">
        <f t="array" ref="B353">IF(ISERROR(INDEX('Eingabe Meldungen'!$C$2:$C$492,LARGE(('Eingabe Meldungen'!$A$2:$A$492=$B$347)*(ROW('Eingabe Meldungen'!$A$2:$A$492)-1),COUNTIF('Eingabe Meldungen'!$A$2:$A$492,$B$347)+1-ROW('Eingabe Meldungen'!A5)))),"",INDEX('Eingabe Meldungen'!$C$2:$C$492,LARGE(('Eingabe Meldungen'!$A$2:$A$492=$B$347)*(ROW('Eingabe Meldungen'!$A$2:$A$492)-1),COUNTIF('Eingabe Meldungen'!$A$2:$A$492,$B$347)+1-ROW('Eingabe Meldungen'!A5))))</f>
        <v/>
      </c>
      <c r="C353" s="40" t="str">
        <f t="array" ref="C353">IF(ISERROR(INDEX('Eingabe Meldungen'!$D$2:$D$492,LARGE(('Eingabe Meldungen'!$A$2:$A$492=$B$347)*(ROW('Eingabe Meldungen'!$A$2:$A$492)-1),COUNTIF('Eingabe Meldungen'!$A$2:$A$492,$B$347)+1-ROW('Eingabe Meldungen'!A5)))),"",INDEX('Eingabe Meldungen'!$D$2:$D$492,LARGE(('Eingabe Meldungen'!$A$2:$A$492=$B$347)*(ROW('Eingabe Meldungen'!$A$2:$A$492)-1),COUNTIF('Eingabe Meldungen'!$A$2:$A$492,$B$347)+1-ROW('Eingabe Meldungen'!A5))))</f>
        <v/>
      </c>
      <c r="D353" s="107" t="str">
        <f t="array" ref="D353">IF(B353&lt;&gt;"",INDEX('Eingabe Meldungen'!$C$2:$H$492,MATCH(B353&amp;C353,'Eingabe Meldungen'!$C$2:$C$492&amp;'Eingabe Meldungen'!$D$2:$D$492,0),6),"")</f>
        <v/>
      </c>
      <c r="E353" s="107" t="str">
        <f t="array" ref="E353">IF(B353&lt;&gt;"",INDEX('Eingabe Meldungen'!$C$2:$H$492,MATCH(B353&amp;C353,'Eingabe Meldungen'!$C$2:$C$492&amp;'Eingabe Meldungen'!$D$2:$D$492,0),4),"")</f>
        <v/>
      </c>
      <c r="F353" s="39">
        <v>5</v>
      </c>
      <c r="G353" s="150"/>
      <c r="H353" s="40" t="e">
        <f t="shared" si="18"/>
        <v>#N/A</v>
      </c>
      <c r="I353" s="107" t="str">
        <f t="array" ref="I353">IF(B353&lt;&gt;"",INDEX('Eingabe Meldungen'!$C$2:$J$492,MATCH(B353&amp;C353,'Eingabe Meldungen'!$C$2:$C$492&amp;'Eingabe Meldungen'!$D$2:$D$492,0),8),"")</f>
        <v/>
      </c>
      <c r="J353" s="40"/>
      <c r="K353" s="172">
        <f>SUM(G374:G375)</f>
        <v>0</v>
      </c>
      <c r="L353" s="173"/>
      <c r="M353" s="112"/>
      <c r="O353" s="11"/>
      <c r="P353" s="10"/>
      <c r="Q353" s="11"/>
      <c r="R353" s="11"/>
      <c r="S353" s="11"/>
      <c r="T353" s="11"/>
      <c r="U353" s="11"/>
    </row>
    <row r="354" spans="2:25" ht="13.2" hidden="1" thickBot="1" x14ac:dyDescent="0.25">
      <c r="B354" s="148" t="str">
        <f t="array" ref="B354">IF(ISERROR(INDEX('Eingabe Meldungen'!$C$2:$C$492,LARGE(('Eingabe Meldungen'!$A$2:$A$492=$B$347)*(ROW('Eingabe Meldungen'!$A$2:$A$492)-1),COUNTIF('Eingabe Meldungen'!$A$2:$A$492,$B$347)+1-ROW('Eingabe Meldungen'!A6)))),"",INDEX('Eingabe Meldungen'!$C$2:$C$492,LARGE(('Eingabe Meldungen'!$A$2:$A$492=$B$347)*(ROW('Eingabe Meldungen'!$A$2:$A$492)-1),COUNTIF('Eingabe Meldungen'!$A$2:$A$492,$B$347)+1-ROW('Eingabe Meldungen'!A6))))</f>
        <v/>
      </c>
      <c r="C354" s="40" t="str">
        <f t="array" ref="C354">IF(ISERROR(INDEX('Eingabe Meldungen'!$D$2:$D$492,LARGE(('Eingabe Meldungen'!$A$2:$A$492=$B$347)*(ROW('Eingabe Meldungen'!$A$2:$A$492)-1),COUNTIF('Eingabe Meldungen'!$A$2:$A$492,$B$347)+1-ROW('Eingabe Meldungen'!A6)))),"",INDEX('Eingabe Meldungen'!$D$2:$D$492,LARGE(('Eingabe Meldungen'!$A$2:$A$492=$B$347)*(ROW('Eingabe Meldungen'!$A$2:$A$492)-1),COUNTIF('Eingabe Meldungen'!$A$2:$A$492,$B$347)+1-ROW('Eingabe Meldungen'!A6))))</f>
        <v/>
      </c>
      <c r="D354" s="107" t="str">
        <f t="array" ref="D354">IF(B354&lt;&gt;"",INDEX('Eingabe Meldungen'!$C$2:$H$492,MATCH(B354&amp;C354,'Eingabe Meldungen'!$C$2:$C$492&amp;'Eingabe Meldungen'!$D$2:$D$492,0),6),"")</f>
        <v/>
      </c>
      <c r="E354" s="107" t="str">
        <f t="array" ref="E354">IF(B354&lt;&gt;"",INDEX('Eingabe Meldungen'!$C$2:$H$492,MATCH(B354&amp;C354,'Eingabe Meldungen'!$C$2:$C$492&amp;'Eingabe Meldungen'!$D$2:$D$492,0),4),"")</f>
        <v/>
      </c>
      <c r="F354" s="39">
        <v>6</v>
      </c>
      <c r="G354" s="150"/>
      <c r="H354" s="40" t="e">
        <f t="shared" si="18"/>
        <v>#N/A</v>
      </c>
      <c r="I354" s="107" t="str">
        <f t="array" ref="I354">IF(B354&lt;&gt;"",INDEX('Eingabe Meldungen'!$C$2:$J$492,MATCH(B354&amp;C354,'Eingabe Meldungen'!$C$2:$C$492&amp;'Eingabe Meldungen'!$D$2:$D$492,0),8),"")</f>
        <v/>
      </c>
      <c r="J354" s="40"/>
      <c r="K354" s="40"/>
      <c r="L354" s="151"/>
      <c r="M354" s="112"/>
      <c r="O354" s="11"/>
      <c r="P354" s="10"/>
      <c r="Q354" s="11"/>
      <c r="R354" s="11"/>
      <c r="S354" s="11"/>
      <c r="T354" s="11"/>
      <c r="U354" s="11"/>
    </row>
    <row r="355" spans="2:25" ht="13.2" hidden="1" thickBot="1" x14ac:dyDescent="0.25">
      <c r="B355" s="148" t="str">
        <f t="array" ref="B355">IF(ISERROR(INDEX('Eingabe Meldungen'!$C$2:$C$492,LARGE(('Eingabe Meldungen'!$A$2:$A$492=$B$347)*(ROW('Eingabe Meldungen'!$A$2:$A$492)-1),COUNTIF('Eingabe Meldungen'!$A$2:$A$492,$B$347)+1-ROW('Eingabe Meldungen'!A8)))),"",INDEX('Eingabe Meldungen'!$C$2:$C$492,LARGE(('Eingabe Meldungen'!$A$2:$A$492=$B$347)*(ROW('Eingabe Meldungen'!$A$2:$A$492)-1),COUNTIF('Eingabe Meldungen'!$A$2:$A$492,$B$347)+1-ROW('Eingabe Meldungen'!A8))))</f>
        <v/>
      </c>
      <c r="C355" s="40" t="str">
        <f t="array" ref="C355">IF(ISERROR(INDEX('Eingabe Meldungen'!$D$2:$D$492,LARGE(('Eingabe Meldungen'!$A$2:$A$492=$B$347)*(ROW('Eingabe Meldungen'!$A$2:$A$492)-1),COUNTIF('Eingabe Meldungen'!$A$2:$A$492,$B$347)+1-ROW('Eingabe Meldungen'!A8)))),"",INDEX('Eingabe Meldungen'!$D$2:$D$492,LARGE(('Eingabe Meldungen'!$A$2:$A$492=$B$347)*(ROW('Eingabe Meldungen'!$A$2:$A$492)-1),COUNTIF('Eingabe Meldungen'!$A$2:$A$492,$B$347)+1-ROW('Eingabe Meldungen'!A8))))</f>
        <v/>
      </c>
      <c r="D355" s="107" t="str">
        <f t="array" ref="D355">IF(B355&lt;&gt;"",INDEX('Eingabe Meldungen'!$C$2:$H$492,MATCH(B355&amp;C355,'Eingabe Meldungen'!$C$2:$C$492&amp;'Eingabe Meldungen'!$D$2:$D$492,0),6),"")</f>
        <v/>
      </c>
      <c r="E355" s="107" t="str">
        <f t="array" ref="E355">IF(B355&lt;&gt;"",INDEX('Eingabe Meldungen'!$C$2:$H$492,MATCH(B355&amp;C355,'Eingabe Meldungen'!$C$2:$C$492&amp;'Eingabe Meldungen'!$D$2:$D$492,0),4),"")</f>
        <v/>
      </c>
      <c r="F355" s="39">
        <v>7</v>
      </c>
      <c r="G355" s="150"/>
      <c r="H355" s="40" t="e">
        <f t="shared" si="18"/>
        <v>#N/A</v>
      </c>
      <c r="I355" s="107" t="str">
        <f t="array" ref="I355">IF(B355&lt;&gt;"",INDEX('Eingabe Meldungen'!$C$2:$J$492,MATCH(B355&amp;C355,'Eingabe Meldungen'!$C$2:$C$492&amp;'Eingabe Meldungen'!$D$2:$D$492,0),8),"")</f>
        <v/>
      </c>
      <c r="J355" s="40"/>
      <c r="K355" s="172">
        <f>SUM(G376:G377)</f>
        <v>0</v>
      </c>
      <c r="L355" s="173"/>
      <c r="M355" s="112"/>
      <c r="O355" s="11"/>
      <c r="P355" s="10"/>
      <c r="Q355" s="11"/>
      <c r="R355" s="11"/>
      <c r="S355" s="11"/>
      <c r="T355" s="11"/>
      <c r="U355" s="11"/>
      <c r="Y355" s="15"/>
    </row>
    <row r="356" spans="2:25" ht="13.2" hidden="1" thickBot="1" x14ac:dyDescent="0.25">
      <c r="B356" s="148" t="str">
        <f t="array" ref="B356">IF(ISERROR(INDEX('Eingabe Meldungen'!$C$2:$C$492,LARGE(('Eingabe Meldungen'!$A$2:$A$492=$B$347)*(ROW('Eingabe Meldungen'!$A$2:$A$492)-1),COUNTIF('Eingabe Meldungen'!$A$2:$A$492,$B$347)+1-ROW('Eingabe Meldungen'!A9)))),"",INDEX('Eingabe Meldungen'!$C$2:$C$492,LARGE(('Eingabe Meldungen'!$A$2:$A$492=$B$347)*(ROW('Eingabe Meldungen'!$A$2:$A$492)-1),COUNTIF('Eingabe Meldungen'!$A$2:$A$492,$B$347)+1-ROW('Eingabe Meldungen'!A9))))</f>
        <v/>
      </c>
      <c r="C356" s="40" t="str">
        <f t="array" ref="C356">IF(ISERROR(INDEX('Eingabe Meldungen'!$D$2:$D$492,LARGE(('Eingabe Meldungen'!$A$2:$A$492=$B$347)*(ROW('Eingabe Meldungen'!$A$2:$A$492)-1),COUNTIF('Eingabe Meldungen'!$A$2:$A$492,$B$347)+1-ROW('Eingabe Meldungen'!A9)))),"",INDEX('Eingabe Meldungen'!$D$2:$D$492,LARGE(('Eingabe Meldungen'!$A$2:$A$492=$B$347)*(ROW('Eingabe Meldungen'!$A$2:$A$492)-1),COUNTIF('Eingabe Meldungen'!$A$2:$A$492,$B$347)+1-ROW('Eingabe Meldungen'!A9))))</f>
        <v/>
      </c>
      <c r="D356" s="107" t="str">
        <f t="array" ref="D356">IF(B356&lt;&gt;"",INDEX('Eingabe Meldungen'!$C$2:$H$492,MATCH(B356&amp;C356,'Eingabe Meldungen'!$C$2:$C$492&amp;'Eingabe Meldungen'!$D$2:$D$492,0),6),"")</f>
        <v/>
      </c>
      <c r="E356" s="107" t="str">
        <f t="array" ref="E356">IF(B356&lt;&gt;"",INDEX('Eingabe Meldungen'!$C$2:$H$492,MATCH(B356&amp;C356,'Eingabe Meldungen'!$C$2:$C$492&amp;'Eingabe Meldungen'!$D$2:$D$492,0),4),"")</f>
        <v/>
      </c>
      <c r="F356" s="39">
        <v>8</v>
      </c>
      <c r="G356" s="150"/>
      <c r="H356" s="40" t="e">
        <f t="shared" si="18"/>
        <v>#N/A</v>
      </c>
      <c r="I356" s="107" t="str">
        <f t="array" ref="I356">IF(B356&lt;&gt;"",INDEX('Eingabe Meldungen'!$C$2:$J$492,MATCH(B356&amp;C356,'Eingabe Meldungen'!$C$2:$C$492&amp;'Eingabe Meldungen'!$D$2:$D$492,0),8),"")</f>
        <v/>
      </c>
      <c r="J356" s="40"/>
      <c r="K356" s="40"/>
      <c r="L356" s="151"/>
      <c r="M356" s="112"/>
      <c r="O356" s="11"/>
      <c r="P356" s="10"/>
      <c r="Q356" s="11"/>
      <c r="R356" s="11"/>
      <c r="S356" s="11"/>
      <c r="T356" s="11"/>
      <c r="U356" s="11"/>
      <c r="Y356" s="15"/>
    </row>
    <row r="357" spans="2:25" ht="13.2" hidden="1" thickBot="1" x14ac:dyDescent="0.25">
      <c r="B357" s="148" t="str">
        <f t="array" ref="B357">IF(ISERROR(INDEX('Eingabe Meldungen'!$C$2:$C$492,LARGE(('Eingabe Meldungen'!$A$2:$A$492=$B$347)*(ROW('Eingabe Meldungen'!$A$2:$A$492)-1),COUNTIF('Eingabe Meldungen'!$A$2:$A$492,$B$347)+1-ROW('Eingabe Meldungen'!A10)))),"",INDEX('Eingabe Meldungen'!$C$2:$C$492,LARGE(('Eingabe Meldungen'!$A$2:$A$492=$B$347)*(ROW('Eingabe Meldungen'!$A$2:$A$492)-1),COUNTIF('Eingabe Meldungen'!$A$2:$A$492,$B$347)+1-ROW('Eingabe Meldungen'!A10))))</f>
        <v/>
      </c>
      <c r="C357" s="40" t="str">
        <f t="array" ref="C357">IF(ISERROR(INDEX('Eingabe Meldungen'!$D$2:$D$492,LARGE(('Eingabe Meldungen'!$A$2:$A$492=$B$347)*(ROW('Eingabe Meldungen'!$A$2:$A$492)-1),COUNTIF('Eingabe Meldungen'!$A$2:$A$492,$B$347)+1-ROW('Eingabe Meldungen'!A10)))),"",INDEX('Eingabe Meldungen'!$D$2:$D$492,LARGE(('Eingabe Meldungen'!$A$2:$A$492=$B$347)*(ROW('Eingabe Meldungen'!$A$2:$A$492)-1),COUNTIF('Eingabe Meldungen'!$A$2:$A$492,$B$347)+1-ROW('Eingabe Meldungen'!A10))))</f>
        <v/>
      </c>
      <c r="D357" s="107" t="str">
        <f t="array" ref="D357">IF(B357&lt;&gt;"",INDEX('Eingabe Meldungen'!$C$2:$H$492,MATCH(B357&amp;C357,'Eingabe Meldungen'!$C$2:$C$492&amp;'Eingabe Meldungen'!$D$2:$D$492,0),6),"")</f>
        <v/>
      </c>
      <c r="E357" s="107" t="str">
        <f t="array" ref="E357">IF(B357&lt;&gt;"",INDEX('Eingabe Meldungen'!$C$2:$H$492,MATCH(B357&amp;C357,'Eingabe Meldungen'!$C$2:$C$492&amp;'Eingabe Meldungen'!$D$2:$D$492,0),4),"")</f>
        <v/>
      </c>
      <c r="F357" s="39">
        <v>9</v>
      </c>
      <c r="G357" s="150"/>
      <c r="H357" s="40" t="e">
        <f t="shared" si="18"/>
        <v>#N/A</v>
      </c>
      <c r="I357" s="107" t="str">
        <f t="array" ref="I357">IF(B357&lt;&gt;"",INDEX('Eingabe Meldungen'!$C$2:$J$492,MATCH(B357&amp;C357,'Eingabe Meldungen'!$C$2:$C$492&amp;'Eingabe Meldungen'!$D$2:$D$492,0),8),"")</f>
        <v/>
      </c>
      <c r="J357" s="40"/>
      <c r="K357" s="172">
        <f>SUM(G378:G379)</f>
        <v>0</v>
      </c>
      <c r="L357" s="173"/>
      <c r="M357" s="112"/>
      <c r="O357" s="11"/>
      <c r="P357" s="10"/>
      <c r="Q357" s="11"/>
      <c r="R357" s="11"/>
      <c r="S357" s="11"/>
      <c r="T357" s="11"/>
      <c r="U357" s="11"/>
      <c r="Y357" s="15"/>
    </row>
    <row r="358" spans="2:25" ht="13.2" hidden="1" thickBot="1" x14ac:dyDescent="0.25">
      <c r="B358" s="148" t="str">
        <f t="array" ref="B358">IF(ISERROR(INDEX('Eingabe Meldungen'!$C$2:$C$492,LARGE(('Eingabe Meldungen'!$A$2:$A$492=$B$347)*(ROW('Eingabe Meldungen'!$A$2:$A$492)-1),COUNTIF('Eingabe Meldungen'!$A$2:$A$492,$B$347)+1-ROW('Eingabe Meldungen'!A11)))),"",INDEX('Eingabe Meldungen'!$C$2:$C$492,LARGE(('Eingabe Meldungen'!$A$2:$A$492=$B$347)*(ROW('Eingabe Meldungen'!$A$2:$A$492)-1),COUNTIF('Eingabe Meldungen'!$A$2:$A$492,$B$347)+1-ROW('Eingabe Meldungen'!A11))))</f>
        <v/>
      </c>
      <c r="C358" s="40" t="str">
        <f t="array" ref="C358">IF(ISERROR(INDEX('Eingabe Meldungen'!$D$2:$D$492,LARGE(('Eingabe Meldungen'!$A$2:$A$492=$B$347)*(ROW('Eingabe Meldungen'!$A$2:$A$492)-1),COUNTIF('Eingabe Meldungen'!$A$2:$A$492,$B$347)+1-ROW('Eingabe Meldungen'!A11)))),"",INDEX('Eingabe Meldungen'!$D$2:$D$492,LARGE(('Eingabe Meldungen'!$A$2:$A$492=$B$347)*(ROW('Eingabe Meldungen'!$A$2:$A$492)-1),COUNTIF('Eingabe Meldungen'!$A$2:$A$492,$B$347)+1-ROW('Eingabe Meldungen'!A11))))</f>
        <v/>
      </c>
      <c r="D358" s="107" t="str">
        <f t="array" ref="D358">IF(B358&lt;&gt;"",INDEX('Eingabe Meldungen'!$C$2:$H$492,MATCH(B358&amp;C358,'Eingabe Meldungen'!$C$2:$C$492&amp;'Eingabe Meldungen'!$D$2:$D$492,0),6),"")</f>
        <v/>
      </c>
      <c r="E358" s="107" t="str">
        <f t="array" ref="E358">IF(B358&lt;&gt;"",INDEX('Eingabe Meldungen'!$C$2:$H$492,MATCH(B358&amp;C358,'Eingabe Meldungen'!$C$2:$C$492&amp;'Eingabe Meldungen'!$D$2:$D$492,0),4),"")</f>
        <v/>
      </c>
      <c r="F358" s="39">
        <v>10</v>
      </c>
      <c r="G358" s="150"/>
      <c r="H358" s="40" t="e">
        <f t="shared" si="18"/>
        <v>#N/A</v>
      </c>
      <c r="I358" s="107" t="str">
        <f t="array" ref="I358">IF(B358&lt;&gt;"",INDEX('Eingabe Meldungen'!$C$2:$J$492,MATCH(B358&amp;C358,'Eingabe Meldungen'!$C$2:$C$492&amp;'Eingabe Meldungen'!$D$2:$D$492,0),8),"")</f>
        <v/>
      </c>
      <c r="J358" s="40"/>
      <c r="K358" s="40"/>
      <c r="L358" s="151"/>
      <c r="M358" s="147"/>
      <c r="O358" s="11"/>
      <c r="P358" s="10"/>
      <c r="Q358" s="11"/>
      <c r="R358" s="11"/>
      <c r="S358" s="11"/>
      <c r="T358" s="11"/>
      <c r="U358" s="11"/>
      <c r="Y358" s="15"/>
    </row>
    <row r="359" spans="2:25" ht="13.2" hidden="1" thickBot="1" x14ac:dyDescent="0.25">
      <c r="B359" s="148" t="str">
        <f t="array" ref="B359">IF(ISERROR(INDEX('Eingabe Meldungen'!$C$2:$C$492,LARGE(('Eingabe Meldungen'!$A$2:$A$492=$B$347)*(ROW('Eingabe Meldungen'!$A$2:$A$492)-1),COUNTIF('Eingabe Meldungen'!$A$2:$A$492,$B$347)+1-ROW('Eingabe Meldungen'!A12)))),"",INDEX('Eingabe Meldungen'!$C$2:$C$492,LARGE(('Eingabe Meldungen'!$A$2:$A$492=$B$347)*(ROW('Eingabe Meldungen'!$A$2:$A$492)-1),COUNTIF('Eingabe Meldungen'!$A$2:$A$492,$B$347)+1-ROW('Eingabe Meldungen'!A12))))</f>
        <v/>
      </c>
      <c r="C359" s="40" t="str">
        <f t="array" ref="C359">IF(ISERROR(INDEX('Eingabe Meldungen'!$D$2:$D$492,LARGE(('Eingabe Meldungen'!$A$2:$A$492=$B$347)*(ROW('Eingabe Meldungen'!$A$2:$A$492)-1),COUNTIF('Eingabe Meldungen'!$A$2:$A$492,$B$347)+1-ROW('Eingabe Meldungen'!A12)))),"",INDEX('Eingabe Meldungen'!$D$2:$D$492,LARGE(('Eingabe Meldungen'!$A$2:$A$492=$B$347)*(ROW('Eingabe Meldungen'!$A$2:$A$492)-1),COUNTIF('Eingabe Meldungen'!$A$2:$A$492,$B$347)+1-ROW('Eingabe Meldungen'!A12))))</f>
        <v/>
      </c>
      <c r="D359" s="107" t="str">
        <f t="array" ref="D359">IF(B359&lt;&gt;"",INDEX('Eingabe Meldungen'!$C$2:$H$492,MATCH(B359&amp;C359,'Eingabe Meldungen'!$C$2:$C$492&amp;'Eingabe Meldungen'!$D$2:$D$492,0),6),"")</f>
        <v/>
      </c>
      <c r="E359" s="107" t="str">
        <f t="array" ref="E359">IF(B359&lt;&gt;"",INDEX('Eingabe Meldungen'!$C$2:$H$492,MATCH(B359&amp;C359,'Eingabe Meldungen'!$C$2:$C$492&amp;'Eingabe Meldungen'!$D$2:$D$492,0),4),"")</f>
        <v/>
      </c>
      <c r="F359" s="39">
        <v>11</v>
      </c>
      <c r="G359" s="150"/>
      <c r="H359" s="40" t="e">
        <f t="shared" si="18"/>
        <v>#N/A</v>
      </c>
      <c r="I359" s="107" t="str">
        <f t="array" ref="I359">IF(B359&lt;&gt;"",INDEX('Eingabe Meldungen'!$C$2:$J$492,MATCH(B359&amp;C359,'Eingabe Meldungen'!$C$2:$C$492&amp;'Eingabe Meldungen'!$D$2:$D$492,0),8),"")</f>
        <v/>
      </c>
      <c r="J359" s="40"/>
      <c r="K359" s="172">
        <f>SUM(G380:G381)</f>
        <v>0</v>
      </c>
      <c r="L359" s="173"/>
      <c r="M359" s="147"/>
      <c r="O359" s="11"/>
      <c r="P359" s="10"/>
      <c r="Q359" s="11"/>
      <c r="R359" s="11"/>
      <c r="S359" s="11"/>
      <c r="T359" s="11"/>
      <c r="U359" s="11"/>
      <c r="Y359" s="15"/>
    </row>
    <row r="360" spans="2:25" ht="13.2" hidden="1" thickBot="1" x14ac:dyDescent="0.25">
      <c r="B360" s="148" t="str">
        <f t="array" ref="B360">IF(ISERROR(INDEX('Eingabe Meldungen'!$C$2:$C$492,LARGE(('Eingabe Meldungen'!$A$2:$A$492=$B$347)*(ROW('Eingabe Meldungen'!$A$2:$A$492)-1),COUNTIF('Eingabe Meldungen'!$A$2:$A$492,$B$347)+1-ROW('Eingabe Meldungen'!A13)))),"",INDEX('Eingabe Meldungen'!$C$2:$C$492,LARGE(('Eingabe Meldungen'!$A$2:$A$492=$B$347)*(ROW('Eingabe Meldungen'!$A$2:$A$492)-1),COUNTIF('Eingabe Meldungen'!$A$2:$A$492,$B$347)+1-ROW('Eingabe Meldungen'!A13))))</f>
        <v/>
      </c>
      <c r="C360" s="40" t="str">
        <f t="array" ref="C360">IF(ISERROR(INDEX('Eingabe Meldungen'!$D$2:$D$492,LARGE(('Eingabe Meldungen'!$A$2:$A$492=$B$347)*(ROW('Eingabe Meldungen'!$A$2:$A$492)-1),COUNTIF('Eingabe Meldungen'!$A$2:$A$492,$B$347)+1-ROW('Eingabe Meldungen'!A13)))),"",INDEX('Eingabe Meldungen'!$D$2:$D$492,LARGE(('Eingabe Meldungen'!$A$2:$A$492=$B$347)*(ROW('Eingabe Meldungen'!$A$2:$A$492)-1),COUNTIF('Eingabe Meldungen'!$A$2:$A$492,$B$347)+1-ROW('Eingabe Meldungen'!A13))))</f>
        <v/>
      </c>
      <c r="D360" s="107" t="str">
        <f t="array" ref="D360">IF(B360&lt;&gt;"",INDEX('Eingabe Meldungen'!$C$2:$H$492,MATCH(B360&amp;C360,'Eingabe Meldungen'!$C$2:$C$492&amp;'Eingabe Meldungen'!$D$2:$D$492,0),6),"")</f>
        <v/>
      </c>
      <c r="E360" s="107" t="str">
        <f t="array" ref="E360">IF(B360&lt;&gt;"",INDEX('Eingabe Meldungen'!$C$2:$H$492,MATCH(B360&amp;C360,'Eingabe Meldungen'!$C$2:$C$492&amp;'Eingabe Meldungen'!$D$2:$D$492,0),4),"")</f>
        <v/>
      </c>
      <c r="F360" s="39">
        <v>12</v>
      </c>
      <c r="G360" s="150"/>
      <c r="H360" s="40" t="e">
        <f t="shared" si="18"/>
        <v>#N/A</v>
      </c>
      <c r="I360" s="107" t="str">
        <f t="array" ref="I360">IF(B360&lt;&gt;"",INDEX('Eingabe Meldungen'!$C$2:$J$492,MATCH(B360&amp;C360,'Eingabe Meldungen'!$C$2:$C$492&amp;'Eingabe Meldungen'!$D$2:$D$492,0),8),"")</f>
        <v/>
      </c>
      <c r="J360" s="40"/>
      <c r="K360" s="40"/>
      <c r="L360" s="151"/>
      <c r="M360" s="112"/>
      <c r="O360" s="11"/>
      <c r="P360" s="10"/>
      <c r="Q360" s="11"/>
      <c r="R360" s="11"/>
      <c r="S360" s="11"/>
      <c r="T360" s="11"/>
      <c r="U360" s="11"/>
      <c r="Y360" s="15"/>
    </row>
    <row r="361" spans="2:25" ht="13.2" hidden="1" thickBot="1" x14ac:dyDescent="0.25">
      <c r="B361" s="148" t="str">
        <f t="array" ref="B361">IF(ISERROR(INDEX('Eingabe Meldungen'!$C$2:$C$492,LARGE(('Eingabe Meldungen'!$A$2:$A$492=$B$347)*(ROW('Eingabe Meldungen'!$A$2:$A$492)-1),COUNTIF('Eingabe Meldungen'!$A$2:$A$492,$B$347)+1-ROW('Eingabe Meldungen'!A14)))),"",INDEX('Eingabe Meldungen'!$C$2:$C$492,LARGE(('Eingabe Meldungen'!$A$2:$A$492=$B$347)*(ROW('Eingabe Meldungen'!$A$2:$A$492)-1),COUNTIF('Eingabe Meldungen'!$A$2:$A$492,$B$347)+1-ROW('Eingabe Meldungen'!A14))))</f>
        <v/>
      </c>
      <c r="C361" s="40" t="str">
        <f t="array" ref="C361">IF(ISERROR(INDEX('Eingabe Meldungen'!$D$2:$D$492,LARGE(('Eingabe Meldungen'!$A$2:$A$492=$B$347)*(ROW('Eingabe Meldungen'!$A$2:$A$492)-1),COUNTIF('Eingabe Meldungen'!$A$2:$A$492,$B$347)+1-ROW('Eingabe Meldungen'!A14)))),"",INDEX('Eingabe Meldungen'!$D$2:$D$492,LARGE(('Eingabe Meldungen'!$A$2:$A$492=$B$347)*(ROW('Eingabe Meldungen'!$A$2:$A$492)-1),COUNTIF('Eingabe Meldungen'!$A$2:$A$492,$B$347)+1-ROW('Eingabe Meldungen'!A14))))</f>
        <v/>
      </c>
      <c r="D361" s="107" t="str">
        <f t="array" ref="D361">IF(B361&lt;&gt;"",INDEX('Eingabe Meldungen'!$C$2:$H$492,MATCH(B361&amp;C361,'Eingabe Meldungen'!$C$2:$C$492&amp;'Eingabe Meldungen'!$D$2:$D$492,0),6),"")</f>
        <v/>
      </c>
      <c r="E361" s="107" t="str">
        <f t="array" ref="E361">IF(B361&lt;&gt;"",INDEX('Eingabe Meldungen'!$C$2:$H$492,MATCH(B361&amp;C361,'Eingabe Meldungen'!$C$2:$C$492&amp;'Eingabe Meldungen'!$D$2:$D$492,0),4),"")</f>
        <v/>
      </c>
      <c r="F361" s="39">
        <v>13</v>
      </c>
      <c r="G361" s="150"/>
      <c r="H361" s="40" t="e">
        <f t="shared" si="18"/>
        <v>#N/A</v>
      </c>
      <c r="I361" s="107" t="str">
        <f t="array" ref="I361">IF(B361&lt;&gt;"",INDEX('Eingabe Meldungen'!$C$2:$J$492,MATCH(B361&amp;C361,'Eingabe Meldungen'!$C$2:$C$492&amp;'Eingabe Meldungen'!$D$2:$D$492,0),8),"")</f>
        <v/>
      </c>
      <c r="J361" s="40"/>
      <c r="K361" s="172">
        <f>SUM(G382:G383)</f>
        <v>0</v>
      </c>
      <c r="L361" s="173"/>
      <c r="M361" s="112"/>
      <c r="O361" s="11"/>
      <c r="P361" s="10"/>
      <c r="Q361" s="11"/>
      <c r="R361" s="11"/>
      <c r="S361" s="11"/>
      <c r="T361" s="11"/>
      <c r="U361" s="11"/>
      <c r="Y361" s="15"/>
    </row>
    <row r="362" spans="2:25" ht="13.2" hidden="1" thickBot="1" x14ac:dyDescent="0.25">
      <c r="B362" s="148" t="str">
        <f t="array" ref="B362">IF(ISERROR(INDEX('Eingabe Meldungen'!$C$2:$C$492,LARGE(('Eingabe Meldungen'!$A$2:$A$492=$B$347)*(ROW('Eingabe Meldungen'!$A$2:$A$492)-1),COUNTIF('Eingabe Meldungen'!$A$2:$A$492,$B$347)+1-ROW('Eingabe Meldungen'!A15)))),"",INDEX('Eingabe Meldungen'!$C$2:$C$492,LARGE(('Eingabe Meldungen'!$A$2:$A$492=$B$347)*(ROW('Eingabe Meldungen'!$A$2:$A$492)-1),COUNTIF('Eingabe Meldungen'!$A$2:$A$492,$B$347)+1-ROW('Eingabe Meldungen'!A15))))</f>
        <v/>
      </c>
      <c r="C362" s="40" t="str">
        <f t="array" ref="C362">IF(ISERROR(INDEX('Eingabe Meldungen'!$D$2:$D$492,LARGE(('Eingabe Meldungen'!$A$2:$A$492=$B$347)*(ROW('Eingabe Meldungen'!$A$2:$A$492)-1),COUNTIF('Eingabe Meldungen'!$A$2:$A$492,$B$347)+1-ROW('Eingabe Meldungen'!A15)))),"",INDEX('Eingabe Meldungen'!$D$2:$D$492,LARGE(('Eingabe Meldungen'!$A$2:$A$492=$B$347)*(ROW('Eingabe Meldungen'!$A$2:$A$492)-1),COUNTIF('Eingabe Meldungen'!$A$2:$A$492,$B$347)+1-ROW('Eingabe Meldungen'!A15))))</f>
        <v/>
      </c>
      <c r="D362" s="107" t="str">
        <f t="array" ref="D362">IF(B362&lt;&gt;"",INDEX('Eingabe Meldungen'!$C$2:$H$492,MATCH(B362&amp;C362,'Eingabe Meldungen'!$C$2:$C$492&amp;'Eingabe Meldungen'!$D$2:$D$492,0),6),"")</f>
        <v/>
      </c>
      <c r="E362" s="107" t="str">
        <f t="array" ref="E362">IF(B362&lt;&gt;"",INDEX('Eingabe Meldungen'!$C$2:$H$492,MATCH(B362&amp;C362,'Eingabe Meldungen'!$C$2:$C$492&amp;'Eingabe Meldungen'!$D$2:$D$492,0),4),"")</f>
        <v/>
      </c>
      <c r="F362" s="39">
        <v>14</v>
      </c>
      <c r="G362" s="150"/>
      <c r="H362" s="40" t="e">
        <f t="shared" si="18"/>
        <v>#N/A</v>
      </c>
      <c r="I362" s="107" t="str">
        <f t="array" ref="I362">IF(B362&lt;&gt;"",INDEX('Eingabe Meldungen'!$C$2:$J$492,MATCH(B362&amp;C362,'Eingabe Meldungen'!$C$2:$C$492&amp;'Eingabe Meldungen'!$D$2:$D$492,0),8),"")</f>
        <v/>
      </c>
      <c r="J362" s="40"/>
      <c r="K362" s="40"/>
      <c r="L362" s="151"/>
      <c r="M362" s="112"/>
      <c r="O362" s="11"/>
      <c r="P362" s="10"/>
      <c r="Q362" s="11"/>
      <c r="R362" s="11"/>
      <c r="S362" s="11"/>
      <c r="T362" s="11"/>
      <c r="U362" s="11"/>
      <c r="Y362" s="15"/>
    </row>
    <row r="363" spans="2:25" ht="13.2" hidden="1" thickBot="1" x14ac:dyDescent="0.25">
      <c r="B363" s="148" t="str">
        <f t="array" ref="B363">IF(ISERROR(INDEX('Eingabe Meldungen'!$C$2:$C$492,LARGE(('Eingabe Meldungen'!$A$2:$A$492=$B$347)*(ROW('Eingabe Meldungen'!$A$2:$A$492)-1),COUNTIF('Eingabe Meldungen'!$A$2:$A$492,$B$347)+1-ROW('Eingabe Meldungen'!A16)))),"",INDEX('Eingabe Meldungen'!$C$2:$C$492,LARGE(('Eingabe Meldungen'!$A$2:$A$492=$B$347)*(ROW('Eingabe Meldungen'!$A$2:$A$492)-1),COUNTIF('Eingabe Meldungen'!$A$2:$A$492,$B$347)+1-ROW('Eingabe Meldungen'!A16))))</f>
        <v/>
      </c>
      <c r="C363" s="40" t="str">
        <f t="array" ref="C363">IF(ISERROR(INDEX('Eingabe Meldungen'!$D$2:$D$492,LARGE(('Eingabe Meldungen'!$A$2:$A$492=$B$347)*(ROW('Eingabe Meldungen'!$A$2:$A$492)-1),COUNTIF('Eingabe Meldungen'!$A$2:$A$492,$B$347)+1-ROW('Eingabe Meldungen'!A16)))),"",INDEX('Eingabe Meldungen'!$D$2:$D$492,LARGE(('Eingabe Meldungen'!$A$2:$A$492=$B$347)*(ROW('Eingabe Meldungen'!$A$2:$A$492)-1),COUNTIF('Eingabe Meldungen'!$A$2:$A$492,$B$347)+1-ROW('Eingabe Meldungen'!A16))))</f>
        <v/>
      </c>
      <c r="D363" s="107" t="str">
        <f t="array" ref="D363">IF(B363&lt;&gt;"",INDEX('Eingabe Meldungen'!$C$2:$H$492,MATCH(B363&amp;C363,'Eingabe Meldungen'!$C$2:$C$492&amp;'Eingabe Meldungen'!$D$2:$D$492,0),6),"")</f>
        <v/>
      </c>
      <c r="E363" s="107" t="str">
        <f t="array" ref="E363">IF(B363&lt;&gt;"",INDEX('Eingabe Meldungen'!$C$2:$H$492,MATCH(B363&amp;C363,'Eingabe Meldungen'!$C$2:$C$492&amp;'Eingabe Meldungen'!$D$2:$D$492,0),4),"")</f>
        <v/>
      </c>
      <c r="F363" s="39">
        <v>15</v>
      </c>
      <c r="G363" s="150"/>
      <c r="H363" s="40" t="e">
        <f t="shared" si="18"/>
        <v>#N/A</v>
      </c>
      <c r="I363" s="107" t="str">
        <f t="array" ref="I363">IF(B363&lt;&gt;"",INDEX('Eingabe Meldungen'!$C$2:$J$492,MATCH(B363&amp;C363,'Eingabe Meldungen'!$C$2:$C$492&amp;'Eingabe Meldungen'!$D$2:$D$492,0),8),"")</f>
        <v/>
      </c>
      <c r="J363" s="40"/>
      <c r="K363" s="40"/>
      <c r="L363" s="151"/>
      <c r="M363" s="112"/>
      <c r="O363" s="11"/>
      <c r="P363" s="10"/>
      <c r="Q363" s="11"/>
      <c r="R363" s="11"/>
      <c r="S363" s="11"/>
      <c r="T363" s="11"/>
      <c r="U363" s="11"/>
      <c r="Y363" s="15"/>
    </row>
    <row r="364" spans="2:25" ht="13.2" hidden="1" thickBot="1" x14ac:dyDescent="0.25">
      <c r="B364" s="148" t="str">
        <f t="array" ref="B364">IF(ISERROR(INDEX('Eingabe Meldungen'!$C$2:$C$492,LARGE(('Eingabe Meldungen'!$A$2:$A$492=$B$347)*(ROW('Eingabe Meldungen'!$A$2:$A$492)-1),COUNTIF('Eingabe Meldungen'!$A$2:$A$492,$B$347)+1-ROW('Eingabe Meldungen'!A17)))),"",INDEX('Eingabe Meldungen'!$C$2:$C$492,LARGE(('Eingabe Meldungen'!$A$2:$A$492=$B$347)*(ROW('Eingabe Meldungen'!$A$2:$A$492)-1),COUNTIF('Eingabe Meldungen'!$A$2:$A$492,$B$347)+1-ROW('Eingabe Meldungen'!A17))))</f>
        <v/>
      </c>
      <c r="C364" s="40" t="str">
        <f t="array" ref="C364">IF(ISERROR(INDEX('Eingabe Meldungen'!$D$2:$D$492,LARGE(('Eingabe Meldungen'!$A$2:$A$492=$B$347)*(ROW('Eingabe Meldungen'!$A$2:$A$492)-1),COUNTIF('Eingabe Meldungen'!$A$2:$A$492,$B$347)+1-ROW('Eingabe Meldungen'!A17)))),"",INDEX('Eingabe Meldungen'!$D$2:$D$492,LARGE(('Eingabe Meldungen'!$A$2:$A$492=$B$347)*(ROW('Eingabe Meldungen'!$A$2:$A$492)-1),COUNTIF('Eingabe Meldungen'!$A$2:$A$492,$B$347)+1-ROW('Eingabe Meldungen'!A17))))</f>
        <v/>
      </c>
      <c r="D364" s="107" t="str">
        <f t="array" ref="D364">IF(B364&lt;&gt;"",INDEX('Eingabe Meldungen'!$C$2:$H$492,MATCH(B364&amp;C364,'Eingabe Meldungen'!$C$2:$C$492&amp;'Eingabe Meldungen'!$D$2:$D$492,0),6),"")</f>
        <v/>
      </c>
      <c r="E364" s="107" t="str">
        <f t="array" ref="E364">IF(B364&lt;&gt;"",INDEX('Eingabe Meldungen'!$C$2:$H$492,MATCH(B364&amp;C364,'Eingabe Meldungen'!$C$2:$C$492&amp;'Eingabe Meldungen'!$D$2:$D$492,0),4),"")</f>
        <v/>
      </c>
      <c r="F364" s="39">
        <v>16</v>
      </c>
      <c r="G364" s="150"/>
      <c r="H364" s="40" t="e">
        <f t="shared" si="18"/>
        <v>#N/A</v>
      </c>
      <c r="I364" s="107" t="str">
        <f t="array" ref="I364">IF(B364&lt;&gt;"",INDEX('Eingabe Meldungen'!$C$2:$J$492,MATCH(B364&amp;C364,'Eingabe Meldungen'!$C$2:$C$492&amp;'Eingabe Meldungen'!$D$2:$D$492,0),8),"")</f>
        <v/>
      </c>
      <c r="J364" s="40"/>
      <c r="K364" s="40"/>
      <c r="L364" s="151"/>
      <c r="M364" s="112"/>
      <c r="O364" s="11"/>
      <c r="P364" s="10"/>
      <c r="Q364" s="11"/>
      <c r="R364" s="11"/>
      <c r="S364" s="11"/>
      <c r="T364" s="11"/>
      <c r="U364" s="11"/>
      <c r="Y364" s="15"/>
    </row>
    <row r="365" spans="2:25" ht="13.2" hidden="1" thickBot="1" x14ac:dyDescent="0.25">
      <c r="B365" s="148"/>
      <c r="C365" s="40"/>
      <c r="D365" s="107"/>
      <c r="E365" s="107"/>
      <c r="F365" s="107"/>
      <c r="G365" s="107"/>
      <c r="H365" s="40"/>
      <c r="I365" s="40"/>
      <c r="J365" s="40"/>
      <c r="K365" s="40"/>
      <c r="L365" s="151"/>
      <c r="M365" s="112"/>
      <c r="O365" s="11"/>
      <c r="P365" s="10"/>
      <c r="Q365" s="11"/>
      <c r="R365" s="11"/>
      <c r="S365" s="11"/>
      <c r="T365" s="11"/>
      <c r="U365" s="11"/>
      <c r="Y365" s="15"/>
    </row>
    <row r="366" spans="2:25" ht="24.75" hidden="1" customHeight="1" x14ac:dyDescent="0.2">
      <c r="B366" s="114">
        <f>B347+1</f>
        <v>23</v>
      </c>
      <c r="C366" s="108" t="str">
        <f>VLOOKUP(B366,Ausschreibung!$B$5:$I$35,2,FALSE)</f>
        <v>Ergocup</v>
      </c>
      <c r="D366" s="109">
        <f>VLOOKUP(B366,Ausschreibung!$B$5:$I$35,3,FALSE)</f>
        <v>0.65208333333333313</v>
      </c>
      <c r="E366" s="108" t="str">
        <f>VLOOKUP(B366,Ausschreibung!$B$5:$I$35,4,FALSE)</f>
        <v>Senioren A</v>
      </c>
      <c r="F366" s="108" t="str">
        <f>VLOOKUP(B366,Ausschreibung!$B$5:$I$35,5,FALSE)</f>
        <v>LGW. bis 75 kg</v>
      </c>
      <c r="G366" s="108" t="str">
        <f>VLOOKUP(B366,Ausschreibung!$B$5:$I$35,6,FALSE)</f>
        <v>19 und älter</v>
      </c>
      <c r="H366" s="108" t="str">
        <f>VLOOKUP(B366,Ausschreibung!$B$5:$I$35,8,FALSE)</f>
        <v>2000 m</v>
      </c>
      <c r="I366" s="108" t="s">
        <v>30</v>
      </c>
      <c r="J366" s="108"/>
      <c r="K366" s="172">
        <f>SUM(G387:G388)</f>
        <v>0</v>
      </c>
      <c r="L366" s="173"/>
      <c r="M366" s="112"/>
      <c r="O366" s="11"/>
      <c r="P366" s="10"/>
      <c r="Q366" s="11"/>
      <c r="R366" s="11"/>
      <c r="S366" s="11"/>
      <c r="T366" s="11"/>
      <c r="U366" s="11"/>
    </row>
    <row r="367" spans="2:25" ht="13.2" hidden="1" thickBot="1" x14ac:dyDescent="0.25">
      <c r="B367" s="111" t="s">
        <v>1</v>
      </c>
      <c r="C367" s="104" t="s">
        <v>2</v>
      </c>
      <c r="D367" s="103" t="s">
        <v>49</v>
      </c>
      <c r="E367" s="146" t="s">
        <v>16</v>
      </c>
      <c r="F367" s="103" t="s">
        <v>18</v>
      </c>
      <c r="G367" s="105" t="s">
        <v>50</v>
      </c>
      <c r="H367" s="103" t="s">
        <v>51</v>
      </c>
      <c r="I367" s="106" t="s">
        <v>17</v>
      </c>
      <c r="J367" s="103"/>
      <c r="K367" s="40"/>
      <c r="L367" s="151"/>
      <c r="M367" s="112"/>
      <c r="O367" s="11"/>
      <c r="P367" s="10"/>
      <c r="Q367" s="11"/>
      <c r="R367" s="11"/>
      <c r="S367" s="11"/>
      <c r="T367" s="11"/>
      <c r="U367" s="11"/>
    </row>
    <row r="368" spans="2:25" ht="13.2" hidden="1" thickBot="1" x14ac:dyDescent="0.25">
      <c r="B368" s="148" t="str">
        <f t="array" ref="B368">IF(ISERROR(INDEX('Eingabe Meldungen'!$C$2:$C$492,LARGE(('Eingabe Meldungen'!$A$2:$A$492=$B$366)*(ROW('Eingabe Meldungen'!$A$2:$A$492)-1),COUNTIF('Eingabe Meldungen'!$A$2:$A$492,$B$366)+1-ROW('Eingabe Meldungen'!A1)))),"",INDEX('Eingabe Meldungen'!$C$2:$C$492,LARGE(('Eingabe Meldungen'!$A$2:$A$492=$B$366)*(ROW('Eingabe Meldungen'!$A$2:$A$492)-1),COUNTIF('Eingabe Meldungen'!$A$2:$A$492,$B$366)+1-ROW('Eingabe Meldungen'!A1))))</f>
        <v>Bogenschütz</v>
      </c>
      <c r="C368" s="40" t="str">
        <f t="array" ref="C368">IF(ISERROR(INDEX('Eingabe Meldungen'!$D$2:$D$492,LARGE(('Eingabe Meldungen'!$A$2:$A$492=$B$366)*(ROW('Eingabe Meldungen'!$A$2:$A$492)-1),COUNTIF('Eingabe Meldungen'!$A$2:$A$492,$B$366)+1-ROW('Eingabe Meldungen'!A1)))),"",INDEX('Eingabe Meldungen'!$D$2:$D$492,LARGE(('Eingabe Meldungen'!$A$2:$A$492=$B$366)*(ROW('Eingabe Meldungen'!$A$2:$A$492)-1),COUNTIF('Eingabe Meldungen'!$A$2:$A$492,$B$366)+1-ROW('Eingabe Meldungen'!A1))))</f>
        <v>Benjamin</v>
      </c>
      <c r="D368" s="107">
        <f t="array" ref="D368">IF(B368&lt;&gt;"",INDEX('Eingabe Meldungen'!$C$2:$H$492,MATCH(B368&amp;C368,'Eingabe Meldungen'!$C$2:$C$492&amp;'Eingabe Meldungen'!$D$2:$D$492,0),6),"")</f>
        <v>1986</v>
      </c>
      <c r="E368" s="107" t="str">
        <f t="array" ref="E368">IF(B368&lt;&gt;"",INDEX('Eingabe Meldungen'!$C$2:$H$492,MATCH(B368&amp;C368,'Eingabe Meldungen'!$C$2:$C$492&amp;'Eingabe Meldungen'!$D$2:$D$492,0),4),"")</f>
        <v>LGW. bis 75 kg</v>
      </c>
      <c r="F368" s="107">
        <v>1</v>
      </c>
      <c r="G368" s="149"/>
      <c r="H368" s="40">
        <f>RANK(K347,$K$347:$K$362,1)</f>
        <v>1</v>
      </c>
      <c r="I368" s="107" t="str">
        <f t="array" ref="I368">IF(B368&lt;&gt;"",INDEX('Eingabe Meldungen'!$C$2:$J$492,MATCH(B368&amp;C368,'Eingabe Meldungen'!$C$2:$C$492&amp;'Eingabe Meldungen'!$D$2:$D$492,0),8),"")</f>
        <v>Stuttgarter RG</v>
      </c>
      <c r="J368" s="40"/>
      <c r="K368" s="172">
        <f>SUM(G389:G390)</f>
        <v>0</v>
      </c>
      <c r="L368" s="173"/>
      <c r="M368" s="112"/>
      <c r="O368" s="11"/>
      <c r="P368" s="10"/>
      <c r="Q368" s="11"/>
      <c r="R368" s="11"/>
      <c r="S368" s="11"/>
      <c r="T368" s="11"/>
      <c r="U368" s="11"/>
      <c r="Y368" s="15"/>
    </row>
    <row r="369" spans="2:25" ht="13.2" hidden="1" thickBot="1" x14ac:dyDescent="0.25">
      <c r="B369" s="148" t="str">
        <f t="array" ref="B369">IF(ISERROR(INDEX('Eingabe Meldungen'!$C$2:$C$492,LARGE(('Eingabe Meldungen'!$A$2:$A$492=$B$366)*(ROW('Eingabe Meldungen'!$A$2:$A$492)-1),COUNTIF('Eingabe Meldungen'!$A$2:$A$492,$B$366)+1-ROW('Eingabe Meldungen'!A2)))),"",INDEX('Eingabe Meldungen'!$C$2:$C$492,LARGE(('Eingabe Meldungen'!$A$2:$A$492=$B$366)*(ROW('Eingabe Meldungen'!$A$2:$A$492)-1),COUNTIF('Eingabe Meldungen'!$A$2:$A$492,$B$366)+1-ROW('Eingabe Meldungen'!A2))))</f>
        <v>Schneckenberger</v>
      </c>
      <c r="C369" s="40" t="str">
        <f t="array" ref="C369">IF(ISERROR(INDEX('Eingabe Meldungen'!$D$2:$D$492,LARGE(('Eingabe Meldungen'!$A$2:$A$492=$B$366)*(ROW('Eingabe Meldungen'!$A$2:$A$492)-1),COUNTIF('Eingabe Meldungen'!$A$2:$A$492,$B$366)+1-ROW('Eingabe Meldungen'!A2)))),"",INDEX('Eingabe Meldungen'!$D$2:$D$492,LARGE(('Eingabe Meldungen'!$A$2:$A$492=$B$366)*(ROW('Eingabe Meldungen'!$A$2:$A$492)-1),COUNTIF('Eingabe Meldungen'!$A$2:$A$492,$B$366)+1-ROW('Eingabe Meldungen'!A2))))</f>
        <v>Lukas</v>
      </c>
      <c r="D369" s="107">
        <f t="array" ref="D369">IF(B369&lt;&gt;"",INDEX('Eingabe Meldungen'!$C$2:$H$492,MATCH(B369&amp;C369,'Eingabe Meldungen'!$C$2:$C$492&amp;'Eingabe Meldungen'!$D$2:$D$492,0),6),"")</f>
        <v>2000</v>
      </c>
      <c r="E369" s="107" t="str">
        <f t="array" ref="E369">IF(B369&lt;&gt;"",INDEX('Eingabe Meldungen'!$C$2:$H$492,MATCH(B369&amp;C369,'Eingabe Meldungen'!$C$2:$C$492&amp;'Eingabe Meldungen'!$D$2:$D$492,0),4),"")</f>
        <v>LGW. bis 75 kg</v>
      </c>
      <c r="F369" s="39">
        <v>2</v>
      </c>
      <c r="G369" s="149"/>
      <c r="H369" s="40"/>
      <c r="I369" s="107" t="str">
        <f t="array" ref="I369">IF(B369&lt;&gt;"",INDEX('Eingabe Meldungen'!$C$2:$J$492,MATCH(B369&amp;C369,'Eingabe Meldungen'!$C$2:$C$492&amp;'Eingabe Meldungen'!$D$2:$D$492,0),8),"")</f>
        <v>RC Nürtingen</v>
      </c>
      <c r="J369" s="40"/>
      <c r="K369" s="40"/>
      <c r="L369" s="151"/>
      <c r="M369" s="112"/>
      <c r="O369" s="11"/>
      <c r="P369" s="10"/>
      <c r="Q369" s="11"/>
      <c r="R369" s="11"/>
      <c r="S369" s="11"/>
      <c r="T369" s="11"/>
      <c r="U369" s="11"/>
      <c r="Y369" s="15"/>
    </row>
    <row r="370" spans="2:25" ht="13.2" hidden="1" thickBot="1" x14ac:dyDescent="0.25">
      <c r="B370" s="148" t="str">
        <f t="array" ref="B370">IF(ISERROR(INDEX('Eingabe Meldungen'!$C$2:$C$492,LARGE(('Eingabe Meldungen'!$A$2:$A$492=$B$366)*(ROW('Eingabe Meldungen'!$A$2:$A$492)-1),COUNTIF('Eingabe Meldungen'!$A$2:$A$492,$B$366)+1-ROW('Eingabe Meldungen'!A3)))),"",INDEX('Eingabe Meldungen'!$C$2:$C$492,LARGE(('Eingabe Meldungen'!$A$2:$A$492=$B$366)*(ROW('Eingabe Meldungen'!$A$2:$A$492)-1),COUNTIF('Eingabe Meldungen'!$A$2:$A$492,$B$366)+1-ROW('Eingabe Meldungen'!A3))))</f>
        <v>Remelé</v>
      </c>
      <c r="C370" s="40" t="str">
        <f t="array" ref="C370">IF(ISERROR(INDEX('Eingabe Meldungen'!$D$2:$D$492,LARGE(('Eingabe Meldungen'!$A$2:$A$492=$B$366)*(ROW('Eingabe Meldungen'!$A$2:$A$492)-1),COUNTIF('Eingabe Meldungen'!$A$2:$A$492,$B$366)+1-ROW('Eingabe Meldungen'!A3)))),"",INDEX('Eingabe Meldungen'!$D$2:$D$492,LARGE(('Eingabe Meldungen'!$A$2:$A$492=$B$366)*(ROW('Eingabe Meldungen'!$A$2:$A$492)-1),COUNTIF('Eingabe Meldungen'!$A$2:$A$492,$B$366)+1-ROW('Eingabe Meldungen'!A3))))</f>
        <v>Friedrich</v>
      </c>
      <c r="D370" s="107">
        <f t="array" ref="D370">IF(B370&lt;&gt;"",INDEX('Eingabe Meldungen'!$C$2:$H$492,MATCH(B370&amp;C370,'Eingabe Meldungen'!$C$2:$C$492&amp;'Eingabe Meldungen'!$D$2:$D$492,0),6),"")</f>
        <v>2001</v>
      </c>
      <c r="E370" s="107" t="str">
        <f t="array" ref="E370">IF(B370&lt;&gt;"",INDEX('Eingabe Meldungen'!$C$2:$H$492,MATCH(B370&amp;C370,'Eingabe Meldungen'!$C$2:$C$492&amp;'Eingabe Meldungen'!$D$2:$D$492,0),4),"")</f>
        <v>LGW. bis 75 kg</v>
      </c>
      <c r="F370" s="39">
        <v>3</v>
      </c>
      <c r="G370" s="150"/>
      <c r="H370" s="40">
        <f>RANK(K349,$K$347:$K$362,1)</f>
        <v>1</v>
      </c>
      <c r="I370" s="107" t="str">
        <f t="array" ref="I370">IF(B370&lt;&gt;"",INDEX('Eingabe Meldungen'!$C$2:$J$492,MATCH(B370&amp;C370,'Eingabe Meldungen'!$C$2:$C$492&amp;'Eingabe Meldungen'!$D$2:$D$492,0),8),"")</f>
        <v>Schweinfurter Ruder-Club Franken</v>
      </c>
      <c r="J370" s="40"/>
      <c r="K370" s="172">
        <f>SUM(G391:G392)</f>
        <v>0</v>
      </c>
      <c r="L370" s="173"/>
      <c r="M370" s="112"/>
      <c r="O370" s="11"/>
      <c r="P370" s="10"/>
      <c r="Q370" s="11"/>
      <c r="R370" s="11"/>
      <c r="S370" s="11"/>
      <c r="T370" s="11"/>
      <c r="U370" s="11"/>
      <c r="Y370" s="15"/>
    </row>
    <row r="371" spans="2:25" ht="13.2" hidden="1" thickBot="1" x14ac:dyDescent="0.25">
      <c r="B371" s="148" t="str">
        <f t="array" ref="B371">IF(ISERROR(INDEX('Eingabe Meldungen'!$C$2:$C$492,LARGE(('Eingabe Meldungen'!$A$2:$A$492=$B$366)*(ROW('Eingabe Meldungen'!$A$2:$A$492)-1),COUNTIF('Eingabe Meldungen'!$A$2:$A$492,$B$366)+1-ROW('Eingabe Meldungen'!A4)))),"",INDEX('Eingabe Meldungen'!$C$2:$C$492,LARGE(('Eingabe Meldungen'!$A$2:$A$492=$B$366)*(ROW('Eingabe Meldungen'!$A$2:$A$492)-1),COUNTIF('Eingabe Meldungen'!$A$2:$A$492,$B$366)+1-ROW('Eingabe Meldungen'!A4))))</f>
        <v>Stein</v>
      </c>
      <c r="C371" s="40" t="str">
        <f t="array" ref="C371">IF(ISERROR(INDEX('Eingabe Meldungen'!$D$2:$D$492,LARGE(('Eingabe Meldungen'!$A$2:$A$492=$B$366)*(ROW('Eingabe Meldungen'!$A$2:$A$492)-1),COUNTIF('Eingabe Meldungen'!$A$2:$A$492,$B$366)+1-ROW('Eingabe Meldungen'!A4)))),"",INDEX('Eingabe Meldungen'!$D$2:$D$492,LARGE(('Eingabe Meldungen'!$A$2:$A$492=$B$366)*(ROW('Eingabe Meldungen'!$A$2:$A$492)-1),COUNTIF('Eingabe Meldungen'!$A$2:$A$492,$B$366)+1-ROW('Eingabe Meldungen'!A4))))</f>
        <v>Jonas</v>
      </c>
      <c r="D371" s="107">
        <f t="array" ref="D371">IF(B371&lt;&gt;"",INDEX('Eingabe Meldungen'!$C$2:$H$492,MATCH(B371&amp;C371,'Eingabe Meldungen'!$C$2:$C$492&amp;'Eingabe Meldungen'!$D$2:$D$492,0),6),"")</f>
        <v>2001</v>
      </c>
      <c r="E371" s="107" t="str">
        <f t="array" ref="E371">IF(B371&lt;&gt;"",INDEX('Eingabe Meldungen'!$C$2:$H$492,MATCH(B371&amp;C371,'Eingabe Meldungen'!$C$2:$C$492&amp;'Eingabe Meldungen'!$D$2:$D$492,0),4),"")</f>
        <v>LGW. bis 75 kg</v>
      </c>
      <c r="F371" s="39">
        <v>4</v>
      </c>
      <c r="G371" s="150"/>
      <c r="H371" s="40"/>
      <c r="I371" s="107" t="str">
        <f t="array" ref="I371">IF(B371&lt;&gt;"",INDEX('Eingabe Meldungen'!$C$2:$J$492,MATCH(B371&amp;C371,'Eingabe Meldungen'!$C$2:$C$492&amp;'Eingabe Meldungen'!$D$2:$D$492,0),8),"")</f>
        <v>Marbacher Ruderverein</v>
      </c>
      <c r="J371" s="40"/>
      <c r="K371" s="40"/>
      <c r="L371" s="151"/>
      <c r="M371" s="112"/>
      <c r="O371" s="11"/>
      <c r="P371" s="10"/>
      <c r="Q371" s="11"/>
      <c r="R371" s="11"/>
      <c r="S371" s="11"/>
      <c r="T371" s="11"/>
      <c r="U371" s="11"/>
      <c r="Y371" s="15"/>
    </row>
    <row r="372" spans="2:25" ht="13.2" hidden="1" thickBot="1" x14ac:dyDescent="0.25">
      <c r="B372" s="148" t="str">
        <f t="array" ref="B372">IF(ISERROR(INDEX('Eingabe Meldungen'!$C$2:$C$492,LARGE(('Eingabe Meldungen'!$A$2:$A$492=$B$366)*(ROW('Eingabe Meldungen'!$A$2:$A$492)-1),COUNTIF('Eingabe Meldungen'!$A$2:$A$492,$B$366)+1-ROW('Eingabe Meldungen'!A5)))),"",INDEX('Eingabe Meldungen'!$C$2:$C$492,LARGE(('Eingabe Meldungen'!$A$2:$A$492=$B$366)*(ROW('Eingabe Meldungen'!$A$2:$A$492)-1),COUNTIF('Eingabe Meldungen'!$A$2:$A$492,$B$366)+1-ROW('Eingabe Meldungen'!A5))))</f>
        <v/>
      </c>
      <c r="C372" s="40" t="str">
        <f t="array" ref="C372">IF(ISERROR(INDEX('Eingabe Meldungen'!$D$2:$D$492,LARGE(('Eingabe Meldungen'!$A$2:$A$492=$B$366)*(ROW('Eingabe Meldungen'!$A$2:$A$492)-1),COUNTIF('Eingabe Meldungen'!$A$2:$A$492,$B$366)+1-ROW('Eingabe Meldungen'!A5)))),"",INDEX('Eingabe Meldungen'!$D$2:$D$492,LARGE(('Eingabe Meldungen'!$A$2:$A$492=$B$366)*(ROW('Eingabe Meldungen'!$A$2:$A$492)-1),COUNTIF('Eingabe Meldungen'!$A$2:$A$492,$B$366)+1-ROW('Eingabe Meldungen'!A5))))</f>
        <v/>
      </c>
      <c r="D372" s="107" t="str">
        <f t="array" ref="D372">IF(B372&lt;&gt;"",INDEX('Eingabe Meldungen'!$C$2:$H$492,MATCH(B372&amp;C372,'Eingabe Meldungen'!$C$2:$C$492&amp;'Eingabe Meldungen'!$D$2:$D$492,0),6),"")</f>
        <v/>
      </c>
      <c r="E372" s="107" t="str">
        <f t="array" ref="E372">IF(B372&lt;&gt;"",INDEX('Eingabe Meldungen'!$C$2:$H$492,MATCH(B372&amp;C372,'Eingabe Meldungen'!$C$2:$C$492&amp;'Eingabe Meldungen'!$D$2:$D$492,0),4),"")</f>
        <v/>
      </c>
      <c r="F372" s="39">
        <v>5</v>
      </c>
      <c r="G372" s="150"/>
      <c r="H372" s="40">
        <f>RANK(K351,$K$347:$K$362,1)</f>
        <v>1</v>
      </c>
      <c r="I372" s="107" t="str">
        <f t="array" ref="I372">IF(B372&lt;&gt;"",INDEX('Eingabe Meldungen'!$C$2:$J$492,MATCH(B372&amp;C372,'Eingabe Meldungen'!$C$2:$C$492&amp;'Eingabe Meldungen'!$D$2:$D$492,0),8),"")</f>
        <v/>
      </c>
      <c r="J372" s="40"/>
      <c r="K372" s="172">
        <f>SUM(G393:G394)</f>
        <v>0</v>
      </c>
      <c r="L372" s="173"/>
      <c r="M372" s="147"/>
      <c r="O372" s="11"/>
      <c r="P372" s="10"/>
      <c r="Q372" s="11"/>
      <c r="R372" s="11"/>
      <c r="S372" s="11"/>
      <c r="T372" s="11"/>
      <c r="U372" s="11"/>
      <c r="Y372" s="15"/>
    </row>
    <row r="373" spans="2:25" ht="13.2" hidden="1" thickBot="1" x14ac:dyDescent="0.25">
      <c r="B373" s="148" t="str">
        <f t="array" ref="B373">IF(ISERROR(INDEX('Eingabe Meldungen'!$C$2:$C$492,LARGE(('Eingabe Meldungen'!$A$2:$A$492=$B$366)*(ROW('Eingabe Meldungen'!$A$2:$A$492)-1),COUNTIF('Eingabe Meldungen'!$A$2:$A$492,$B$366)+1-ROW('Eingabe Meldungen'!A6)))),"",INDEX('Eingabe Meldungen'!$C$2:$C$492,LARGE(('Eingabe Meldungen'!$A$2:$A$492=$B$366)*(ROW('Eingabe Meldungen'!$A$2:$A$492)-1),COUNTIF('Eingabe Meldungen'!$A$2:$A$492,$B$366)+1-ROW('Eingabe Meldungen'!A6))))</f>
        <v/>
      </c>
      <c r="C373" s="40" t="str">
        <f t="array" ref="C373">IF(ISERROR(INDEX('Eingabe Meldungen'!$D$2:$D$492,LARGE(('Eingabe Meldungen'!$A$2:$A$492=$B$366)*(ROW('Eingabe Meldungen'!$A$2:$A$492)-1),COUNTIF('Eingabe Meldungen'!$A$2:$A$492,$B$366)+1-ROW('Eingabe Meldungen'!A6)))),"",INDEX('Eingabe Meldungen'!$D$2:$D$492,LARGE(('Eingabe Meldungen'!$A$2:$A$492=$B$366)*(ROW('Eingabe Meldungen'!$A$2:$A$492)-1),COUNTIF('Eingabe Meldungen'!$A$2:$A$492,$B$366)+1-ROW('Eingabe Meldungen'!A6))))</f>
        <v/>
      </c>
      <c r="D373" s="107" t="str">
        <f t="array" ref="D373">IF(B373&lt;&gt;"",INDEX('Eingabe Meldungen'!$C$2:$H$492,MATCH(B373&amp;C373,'Eingabe Meldungen'!$C$2:$C$492&amp;'Eingabe Meldungen'!$D$2:$D$492,0),6),"")</f>
        <v/>
      </c>
      <c r="E373" s="107" t="str">
        <f t="array" ref="E373">IF(B373&lt;&gt;"",INDEX('Eingabe Meldungen'!$C$2:$H$492,MATCH(B373&amp;C373,'Eingabe Meldungen'!$C$2:$C$492&amp;'Eingabe Meldungen'!$D$2:$D$492,0),4),"")</f>
        <v/>
      </c>
      <c r="F373" s="39">
        <v>6</v>
      </c>
      <c r="G373" s="150"/>
      <c r="H373" s="40"/>
      <c r="I373" s="107" t="str">
        <f t="array" ref="I373">IF(B373&lt;&gt;"",INDEX('Eingabe Meldungen'!$C$2:$J$492,MATCH(B373&amp;C373,'Eingabe Meldungen'!$C$2:$C$492&amp;'Eingabe Meldungen'!$D$2:$D$492,0),8),"")</f>
        <v/>
      </c>
      <c r="J373" s="40"/>
      <c r="K373" s="40"/>
      <c r="L373" s="151"/>
      <c r="M373" s="147"/>
      <c r="O373" s="11"/>
      <c r="P373" s="10"/>
      <c r="Q373" s="11"/>
      <c r="R373" s="11"/>
      <c r="S373" s="11"/>
      <c r="T373" s="11"/>
      <c r="U373" s="11"/>
      <c r="Y373" s="15"/>
    </row>
    <row r="374" spans="2:25" ht="13.2" hidden="1" thickBot="1" x14ac:dyDescent="0.25">
      <c r="B374" s="148" t="str">
        <f t="array" ref="B374">IF(ISERROR(INDEX('Eingabe Meldungen'!$C$2:$C$492,LARGE(('Eingabe Meldungen'!$A$2:$A$492=$B$366)*(ROW('Eingabe Meldungen'!$A$2:$A$492)-1),COUNTIF('Eingabe Meldungen'!$A$2:$A$492,$B$366)+1-ROW('Eingabe Meldungen'!A8)))),"",INDEX('Eingabe Meldungen'!$C$2:$C$492,LARGE(('Eingabe Meldungen'!$A$2:$A$492=$B$366)*(ROW('Eingabe Meldungen'!$A$2:$A$492)-1),COUNTIF('Eingabe Meldungen'!$A$2:$A$492,$B$366)+1-ROW('Eingabe Meldungen'!A8))))</f>
        <v/>
      </c>
      <c r="C374" s="40" t="str">
        <f t="array" ref="C374">IF(ISERROR(INDEX('Eingabe Meldungen'!$D$2:$D$492,LARGE(('Eingabe Meldungen'!$A$2:$A$492=$B$366)*(ROW('Eingabe Meldungen'!$A$2:$A$492)-1),COUNTIF('Eingabe Meldungen'!$A$2:$A$492,$B$366)+1-ROW('Eingabe Meldungen'!A8)))),"",INDEX('Eingabe Meldungen'!$D$2:$D$492,LARGE(('Eingabe Meldungen'!$A$2:$A$492=$B$366)*(ROW('Eingabe Meldungen'!$A$2:$A$492)-1),COUNTIF('Eingabe Meldungen'!$A$2:$A$492,$B$366)+1-ROW('Eingabe Meldungen'!A8))))</f>
        <v/>
      </c>
      <c r="D374" s="107" t="str">
        <f t="array" ref="D374">IF(B374&lt;&gt;"",INDEX('Eingabe Meldungen'!$C$2:$H$492,MATCH(B374&amp;C374,'Eingabe Meldungen'!$C$2:$C$492&amp;'Eingabe Meldungen'!$D$2:$D$492,0),6),"")</f>
        <v/>
      </c>
      <c r="E374" s="107" t="str">
        <f t="array" ref="E374">IF(B374&lt;&gt;"",INDEX('Eingabe Meldungen'!$C$2:$H$492,MATCH(B374&amp;C374,'Eingabe Meldungen'!$C$2:$C$492&amp;'Eingabe Meldungen'!$D$2:$D$492,0),4),"")</f>
        <v/>
      </c>
      <c r="F374" s="39">
        <v>7</v>
      </c>
      <c r="G374" s="150"/>
      <c r="H374" s="40">
        <f>RANK(K353,$K$347:$K$362,1)</f>
        <v>1</v>
      </c>
      <c r="I374" s="107" t="str">
        <f t="array" ref="I374">IF(B374&lt;&gt;"",INDEX('Eingabe Meldungen'!$C$2:$J$492,MATCH(B374&amp;C374,'Eingabe Meldungen'!$C$2:$C$492&amp;'Eingabe Meldungen'!$D$2:$D$492,0),8),"")</f>
        <v/>
      </c>
      <c r="J374" s="40"/>
      <c r="K374" s="172">
        <f>SUM(G395:G396)</f>
        <v>0</v>
      </c>
      <c r="L374" s="173"/>
      <c r="M374" s="112"/>
      <c r="O374" s="11"/>
      <c r="P374" s="10"/>
      <c r="Q374" s="11"/>
      <c r="R374" s="11"/>
      <c r="S374" s="11"/>
      <c r="T374" s="11"/>
      <c r="U374" s="11"/>
      <c r="Y374" s="15"/>
    </row>
    <row r="375" spans="2:25" ht="13.2" hidden="1" thickBot="1" x14ac:dyDescent="0.25">
      <c r="B375" s="148" t="str">
        <f t="array" ref="B375">IF(ISERROR(INDEX('Eingabe Meldungen'!$C$2:$C$492,LARGE(('Eingabe Meldungen'!$A$2:$A$492=$B$366)*(ROW('Eingabe Meldungen'!$A$2:$A$492)-1),COUNTIF('Eingabe Meldungen'!$A$2:$A$492,$B$366)+1-ROW('Eingabe Meldungen'!A9)))),"",INDEX('Eingabe Meldungen'!$C$2:$C$492,LARGE(('Eingabe Meldungen'!$A$2:$A$492=$B$366)*(ROW('Eingabe Meldungen'!$A$2:$A$492)-1),COUNTIF('Eingabe Meldungen'!$A$2:$A$492,$B$366)+1-ROW('Eingabe Meldungen'!A9))))</f>
        <v/>
      </c>
      <c r="C375" s="40" t="str">
        <f t="array" ref="C375">IF(ISERROR(INDEX('Eingabe Meldungen'!$D$2:$D$492,LARGE(('Eingabe Meldungen'!$A$2:$A$492=$B$366)*(ROW('Eingabe Meldungen'!$A$2:$A$492)-1),COUNTIF('Eingabe Meldungen'!$A$2:$A$492,$B$366)+1-ROW('Eingabe Meldungen'!A9)))),"",INDEX('Eingabe Meldungen'!$D$2:$D$492,LARGE(('Eingabe Meldungen'!$A$2:$A$492=$B$366)*(ROW('Eingabe Meldungen'!$A$2:$A$492)-1),COUNTIF('Eingabe Meldungen'!$A$2:$A$492,$B$366)+1-ROW('Eingabe Meldungen'!A9))))</f>
        <v/>
      </c>
      <c r="D375" s="107" t="str">
        <f t="array" ref="D375">IF(B375&lt;&gt;"",INDEX('Eingabe Meldungen'!$C$2:$H$492,MATCH(B375&amp;C375,'Eingabe Meldungen'!$C$2:$C$492&amp;'Eingabe Meldungen'!$D$2:$D$492,0),6),"")</f>
        <v/>
      </c>
      <c r="E375" s="107" t="str">
        <f t="array" ref="E375">IF(B375&lt;&gt;"",INDEX('Eingabe Meldungen'!$C$2:$H$492,MATCH(B375&amp;C375,'Eingabe Meldungen'!$C$2:$C$492&amp;'Eingabe Meldungen'!$D$2:$D$492,0),4),"")</f>
        <v/>
      </c>
      <c r="F375" s="39">
        <v>8</v>
      </c>
      <c r="G375" s="150"/>
      <c r="H375" s="40"/>
      <c r="I375" s="107" t="str">
        <f t="array" ref="I375">IF(B375&lt;&gt;"",INDEX('Eingabe Meldungen'!$C$2:$J$492,MATCH(B375&amp;C375,'Eingabe Meldungen'!$C$2:$C$492&amp;'Eingabe Meldungen'!$D$2:$D$492,0),8),"")</f>
        <v/>
      </c>
      <c r="J375" s="40"/>
      <c r="K375" s="40"/>
      <c r="L375" s="151"/>
      <c r="M375" s="112"/>
      <c r="O375" s="11"/>
      <c r="P375" s="10"/>
      <c r="Q375" s="11"/>
      <c r="R375" s="11"/>
      <c r="S375" s="11"/>
      <c r="T375" s="11"/>
      <c r="U375" s="11"/>
      <c r="Y375" s="15"/>
    </row>
    <row r="376" spans="2:25" ht="13.2" hidden="1" thickBot="1" x14ac:dyDescent="0.25">
      <c r="B376" s="148" t="str">
        <f t="array" ref="B376">IF(ISERROR(INDEX('Eingabe Meldungen'!$C$2:$C$492,LARGE(('Eingabe Meldungen'!$A$2:$A$492=$B$366)*(ROW('Eingabe Meldungen'!$A$2:$A$492)-1),COUNTIF('Eingabe Meldungen'!$A$2:$A$492,$B$366)+1-ROW('Eingabe Meldungen'!A10)))),"",INDEX('Eingabe Meldungen'!$C$2:$C$492,LARGE(('Eingabe Meldungen'!$A$2:$A$492=$B$366)*(ROW('Eingabe Meldungen'!$A$2:$A$492)-1),COUNTIF('Eingabe Meldungen'!$A$2:$A$492,$B$366)+1-ROW('Eingabe Meldungen'!A10))))</f>
        <v/>
      </c>
      <c r="C376" s="40" t="str">
        <f t="array" ref="C376">IF(ISERROR(INDEX('Eingabe Meldungen'!$D$2:$D$492,LARGE(('Eingabe Meldungen'!$A$2:$A$492=$B$366)*(ROW('Eingabe Meldungen'!$A$2:$A$492)-1),COUNTIF('Eingabe Meldungen'!$A$2:$A$492,$B$366)+1-ROW('Eingabe Meldungen'!A10)))),"",INDEX('Eingabe Meldungen'!$D$2:$D$492,LARGE(('Eingabe Meldungen'!$A$2:$A$492=$B$366)*(ROW('Eingabe Meldungen'!$A$2:$A$492)-1),COUNTIF('Eingabe Meldungen'!$A$2:$A$492,$B$366)+1-ROW('Eingabe Meldungen'!A10))))</f>
        <v/>
      </c>
      <c r="D376" s="107" t="str">
        <f t="array" ref="D376">IF(B376&lt;&gt;"",INDEX('Eingabe Meldungen'!$C$2:$H$492,MATCH(B376&amp;C376,'Eingabe Meldungen'!$C$2:$C$492&amp;'Eingabe Meldungen'!$D$2:$D$492,0),6),"")</f>
        <v/>
      </c>
      <c r="E376" s="107" t="str">
        <f t="array" ref="E376">IF(B376&lt;&gt;"",INDEX('Eingabe Meldungen'!$C$2:$H$492,MATCH(B376&amp;C376,'Eingabe Meldungen'!$C$2:$C$492&amp;'Eingabe Meldungen'!$D$2:$D$492,0),4),"")</f>
        <v/>
      </c>
      <c r="F376" s="39">
        <v>9</v>
      </c>
      <c r="G376" s="150"/>
      <c r="H376" s="40">
        <f>RANK(K355,$K$347:$K$362,1)</f>
        <v>1</v>
      </c>
      <c r="I376" s="107" t="str">
        <f t="array" ref="I376">IF(B376&lt;&gt;"",INDEX('Eingabe Meldungen'!$C$2:$J$492,MATCH(B376&amp;C376,'Eingabe Meldungen'!$C$2:$C$492&amp;'Eingabe Meldungen'!$D$2:$D$492,0),8),"")</f>
        <v/>
      </c>
      <c r="J376" s="40"/>
      <c r="K376" s="172">
        <f>SUM(G397:G398)</f>
        <v>0</v>
      </c>
      <c r="L376" s="173"/>
      <c r="M376" s="112"/>
      <c r="O376" s="11"/>
      <c r="P376" s="10"/>
      <c r="Q376" s="11"/>
      <c r="R376" s="11"/>
      <c r="S376" s="11"/>
      <c r="T376" s="11"/>
      <c r="U376" s="11"/>
      <c r="Y376" s="15"/>
    </row>
    <row r="377" spans="2:25" ht="13.2" hidden="1" thickBot="1" x14ac:dyDescent="0.25">
      <c r="B377" s="148" t="str">
        <f t="array" ref="B377">IF(ISERROR(INDEX('Eingabe Meldungen'!$C$2:$C$492,LARGE(('Eingabe Meldungen'!$A$2:$A$492=$B$366)*(ROW('Eingabe Meldungen'!$A$2:$A$492)-1),COUNTIF('Eingabe Meldungen'!$A$2:$A$492,$B$366)+1-ROW('Eingabe Meldungen'!A11)))),"",INDEX('Eingabe Meldungen'!$C$2:$C$492,LARGE(('Eingabe Meldungen'!$A$2:$A$492=$B$366)*(ROW('Eingabe Meldungen'!$A$2:$A$492)-1),COUNTIF('Eingabe Meldungen'!$A$2:$A$492,$B$366)+1-ROW('Eingabe Meldungen'!A11))))</f>
        <v/>
      </c>
      <c r="C377" s="40" t="str">
        <f t="array" ref="C377">IF(ISERROR(INDEX('Eingabe Meldungen'!$D$2:$D$492,LARGE(('Eingabe Meldungen'!$A$2:$A$492=$B$366)*(ROW('Eingabe Meldungen'!$A$2:$A$492)-1),COUNTIF('Eingabe Meldungen'!$A$2:$A$492,$B$366)+1-ROW('Eingabe Meldungen'!A11)))),"",INDEX('Eingabe Meldungen'!$D$2:$D$492,LARGE(('Eingabe Meldungen'!$A$2:$A$492=$B$366)*(ROW('Eingabe Meldungen'!$A$2:$A$492)-1),COUNTIF('Eingabe Meldungen'!$A$2:$A$492,$B$366)+1-ROW('Eingabe Meldungen'!A11))))</f>
        <v/>
      </c>
      <c r="D377" s="107" t="str">
        <f t="array" ref="D377">IF(B377&lt;&gt;"",INDEX('Eingabe Meldungen'!$C$2:$H$492,MATCH(B377&amp;C377,'Eingabe Meldungen'!$C$2:$C$492&amp;'Eingabe Meldungen'!$D$2:$D$492,0),6),"")</f>
        <v/>
      </c>
      <c r="E377" s="107" t="str">
        <f t="array" ref="E377">IF(B377&lt;&gt;"",INDEX('Eingabe Meldungen'!$C$2:$H$492,MATCH(B377&amp;C377,'Eingabe Meldungen'!$C$2:$C$492&amp;'Eingabe Meldungen'!$D$2:$D$492,0),4),"")</f>
        <v/>
      </c>
      <c r="F377" s="39">
        <v>10</v>
      </c>
      <c r="G377" s="150"/>
      <c r="H377" s="40"/>
      <c r="I377" s="107" t="str">
        <f t="array" ref="I377">IF(B377&lt;&gt;"",INDEX('Eingabe Meldungen'!$C$2:$J$492,MATCH(B377&amp;C377,'Eingabe Meldungen'!$C$2:$C$492&amp;'Eingabe Meldungen'!$D$2:$D$492,0),8),"")</f>
        <v/>
      </c>
      <c r="J377" s="40"/>
      <c r="K377" s="40"/>
      <c r="L377" s="151"/>
      <c r="M377" s="112"/>
      <c r="O377" s="11"/>
      <c r="P377" s="10"/>
      <c r="Q377" s="11"/>
      <c r="R377" s="11"/>
      <c r="S377" s="11"/>
      <c r="T377" s="11"/>
      <c r="U377" s="11"/>
      <c r="Y377" s="15"/>
    </row>
    <row r="378" spans="2:25" ht="13.2" hidden="1" thickBot="1" x14ac:dyDescent="0.25">
      <c r="B378" s="148" t="str">
        <f t="array" ref="B378">IF(ISERROR(INDEX('Eingabe Meldungen'!$C$2:$C$492,LARGE(('Eingabe Meldungen'!$A$2:$A$492=$B$366)*(ROW('Eingabe Meldungen'!$A$2:$A$492)-1),COUNTIF('Eingabe Meldungen'!$A$2:$A$492,$B$366)+1-ROW('Eingabe Meldungen'!A12)))),"",INDEX('Eingabe Meldungen'!$C$2:$C$492,LARGE(('Eingabe Meldungen'!$A$2:$A$492=$B$366)*(ROW('Eingabe Meldungen'!$A$2:$A$492)-1),COUNTIF('Eingabe Meldungen'!$A$2:$A$492,$B$366)+1-ROW('Eingabe Meldungen'!A12))))</f>
        <v/>
      </c>
      <c r="C378" s="40" t="str">
        <f t="array" ref="C378">IF(ISERROR(INDEX('Eingabe Meldungen'!$D$2:$D$492,LARGE(('Eingabe Meldungen'!$A$2:$A$492=$B$366)*(ROW('Eingabe Meldungen'!$A$2:$A$492)-1),COUNTIF('Eingabe Meldungen'!$A$2:$A$492,$B$366)+1-ROW('Eingabe Meldungen'!A12)))),"",INDEX('Eingabe Meldungen'!$D$2:$D$492,LARGE(('Eingabe Meldungen'!$A$2:$A$492=$B$366)*(ROW('Eingabe Meldungen'!$A$2:$A$492)-1),COUNTIF('Eingabe Meldungen'!$A$2:$A$492,$B$366)+1-ROW('Eingabe Meldungen'!A12))))</f>
        <v/>
      </c>
      <c r="D378" s="107" t="str">
        <f t="array" ref="D378">IF(B378&lt;&gt;"",INDEX('Eingabe Meldungen'!$C$2:$H$492,MATCH(B378&amp;C378,'Eingabe Meldungen'!$C$2:$C$492&amp;'Eingabe Meldungen'!$D$2:$D$492,0),6),"")</f>
        <v/>
      </c>
      <c r="E378" s="107" t="str">
        <f t="array" ref="E378">IF(B378&lt;&gt;"",INDEX('Eingabe Meldungen'!$C$2:$H$492,MATCH(B378&amp;C378,'Eingabe Meldungen'!$C$2:$C$492&amp;'Eingabe Meldungen'!$D$2:$D$492,0),4),"")</f>
        <v/>
      </c>
      <c r="F378" s="39">
        <v>11</v>
      </c>
      <c r="G378" s="150"/>
      <c r="H378" s="40">
        <f>RANK(K357,$K$347:$K$362,1)</f>
        <v>1</v>
      </c>
      <c r="I378" s="107" t="str">
        <f t="array" ref="I378">IF(B378&lt;&gt;"",INDEX('Eingabe Meldungen'!$C$2:$J$492,MATCH(B378&amp;C378,'Eingabe Meldungen'!$C$2:$C$492&amp;'Eingabe Meldungen'!$D$2:$D$492,0),8),"")</f>
        <v/>
      </c>
      <c r="J378" s="40"/>
      <c r="K378" s="172">
        <f>SUM(G399:G400)</f>
        <v>0</v>
      </c>
      <c r="L378" s="173"/>
      <c r="M378" s="112"/>
      <c r="O378" s="11"/>
      <c r="P378" s="10"/>
      <c r="Q378" s="11"/>
      <c r="R378" s="11"/>
      <c r="S378" s="11"/>
      <c r="T378" s="11"/>
      <c r="U378" s="11"/>
      <c r="Y378" s="15"/>
    </row>
    <row r="379" spans="2:25" ht="15" hidden="1" customHeight="1" x14ac:dyDescent="0.2">
      <c r="B379" s="148" t="str">
        <f t="array" ref="B379">IF(ISERROR(INDEX('Eingabe Meldungen'!$C$2:$C$492,LARGE(('Eingabe Meldungen'!$A$2:$A$492=$B$366)*(ROW('Eingabe Meldungen'!$A$2:$A$492)-1),COUNTIF('Eingabe Meldungen'!$A$2:$A$492,$B$366)+1-ROW('Eingabe Meldungen'!A13)))),"",INDEX('Eingabe Meldungen'!$C$2:$C$492,LARGE(('Eingabe Meldungen'!$A$2:$A$492=$B$366)*(ROW('Eingabe Meldungen'!$A$2:$A$492)-1),COUNTIF('Eingabe Meldungen'!$A$2:$A$492,$B$366)+1-ROW('Eingabe Meldungen'!A13))))</f>
        <v/>
      </c>
      <c r="C379" s="40" t="str">
        <f t="array" ref="C379">IF(ISERROR(INDEX('Eingabe Meldungen'!$D$2:$D$492,LARGE(('Eingabe Meldungen'!$A$2:$A$492=$B$366)*(ROW('Eingabe Meldungen'!$A$2:$A$492)-1),COUNTIF('Eingabe Meldungen'!$A$2:$A$492,$B$366)+1-ROW('Eingabe Meldungen'!A13)))),"",INDEX('Eingabe Meldungen'!$D$2:$D$492,LARGE(('Eingabe Meldungen'!$A$2:$A$492=$B$366)*(ROW('Eingabe Meldungen'!$A$2:$A$492)-1),COUNTIF('Eingabe Meldungen'!$A$2:$A$492,$B$366)+1-ROW('Eingabe Meldungen'!A13))))</f>
        <v/>
      </c>
      <c r="D379" s="107" t="str">
        <f t="array" ref="D379">IF(B379&lt;&gt;"",INDEX('Eingabe Meldungen'!$C$2:$H$492,MATCH(B379&amp;C379,'Eingabe Meldungen'!$C$2:$C$492&amp;'Eingabe Meldungen'!$D$2:$D$492,0),6),"")</f>
        <v/>
      </c>
      <c r="E379" s="107" t="str">
        <f t="array" ref="E379">IF(B379&lt;&gt;"",INDEX('Eingabe Meldungen'!$C$2:$H$492,MATCH(B379&amp;C379,'Eingabe Meldungen'!$C$2:$C$492&amp;'Eingabe Meldungen'!$D$2:$D$492,0),4),"")</f>
        <v/>
      </c>
      <c r="F379" s="39">
        <v>12</v>
      </c>
      <c r="G379" s="150"/>
      <c r="H379" s="40"/>
      <c r="I379" s="107" t="str">
        <f t="array" ref="I379">IF(B379&lt;&gt;"",INDEX('Eingabe Meldungen'!$C$2:$J$492,MATCH(B379&amp;C379,'Eingabe Meldungen'!$C$2:$C$492&amp;'Eingabe Meldungen'!$D$2:$D$492,0),8),"")</f>
        <v/>
      </c>
      <c r="J379" s="40"/>
      <c r="K379" s="40"/>
      <c r="L379" s="151"/>
      <c r="M379" s="112"/>
      <c r="O379" s="11"/>
      <c r="P379" s="10"/>
      <c r="Q379" s="11"/>
      <c r="R379" s="11"/>
      <c r="S379" s="11"/>
      <c r="T379" s="11"/>
      <c r="U379" s="11"/>
    </row>
    <row r="380" spans="2:25" ht="13.2" hidden="1" thickBot="1" x14ac:dyDescent="0.25">
      <c r="B380" s="148" t="str">
        <f t="array" ref="B380">IF(ISERROR(INDEX('Eingabe Meldungen'!$C$2:$C$492,LARGE(('Eingabe Meldungen'!$A$2:$A$492=$B$366)*(ROW('Eingabe Meldungen'!$A$2:$A$492)-1),COUNTIF('Eingabe Meldungen'!$A$2:$A$492,$B$366)+1-ROW('Eingabe Meldungen'!A14)))),"",INDEX('Eingabe Meldungen'!$C$2:$C$492,LARGE(('Eingabe Meldungen'!$A$2:$A$492=$B$366)*(ROW('Eingabe Meldungen'!$A$2:$A$492)-1),COUNTIF('Eingabe Meldungen'!$A$2:$A$492,$B$366)+1-ROW('Eingabe Meldungen'!A14))))</f>
        <v/>
      </c>
      <c r="C380" s="40" t="str">
        <f t="array" ref="C380">IF(ISERROR(INDEX('Eingabe Meldungen'!$D$2:$D$492,LARGE(('Eingabe Meldungen'!$A$2:$A$492=$B$366)*(ROW('Eingabe Meldungen'!$A$2:$A$492)-1),COUNTIF('Eingabe Meldungen'!$A$2:$A$492,$B$366)+1-ROW('Eingabe Meldungen'!A14)))),"",INDEX('Eingabe Meldungen'!$D$2:$D$492,LARGE(('Eingabe Meldungen'!$A$2:$A$492=$B$366)*(ROW('Eingabe Meldungen'!$A$2:$A$492)-1),COUNTIF('Eingabe Meldungen'!$A$2:$A$492,$B$366)+1-ROW('Eingabe Meldungen'!A14))))</f>
        <v/>
      </c>
      <c r="D380" s="107" t="str">
        <f t="array" ref="D380">IF(B380&lt;&gt;"",INDEX('Eingabe Meldungen'!$C$2:$H$492,MATCH(B380&amp;C380,'Eingabe Meldungen'!$C$2:$C$492&amp;'Eingabe Meldungen'!$D$2:$D$492,0),6),"")</f>
        <v/>
      </c>
      <c r="E380" s="107" t="str">
        <f t="array" ref="E380">IF(B380&lt;&gt;"",INDEX('Eingabe Meldungen'!$C$2:$H$492,MATCH(B380&amp;C380,'Eingabe Meldungen'!$C$2:$C$492&amp;'Eingabe Meldungen'!$D$2:$D$492,0),4),"")</f>
        <v/>
      </c>
      <c r="F380" s="39">
        <v>13</v>
      </c>
      <c r="G380" s="150"/>
      <c r="H380" s="40">
        <f>RANK(K359,$K$347:$K$362,1)</f>
        <v>1</v>
      </c>
      <c r="I380" s="107" t="str">
        <f t="array" ref="I380">IF(B380&lt;&gt;"",INDEX('Eingabe Meldungen'!$C$2:$J$492,MATCH(B380&amp;C380,'Eingabe Meldungen'!$C$2:$C$492&amp;'Eingabe Meldungen'!$D$2:$D$492,0),8),"")</f>
        <v/>
      </c>
      <c r="J380" s="40"/>
      <c r="K380" s="172">
        <f>SUM(G401:G402)</f>
        <v>0</v>
      </c>
      <c r="L380" s="173"/>
      <c r="M380" s="112"/>
      <c r="O380" s="11"/>
      <c r="P380" s="10"/>
      <c r="Q380" s="11"/>
      <c r="R380" s="11"/>
      <c r="S380" s="11"/>
      <c r="T380" s="11"/>
      <c r="U380" s="11"/>
    </row>
    <row r="381" spans="2:25" ht="13.2" hidden="1" thickBot="1" x14ac:dyDescent="0.25">
      <c r="B381" s="148" t="str">
        <f t="array" ref="B381">IF(ISERROR(INDEX('Eingabe Meldungen'!$C$2:$C$492,LARGE(('Eingabe Meldungen'!$A$2:$A$492=$B$366)*(ROW('Eingabe Meldungen'!$A$2:$A$492)-1),COUNTIF('Eingabe Meldungen'!$A$2:$A$492,$B$366)+1-ROW('Eingabe Meldungen'!A15)))),"",INDEX('Eingabe Meldungen'!$C$2:$C$492,LARGE(('Eingabe Meldungen'!$A$2:$A$492=$B$366)*(ROW('Eingabe Meldungen'!$A$2:$A$492)-1),COUNTIF('Eingabe Meldungen'!$A$2:$A$492,$B$366)+1-ROW('Eingabe Meldungen'!A15))))</f>
        <v/>
      </c>
      <c r="C381" s="40" t="str">
        <f t="array" ref="C381">IF(ISERROR(INDEX('Eingabe Meldungen'!$D$2:$D$492,LARGE(('Eingabe Meldungen'!$A$2:$A$492=$B$366)*(ROW('Eingabe Meldungen'!$A$2:$A$492)-1),COUNTIF('Eingabe Meldungen'!$A$2:$A$492,$B$366)+1-ROW('Eingabe Meldungen'!A15)))),"",INDEX('Eingabe Meldungen'!$D$2:$D$492,LARGE(('Eingabe Meldungen'!$A$2:$A$492=$B$366)*(ROW('Eingabe Meldungen'!$A$2:$A$492)-1),COUNTIF('Eingabe Meldungen'!$A$2:$A$492,$B$366)+1-ROW('Eingabe Meldungen'!A15))))</f>
        <v/>
      </c>
      <c r="D381" s="107" t="str">
        <f t="array" ref="D381">IF(B381&lt;&gt;"",INDEX('Eingabe Meldungen'!$C$2:$H$492,MATCH(B381&amp;C381,'Eingabe Meldungen'!$C$2:$C$492&amp;'Eingabe Meldungen'!$D$2:$D$492,0),6),"")</f>
        <v/>
      </c>
      <c r="E381" s="107" t="str">
        <f t="array" ref="E381">IF(B381&lt;&gt;"",INDEX('Eingabe Meldungen'!$C$2:$H$492,MATCH(B381&amp;C381,'Eingabe Meldungen'!$C$2:$C$492&amp;'Eingabe Meldungen'!$D$2:$D$492,0),4),"")</f>
        <v/>
      </c>
      <c r="F381" s="39">
        <v>14</v>
      </c>
      <c r="G381" s="150"/>
      <c r="H381" s="40"/>
      <c r="I381" s="107" t="str">
        <f t="array" ref="I381">IF(B381&lt;&gt;"",INDEX('Eingabe Meldungen'!$C$2:$J$492,MATCH(B381&amp;C381,'Eingabe Meldungen'!$C$2:$C$492&amp;'Eingabe Meldungen'!$D$2:$D$492,0),8),"")</f>
        <v/>
      </c>
      <c r="J381" s="40"/>
      <c r="K381" s="40"/>
      <c r="L381" s="151"/>
      <c r="M381" s="112"/>
      <c r="O381" s="11"/>
      <c r="P381" s="10"/>
      <c r="Q381" s="11"/>
      <c r="R381" s="11"/>
      <c r="S381" s="11"/>
      <c r="T381" s="11"/>
      <c r="U381" s="11"/>
      <c r="Y381" s="15"/>
    </row>
    <row r="382" spans="2:25" ht="13.2" hidden="1" thickBot="1" x14ac:dyDescent="0.25">
      <c r="B382" s="148" t="str">
        <f t="array" ref="B382">IF(ISERROR(INDEX('Eingabe Meldungen'!$C$2:$C$492,LARGE(('Eingabe Meldungen'!$A$2:$A$492=$B$366)*(ROW('Eingabe Meldungen'!$A$2:$A$492)-1),COUNTIF('Eingabe Meldungen'!$A$2:$A$492,$B$366)+1-ROW('Eingabe Meldungen'!A16)))),"",INDEX('Eingabe Meldungen'!$C$2:$C$492,LARGE(('Eingabe Meldungen'!$A$2:$A$492=$B$366)*(ROW('Eingabe Meldungen'!$A$2:$A$492)-1),COUNTIF('Eingabe Meldungen'!$A$2:$A$492,$B$366)+1-ROW('Eingabe Meldungen'!A16))))</f>
        <v/>
      </c>
      <c r="C382" s="40" t="str">
        <f t="array" ref="C382">IF(ISERROR(INDEX('Eingabe Meldungen'!$D$2:$D$492,LARGE(('Eingabe Meldungen'!$A$2:$A$492=$B$366)*(ROW('Eingabe Meldungen'!$A$2:$A$492)-1),COUNTIF('Eingabe Meldungen'!$A$2:$A$492,$B$366)+1-ROW('Eingabe Meldungen'!A16)))),"",INDEX('Eingabe Meldungen'!$D$2:$D$492,LARGE(('Eingabe Meldungen'!$A$2:$A$492=$B$366)*(ROW('Eingabe Meldungen'!$A$2:$A$492)-1),COUNTIF('Eingabe Meldungen'!$A$2:$A$492,$B$366)+1-ROW('Eingabe Meldungen'!A16))))</f>
        <v/>
      </c>
      <c r="D382" s="107" t="str">
        <f t="array" ref="D382">IF(B382&lt;&gt;"",INDEX('Eingabe Meldungen'!$C$2:$H$492,MATCH(B382&amp;C382,'Eingabe Meldungen'!$C$2:$C$492&amp;'Eingabe Meldungen'!$D$2:$D$492,0),6),"")</f>
        <v/>
      </c>
      <c r="E382" s="107" t="str">
        <f t="array" ref="E382">IF(B382&lt;&gt;"",INDEX('Eingabe Meldungen'!$C$2:$H$492,MATCH(B382&amp;C382,'Eingabe Meldungen'!$C$2:$C$492&amp;'Eingabe Meldungen'!$D$2:$D$492,0),4),"")</f>
        <v/>
      </c>
      <c r="F382" s="39">
        <v>15</v>
      </c>
      <c r="G382" s="150"/>
      <c r="H382" s="40">
        <f>RANK(K361,$K$347:$K$362,1)</f>
        <v>1</v>
      </c>
      <c r="I382" s="107" t="str">
        <f t="array" ref="I382">IF(B382&lt;&gt;"",INDEX('Eingabe Meldungen'!$C$2:$J$492,MATCH(B382&amp;C382,'Eingabe Meldungen'!$C$2:$C$492&amp;'Eingabe Meldungen'!$D$2:$D$492,0),8),"")</f>
        <v/>
      </c>
      <c r="J382" s="40"/>
      <c r="K382" s="40"/>
      <c r="L382" s="151"/>
      <c r="M382" s="112"/>
      <c r="O382" s="11"/>
      <c r="P382" s="10"/>
      <c r="Q382" s="11"/>
      <c r="R382" s="11"/>
      <c r="S382" s="11"/>
      <c r="T382" s="11"/>
      <c r="U382" s="11"/>
      <c r="Y382" s="15"/>
    </row>
    <row r="383" spans="2:25" ht="13.2" hidden="1" thickBot="1" x14ac:dyDescent="0.25">
      <c r="B383" s="148" t="str">
        <f t="array" ref="B383">IF(ISERROR(INDEX('Eingabe Meldungen'!$C$2:$C$492,LARGE(('Eingabe Meldungen'!$A$2:$A$492=$B$366)*(ROW('Eingabe Meldungen'!$A$2:$A$492)-1),COUNTIF('Eingabe Meldungen'!$A$2:$A$492,$B$366)+1-ROW('Eingabe Meldungen'!A17)))),"",INDEX('Eingabe Meldungen'!$C$2:$C$492,LARGE(('Eingabe Meldungen'!$A$2:$A$492=$B$366)*(ROW('Eingabe Meldungen'!$A$2:$A$492)-1),COUNTIF('Eingabe Meldungen'!$A$2:$A$492,$B$366)+1-ROW('Eingabe Meldungen'!A17))))</f>
        <v/>
      </c>
      <c r="C383" s="40" t="str">
        <f t="array" ref="C383">IF(ISERROR(INDEX('Eingabe Meldungen'!$D$2:$D$492,LARGE(('Eingabe Meldungen'!$A$2:$A$492=$B$366)*(ROW('Eingabe Meldungen'!$A$2:$A$492)-1),COUNTIF('Eingabe Meldungen'!$A$2:$A$492,$B$366)+1-ROW('Eingabe Meldungen'!A17)))),"",INDEX('Eingabe Meldungen'!$D$2:$D$492,LARGE(('Eingabe Meldungen'!$A$2:$A$492=$B$366)*(ROW('Eingabe Meldungen'!$A$2:$A$492)-1),COUNTIF('Eingabe Meldungen'!$A$2:$A$492,$B$366)+1-ROW('Eingabe Meldungen'!A17))))</f>
        <v/>
      </c>
      <c r="D383" s="107" t="str">
        <f t="array" ref="D383">IF(B383&lt;&gt;"",INDEX('Eingabe Meldungen'!$C$2:$H$492,MATCH(B383&amp;C383,'Eingabe Meldungen'!$C$2:$C$492&amp;'Eingabe Meldungen'!$D$2:$D$492,0),6),"")</f>
        <v/>
      </c>
      <c r="E383" s="107" t="str">
        <f t="array" ref="E383">IF(B383&lt;&gt;"",INDEX('Eingabe Meldungen'!$C$2:$H$492,MATCH(B383&amp;C383,'Eingabe Meldungen'!$C$2:$C$492&amp;'Eingabe Meldungen'!$D$2:$D$492,0),4),"")</f>
        <v/>
      </c>
      <c r="F383" s="39">
        <v>16</v>
      </c>
      <c r="G383" s="150"/>
      <c r="H383" s="40"/>
      <c r="I383" s="107" t="str">
        <f t="array" ref="I383">IF(B383&lt;&gt;"",INDEX('Eingabe Meldungen'!$C$2:$J$492,MATCH(B383&amp;C383,'Eingabe Meldungen'!$C$2:$C$492&amp;'Eingabe Meldungen'!$D$2:$D$492,0),8),"")</f>
        <v/>
      </c>
      <c r="J383" s="40"/>
      <c r="K383" s="40"/>
      <c r="L383" s="151"/>
      <c r="M383" s="112"/>
      <c r="O383" s="11"/>
      <c r="P383" s="10"/>
      <c r="Q383" s="11"/>
      <c r="R383" s="11"/>
      <c r="S383" s="11"/>
      <c r="T383" s="11"/>
      <c r="U383" s="11"/>
      <c r="Y383" s="15"/>
    </row>
    <row r="384" spans="2:25" ht="13.2" hidden="1" thickBot="1" x14ac:dyDescent="0.25">
      <c r="B384" s="148"/>
      <c r="C384" s="40"/>
      <c r="D384" s="107"/>
      <c r="E384" s="107"/>
      <c r="F384" s="39"/>
      <c r="G384" s="167"/>
      <c r="H384" s="40"/>
      <c r="I384" s="107"/>
      <c r="J384" s="40"/>
      <c r="K384" s="40"/>
      <c r="L384" s="151"/>
      <c r="M384" s="112"/>
      <c r="O384" s="11"/>
      <c r="P384" s="10"/>
      <c r="Q384" s="11"/>
      <c r="R384" s="11"/>
      <c r="S384" s="11"/>
      <c r="T384" s="11"/>
      <c r="U384" s="11"/>
      <c r="Y384" s="15"/>
    </row>
    <row r="385" spans="2:25" ht="30" hidden="1" customHeight="1" x14ac:dyDescent="0.2">
      <c r="B385" s="110">
        <v>21</v>
      </c>
      <c r="C385" s="101" t="str">
        <f>VLOOKUP(B385,Ausschreibung!$B$5:$I$35,2,FALSE)</f>
        <v>Ergocup</v>
      </c>
      <c r="D385" s="102">
        <f>VLOOKUP(B385,Ausschreibung!$B$5:$I$35,3,FALSE)</f>
        <v>0.6416666666666665</v>
      </c>
      <c r="E385" s="101" t="str">
        <f>VLOOKUP(B385,Ausschreibung!$B$5:$I$35,4,FALSE)</f>
        <v>Seniorinnen A</v>
      </c>
      <c r="F385" s="101" t="str">
        <f>VLOOKUP(B385,Ausschreibung!$B$5:$I$35,5,FALSE)</f>
        <v>LGW. bis 61 kg</v>
      </c>
      <c r="G385" s="101" t="str">
        <f>VLOOKUP(B385,Ausschreibung!$B$5:$I$35,6,FALSE)</f>
        <v>19 und älter</v>
      </c>
      <c r="H385" s="101" t="str">
        <f>VLOOKUP(B385,Ausschreibung!$B$5:$I$35,8,FALSE)</f>
        <v>2000 m</v>
      </c>
      <c r="I385" s="101" t="s">
        <v>31</v>
      </c>
      <c r="J385" s="101"/>
      <c r="K385" s="40"/>
      <c r="L385" s="151"/>
      <c r="M385" s="147"/>
      <c r="O385" s="11"/>
      <c r="P385" s="10"/>
      <c r="Q385" s="11"/>
      <c r="R385" s="11"/>
      <c r="S385" s="11"/>
      <c r="T385" s="11"/>
      <c r="U385" s="11"/>
      <c r="Y385" s="15"/>
    </row>
    <row r="386" spans="2:25" ht="13.2" hidden="1" thickBot="1" x14ac:dyDescent="0.25">
      <c r="B386" s="111" t="s">
        <v>1</v>
      </c>
      <c r="C386" s="104" t="s">
        <v>2</v>
      </c>
      <c r="D386" s="103" t="s">
        <v>49</v>
      </c>
      <c r="E386" s="146" t="s">
        <v>16</v>
      </c>
      <c r="F386" s="103" t="s">
        <v>18</v>
      </c>
      <c r="G386" s="105" t="s">
        <v>50</v>
      </c>
      <c r="H386" s="103" t="s">
        <v>51</v>
      </c>
      <c r="I386" s="106" t="s">
        <v>17</v>
      </c>
      <c r="J386" s="103"/>
      <c r="K386" s="40"/>
      <c r="L386" s="151"/>
      <c r="M386" s="147"/>
      <c r="O386" s="11"/>
      <c r="P386" s="10"/>
      <c r="Q386" s="11"/>
      <c r="R386" s="11"/>
      <c r="S386" s="11"/>
      <c r="T386" s="11"/>
      <c r="U386" s="11"/>
      <c r="Y386" s="15"/>
    </row>
    <row r="387" spans="2:25" ht="13.2" hidden="1" thickBot="1" x14ac:dyDescent="0.25">
      <c r="B387" s="148" t="str">
        <f t="array" ref="B387">IF(ISERROR(INDEX('Eingabe Meldungen'!$C$2:$C$492,LARGE(('Eingabe Meldungen'!$A$2:$A$492=$B$385)*(ROW('Eingabe Meldungen'!$A$2:$A$492)-1),COUNTIF('Eingabe Meldungen'!$A$2:$A$492,$B$385)+1-ROW('Eingabe Meldungen'!A18)))),"",INDEX('Eingabe Meldungen'!$C$2:$C$492,LARGE(('Eingabe Meldungen'!$A$2:$A$492=$B$385)*(ROW('Eingabe Meldungen'!$A$2:$A$492)-1),COUNTIF('Eingabe Meldungen'!$A$2:$A$492,$B$385)+1-ROW('Eingabe Meldungen'!A18))))</f>
        <v/>
      </c>
      <c r="C387" s="40" t="str">
        <f t="array" ref="C387">IF(ISERROR(INDEX('Eingabe Meldungen'!$D$2:$D$492,LARGE(('Eingabe Meldungen'!$A$2:$A$492=$B$385)*(ROW('Eingabe Meldungen'!$A$2:$A$492)-1),COUNTIF('Eingabe Meldungen'!$A$2:$A$492,$B$385)+1-ROW('Eingabe Meldungen'!A18)))),"",INDEX('Eingabe Meldungen'!$D$2:$D$492,LARGE(('Eingabe Meldungen'!$A$2:$A$492=$B$385)*(ROW('Eingabe Meldungen'!$A$2:$A$492)-1),COUNTIF('Eingabe Meldungen'!$A$2:$A$492,$B$385)+1-ROW('Eingabe Meldungen'!A18))))</f>
        <v/>
      </c>
      <c r="D387" s="107" t="str">
        <f t="array" ref="D387">IF(B387&lt;&gt;"",INDEX('Eingabe Meldungen'!$C$2:$H$492,MATCH(B387&amp;C387,'Eingabe Meldungen'!$C$2:$C$492&amp;'Eingabe Meldungen'!$D$2:$D$492,0),6),"")</f>
        <v/>
      </c>
      <c r="E387" s="107" t="str">
        <f t="array" ref="E387">IF(B387&lt;&gt;"",INDEX('Eingabe Meldungen'!$C$2:$H$492,MATCH(B387&amp;C387,'Eingabe Meldungen'!$C$2:$C$492&amp;'Eingabe Meldungen'!$D$2:$D$492,0),4),"")</f>
        <v/>
      </c>
      <c r="F387" s="107">
        <v>1</v>
      </c>
      <c r="G387" s="149"/>
      <c r="H387" s="40">
        <f>RANK(K366,$K$366:$K$381,1)</f>
        <v>1</v>
      </c>
      <c r="I387" s="107" t="str">
        <f t="array" ref="I387">IF(B387&lt;&gt;"",INDEX('Eingabe Meldungen'!$C$2:$J$492,MATCH(B387&amp;C387,'Eingabe Meldungen'!$C$2:$C$492&amp;'Eingabe Meldungen'!$D$2:$D$492,0),8),"")</f>
        <v/>
      </c>
      <c r="J387" s="40"/>
      <c r="K387" s="40"/>
      <c r="L387" s="151"/>
      <c r="M387" s="112"/>
      <c r="O387" s="11"/>
      <c r="P387" s="10"/>
      <c r="Q387" s="11"/>
      <c r="R387" s="11"/>
      <c r="S387" s="11"/>
      <c r="T387" s="11"/>
      <c r="U387" s="11"/>
      <c r="Y387" s="15"/>
    </row>
    <row r="388" spans="2:25" ht="13.2" hidden="1" thickBot="1" x14ac:dyDescent="0.25">
      <c r="B388" s="148" t="str">
        <f t="array" ref="B388">IF(ISERROR(INDEX('Eingabe Meldungen'!$C$2:$C$492,LARGE(('Eingabe Meldungen'!$A$2:$A$492=$B$385)*(ROW('Eingabe Meldungen'!$A$2:$A$492)-1),COUNTIF('Eingabe Meldungen'!$A$2:$A$492,$B$385)+1-ROW('Eingabe Meldungen'!A19)))),"",INDEX('Eingabe Meldungen'!$C$2:$C$492,LARGE(('Eingabe Meldungen'!$A$2:$A$492=$B$385)*(ROW('Eingabe Meldungen'!$A$2:$A$492)-1),COUNTIF('Eingabe Meldungen'!$A$2:$A$492,$B$385)+1-ROW('Eingabe Meldungen'!A19))))</f>
        <v/>
      </c>
      <c r="C388" s="40" t="str">
        <f t="array" ref="C388">IF(ISERROR(INDEX('Eingabe Meldungen'!$D$2:$D$492,LARGE(('Eingabe Meldungen'!$A$2:$A$492=$B$385)*(ROW('Eingabe Meldungen'!$A$2:$A$492)-1),COUNTIF('Eingabe Meldungen'!$A$2:$A$492,$B$385)+1-ROW('Eingabe Meldungen'!A19)))),"",INDEX('Eingabe Meldungen'!$D$2:$D$492,LARGE(('Eingabe Meldungen'!$A$2:$A$492=$B$385)*(ROW('Eingabe Meldungen'!$A$2:$A$492)-1),COUNTIF('Eingabe Meldungen'!$A$2:$A$492,$B$385)+1-ROW('Eingabe Meldungen'!A19))))</f>
        <v/>
      </c>
      <c r="D388" s="107" t="str">
        <f t="array" ref="D388">IF(B388&lt;&gt;"",INDEX('Eingabe Meldungen'!$C$2:$H$492,MATCH(B388&amp;C388,'Eingabe Meldungen'!$C$2:$C$492&amp;'Eingabe Meldungen'!$D$2:$D$492,0),6),"")</f>
        <v/>
      </c>
      <c r="E388" s="107" t="str">
        <f t="array" ref="E388">IF(B388&lt;&gt;"",INDEX('Eingabe Meldungen'!$C$2:$H$492,MATCH(B388&amp;C388,'Eingabe Meldungen'!$C$2:$C$492&amp;'Eingabe Meldungen'!$D$2:$D$492,0),4),"")</f>
        <v/>
      </c>
      <c r="F388" s="39">
        <v>2</v>
      </c>
      <c r="G388" s="149"/>
      <c r="H388" s="40"/>
      <c r="I388" s="107" t="str">
        <f t="array" ref="I388">IF(B388&lt;&gt;"",INDEX('Eingabe Meldungen'!$C$2:$J$492,MATCH(B388&amp;C388,'Eingabe Meldungen'!$C$2:$C$492&amp;'Eingabe Meldungen'!$D$2:$D$492,0),8),"")</f>
        <v/>
      </c>
      <c r="J388" s="40"/>
      <c r="K388" s="40"/>
      <c r="L388" s="151"/>
      <c r="M388" s="112"/>
      <c r="O388" s="11"/>
      <c r="P388" s="10"/>
      <c r="Q388" s="11"/>
      <c r="R388" s="11"/>
      <c r="S388" s="11"/>
      <c r="T388" s="11"/>
      <c r="U388" s="11"/>
      <c r="Y388" s="15"/>
    </row>
    <row r="389" spans="2:25" ht="13.2" hidden="1" thickBot="1" x14ac:dyDescent="0.25">
      <c r="B389" s="148" t="str">
        <f t="array" ref="B389">IF(ISERROR(INDEX('Eingabe Meldungen'!$C$2:$C$492,LARGE(('Eingabe Meldungen'!$A$2:$A$492=$B$385)*(ROW('Eingabe Meldungen'!$A$2:$A$492)-1),COUNTIF('Eingabe Meldungen'!$A$2:$A$492,$B$385)+1-ROW('Eingabe Meldungen'!A20)))),"",INDEX('Eingabe Meldungen'!$C$2:$C$492,LARGE(('Eingabe Meldungen'!$A$2:$A$492=$B$385)*(ROW('Eingabe Meldungen'!$A$2:$A$492)-1),COUNTIF('Eingabe Meldungen'!$A$2:$A$492,$B$385)+1-ROW('Eingabe Meldungen'!A20))))</f>
        <v/>
      </c>
      <c r="C389" s="40" t="str">
        <f t="array" ref="C389">IF(ISERROR(INDEX('Eingabe Meldungen'!$D$2:$D$492,LARGE(('Eingabe Meldungen'!$A$2:$A$492=$B$385)*(ROW('Eingabe Meldungen'!$A$2:$A$492)-1),COUNTIF('Eingabe Meldungen'!$A$2:$A$492,$B$385)+1-ROW('Eingabe Meldungen'!A20)))),"",INDEX('Eingabe Meldungen'!$D$2:$D$492,LARGE(('Eingabe Meldungen'!$A$2:$A$492=$B$385)*(ROW('Eingabe Meldungen'!$A$2:$A$492)-1),COUNTIF('Eingabe Meldungen'!$A$2:$A$492,$B$385)+1-ROW('Eingabe Meldungen'!A20))))</f>
        <v/>
      </c>
      <c r="D389" s="107" t="str">
        <f t="array" ref="D389">IF(B389&lt;&gt;"",INDEX('Eingabe Meldungen'!$C$2:$H$492,MATCH(B389&amp;C389,'Eingabe Meldungen'!$C$2:$C$492&amp;'Eingabe Meldungen'!$D$2:$D$492,0),6),"")</f>
        <v/>
      </c>
      <c r="E389" s="107" t="str">
        <f t="array" ref="E389">IF(B389&lt;&gt;"",INDEX('Eingabe Meldungen'!$C$2:$H$492,MATCH(B389&amp;C389,'Eingabe Meldungen'!$C$2:$C$492&amp;'Eingabe Meldungen'!$D$2:$D$492,0),4),"")</f>
        <v/>
      </c>
      <c r="F389" s="39">
        <v>3</v>
      </c>
      <c r="G389" s="150"/>
      <c r="H389" s="40">
        <f>RANK(K368,$K$366:$K$381,1)</f>
        <v>1</v>
      </c>
      <c r="I389" s="107" t="str">
        <f t="array" ref="I389">IF(B389&lt;&gt;"",INDEX('Eingabe Meldungen'!$C$2:$J$492,MATCH(B389&amp;C389,'Eingabe Meldungen'!$C$2:$C$492&amp;'Eingabe Meldungen'!$D$2:$D$492,0),8),"")</f>
        <v/>
      </c>
      <c r="J389" s="40"/>
      <c r="K389" s="40"/>
      <c r="L389" s="151"/>
      <c r="M389" s="112"/>
      <c r="O389" s="11"/>
      <c r="P389" s="10"/>
      <c r="Q389" s="11"/>
      <c r="R389" s="11"/>
      <c r="S389" s="11"/>
      <c r="T389" s="11"/>
      <c r="U389" s="11"/>
      <c r="Y389" s="15"/>
    </row>
    <row r="390" spans="2:25" ht="13.2" hidden="1" thickBot="1" x14ac:dyDescent="0.25">
      <c r="B390" s="148" t="str">
        <f t="array" ref="B390">IF(ISERROR(INDEX('Eingabe Meldungen'!$C$2:$C$492,LARGE(('Eingabe Meldungen'!$A$2:$A$492=$B$385)*(ROW('Eingabe Meldungen'!$A$2:$A$492)-1),COUNTIF('Eingabe Meldungen'!$A$2:$A$492,$B$385)+1-ROW('Eingabe Meldungen'!A21)))),"",INDEX('Eingabe Meldungen'!$C$2:$C$492,LARGE(('Eingabe Meldungen'!$A$2:$A$492=$B$385)*(ROW('Eingabe Meldungen'!$A$2:$A$492)-1),COUNTIF('Eingabe Meldungen'!$A$2:$A$492,$B$385)+1-ROW('Eingabe Meldungen'!A21))))</f>
        <v/>
      </c>
      <c r="C390" s="40" t="str">
        <f t="array" ref="C390">IF(ISERROR(INDEX('Eingabe Meldungen'!$D$2:$D$492,LARGE(('Eingabe Meldungen'!$A$2:$A$492=$B$385)*(ROW('Eingabe Meldungen'!$A$2:$A$492)-1),COUNTIF('Eingabe Meldungen'!$A$2:$A$492,$B$385)+1-ROW('Eingabe Meldungen'!A21)))),"",INDEX('Eingabe Meldungen'!$D$2:$D$492,LARGE(('Eingabe Meldungen'!$A$2:$A$492=$B$385)*(ROW('Eingabe Meldungen'!$A$2:$A$492)-1),COUNTIF('Eingabe Meldungen'!$A$2:$A$492,$B$385)+1-ROW('Eingabe Meldungen'!A21))))</f>
        <v/>
      </c>
      <c r="D390" s="107" t="str">
        <f t="array" ref="D390">IF(B390&lt;&gt;"",INDEX('Eingabe Meldungen'!$C$2:$H$492,MATCH(B390&amp;C390,'Eingabe Meldungen'!$C$2:$C$492&amp;'Eingabe Meldungen'!$D$2:$D$492,0),6),"")</f>
        <v/>
      </c>
      <c r="E390" s="107" t="str">
        <f t="array" ref="E390">IF(B390&lt;&gt;"",INDEX('Eingabe Meldungen'!$C$2:$H$492,MATCH(B390&amp;C390,'Eingabe Meldungen'!$C$2:$C$492&amp;'Eingabe Meldungen'!$D$2:$D$492,0),4),"")</f>
        <v/>
      </c>
      <c r="F390" s="39">
        <v>4</v>
      </c>
      <c r="G390" s="150"/>
      <c r="H390" s="40"/>
      <c r="I390" s="107" t="str">
        <f t="array" ref="I390">IF(B390&lt;&gt;"",INDEX('Eingabe Meldungen'!$C$2:$J$492,MATCH(B390&amp;C390,'Eingabe Meldungen'!$C$2:$C$492&amp;'Eingabe Meldungen'!$D$2:$D$492,0),8),"")</f>
        <v/>
      </c>
      <c r="J390" s="40"/>
      <c r="K390" s="40"/>
      <c r="L390" s="151"/>
      <c r="M390" s="112"/>
      <c r="O390" s="11"/>
      <c r="P390" s="10"/>
      <c r="Q390" s="11"/>
      <c r="R390" s="11"/>
      <c r="S390" s="11"/>
      <c r="T390" s="11"/>
      <c r="U390" s="11"/>
      <c r="Y390" s="15"/>
    </row>
    <row r="391" spans="2:25" ht="13.2" hidden="1" thickBot="1" x14ac:dyDescent="0.25">
      <c r="B391" s="148" t="str">
        <f t="array" ref="B391">IF(ISERROR(INDEX('Eingabe Meldungen'!$C$2:$C$492,LARGE(('Eingabe Meldungen'!$A$2:$A$492=$B$385)*(ROW('Eingabe Meldungen'!$A$2:$A$492)-1),COUNTIF('Eingabe Meldungen'!$A$2:$A$492,$B$385)+1-ROW('Eingabe Meldungen'!A22)))),"",INDEX('Eingabe Meldungen'!$C$2:$C$492,LARGE(('Eingabe Meldungen'!$A$2:$A$492=$B$385)*(ROW('Eingabe Meldungen'!$A$2:$A$492)-1),COUNTIF('Eingabe Meldungen'!$A$2:$A$492,$B$385)+1-ROW('Eingabe Meldungen'!A22))))</f>
        <v/>
      </c>
      <c r="C391" s="40" t="str">
        <f t="array" ref="C391">IF(ISERROR(INDEX('Eingabe Meldungen'!$D$2:$D$492,LARGE(('Eingabe Meldungen'!$A$2:$A$492=$B$385)*(ROW('Eingabe Meldungen'!$A$2:$A$492)-1),COUNTIF('Eingabe Meldungen'!$A$2:$A$492,$B$385)+1-ROW('Eingabe Meldungen'!A22)))),"",INDEX('Eingabe Meldungen'!$D$2:$D$492,LARGE(('Eingabe Meldungen'!$A$2:$A$492=$B$385)*(ROW('Eingabe Meldungen'!$A$2:$A$492)-1),COUNTIF('Eingabe Meldungen'!$A$2:$A$492,$B$385)+1-ROW('Eingabe Meldungen'!A22))))</f>
        <v/>
      </c>
      <c r="D391" s="107" t="str">
        <f t="array" ref="D391">IF(B391&lt;&gt;"",INDEX('Eingabe Meldungen'!$C$2:$H$492,MATCH(B391&amp;C391,'Eingabe Meldungen'!$C$2:$C$492&amp;'Eingabe Meldungen'!$D$2:$D$492,0),6),"")</f>
        <v/>
      </c>
      <c r="E391" s="107" t="str">
        <f t="array" ref="E391">IF(B391&lt;&gt;"",INDEX('Eingabe Meldungen'!$C$2:$H$492,MATCH(B391&amp;C391,'Eingabe Meldungen'!$C$2:$C$492&amp;'Eingabe Meldungen'!$D$2:$D$492,0),4),"")</f>
        <v/>
      </c>
      <c r="F391" s="39">
        <v>5</v>
      </c>
      <c r="G391" s="150"/>
      <c r="H391" s="40">
        <f>RANK(K370,$K$366:$K$381,1)</f>
        <v>1</v>
      </c>
      <c r="I391" s="107" t="str">
        <f t="array" ref="I391">IF(B391&lt;&gt;"",INDEX('Eingabe Meldungen'!$C$2:$J$492,MATCH(B391&amp;C391,'Eingabe Meldungen'!$C$2:$C$492&amp;'Eingabe Meldungen'!$D$2:$D$492,0),8),"")</f>
        <v/>
      </c>
      <c r="J391" s="40"/>
      <c r="K391" s="40"/>
      <c r="L391" s="151"/>
      <c r="M391" s="112"/>
      <c r="O391" s="11"/>
      <c r="P391" s="10"/>
      <c r="Q391" s="11"/>
      <c r="R391" s="11"/>
      <c r="S391" s="11"/>
      <c r="T391" s="11"/>
      <c r="U391" s="11"/>
      <c r="Y391" s="15"/>
    </row>
    <row r="392" spans="2:25" ht="14.25" hidden="1" customHeight="1" x14ac:dyDescent="0.2">
      <c r="B392" s="148" t="str">
        <f t="array" ref="B392">IF(ISERROR(INDEX('Eingabe Meldungen'!$C$2:$C$492,LARGE(('Eingabe Meldungen'!$A$2:$A$492=$B$385)*(ROW('Eingabe Meldungen'!$A$2:$A$492)-1),COUNTIF('Eingabe Meldungen'!$A$2:$A$492,$B$385)+1-ROW('Eingabe Meldungen'!A23)))),"",INDEX('Eingabe Meldungen'!$C$2:$C$492,LARGE(('Eingabe Meldungen'!$A$2:$A$492=$B$385)*(ROW('Eingabe Meldungen'!$A$2:$A$492)-1),COUNTIF('Eingabe Meldungen'!$A$2:$A$492,$B$385)+1-ROW('Eingabe Meldungen'!A23))))</f>
        <v/>
      </c>
      <c r="C392" s="40" t="str">
        <f t="array" ref="C392">IF(ISERROR(INDEX('Eingabe Meldungen'!$D$2:$D$492,LARGE(('Eingabe Meldungen'!$A$2:$A$492=$B$385)*(ROW('Eingabe Meldungen'!$A$2:$A$492)-1),COUNTIF('Eingabe Meldungen'!$A$2:$A$492,$B$385)+1-ROW('Eingabe Meldungen'!A23)))),"",INDEX('Eingabe Meldungen'!$D$2:$D$492,LARGE(('Eingabe Meldungen'!$A$2:$A$492=$B$385)*(ROW('Eingabe Meldungen'!$A$2:$A$492)-1),COUNTIF('Eingabe Meldungen'!$A$2:$A$492,$B$385)+1-ROW('Eingabe Meldungen'!A23))))</f>
        <v/>
      </c>
      <c r="D392" s="107" t="str">
        <f t="array" ref="D392">IF(B392&lt;&gt;"",INDEX('Eingabe Meldungen'!$C$2:$H$492,MATCH(B392&amp;C392,'Eingabe Meldungen'!$C$2:$C$492&amp;'Eingabe Meldungen'!$D$2:$D$492,0),6),"")</f>
        <v/>
      </c>
      <c r="E392" s="107" t="str">
        <f t="array" ref="E392">IF(B392&lt;&gt;"",INDEX('Eingabe Meldungen'!$C$2:$H$492,MATCH(B392&amp;C392,'Eingabe Meldungen'!$C$2:$C$492&amp;'Eingabe Meldungen'!$D$2:$D$492,0),4),"")</f>
        <v/>
      </c>
      <c r="F392" s="39">
        <v>6</v>
      </c>
      <c r="G392" s="150"/>
      <c r="H392" s="40"/>
      <c r="I392" s="107" t="str">
        <f t="array" ref="I392">IF(B392&lt;&gt;"",INDEX('Eingabe Meldungen'!$C$2:$J$492,MATCH(B392&amp;C392,'Eingabe Meldungen'!$C$2:$C$492&amp;'Eingabe Meldungen'!$D$2:$D$492,0),8),"")</f>
        <v/>
      </c>
      <c r="J392" s="40"/>
      <c r="K392" s="40"/>
      <c r="L392" s="151"/>
      <c r="M392" s="112"/>
      <c r="O392" s="11"/>
      <c r="P392" s="10"/>
      <c r="Q392" s="11"/>
      <c r="R392" s="11"/>
      <c r="S392" s="11"/>
      <c r="T392" s="11"/>
      <c r="U392" s="11"/>
      <c r="Y392" s="15"/>
    </row>
    <row r="393" spans="2:25" ht="14.25" hidden="1" customHeight="1" x14ac:dyDescent="0.2">
      <c r="B393" s="148" t="str">
        <f t="array" ref="B393">IF(ISERROR(INDEX('Eingabe Meldungen'!$C$2:$C$492,LARGE(('Eingabe Meldungen'!$A$2:$A$492=$B$385)*(ROW('Eingabe Meldungen'!$A$2:$A$492)-1),COUNTIF('Eingabe Meldungen'!$A$2:$A$492,$B$385)+1-ROW('Eingabe Meldungen'!A24)))),"",INDEX('Eingabe Meldungen'!$C$2:$C$492,LARGE(('Eingabe Meldungen'!$A$2:$A$492=$B$385)*(ROW('Eingabe Meldungen'!$A$2:$A$492)-1),COUNTIF('Eingabe Meldungen'!$A$2:$A$492,$B$385)+1-ROW('Eingabe Meldungen'!A24))))</f>
        <v/>
      </c>
      <c r="C393" s="40" t="str">
        <f t="array" ref="C393">IF(ISERROR(INDEX('Eingabe Meldungen'!$D$2:$D$492,LARGE(('Eingabe Meldungen'!$A$2:$A$492=$B$385)*(ROW('Eingabe Meldungen'!$A$2:$A$492)-1),COUNTIF('Eingabe Meldungen'!$A$2:$A$492,$B$385)+1-ROW('Eingabe Meldungen'!A24)))),"",INDEX('Eingabe Meldungen'!$D$2:$D$492,LARGE(('Eingabe Meldungen'!$A$2:$A$492=$B$385)*(ROW('Eingabe Meldungen'!$A$2:$A$492)-1),COUNTIF('Eingabe Meldungen'!$A$2:$A$492,$B$385)+1-ROW('Eingabe Meldungen'!A24))))</f>
        <v/>
      </c>
      <c r="D393" s="107" t="str">
        <f t="array" ref="D393">IF(B393&lt;&gt;"",INDEX('Eingabe Meldungen'!$C$2:$H$492,MATCH(B393&amp;C393,'Eingabe Meldungen'!$C$2:$C$492&amp;'Eingabe Meldungen'!$D$2:$D$492,0),6),"")</f>
        <v/>
      </c>
      <c r="E393" s="107" t="str">
        <f t="array" ref="E393">IF(B393&lt;&gt;"",INDEX('Eingabe Meldungen'!$C$2:$H$492,MATCH(B393&amp;C393,'Eingabe Meldungen'!$C$2:$C$492&amp;'Eingabe Meldungen'!$D$2:$D$492,0),4),"")</f>
        <v/>
      </c>
      <c r="F393" s="39">
        <v>7</v>
      </c>
      <c r="G393" s="150"/>
      <c r="H393" s="40">
        <f>RANK(K372,$K$366:$K$381,1)</f>
        <v>1</v>
      </c>
      <c r="I393" s="107" t="str">
        <f t="array" ref="I393">IF(B393&lt;&gt;"",INDEX('Eingabe Meldungen'!$C$2:$J$492,MATCH(B393&amp;C393,'Eingabe Meldungen'!$C$2:$C$492&amp;'Eingabe Meldungen'!$D$2:$D$492,0),8),"")</f>
        <v/>
      </c>
      <c r="J393" s="40"/>
      <c r="K393" s="40"/>
      <c r="L393" s="151"/>
      <c r="M393" s="112"/>
      <c r="O393" s="11"/>
      <c r="P393" s="10"/>
      <c r="Q393" s="11"/>
      <c r="R393" s="11"/>
      <c r="S393" s="11"/>
      <c r="T393" s="11"/>
      <c r="U393" s="11"/>
    </row>
    <row r="394" spans="2:25" ht="13.2" hidden="1" thickBot="1" x14ac:dyDescent="0.25">
      <c r="B394" s="148" t="str">
        <f t="array" ref="B394">IF(ISERROR(INDEX('Eingabe Meldungen'!$C$2:$C$492,LARGE(('Eingabe Meldungen'!$A$2:$A$492=$B$385)*(ROW('Eingabe Meldungen'!$A$2:$A$492)-1),COUNTIF('Eingabe Meldungen'!$A$2:$A$492,$B$385)+1-ROW('Eingabe Meldungen'!A25)))),"",INDEX('Eingabe Meldungen'!$C$2:$C$492,LARGE(('Eingabe Meldungen'!$A$2:$A$492=$B$385)*(ROW('Eingabe Meldungen'!$A$2:$A$492)-1),COUNTIF('Eingabe Meldungen'!$A$2:$A$492,$B$385)+1-ROW('Eingabe Meldungen'!A25))))</f>
        <v/>
      </c>
      <c r="C394" s="40" t="str">
        <f t="array" ref="C394">IF(ISERROR(INDEX('Eingabe Meldungen'!$D$2:$D$492,LARGE(('Eingabe Meldungen'!$A$2:$A$492=$B$385)*(ROW('Eingabe Meldungen'!$A$2:$A$492)-1),COUNTIF('Eingabe Meldungen'!$A$2:$A$492,$B$385)+1-ROW('Eingabe Meldungen'!A25)))),"",INDEX('Eingabe Meldungen'!$D$2:$D$492,LARGE(('Eingabe Meldungen'!$A$2:$A$492=$B$385)*(ROW('Eingabe Meldungen'!$A$2:$A$492)-1),COUNTIF('Eingabe Meldungen'!$A$2:$A$492,$B$385)+1-ROW('Eingabe Meldungen'!A25))))</f>
        <v/>
      </c>
      <c r="D394" s="107" t="str">
        <f t="array" ref="D394">IF(B394&lt;&gt;"",INDEX('Eingabe Meldungen'!$C$2:$H$492,MATCH(B394&amp;C394,'Eingabe Meldungen'!$C$2:$C$492&amp;'Eingabe Meldungen'!$D$2:$D$492,0),6),"")</f>
        <v/>
      </c>
      <c r="E394" s="107" t="str">
        <f t="array" ref="E394">IF(B394&lt;&gt;"",INDEX('Eingabe Meldungen'!$C$2:$H$492,MATCH(B394&amp;C394,'Eingabe Meldungen'!$C$2:$C$492&amp;'Eingabe Meldungen'!$D$2:$D$492,0),4),"")</f>
        <v/>
      </c>
      <c r="F394" s="39">
        <v>8</v>
      </c>
      <c r="G394" s="150"/>
      <c r="H394" s="40"/>
      <c r="I394" s="107" t="str">
        <f t="array" ref="I394">IF(B394&lt;&gt;"",INDEX('Eingabe Meldungen'!$C$2:$J$492,MATCH(B394&amp;C394,'Eingabe Meldungen'!$C$2:$C$492&amp;'Eingabe Meldungen'!$D$2:$D$492,0),8),"")</f>
        <v/>
      </c>
      <c r="J394" s="40"/>
      <c r="K394" s="40"/>
      <c r="L394" s="151"/>
      <c r="M394" s="112"/>
      <c r="O394" s="11"/>
      <c r="P394" s="10"/>
      <c r="Q394" s="11"/>
      <c r="R394" s="11"/>
      <c r="S394" s="11"/>
      <c r="T394" s="11"/>
      <c r="U394" s="11"/>
    </row>
    <row r="395" spans="2:25" ht="13.2" hidden="1" thickBot="1" x14ac:dyDescent="0.25">
      <c r="B395" s="148" t="str">
        <f t="array" ref="B395">IF(ISERROR(INDEX('Eingabe Meldungen'!$C$2:$C$492,LARGE(('Eingabe Meldungen'!$A$2:$A$492=$B$385)*(ROW('Eingabe Meldungen'!$A$2:$A$492)-1),COUNTIF('Eingabe Meldungen'!$A$2:$A$492,$B$385)+1-ROW('Eingabe Meldungen'!A26)))),"",INDEX('Eingabe Meldungen'!$C$2:$C$492,LARGE(('Eingabe Meldungen'!$A$2:$A$492=$B$385)*(ROW('Eingabe Meldungen'!$A$2:$A$492)-1),COUNTIF('Eingabe Meldungen'!$A$2:$A$492,$B$385)+1-ROW('Eingabe Meldungen'!A26))))</f>
        <v/>
      </c>
      <c r="C395" s="40" t="str">
        <f t="array" ref="C395">IF(ISERROR(INDEX('Eingabe Meldungen'!$D$2:$D$492,LARGE(('Eingabe Meldungen'!$A$2:$A$492=$B$385)*(ROW('Eingabe Meldungen'!$A$2:$A$492)-1),COUNTIF('Eingabe Meldungen'!$A$2:$A$492,$B$385)+1-ROW('Eingabe Meldungen'!A26)))),"",INDEX('Eingabe Meldungen'!$D$2:$D$492,LARGE(('Eingabe Meldungen'!$A$2:$A$492=$B$385)*(ROW('Eingabe Meldungen'!$A$2:$A$492)-1),COUNTIF('Eingabe Meldungen'!$A$2:$A$492,$B$385)+1-ROW('Eingabe Meldungen'!A26))))</f>
        <v/>
      </c>
      <c r="D395" s="107" t="str">
        <f t="array" ref="D395">IF(B395&lt;&gt;"",INDEX('Eingabe Meldungen'!$C$2:$H$492,MATCH(B395&amp;C395,'Eingabe Meldungen'!$C$2:$C$492&amp;'Eingabe Meldungen'!$D$2:$D$492,0),6),"")</f>
        <v/>
      </c>
      <c r="E395" s="107" t="str">
        <f t="array" ref="E395">IF(B395&lt;&gt;"",INDEX('Eingabe Meldungen'!$C$2:$H$492,MATCH(B395&amp;C395,'Eingabe Meldungen'!$C$2:$C$492&amp;'Eingabe Meldungen'!$D$2:$D$492,0),4),"")</f>
        <v/>
      </c>
      <c r="F395" s="39">
        <v>9</v>
      </c>
      <c r="G395" s="150"/>
      <c r="H395" s="40">
        <f>RANK(K374,$K$366:$K$381,1)</f>
        <v>1</v>
      </c>
      <c r="I395" s="107" t="str">
        <f t="array" ref="I395">IF(B395&lt;&gt;"",INDEX('Eingabe Meldungen'!$C$2:$J$492,MATCH(B395&amp;C395,'Eingabe Meldungen'!$C$2:$C$492&amp;'Eingabe Meldungen'!$D$2:$D$492,0),8),"")</f>
        <v/>
      </c>
      <c r="J395" s="40"/>
      <c r="K395" s="40"/>
      <c r="L395" s="151"/>
      <c r="M395" s="112"/>
      <c r="O395" s="11"/>
      <c r="P395" s="10"/>
      <c r="Q395" s="11"/>
      <c r="R395" s="11"/>
      <c r="S395" s="11"/>
      <c r="T395" s="11"/>
      <c r="U395" s="11"/>
      <c r="Y395" s="15"/>
    </row>
    <row r="396" spans="2:25" ht="13.2" hidden="1" thickBot="1" x14ac:dyDescent="0.25">
      <c r="B396" s="148" t="str">
        <f t="array" ref="B396">IF(ISERROR(INDEX('Eingabe Meldungen'!$C$2:$C$492,LARGE(('Eingabe Meldungen'!$A$2:$A$492=$B$385)*(ROW('Eingabe Meldungen'!$A$2:$A$492)-1),COUNTIF('Eingabe Meldungen'!$A$2:$A$492,$B$385)+1-ROW('Eingabe Meldungen'!A27)))),"",INDEX('Eingabe Meldungen'!$C$2:$C$492,LARGE(('Eingabe Meldungen'!$A$2:$A$492=$B$385)*(ROW('Eingabe Meldungen'!$A$2:$A$492)-1),COUNTIF('Eingabe Meldungen'!$A$2:$A$492,$B$385)+1-ROW('Eingabe Meldungen'!A27))))</f>
        <v/>
      </c>
      <c r="C396" s="40" t="str">
        <f t="array" ref="C396">IF(ISERROR(INDEX('Eingabe Meldungen'!$D$2:$D$492,LARGE(('Eingabe Meldungen'!$A$2:$A$492=$B$385)*(ROW('Eingabe Meldungen'!$A$2:$A$492)-1),COUNTIF('Eingabe Meldungen'!$A$2:$A$492,$B$385)+1-ROW('Eingabe Meldungen'!A27)))),"",INDEX('Eingabe Meldungen'!$D$2:$D$492,LARGE(('Eingabe Meldungen'!$A$2:$A$492=$B$385)*(ROW('Eingabe Meldungen'!$A$2:$A$492)-1),COUNTIF('Eingabe Meldungen'!$A$2:$A$492,$B$385)+1-ROW('Eingabe Meldungen'!A27))))</f>
        <v/>
      </c>
      <c r="D396" s="107" t="str">
        <f t="array" ref="D396">IF(B396&lt;&gt;"",INDEX('Eingabe Meldungen'!$C$2:$H$492,MATCH(B396&amp;C396,'Eingabe Meldungen'!$C$2:$C$492&amp;'Eingabe Meldungen'!$D$2:$D$492,0),6),"")</f>
        <v/>
      </c>
      <c r="E396" s="107" t="str">
        <f t="array" ref="E396">IF(B396&lt;&gt;"",INDEX('Eingabe Meldungen'!$C$2:$H$492,MATCH(B396&amp;C396,'Eingabe Meldungen'!$C$2:$C$492&amp;'Eingabe Meldungen'!$D$2:$D$492,0),4),"")</f>
        <v/>
      </c>
      <c r="F396" s="39">
        <v>10</v>
      </c>
      <c r="G396" s="150"/>
      <c r="H396" s="40"/>
      <c r="I396" s="107" t="str">
        <f t="array" ref="I396">IF(B396&lt;&gt;"",INDEX('Eingabe Meldungen'!$C$2:$J$492,MATCH(B396&amp;C396,'Eingabe Meldungen'!$C$2:$C$492&amp;'Eingabe Meldungen'!$D$2:$D$492,0),8),"")</f>
        <v/>
      </c>
      <c r="J396" s="40"/>
      <c r="K396" s="40"/>
      <c r="L396" s="151"/>
      <c r="M396" s="112"/>
      <c r="O396" s="11"/>
      <c r="P396" s="10"/>
      <c r="Q396" s="11"/>
      <c r="R396" s="11"/>
      <c r="S396" s="11"/>
      <c r="T396" s="11"/>
      <c r="U396" s="11"/>
      <c r="Y396" s="15"/>
    </row>
    <row r="397" spans="2:25" ht="13.2" hidden="1" thickBot="1" x14ac:dyDescent="0.25">
      <c r="B397" s="148" t="str">
        <f t="array" ref="B397">IF(ISERROR(INDEX('Eingabe Meldungen'!$C$2:$C$492,LARGE(('Eingabe Meldungen'!$A$2:$A$492=$B$385)*(ROW('Eingabe Meldungen'!$A$2:$A$492)-1),COUNTIF('Eingabe Meldungen'!$A$2:$A$492,$B$385)+1-ROW('Eingabe Meldungen'!A28)))),"",INDEX('Eingabe Meldungen'!$C$2:$C$492,LARGE(('Eingabe Meldungen'!$A$2:$A$492=$B$385)*(ROW('Eingabe Meldungen'!$A$2:$A$492)-1),COUNTIF('Eingabe Meldungen'!$A$2:$A$492,$B$385)+1-ROW('Eingabe Meldungen'!A28))))</f>
        <v/>
      </c>
      <c r="C397" s="40" t="str">
        <f t="array" ref="C397">IF(ISERROR(INDEX('Eingabe Meldungen'!$D$2:$D$492,LARGE(('Eingabe Meldungen'!$A$2:$A$492=$B$385)*(ROW('Eingabe Meldungen'!$A$2:$A$492)-1),COUNTIF('Eingabe Meldungen'!$A$2:$A$492,$B$385)+1-ROW('Eingabe Meldungen'!A28)))),"",INDEX('Eingabe Meldungen'!$D$2:$D$492,LARGE(('Eingabe Meldungen'!$A$2:$A$492=$B$385)*(ROW('Eingabe Meldungen'!$A$2:$A$492)-1),COUNTIF('Eingabe Meldungen'!$A$2:$A$492,$B$385)+1-ROW('Eingabe Meldungen'!A28))))</f>
        <v/>
      </c>
      <c r="D397" s="107" t="str">
        <f t="array" ref="D397">IF(B397&lt;&gt;"",INDEX('Eingabe Meldungen'!$C$2:$H$492,MATCH(B397&amp;C397,'Eingabe Meldungen'!$C$2:$C$492&amp;'Eingabe Meldungen'!$D$2:$D$492,0),6),"")</f>
        <v/>
      </c>
      <c r="E397" s="107" t="str">
        <f t="array" ref="E397">IF(B397&lt;&gt;"",INDEX('Eingabe Meldungen'!$C$2:$H$492,MATCH(B397&amp;C397,'Eingabe Meldungen'!$C$2:$C$492&amp;'Eingabe Meldungen'!$D$2:$D$492,0),4),"")</f>
        <v/>
      </c>
      <c r="F397" s="39">
        <v>11</v>
      </c>
      <c r="G397" s="150"/>
      <c r="H397" s="40">
        <f>RANK(K376,$K$366:$K$381,1)</f>
        <v>1</v>
      </c>
      <c r="I397" s="107" t="str">
        <f t="array" ref="I397">IF(B397&lt;&gt;"",INDEX('Eingabe Meldungen'!$C$2:$J$492,MATCH(B397&amp;C397,'Eingabe Meldungen'!$C$2:$C$492&amp;'Eingabe Meldungen'!$D$2:$D$492,0),8),"")</f>
        <v/>
      </c>
      <c r="J397" s="40"/>
      <c r="K397" s="40"/>
      <c r="L397" s="151"/>
      <c r="M397" s="112"/>
      <c r="O397" s="11"/>
      <c r="P397" s="10"/>
      <c r="Q397" s="11"/>
      <c r="R397" s="11"/>
      <c r="S397" s="11"/>
      <c r="T397" s="11"/>
      <c r="U397" s="11"/>
      <c r="Y397" s="15"/>
    </row>
    <row r="398" spans="2:25" ht="13.2" hidden="1" thickBot="1" x14ac:dyDescent="0.25">
      <c r="B398" s="148" t="str">
        <f t="array" ref="B398">IF(ISERROR(INDEX('Eingabe Meldungen'!$C$2:$C$492,LARGE(('Eingabe Meldungen'!$A$2:$A$492=$B$385)*(ROW('Eingabe Meldungen'!$A$2:$A$492)-1),COUNTIF('Eingabe Meldungen'!$A$2:$A$492,$B$385)+1-ROW('Eingabe Meldungen'!A29)))),"",INDEX('Eingabe Meldungen'!$C$2:$C$492,LARGE(('Eingabe Meldungen'!$A$2:$A$492=$B$385)*(ROW('Eingabe Meldungen'!$A$2:$A$492)-1),COUNTIF('Eingabe Meldungen'!$A$2:$A$492,$B$385)+1-ROW('Eingabe Meldungen'!A29))))</f>
        <v/>
      </c>
      <c r="C398" s="40" t="str">
        <f t="array" ref="C398">IF(ISERROR(INDEX('Eingabe Meldungen'!$D$2:$D$492,LARGE(('Eingabe Meldungen'!$A$2:$A$492=$B$385)*(ROW('Eingabe Meldungen'!$A$2:$A$492)-1),COUNTIF('Eingabe Meldungen'!$A$2:$A$492,$B$385)+1-ROW('Eingabe Meldungen'!A29)))),"",INDEX('Eingabe Meldungen'!$D$2:$D$492,LARGE(('Eingabe Meldungen'!$A$2:$A$492=$B$385)*(ROW('Eingabe Meldungen'!$A$2:$A$492)-1),COUNTIF('Eingabe Meldungen'!$A$2:$A$492,$B$385)+1-ROW('Eingabe Meldungen'!A29))))</f>
        <v/>
      </c>
      <c r="D398" s="107" t="str">
        <f t="array" ref="D398">IF(B398&lt;&gt;"",INDEX('Eingabe Meldungen'!$C$2:$H$492,MATCH(B398&amp;C398,'Eingabe Meldungen'!$C$2:$C$492&amp;'Eingabe Meldungen'!$D$2:$D$492,0),6),"")</f>
        <v/>
      </c>
      <c r="E398" s="107" t="str">
        <f t="array" ref="E398">IF(B398&lt;&gt;"",INDEX('Eingabe Meldungen'!$C$2:$H$492,MATCH(B398&amp;C398,'Eingabe Meldungen'!$C$2:$C$492&amp;'Eingabe Meldungen'!$D$2:$D$492,0),4),"")</f>
        <v/>
      </c>
      <c r="F398" s="39">
        <v>12</v>
      </c>
      <c r="G398" s="150"/>
      <c r="H398" s="40"/>
      <c r="I398" s="107" t="str">
        <f t="array" ref="I398">IF(B398&lt;&gt;"",INDEX('Eingabe Meldungen'!$C$2:$J$492,MATCH(B398&amp;C398,'Eingabe Meldungen'!$C$2:$C$492&amp;'Eingabe Meldungen'!$D$2:$D$492,0),8),"")</f>
        <v/>
      </c>
      <c r="J398" s="40"/>
      <c r="K398" s="40"/>
      <c r="L398" s="151"/>
      <c r="M398" s="147"/>
      <c r="O398" s="11"/>
      <c r="P398" s="10"/>
      <c r="Q398" s="11"/>
      <c r="R398" s="11"/>
      <c r="S398" s="11"/>
      <c r="T398" s="11"/>
      <c r="U398" s="11"/>
      <c r="Y398" s="15"/>
    </row>
    <row r="399" spans="2:25" ht="13.2" hidden="1" thickBot="1" x14ac:dyDescent="0.25">
      <c r="B399" s="148" t="str">
        <f t="array" ref="B399">IF(ISERROR(INDEX('Eingabe Meldungen'!$C$2:$C$492,LARGE(('Eingabe Meldungen'!$A$2:$A$492=$B$385)*(ROW('Eingabe Meldungen'!$A$2:$A$492)-1),COUNTIF('Eingabe Meldungen'!$A$2:$A$492,$B$385)+1-ROW('Eingabe Meldungen'!#REF!)))),"",INDEX('Eingabe Meldungen'!$C$2:$C$492,LARGE(('Eingabe Meldungen'!$A$2:$A$492=$B$385)*(ROW('Eingabe Meldungen'!$A$2:$A$492)-1),COUNTIF('Eingabe Meldungen'!$A$2:$A$492,$B$385)+1-ROW('Eingabe Meldungen'!#REF!))))</f>
        <v/>
      </c>
      <c r="C399" s="40" t="str">
        <f t="array" ref="C399">IF(ISERROR(INDEX('Eingabe Meldungen'!$D$2:$D$492,LARGE(('Eingabe Meldungen'!$A$2:$A$492=$B$385)*(ROW('Eingabe Meldungen'!$A$2:$A$492)-1),COUNTIF('Eingabe Meldungen'!$A$2:$A$492,$B$385)+1-ROW('Eingabe Meldungen'!#REF!)))),"",INDEX('Eingabe Meldungen'!$D$2:$D$492,LARGE(('Eingabe Meldungen'!$A$2:$A$492=$B$385)*(ROW('Eingabe Meldungen'!$A$2:$A$492)-1),COUNTIF('Eingabe Meldungen'!$A$2:$A$492,$B$385)+1-ROW('Eingabe Meldungen'!#REF!))))</f>
        <v/>
      </c>
      <c r="D399" s="107" t="str">
        <f t="array" ref="D399">IF(B399&lt;&gt;"",INDEX('Eingabe Meldungen'!$C$2:$H$492,MATCH(B399&amp;C399,'Eingabe Meldungen'!$C$2:$C$492&amp;'Eingabe Meldungen'!$D$2:$D$492,0),6),"")</f>
        <v/>
      </c>
      <c r="E399" s="107" t="str">
        <f t="array" ref="E399">IF(B399&lt;&gt;"",INDEX('Eingabe Meldungen'!$C$2:$H$492,MATCH(B399&amp;C399,'Eingabe Meldungen'!$C$2:$C$492&amp;'Eingabe Meldungen'!$D$2:$D$492,0),4),"")</f>
        <v/>
      </c>
      <c r="F399" s="39">
        <v>13</v>
      </c>
      <c r="G399" s="150"/>
      <c r="H399" s="40">
        <f>RANK(K378,$K$366:$K$381,1)</f>
        <v>1</v>
      </c>
      <c r="I399" s="107" t="str">
        <f t="array" ref="I399">IF(B399&lt;&gt;"",INDEX('Eingabe Meldungen'!$C$2:$J$492,MATCH(B399&amp;C399,'Eingabe Meldungen'!$C$2:$C$492&amp;'Eingabe Meldungen'!$D$2:$D$492,0),8),"")</f>
        <v/>
      </c>
      <c r="J399" s="40"/>
      <c r="K399" s="40"/>
      <c r="L399" s="151"/>
      <c r="M399" s="147"/>
      <c r="O399" s="11"/>
      <c r="P399" s="10"/>
      <c r="Q399" s="11"/>
      <c r="R399" s="11"/>
      <c r="S399" s="11"/>
      <c r="T399" s="11"/>
      <c r="U399" s="11"/>
      <c r="Y399" s="15"/>
    </row>
    <row r="400" spans="2:25" ht="13.2" hidden="1" thickBot="1" x14ac:dyDescent="0.25">
      <c r="B400" s="148" t="str">
        <f t="array" ref="B400">IF(ISERROR(INDEX('Eingabe Meldungen'!$C$2:$C$492,LARGE(('Eingabe Meldungen'!$A$2:$A$492=$B$385)*(ROW('Eingabe Meldungen'!$A$2:$A$492)-1),COUNTIF('Eingabe Meldungen'!$A$2:$A$492,$B$385)+1-ROW('Eingabe Meldungen'!A30)))),"",INDEX('Eingabe Meldungen'!$C$2:$C$492,LARGE(('Eingabe Meldungen'!$A$2:$A$492=$B$385)*(ROW('Eingabe Meldungen'!$A$2:$A$492)-1),COUNTIF('Eingabe Meldungen'!$A$2:$A$492,$B$385)+1-ROW('Eingabe Meldungen'!A30))))</f>
        <v/>
      </c>
      <c r="C400" s="40" t="str">
        <f t="array" ref="C400">IF(ISERROR(INDEX('Eingabe Meldungen'!$D$2:$D$492,LARGE(('Eingabe Meldungen'!$A$2:$A$492=$B$385)*(ROW('Eingabe Meldungen'!$A$2:$A$492)-1),COUNTIF('Eingabe Meldungen'!$A$2:$A$492,$B$385)+1-ROW('Eingabe Meldungen'!A30)))),"",INDEX('Eingabe Meldungen'!$D$2:$D$492,LARGE(('Eingabe Meldungen'!$A$2:$A$492=$B$385)*(ROW('Eingabe Meldungen'!$A$2:$A$492)-1),COUNTIF('Eingabe Meldungen'!$A$2:$A$492,$B$385)+1-ROW('Eingabe Meldungen'!A30))))</f>
        <v/>
      </c>
      <c r="D400" s="107" t="str">
        <f t="array" ref="D400">IF(B400&lt;&gt;"",INDEX('Eingabe Meldungen'!$C$2:$H$492,MATCH(B400&amp;C400,'Eingabe Meldungen'!$C$2:$C$492&amp;'Eingabe Meldungen'!$D$2:$D$492,0),6),"")</f>
        <v/>
      </c>
      <c r="E400" s="107" t="str">
        <f t="array" ref="E400">IF(B400&lt;&gt;"",INDEX('Eingabe Meldungen'!$C$2:$H$492,MATCH(B400&amp;C400,'Eingabe Meldungen'!$C$2:$C$492&amp;'Eingabe Meldungen'!$D$2:$D$492,0),4),"")</f>
        <v/>
      </c>
      <c r="F400" s="39">
        <v>14</v>
      </c>
      <c r="G400" s="150"/>
      <c r="H400" s="40"/>
      <c r="I400" s="107" t="str">
        <f t="array" ref="I400">IF(B400&lt;&gt;"",INDEX('Eingabe Meldungen'!$C$2:$J$492,MATCH(B400&amp;C400,'Eingabe Meldungen'!$C$2:$C$492&amp;'Eingabe Meldungen'!$D$2:$D$492,0),8),"")</f>
        <v/>
      </c>
      <c r="J400" s="40"/>
      <c r="K400" s="40"/>
      <c r="L400" s="151"/>
      <c r="M400" s="112"/>
      <c r="O400" s="11"/>
      <c r="P400" s="10"/>
      <c r="Q400" s="11"/>
      <c r="R400" s="11"/>
      <c r="S400" s="11"/>
      <c r="T400" s="11"/>
      <c r="U400" s="11"/>
      <c r="Y400" s="15"/>
    </row>
    <row r="401" spans="2:25" ht="13.2" hidden="1" thickBot="1" x14ac:dyDescent="0.25">
      <c r="B401" s="148" t="str">
        <f t="array" ref="B401">IF(ISERROR(INDEX('Eingabe Meldungen'!$C$2:$C$492,LARGE(('Eingabe Meldungen'!$A$2:$A$492=$B$385)*(ROW('Eingabe Meldungen'!$A$2:$A$492)-1),COUNTIF('Eingabe Meldungen'!$A$2:$A$492,$B$385)+1-ROW('Eingabe Meldungen'!#REF!)))),"",INDEX('Eingabe Meldungen'!$C$2:$C$492,LARGE(('Eingabe Meldungen'!$A$2:$A$492=$B$385)*(ROW('Eingabe Meldungen'!$A$2:$A$492)-1),COUNTIF('Eingabe Meldungen'!$A$2:$A$492,$B$385)+1-ROW('Eingabe Meldungen'!#REF!))))</f>
        <v/>
      </c>
      <c r="C401" s="40" t="str">
        <f t="array" ref="C401">IF(ISERROR(INDEX('Eingabe Meldungen'!$D$2:$D$492,LARGE(('Eingabe Meldungen'!$A$2:$A$492=$B$385)*(ROW('Eingabe Meldungen'!$A$2:$A$492)-1),COUNTIF('Eingabe Meldungen'!$A$2:$A$492,$B$385)+1-ROW('Eingabe Meldungen'!#REF!)))),"",INDEX('Eingabe Meldungen'!$D$2:$D$492,LARGE(('Eingabe Meldungen'!$A$2:$A$492=$B$385)*(ROW('Eingabe Meldungen'!$A$2:$A$492)-1),COUNTIF('Eingabe Meldungen'!$A$2:$A$492,$B$385)+1-ROW('Eingabe Meldungen'!#REF!))))</f>
        <v/>
      </c>
      <c r="D401" s="107" t="str">
        <f t="array" ref="D401">IF(B401&lt;&gt;"",INDEX('Eingabe Meldungen'!$C$2:$H$492,MATCH(B401&amp;C401,'Eingabe Meldungen'!$C$2:$C$492&amp;'Eingabe Meldungen'!$D$2:$D$492,0),6),"")</f>
        <v/>
      </c>
      <c r="E401" s="107" t="str">
        <f t="array" ref="E401">IF(B401&lt;&gt;"",INDEX('Eingabe Meldungen'!$C$2:$H$492,MATCH(B401&amp;C401,'Eingabe Meldungen'!$C$2:$C$492&amp;'Eingabe Meldungen'!$D$2:$D$492,0),4),"")</f>
        <v/>
      </c>
      <c r="F401" s="39">
        <v>15</v>
      </c>
      <c r="G401" s="150"/>
      <c r="H401" s="40">
        <f>RANK(K380,$K$366:$K$381,1)</f>
        <v>1</v>
      </c>
      <c r="I401" s="107" t="str">
        <f t="array" ref="I401">IF(B401&lt;&gt;"",INDEX('Eingabe Meldungen'!$C$2:$J$492,MATCH(B401&amp;C401,'Eingabe Meldungen'!$C$2:$C$492&amp;'Eingabe Meldungen'!$D$2:$D$492,0),8),"")</f>
        <v/>
      </c>
      <c r="J401" s="40"/>
      <c r="K401" s="40"/>
      <c r="L401" s="151"/>
      <c r="M401" s="112"/>
      <c r="O401" s="11"/>
      <c r="P401" s="10"/>
      <c r="Q401" s="11"/>
      <c r="R401" s="11"/>
      <c r="S401" s="11"/>
      <c r="T401" s="11"/>
      <c r="U401" s="11"/>
      <c r="Y401" s="15"/>
    </row>
    <row r="402" spans="2:25" ht="13.2" hidden="1" thickBot="1" x14ac:dyDescent="0.25">
      <c r="B402" s="148" t="str">
        <f t="array" ref="B402">IF(ISERROR(INDEX('Eingabe Meldungen'!$C$2:$C$492,LARGE(('Eingabe Meldungen'!$A$2:$A$492=$B$385)*(ROW('Eingabe Meldungen'!$A$2:$A$492)-1),COUNTIF('Eingabe Meldungen'!$A$2:$A$492,$B$385)+1-ROW('Eingabe Meldungen'!#REF!)))),"",INDEX('Eingabe Meldungen'!$C$2:$C$492,LARGE(('Eingabe Meldungen'!$A$2:$A$492=$B$385)*(ROW('Eingabe Meldungen'!$A$2:$A$492)-1),COUNTIF('Eingabe Meldungen'!$A$2:$A$492,$B$385)+1-ROW('Eingabe Meldungen'!#REF!))))</f>
        <v/>
      </c>
      <c r="C402" s="40" t="str">
        <f t="array" ref="C402">IF(ISERROR(INDEX('Eingabe Meldungen'!$D$2:$D$492,LARGE(('Eingabe Meldungen'!$A$2:$A$492=$B$385)*(ROW('Eingabe Meldungen'!$A$2:$A$492)-1),COUNTIF('Eingabe Meldungen'!$A$2:$A$492,$B$385)+1-ROW('Eingabe Meldungen'!#REF!)))),"",INDEX('Eingabe Meldungen'!$D$2:$D$492,LARGE(('Eingabe Meldungen'!$A$2:$A$492=$B$385)*(ROW('Eingabe Meldungen'!$A$2:$A$492)-1),COUNTIF('Eingabe Meldungen'!$A$2:$A$492,$B$385)+1-ROW('Eingabe Meldungen'!#REF!))))</f>
        <v/>
      </c>
      <c r="D402" s="107" t="str">
        <f t="array" ref="D402">IF(B402&lt;&gt;"",INDEX('Eingabe Meldungen'!$C$2:$H$492,MATCH(B402&amp;C402,'Eingabe Meldungen'!$C$2:$C$492&amp;'Eingabe Meldungen'!$D$2:$D$492,0),6),"")</f>
        <v/>
      </c>
      <c r="E402" s="107" t="str">
        <f t="array" ref="E402">IF(B402&lt;&gt;"",INDEX('Eingabe Meldungen'!$C$2:$H$492,MATCH(B402&amp;C402,'Eingabe Meldungen'!$C$2:$C$492&amp;'Eingabe Meldungen'!$D$2:$D$492,0),4),"")</f>
        <v/>
      </c>
      <c r="F402" s="39">
        <v>16</v>
      </c>
      <c r="G402" s="150"/>
      <c r="H402" s="40"/>
      <c r="I402" s="107" t="str">
        <f t="array" ref="I402">IF(B402&lt;&gt;"",INDEX('Eingabe Meldungen'!$C$2:$J$492,MATCH(B402&amp;C402,'Eingabe Meldungen'!$C$2:$C$492&amp;'Eingabe Meldungen'!$D$2:$D$492,0),8),"")</f>
        <v/>
      </c>
      <c r="J402" s="40"/>
      <c r="K402" s="40"/>
      <c r="L402" s="151"/>
      <c r="M402" s="112"/>
      <c r="O402" s="11"/>
      <c r="P402" s="10"/>
      <c r="Q402" s="11"/>
      <c r="R402" s="11"/>
      <c r="S402" s="11"/>
      <c r="T402" s="11"/>
      <c r="U402" s="11"/>
      <c r="Y402" s="15"/>
    </row>
    <row r="403" spans="2:25" ht="13.2" hidden="1" thickBot="1" x14ac:dyDescent="0.25">
      <c r="B403" s="148"/>
      <c r="C403" s="40"/>
      <c r="D403" s="107"/>
      <c r="E403" s="107"/>
      <c r="F403" s="39"/>
      <c r="G403" s="167"/>
      <c r="H403" s="40"/>
      <c r="I403" s="107"/>
      <c r="J403" s="40"/>
      <c r="K403" s="40"/>
      <c r="L403" s="151"/>
      <c r="M403" s="112"/>
      <c r="O403" s="11"/>
      <c r="P403" s="10"/>
      <c r="Q403" s="11"/>
      <c r="R403" s="11"/>
      <c r="S403" s="11"/>
      <c r="T403" s="11"/>
      <c r="U403" s="11"/>
      <c r="Y403" s="15"/>
    </row>
    <row r="404" spans="2:25" ht="32.25" hidden="1" customHeight="1" x14ac:dyDescent="0.2">
      <c r="B404" s="110">
        <f>B385+1</f>
        <v>22</v>
      </c>
      <c r="C404" s="101" t="str">
        <f>VLOOKUP(B404,Ausschreibung!$B$5:$I$35,2,FALSE)</f>
        <v>Ergocup</v>
      </c>
      <c r="D404" s="102">
        <f>VLOOKUP(B404,Ausschreibung!$B$5:$I$35,3,FALSE)</f>
        <v>0.6416666666666665</v>
      </c>
      <c r="E404" s="101" t="str">
        <f>VLOOKUP(B404,Ausschreibung!$B$5:$I$35,4,FALSE)</f>
        <v>Seniorinnen A</v>
      </c>
      <c r="F404" s="101" t="str">
        <f>VLOOKUP(B404,Ausschreibung!$B$5:$I$35,5,FALSE)</f>
        <v>-</v>
      </c>
      <c r="G404" s="101" t="str">
        <f>VLOOKUP(B404,Ausschreibung!$B$5:$I$35,6,FALSE)</f>
        <v>19 und älter</v>
      </c>
      <c r="H404" s="101" t="str">
        <f>VLOOKUP(B404,Ausschreibung!$B$5:$I$35,8,FALSE)</f>
        <v>2000 m</v>
      </c>
      <c r="I404" s="101" t="s">
        <v>30</v>
      </c>
      <c r="J404" s="101"/>
      <c r="K404" s="40"/>
      <c r="L404" s="151"/>
      <c r="M404" s="112"/>
      <c r="O404" s="11"/>
      <c r="P404" s="10"/>
      <c r="Q404" s="11"/>
      <c r="R404" s="11"/>
      <c r="S404" s="11"/>
      <c r="T404" s="11"/>
      <c r="U404" s="11"/>
      <c r="Y404" s="15"/>
    </row>
    <row r="405" spans="2:25" ht="13.2" hidden="1" thickBot="1" x14ac:dyDescent="0.25">
      <c r="B405" s="111" t="s">
        <v>1</v>
      </c>
      <c r="C405" s="104" t="s">
        <v>2</v>
      </c>
      <c r="D405" s="103" t="s">
        <v>49</v>
      </c>
      <c r="E405" s="146" t="s">
        <v>16</v>
      </c>
      <c r="F405" s="103" t="s">
        <v>18</v>
      </c>
      <c r="G405" s="105" t="s">
        <v>50</v>
      </c>
      <c r="H405" s="103" t="s">
        <v>51</v>
      </c>
      <c r="I405" s="106" t="s">
        <v>17</v>
      </c>
      <c r="J405" s="103"/>
      <c r="K405" s="40"/>
      <c r="L405" s="151"/>
      <c r="M405" s="112"/>
      <c r="O405" s="11"/>
      <c r="P405" s="10"/>
      <c r="Q405" s="11"/>
      <c r="R405" s="11"/>
      <c r="S405" s="11"/>
      <c r="T405" s="11"/>
      <c r="U405" s="11"/>
      <c r="Y405" s="15"/>
    </row>
    <row r="406" spans="2:25" ht="15" hidden="1" customHeight="1" x14ac:dyDescent="0.2">
      <c r="B406" s="148" t="str">
        <f t="array" ref="B406">IF(ISERROR(INDEX('Eingabe Meldungen'!$C$2:$C$492,LARGE(('Eingabe Meldungen'!$A$2:$A$492=$B$404)*(ROW('Eingabe Meldungen'!$A$2:$A$492)-1),COUNTIF('Eingabe Meldungen'!$A$2:$A$492,$B$404)+1-ROW('Eingabe Meldungen'!A1)))),"",INDEX('Eingabe Meldungen'!$C$2:$C$492,LARGE(('Eingabe Meldungen'!$A$2:$A$492=$B$404)*(ROW('Eingabe Meldungen'!$A$2:$A$492)-1),COUNTIF('Eingabe Meldungen'!$A$2:$A$492,$B$404)+1-ROW('Eingabe Meldungen'!A1))))</f>
        <v>Marquardt</v>
      </c>
      <c r="C406" s="40" t="str">
        <f t="array" ref="C406">IF(ISERROR(INDEX('Eingabe Meldungen'!$D$2:$D$492,LARGE(('Eingabe Meldungen'!$A$2:$A$492=$B$404)*(ROW('Eingabe Meldungen'!$A$2:$A$492)-1),COUNTIF('Eingabe Meldungen'!$A$2:$A$492,$B$404)+1-ROW('Eingabe Meldungen'!A1)))),"",INDEX('Eingabe Meldungen'!$D$2:$D$492,LARGE(('Eingabe Meldungen'!$A$2:$A$492=$B$404)*(ROW('Eingabe Meldungen'!$A$2:$A$492)-1),COUNTIF('Eingabe Meldungen'!$A$2:$A$492,$B$404)+1-ROW('Eingabe Meldungen'!A1))))</f>
        <v>Linda</v>
      </c>
      <c r="D406" s="107">
        <f t="array" ref="D406">IF(B406&lt;&gt;"",INDEX('Eingabe Meldungen'!$C$2:$H$492,MATCH(B406&amp;C406,'Eingabe Meldungen'!$C$2:$C$492&amp;'Eingabe Meldungen'!$D$2:$D$492,0),6),"")</f>
        <v>1995</v>
      </c>
      <c r="E406" s="107" t="str">
        <f t="array" ref="E406">IF(B406&lt;&gt;"",INDEX('Eingabe Meldungen'!$C$2:$H$492,MATCH(B406&amp;C406,'Eingabe Meldungen'!$C$2:$C$492&amp;'Eingabe Meldungen'!$D$2:$D$492,0),4),"")</f>
        <v>-</v>
      </c>
      <c r="F406" s="107">
        <v>1</v>
      </c>
      <c r="G406" s="149"/>
      <c r="H406" s="40" t="e">
        <f>RANK(G406,$G$406:$G$421,1)</f>
        <v>#N/A</v>
      </c>
      <c r="I406" s="107" t="str">
        <f t="array" ref="I406">IF(B406&lt;&gt;"",INDEX('Eingabe Meldungen'!$C$2:$J$492,MATCH(B406&amp;C406,'Eingabe Meldungen'!$C$2:$C$492&amp;'Eingabe Meldungen'!$D$2:$D$492,0),8),"")</f>
        <v>Ruderverein Bad Wimpfen</v>
      </c>
      <c r="J406" s="40"/>
      <c r="K406" s="40"/>
      <c r="L406" s="151"/>
      <c r="M406" s="112"/>
      <c r="O406" s="11"/>
      <c r="P406" s="10"/>
      <c r="Q406" s="11"/>
      <c r="R406" s="11"/>
      <c r="S406" s="11"/>
      <c r="T406" s="11"/>
      <c r="U406" s="11"/>
    </row>
    <row r="407" spans="2:25" ht="13.2" hidden="1" thickBot="1" x14ac:dyDescent="0.25">
      <c r="B407" s="148" t="str">
        <f t="array" ref="B407">IF(ISERROR(INDEX('Eingabe Meldungen'!$C$2:$C$492,LARGE(('Eingabe Meldungen'!$A$2:$A$492=$B$404)*(ROW('Eingabe Meldungen'!$A$2:$A$492)-1),COUNTIF('Eingabe Meldungen'!$A$2:$A$492,$B$404)+1-ROW('Eingabe Meldungen'!A2)))),"",INDEX('Eingabe Meldungen'!$C$2:$C$492,LARGE(('Eingabe Meldungen'!$A$2:$A$492=$B$404)*(ROW('Eingabe Meldungen'!$A$2:$A$492)-1),COUNTIF('Eingabe Meldungen'!$A$2:$A$492,$B$404)+1-ROW('Eingabe Meldungen'!A2))))</f>
        <v>Jendrozek</v>
      </c>
      <c r="C407" s="40" t="str">
        <f t="array" ref="C407">IF(ISERROR(INDEX('Eingabe Meldungen'!$D$2:$D$492,LARGE(('Eingabe Meldungen'!$A$2:$A$492=$B$404)*(ROW('Eingabe Meldungen'!$A$2:$A$492)-1),COUNTIF('Eingabe Meldungen'!$A$2:$A$492,$B$404)+1-ROW('Eingabe Meldungen'!A2)))),"",INDEX('Eingabe Meldungen'!$D$2:$D$492,LARGE(('Eingabe Meldungen'!$A$2:$A$492=$B$404)*(ROW('Eingabe Meldungen'!$A$2:$A$492)-1),COUNTIF('Eingabe Meldungen'!$A$2:$A$492,$B$404)+1-ROW('Eingabe Meldungen'!A2))))</f>
        <v>Luisa</v>
      </c>
      <c r="D407" s="107">
        <f t="array" ref="D407">IF(B407&lt;&gt;"",INDEX('Eingabe Meldungen'!$C$2:$H$492,MATCH(B407&amp;C407,'Eingabe Meldungen'!$C$2:$C$492&amp;'Eingabe Meldungen'!$D$2:$D$492,0),6),"")</f>
        <v>1998</v>
      </c>
      <c r="E407" s="107" t="str">
        <f t="array" ref="E407">IF(B407&lt;&gt;"",INDEX('Eingabe Meldungen'!$C$2:$H$492,MATCH(B407&amp;C407,'Eingabe Meldungen'!$C$2:$C$492&amp;'Eingabe Meldungen'!$D$2:$D$492,0),4),"")</f>
        <v>-</v>
      </c>
      <c r="F407" s="39">
        <v>2</v>
      </c>
      <c r="G407" s="149"/>
      <c r="H407" s="40" t="e">
        <f t="shared" ref="H407:H421" si="19">RANK(G407,$G$406:$G$421,1)</f>
        <v>#N/A</v>
      </c>
      <c r="I407" s="107" t="str">
        <f t="array" ref="I407">IF(B407&lt;&gt;"",INDEX('Eingabe Meldungen'!$C$2:$J$492,MATCH(B407&amp;C407,'Eingabe Meldungen'!$C$2:$C$492&amp;'Eingabe Meldungen'!$D$2:$D$492,0),8),"")</f>
        <v>Stuttgarter RG</v>
      </c>
      <c r="J407" s="40"/>
      <c r="K407" s="40"/>
      <c r="L407" s="151"/>
      <c r="M407" s="112"/>
      <c r="O407" s="11"/>
      <c r="P407" s="10"/>
      <c r="Q407" s="11"/>
      <c r="R407" s="11"/>
      <c r="S407" s="11"/>
      <c r="T407" s="11"/>
      <c r="U407" s="11"/>
    </row>
    <row r="408" spans="2:25" ht="13.2" hidden="1" thickBot="1" x14ac:dyDescent="0.25">
      <c r="B408" s="148" t="str">
        <f t="array" ref="B408">IF(ISERROR(INDEX('Eingabe Meldungen'!$C$2:$C$492,LARGE(('Eingabe Meldungen'!$A$2:$A$492=$B$404)*(ROW('Eingabe Meldungen'!$A$2:$A$492)-1),COUNTIF('Eingabe Meldungen'!$A$2:$A$492,$B$404)+1-ROW('Eingabe Meldungen'!A3)))),"",INDEX('Eingabe Meldungen'!$C$2:$C$492,LARGE(('Eingabe Meldungen'!$A$2:$A$492=$B$404)*(ROW('Eingabe Meldungen'!$A$2:$A$492)-1),COUNTIF('Eingabe Meldungen'!$A$2:$A$492,$B$404)+1-ROW('Eingabe Meldungen'!A3))))</f>
        <v>Bergler</v>
      </c>
      <c r="C408" s="40" t="str">
        <f t="array" ref="C408">IF(ISERROR(INDEX('Eingabe Meldungen'!$D$2:$D$492,LARGE(('Eingabe Meldungen'!$A$2:$A$492=$B$404)*(ROW('Eingabe Meldungen'!$A$2:$A$492)-1),COUNTIF('Eingabe Meldungen'!$A$2:$A$492,$B$404)+1-ROW('Eingabe Meldungen'!A3)))),"",INDEX('Eingabe Meldungen'!$D$2:$D$492,LARGE(('Eingabe Meldungen'!$A$2:$A$492=$B$404)*(ROW('Eingabe Meldungen'!$A$2:$A$492)-1),COUNTIF('Eingabe Meldungen'!$A$2:$A$492,$B$404)+1-ROW('Eingabe Meldungen'!A3))))</f>
        <v>Nils</v>
      </c>
      <c r="D408" s="107">
        <f t="array" ref="D408">IF(B408&lt;&gt;"",INDEX('Eingabe Meldungen'!$C$2:$H$492,MATCH(B408&amp;C408,'Eingabe Meldungen'!$C$2:$C$492&amp;'Eingabe Meldungen'!$D$2:$D$492,0),6),"")</f>
        <v>2001</v>
      </c>
      <c r="E408" s="107" t="str">
        <f t="array" ref="E408">IF(B408&lt;&gt;"",INDEX('Eingabe Meldungen'!$C$2:$H$492,MATCH(B408&amp;C408,'Eingabe Meldungen'!$C$2:$C$492&amp;'Eingabe Meldungen'!$D$2:$D$492,0),4),"")</f>
        <v>-</v>
      </c>
      <c r="F408" s="39">
        <v>3</v>
      </c>
      <c r="G408" s="150"/>
      <c r="H408" s="40" t="e">
        <f t="shared" si="19"/>
        <v>#N/A</v>
      </c>
      <c r="I408" s="107" t="str">
        <f t="array" ref="I408">IF(B408&lt;&gt;"",INDEX('Eingabe Meldungen'!$C$2:$J$492,MATCH(B408&amp;C408,'Eingabe Meldungen'!$C$2:$C$492&amp;'Eingabe Meldungen'!$D$2:$D$492,0),8),"")</f>
        <v>RG Eberbach</v>
      </c>
      <c r="J408" s="40"/>
      <c r="K408" s="40"/>
      <c r="L408" s="151"/>
      <c r="M408" s="112"/>
      <c r="O408" s="11"/>
      <c r="P408" s="10"/>
      <c r="Q408" s="11"/>
      <c r="R408" s="11"/>
      <c r="S408" s="11"/>
      <c r="T408" s="11"/>
      <c r="U408" s="11"/>
      <c r="Y408" s="15"/>
    </row>
    <row r="409" spans="2:25" ht="13.2" hidden="1" thickBot="1" x14ac:dyDescent="0.25">
      <c r="B409" s="148" t="str">
        <f t="array" ref="B409">IF(ISERROR(INDEX('Eingabe Meldungen'!$C$2:$C$492,LARGE(('Eingabe Meldungen'!$A$2:$A$492=$B$404)*(ROW('Eingabe Meldungen'!$A$2:$A$492)-1),COUNTIF('Eingabe Meldungen'!$A$2:$A$492,$B$404)+1-ROW('Eingabe Meldungen'!A4)))),"",INDEX('Eingabe Meldungen'!$C$2:$C$492,LARGE(('Eingabe Meldungen'!$A$2:$A$492=$B$404)*(ROW('Eingabe Meldungen'!$A$2:$A$492)-1),COUNTIF('Eingabe Meldungen'!$A$2:$A$492,$B$404)+1-ROW('Eingabe Meldungen'!A4))))</f>
        <v/>
      </c>
      <c r="C409" s="40" t="str">
        <f t="array" ref="C409">IF(ISERROR(INDEX('Eingabe Meldungen'!$D$2:$D$492,LARGE(('Eingabe Meldungen'!$A$2:$A$492=$B$404)*(ROW('Eingabe Meldungen'!$A$2:$A$492)-1),COUNTIF('Eingabe Meldungen'!$A$2:$A$492,$B$404)+1-ROW('Eingabe Meldungen'!A4)))),"",INDEX('Eingabe Meldungen'!$D$2:$D$492,LARGE(('Eingabe Meldungen'!$A$2:$A$492=$B$404)*(ROW('Eingabe Meldungen'!$A$2:$A$492)-1),COUNTIF('Eingabe Meldungen'!$A$2:$A$492,$B$404)+1-ROW('Eingabe Meldungen'!A4))))</f>
        <v/>
      </c>
      <c r="D409" s="107" t="str">
        <f t="array" ref="D409">IF(B409&lt;&gt;"",INDEX('Eingabe Meldungen'!$C$2:$H$492,MATCH(B409&amp;C409,'Eingabe Meldungen'!$C$2:$C$492&amp;'Eingabe Meldungen'!$D$2:$D$492,0),6),"")</f>
        <v/>
      </c>
      <c r="E409" s="107" t="str">
        <f t="array" ref="E409">IF(B409&lt;&gt;"",INDEX('Eingabe Meldungen'!$C$2:$H$492,MATCH(B409&amp;C409,'Eingabe Meldungen'!$C$2:$C$492&amp;'Eingabe Meldungen'!$D$2:$D$492,0),4),"")</f>
        <v/>
      </c>
      <c r="F409" s="39">
        <v>4</v>
      </c>
      <c r="G409" s="150"/>
      <c r="H409" s="40" t="e">
        <f t="shared" si="19"/>
        <v>#N/A</v>
      </c>
      <c r="I409" s="107" t="str">
        <f t="array" ref="I409">IF(B409&lt;&gt;"",INDEX('Eingabe Meldungen'!$C$2:$J$492,MATCH(B409&amp;C409,'Eingabe Meldungen'!$C$2:$C$492&amp;'Eingabe Meldungen'!$D$2:$D$492,0),8),"")</f>
        <v/>
      </c>
      <c r="J409" s="40"/>
      <c r="K409" s="40"/>
      <c r="L409" s="151"/>
      <c r="M409" s="112"/>
      <c r="O409" s="11"/>
      <c r="P409" s="10"/>
      <c r="Q409" s="11"/>
      <c r="R409" s="11"/>
      <c r="S409" s="11"/>
      <c r="T409" s="11"/>
      <c r="U409" s="11"/>
      <c r="Y409" s="15"/>
    </row>
    <row r="410" spans="2:25" ht="13.2" hidden="1" thickBot="1" x14ac:dyDescent="0.25">
      <c r="B410" s="148" t="str">
        <f t="array" ref="B410">IF(ISERROR(INDEX('Eingabe Meldungen'!$C$2:$C$492,LARGE(('Eingabe Meldungen'!$A$2:$A$492=$B$404)*(ROW('Eingabe Meldungen'!$A$2:$A$492)-1),COUNTIF('Eingabe Meldungen'!$A$2:$A$492,$B$404)+1-ROW('Eingabe Meldungen'!A5)))),"",INDEX('Eingabe Meldungen'!$C$2:$C$492,LARGE(('Eingabe Meldungen'!$A$2:$A$492=$B$404)*(ROW('Eingabe Meldungen'!$A$2:$A$492)-1),COUNTIF('Eingabe Meldungen'!$A$2:$A$492,$B$404)+1-ROW('Eingabe Meldungen'!A5))))</f>
        <v/>
      </c>
      <c r="C410" s="40" t="str">
        <f t="array" ref="C410">IF(ISERROR(INDEX('Eingabe Meldungen'!$D$2:$D$492,LARGE(('Eingabe Meldungen'!$A$2:$A$492=$B$404)*(ROW('Eingabe Meldungen'!$A$2:$A$492)-1),COUNTIF('Eingabe Meldungen'!$A$2:$A$492,$B$404)+1-ROW('Eingabe Meldungen'!A5)))),"",INDEX('Eingabe Meldungen'!$D$2:$D$492,LARGE(('Eingabe Meldungen'!$A$2:$A$492=$B$404)*(ROW('Eingabe Meldungen'!$A$2:$A$492)-1),COUNTIF('Eingabe Meldungen'!$A$2:$A$492,$B$404)+1-ROW('Eingabe Meldungen'!A5))))</f>
        <v/>
      </c>
      <c r="D410" s="107" t="str">
        <f t="array" ref="D410">IF(B410&lt;&gt;"",INDEX('Eingabe Meldungen'!$C$2:$H$492,MATCH(B410&amp;C410,'Eingabe Meldungen'!$C$2:$C$492&amp;'Eingabe Meldungen'!$D$2:$D$492,0),6),"")</f>
        <v/>
      </c>
      <c r="E410" s="107" t="str">
        <f t="array" ref="E410">IF(B410&lt;&gt;"",INDEX('Eingabe Meldungen'!$C$2:$H$492,MATCH(B410&amp;C410,'Eingabe Meldungen'!$C$2:$C$492&amp;'Eingabe Meldungen'!$D$2:$D$492,0),4),"")</f>
        <v/>
      </c>
      <c r="F410" s="39">
        <v>5</v>
      </c>
      <c r="G410" s="150"/>
      <c r="H410" s="40" t="e">
        <f t="shared" si="19"/>
        <v>#N/A</v>
      </c>
      <c r="I410" s="107" t="str">
        <f t="array" ref="I410">IF(B410&lt;&gt;"",INDEX('Eingabe Meldungen'!$C$2:$J$492,MATCH(B410&amp;C410,'Eingabe Meldungen'!$C$2:$C$492&amp;'Eingabe Meldungen'!$D$2:$D$492,0),8),"")</f>
        <v/>
      </c>
      <c r="J410" s="40"/>
      <c r="K410" s="40"/>
      <c r="L410" s="151"/>
      <c r="M410" s="112"/>
      <c r="O410" s="11"/>
      <c r="P410" s="10"/>
      <c r="Q410" s="11"/>
      <c r="R410" s="11"/>
      <c r="S410" s="11"/>
      <c r="T410" s="11"/>
      <c r="U410" s="11"/>
      <c r="Y410" s="15"/>
    </row>
    <row r="411" spans="2:25" ht="13.2" hidden="1" thickBot="1" x14ac:dyDescent="0.25">
      <c r="B411" s="148" t="str">
        <f t="array" ref="B411">IF(ISERROR(INDEX('Eingabe Meldungen'!$C$2:$C$492,LARGE(('Eingabe Meldungen'!$A$2:$A$492=$B$404)*(ROW('Eingabe Meldungen'!$A$2:$A$492)-1),COUNTIF('Eingabe Meldungen'!$A$2:$A$492,$B$404)+1-ROW('Eingabe Meldungen'!A6)))),"",INDEX('Eingabe Meldungen'!$C$2:$C$492,LARGE(('Eingabe Meldungen'!$A$2:$A$492=$B$404)*(ROW('Eingabe Meldungen'!$A$2:$A$492)-1),COUNTIF('Eingabe Meldungen'!$A$2:$A$492,$B$404)+1-ROW('Eingabe Meldungen'!A6))))</f>
        <v/>
      </c>
      <c r="C411" s="40" t="str">
        <f t="array" ref="C411">IF(ISERROR(INDEX('Eingabe Meldungen'!$D$2:$D$492,LARGE(('Eingabe Meldungen'!$A$2:$A$492=$B$404)*(ROW('Eingabe Meldungen'!$A$2:$A$492)-1),COUNTIF('Eingabe Meldungen'!$A$2:$A$492,$B$404)+1-ROW('Eingabe Meldungen'!A6)))),"",INDEX('Eingabe Meldungen'!$D$2:$D$492,LARGE(('Eingabe Meldungen'!$A$2:$A$492=$B$404)*(ROW('Eingabe Meldungen'!$A$2:$A$492)-1),COUNTIF('Eingabe Meldungen'!$A$2:$A$492,$B$404)+1-ROW('Eingabe Meldungen'!A6))))</f>
        <v/>
      </c>
      <c r="D411" s="107" t="str">
        <f t="array" ref="D411">IF(B411&lt;&gt;"",INDEX('Eingabe Meldungen'!$C$2:$H$492,MATCH(B411&amp;C411,'Eingabe Meldungen'!$C$2:$C$492&amp;'Eingabe Meldungen'!$D$2:$D$492,0),6),"")</f>
        <v/>
      </c>
      <c r="E411" s="107" t="str">
        <f t="array" ref="E411">IF(B411&lt;&gt;"",INDEX('Eingabe Meldungen'!$C$2:$H$492,MATCH(B411&amp;C411,'Eingabe Meldungen'!$C$2:$C$492&amp;'Eingabe Meldungen'!$D$2:$D$492,0),4),"")</f>
        <v/>
      </c>
      <c r="F411" s="39">
        <v>6</v>
      </c>
      <c r="G411" s="150"/>
      <c r="H411" s="40" t="e">
        <f t="shared" si="19"/>
        <v>#N/A</v>
      </c>
      <c r="I411" s="107" t="str">
        <f t="array" ref="I411">IF(B411&lt;&gt;"",INDEX('Eingabe Meldungen'!$C$2:$J$492,MATCH(B411&amp;C411,'Eingabe Meldungen'!$C$2:$C$492&amp;'Eingabe Meldungen'!$D$2:$D$492,0),8),"")</f>
        <v/>
      </c>
      <c r="J411" s="40"/>
      <c r="K411" s="40"/>
      <c r="L411" s="151"/>
      <c r="M411" s="112"/>
      <c r="O411" s="11"/>
      <c r="P411" s="10"/>
      <c r="Q411" s="11"/>
      <c r="R411" s="11"/>
      <c r="S411" s="11"/>
      <c r="T411" s="11"/>
      <c r="U411" s="11"/>
      <c r="Y411" s="15"/>
    </row>
    <row r="412" spans="2:25" ht="13.2" hidden="1" thickBot="1" x14ac:dyDescent="0.25">
      <c r="B412" s="148" t="str">
        <f t="array" ref="B412">IF(ISERROR(INDEX('Eingabe Meldungen'!$C$2:$C$492,LARGE(('Eingabe Meldungen'!$A$2:$A$492=$B$404)*(ROW('Eingabe Meldungen'!$A$2:$A$492)-1),COUNTIF('Eingabe Meldungen'!$A$2:$A$492,$B$404)+1-ROW('Eingabe Meldungen'!A8)))),"",INDEX('Eingabe Meldungen'!$C$2:$C$492,LARGE(('Eingabe Meldungen'!$A$2:$A$492=$B$404)*(ROW('Eingabe Meldungen'!$A$2:$A$492)-1),COUNTIF('Eingabe Meldungen'!$A$2:$A$492,$B$404)+1-ROW('Eingabe Meldungen'!A8))))</f>
        <v/>
      </c>
      <c r="C412" s="40" t="str">
        <f t="array" ref="C412">IF(ISERROR(INDEX('Eingabe Meldungen'!$D$2:$D$492,LARGE(('Eingabe Meldungen'!$A$2:$A$492=$B$404)*(ROW('Eingabe Meldungen'!$A$2:$A$492)-1),COUNTIF('Eingabe Meldungen'!$A$2:$A$492,$B$404)+1-ROW('Eingabe Meldungen'!A8)))),"",INDEX('Eingabe Meldungen'!$D$2:$D$492,LARGE(('Eingabe Meldungen'!$A$2:$A$492=$B$404)*(ROW('Eingabe Meldungen'!$A$2:$A$492)-1),COUNTIF('Eingabe Meldungen'!$A$2:$A$492,$B$404)+1-ROW('Eingabe Meldungen'!A8))))</f>
        <v/>
      </c>
      <c r="D412" s="107" t="str">
        <f t="array" ref="D412">IF(B412&lt;&gt;"",INDEX('Eingabe Meldungen'!$C$2:$H$492,MATCH(B412&amp;C412,'Eingabe Meldungen'!$C$2:$C$492&amp;'Eingabe Meldungen'!$D$2:$D$492,0),6),"")</f>
        <v/>
      </c>
      <c r="E412" s="107" t="str">
        <f t="array" ref="E412">IF(B412&lt;&gt;"",INDEX('Eingabe Meldungen'!$C$2:$H$492,MATCH(B412&amp;C412,'Eingabe Meldungen'!$C$2:$C$492&amp;'Eingabe Meldungen'!$D$2:$D$492,0),4),"")</f>
        <v/>
      </c>
      <c r="F412" s="39">
        <v>7</v>
      </c>
      <c r="G412" s="150"/>
      <c r="H412" s="40" t="e">
        <f t="shared" si="19"/>
        <v>#N/A</v>
      </c>
      <c r="I412" s="107" t="str">
        <f t="array" ref="I412">IF(B412&lt;&gt;"",INDEX('Eingabe Meldungen'!$C$2:$J$492,MATCH(B412&amp;C412,'Eingabe Meldungen'!$C$2:$C$492&amp;'Eingabe Meldungen'!$D$2:$D$492,0),8),"")</f>
        <v/>
      </c>
      <c r="J412" s="40"/>
      <c r="K412" s="40"/>
      <c r="L412" s="151"/>
      <c r="M412" s="147"/>
      <c r="O412" s="11"/>
      <c r="P412" s="10"/>
      <c r="Q412" s="11"/>
      <c r="R412" s="11"/>
      <c r="S412" s="11"/>
      <c r="T412" s="11"/>
      <c r="U412" s="11"/>
      <c r="Y412" s="15"/>
    </row>
    <row r="413" spans="2:25" ht="13.2" hidden="1" thickBot="1" x14ac:dyDescent="0.25">
      <c r="B413" s="148" t="str">
        <f t="array" ref="B413">IF(ISERROR(INDEX('Eingabe Meldungen'!$C$2:$C$492,LARGE(('Eingabe Meldungen'!$A$2:$A$492=$B$404)*(ROW('Eingabe Meldungen'!$A$2:$A$492)-1),COUNTIF('Eingabe Meldungen'!$A$2:$A$492,$B$404)+1-ROW('Eingabe Meldungen'!A9)))),"",INDEX('Eingabe Meldungen'!$C$2:$C$492,LARGE(('Eingabe Meldungen'!$A$2:$A$492=$B$404)*(ROW('Eingabe Meldungen'!$A$2:$A$492)-1),COUNTIF('Eingabe Meldungen'!$A$2:$A$492,$B$404)+1-ROW('Eingabe Meldungen'!A9))))</f>
        <v/>
      </c>
      <c r="C413" s="40" t="str">
        <f t="array" ref="C413">IF(ISERROR(INDEX('Eingabe Meldungen'!$D$2:$D$492,LARGE(('Eingabe Meldungen'!$A$2:$A$492=$B$404)*(ROW('Eingabe Meldungen'!$A$2:$A$492)-1),COUNTIF('Eingabe Meldungen'!$A$2:$A$492,$B$404)+1-ROW('Eingabe Meldungen'!A9)))),"",INDEX('Eingabe Meldungen'!$D$2:$D$492,LARGE(('Eingabe Meldungen'!$A$2:$A$492=$B$404)*(ROW('Eingabe Meldungen'!$A$2:$A$492)-1),COUNTIF('Eingabe Meldungen'!$A$2:$A$492,$B$404)+1-ROW('Eingabe Meldungen'!A9))))</f>
        <v/>
      </c>
      <c r="D413" s="107" t="str">
        <f t="array" ref="D413">IF(B413&lt;&gt;"",INDEX('Eingabe Meldungen'!$C$2:$H$492,MATCH(B413&amp;C413,'Eingabe Meldungen'!$C$2:$C$492&amp;'Eingabe Meldungen'!$D$2:$D$492,0),6),"")</f>
        <v/>
      </c>
      <c r="E413" s="107" t="str">
        <f t="array" ref="E413">IF(B413&lt;&gt;"",INDEX('Eingabe Meldungen'!$C$2:$H$492,MATCH(B413&amp;C413,'Eingabe Meldungen'!$C$2:$C$492&amp;'Eingabe Meldungen'!$D$2:$D$492,0),4),"")</f>
        <v/>
      </c>
      <c r="F413" s="39">
        <v>8</v>
      </c>
      <c r="G413" s="150"/>
      <c r="H413" s="40" t="e">
        <f t="shared" si="19"/>
        <v>#N/A</v>
      </c>
      <c r="I413" s="107" t="str">
        <f t="array" ref="I413">IF(B413&lt;&gt;"",INDEX('Eingabe Meldungen'!$C$2:$J$492,MATCH(B413&amp;C413,'Eingabe Meldungen'!$C$2:$C$492&amp;'Eingabe Meldungen'!$D$2:$D$492,0),8),"")</f>
        <v/>
      </c>
      <c r="J413" s="40"/>
      <c r="K413" s="40"/>
      <c r="L413" s="151"/>
      <c r="M413" s="147"/>
      <c r="O413" s="11"/>
      <c r="P413" s="10"/>
      <c r="Q413" s="11"/>
      <c r="R413" s="11"/>
      <c r="S413" s="11"/>
      <c r="T413" s="11"/>
      <c r="U413" s="11"/>
      <c r="Y413" s="15"/>
    </row>
    <row r="414" spans="2:25" ht="13.2" hidden="1" thickBot="1" x14ac:dyDescent="0.25">
      <c r="B414" s="148" t="str">
        <f t="array" ref="B414">IF(ISERROR(INDEX('Eingabe Meldungen'!$C$2:$C$492,LARGE(('Eingabe Meldungen'!$A$2:$A$492=$B$404)*(ROW('Eingabe Meldungen'!$A$2:$A$492)-1),COUNTIF('Eingabe Meldungen'!$A$2:$A$492,$B$404)+1-ROW('Eingabe Meldungen'!A10)))),"",INDEX('Eingabe Meldungen'!$C$2:$C$492,LARGE(('Eingabe Meldungen'!$A$2:$A$492=$B$404)*(ROW('Eingabe Meldungen'!$A$2:$A$492)-1),COUNTIF('Eingabe Meldungen'!$A$2:$A$492,$B$404)+1-ROW('Eingabe Meldungen'!A10))))</f>
        <v/>
      </c>
      <c r="C414" s="40" t="str">
        <f t="array" ref="C414">IF(ISERROR(INDEX('Eingabe Meldungen'!$D$2:$D$492,LARGE(('Eingabe Meldungen'!$A$2:$A$492=$B$404)*(ROW('Eingabe Meldungen'!$A$2:$A$492)-1),COUNTIF('Eingabe Meldungen'!$A$2:$A$492,$B$404)+1-ROW('Eingabe Meldungen'!A10)))),"",INDEX('Eingabe Meldungen'!$D$2:$D$492,LARGE(('Eingabe Meldungen'!$A$2:$A$492=$B$404)*(ROW('Eingabe Meldungen'!$A$2:$A$492)-1),COUNTIF('Eingabe Meldungen'!$A$2:$A$492,$B$404)+1-ROW('Eingabe Meldungen'!A10))))</f>
        <v/>
      </c>
      <c r="D414" s="107" t="str">
        <f t="array" ref="D414">IF(B414&lt;&gt;"",INDEX('Eingabe Meldungen'!$C$2:$H$492,MATCH(B414&amp;C414,'Eingabe Meldungen'!$C$2:$C$492&amp;'Eingabe Meldungen'!$D$2:$D$492,0),6),"")</f>
        <v/>
      </c>
      <c r="E414" s="107" t="str">
        <f t="array" ref="E414">IF(B414&lt;&gt;"",INDEX('Eingabe Meldungen'!$C$2:$H$492,MATCH(B414&amp;C414,'Eingabe Meldungen'!$C$2:$C$492&amp;'Eingabe Meldungen'!$D$2:$D$492,0),4),"")</f>
        <v/>
      </c>
      <c r="F414" s="39">
        <v>9</v>
      </c>
      <c r="G414" s="150"/>
      <c r="H414" s="40" t="e">
        <f t="shared" si="19"/>
        <v>#N/A</v>
      </c>
      <c r="I414" s="107" t="str">
        <f t="array" ref="I414">IF(B414&lt;&gt;"",INDEX('Eingabe Meldungen'!$C$2:$J$492,MATCH(B414&amp;C414,'Eingabe Meldungen'!$C$2:$C$492&amp;'Eingabe Meldungen'!$D$2:$D$492,0),8),"")</f>
        <v/>
      </c>
      <c r="J414" s="40"/>
      <c r="K414" s="40"/>
      <c r="L414" s="151"/>
      <c r="M414" s="112"/>
      <c r="O414" s="11"/>
      <c r="P414" s="10"/>
      <c r="Q414" s="11"/>
      <c r="R414" s="11"/>
      <c r="S414" s="11"/>
      <c r="T414" s="11"/>
      <c r="U414" s="11"/>
      <c r="Y414" s="15"/>
    </row>
    <row r="415" spans="2:25" ht="13.2" hidden="1" thickBot="1" x14ac:dyDescent="0.25">
      <c r="B415" s="148" t="str">
        <f t="array" ref="B415">IF(ISERROR(INDEX('Eingabe Meldungen'!$C$2:$C$492,LARGE(('Eingabe Meldungen'!$A$2:$A$492=$B$404)*(ROW('Eingabe Meldungen'!$A$2:$A$492)-1),COUNTIF('Eingabe Meldungen'!$A$2:$A$492,$B$404)+1-ROW('Eingabe Meldungen'!A11)))),"",INDEX('Eingabe Meldungen'!$C$2:$C$492,LARGE(('Eingabe Meldungen'!$A$2:$A$492=$B$404)*(ROW('Eingabe Meldungen'!$A$2:$A$492)-1),COUNTIF('Eingabe Meldungen'!$A$2:$A$492,$B$404)+1-ROW('Eingabe Meldungen'!A11))))</f>
        <v/>
      </c>
      <c r="C415" s="40" t="str">
        <f t="array" ref="C415">IF(ISERROR(INDEX('Eingabe Meldungen'!$D$2:$D$492,LARGE(('Eingabe Meldungen'!$A$2:$A$492=$B$404)*(ROW('Eingabe Meldungen'!$A$2:$A$492)-1),COUNTIF('Eingabe Meldungen'!$A$2:$A$492,$B$404)+1-ROW('Eingabe Meldungen'!A11)))),"",INDEX('Eingabe Meldungen'!$D$2:$D$492,LARGE(('Eingabe Meldungen'!$A$2:$A$492=$B$404)*(ROW('Eingabe Meldungen'!$A$2:$A$492)-1),COUNTIF('Eingabe Meldungen'!$A$2:$A$492,$B$404)+1-ROW('Eingabe Meldungen'!A11))))</f>
        <v/>
      </c>
      <c r="D415" s="107" t="str">
        <f t="array" ref="D415">IF(B415&lt;&gt;"",INDEX('Eingabe Meldungen'!$C$2:$H$492,MATCH(B415&amp;C415,'Eingabe Meldungen'!$C$2:$C$492&amp;'Eingabe Meldungen'!$D$2:$D$492,0),6),"")</f>
        <v/>
      </c>
      <c r="E415" s="107" t="str">
        <f t="array" ref="E415">IF(B415&lt;&gt;"",INDEX('Eingabe Meldungen'!$C$2:$H$492,MATCH(B415&amp;C415,'Eingabe Meldungen'!$C$2:$C$492&amp;'Eingabe Meldungen'!$D$2:$D$492,0),4),"")</f>
        <v/>
      </c>
      <c r="F415" s="39">
        <v>10</v>
      </c>
      <c r="G415" s="150"/>
      <c r="H415" s="40" t="e">
        <f t="shared" si="19"/>
        <v>#N/A</v>
      </c>
      <c r="I415" s="107" t="str">
        <f t="array" ref="I415">IF(B415&lt;&gt;"",INDEX('Eingabe Meldungen'!$C$2:$J$492,MATCH(B415&amp;C415,'Eingabe Meldungen'!$C$2:$C$492&amp;'Eingabe Meldungen'!$D$2:$D$492,0),8),"")</f>
        <v/>
      </c>
      <c r="J415" s="40"/>
      <c r="K415" s="40"/>
      <c r="L415" s="151"/>
      <c r="M415" s="112"/>
      <c r="O415" s="11"/>
      <c r="P415" s="10"/>
      <c r="Q415" s="11"/>
      <c r="R415" s="11"/>
      <c r="S415" s="11"/>
      <c r="T415" s="11"/>
      <c r="U415" s="11"/>
      <c r="Y415" s="15"/>
    </row>
    <row r="416" spans="2:25" ht="13.2" hidden="1" thickBot="1" x14ac:dyDescent="0.25">
      <c r="B416" s="148" t="str">
        <f t="array" ref="B416">IF(ISERROR(INDEX('Eingabe Meldungen'!$C$2:$C$492,LARGE(('Eingabe Meldungen'!$A$2:$A$492=$B$404)*(ROW('Eingabe Meldungen'!$A$2:$A$492)-1),COUNTIF('Eingabe Meldungen'!$A$2:$A$492,$B$404)+1-ROW('Eingabe Meldungen'!A12)))),"",INDEX('Eingabe Meldungen'!$C$2:$C$492,LARGE(('Eingabe Meldungen'!$A$2:$A$492=$B$404)*(ROW('Eingabe Meldungen'!$A$2:$A$492)-1),COUNTIF('Eingabe Meldungen'!$A$2:$A$492,$B$404)+1-ROW('Eingabe Meldungen'!A12))))</f>
        <v/>
      </c>
      <c r="C416" s="40" t="str">
        <f t="array" ref="C416">IF(ISERROR(INDEX('Eingabe Meldungen'!$D$2:$D$492,LARGE(('Eingabe Meldungen'!$A$2:$A$492=$B$404)*(ROW('Eingabe Meldungen'!$A$2:$A$492)-1),COUNTIF('Eingabe Meldungen'!$A$2:$A$492,$B$404)+1-ROW('Eingabe Meldungen'!A12)))),"",INDEX('Eingabe Meldungen'!$D$2:$D$492,LARGE(('Eingabe Meldungen'!$A$2:$A$492=$B$404)*(ROW('Eingabe Meldungen'!$A$2:$A$492)-1),COUNTIF('Eingabe Meldungen'!$A$2:$A$492,$B$404)+1-ROW('Eingabe Meldungen'!A12))))</f>
        <v/>
      </c>
      <c r="D416" s="107" t="str">
        <f t="array" ref="D416">IF(B416&lt;&gt;"",INDEX('Eingabe Meldungen'!$C$2:$H$492,MATCH(B416&amp;C416,'Eingabe Meldungen'!$C$2:$C$492&amp;'Eingabe Meldungen'!$D$2:$D$492,0),6),"")</f>
        <v/>
      </c>
      <c r="E416" s="107" t="str">
        <f t="array" ref="E416">IF(B416&lt;&gt;"",INDEX('Eingabe Meldungen'!$C$2:$H$492,MATCH(B416&amp;C416,'Eingabe Meldungen'!$C$2:$C$492&amp;'Eingabe Meldungen'!$D$2:$D$492,0),4),"")</f>
        <v/>
      </c>
      <c r="F416" s="39">
        <v>11</v>
      </c>
      <c r="G416" s="150"/>
      <c r="H416" s="40" t="e">
        <f t="shared" si="19"/>
        <v>#N/A</v>
      </c>
      <c r="I416" s="107" t="str">
        <f t="array" ref="I416">IF(B416&lt;&gt;"",INDEX('Eingabe Meldungen'!$C$2:$J$492,MATCH(B416&amp;C416,'Eingabe Meldungen'!$C$2:$C$492&amp;'Eingabe Meldungen'!$D$2:$D$492,0),8),"")</f>
        <v/>
      </c>
      <c r="J416" s="40"/>
      <c r="K416" s="40"/>
      <c r="L416" s="151"/>
      <c r="M416" s="112"/>
      <c r="O416" s="11"/>
      <c r="P416" s="10"/>
      <c r="Q416" s="11"/>
      <c r="R416" s="11"/>
      <c r="S416" s="11"/>
      <c r="T416" s="11"/>
      <c r="U416" s="11"/>
      <c r="Y416" s="15"/>
    </row>
    <row r="417" spans="2:25" ht="13.2" hidden="1" thickBot="1" x14ac:dyDescent="0.25">
      <c r="B417" s="148" t="str">
        <f t="array" ref="B417">IF(ISERROR(INDEX('Eingabe Meldungen'!$C$2:$C$492,LARGE(('Eingabe Meldungen'!$A$2:$A$492=$B$404)*(ROW('Eingabe Meldungen'!$A$2:$A$492)-1),COUNTIF('Eingabe Meldungen'!$A$2:$A$492,$B$404)+1-ROW('Eingabe Meldungen'!A13)))),"",INDEX('Eingabe Meldungen'!$C$2:$C$492,LARGE(('Eingabe Meldungen'!$A$2:$A$492=$B$404)*(ROW('Eingabe Meldungen'!$A$2:$A$492)-1),COUNTIF('Eingabe Meldungen'!$A$2:$A$492,$B$404)+1-ROW('Eingabe Meldungen'!A13))))</f>
        <v/>
      </c>
      <c r="C417" s="40" t="str">
        <f t="array" ref="C417">IF(ISERROR(INDEX('Eingabe Meldungen'!$D$2:$D$492,LARGE(('Eingabe Meldungen'!$A$2:$A$492=$B$404)*(ROW('Eingabe Meldungen'!$A$2:$A$492)-1),COUNTIF('Eingabe Meldungen'!$A$2:$A$492,$B$404)+1-ROW('Eingabe Meldungen'!A13)))),"",INDEX('Eingabe Meldungen'!$D$2:$D$492,LARGE(('Eingabe Meldungen'!$A$2:$A$492=$B$404)*(ROW('Eingabe Meldungen'!$A$2:$A$492)-1),COUNTIF('Eingabe Meldungen'!$A$2:$A$492,$B$404)+1-ROW('Eingabe Meldungen'!A13))))</f>
        <v/>
      </c>
      <c r="D417" s="107" t="str">
        <f t="array" ref="D417">IF(B417&lt;&gt;"",INDEX('Eingabe Meldungen'!$C$2:$H$492,MATCH(B417&amp;C417,'Eingabe Meldungen'!$C$2:$C$492&amp;'Eingabe Meldungen'!$D$2:$D$492,0),6),"")</f>
        <v/>
      </c>
      <c r="E417" s="107" t="str">
        <f t="array" ref="E417">IF(B417&lt;&gt;"",INDEX('Eingabe Meldungen'!$C$2:$H$492,MATCH(B417&amp;C417,'Eingabe Meldungen'!$C$2:$C$492&amp;'Eingabe Meldungen'!$D$2:$D$492,0),4),"")</f>
        <v/>
      </c>
      <c r="F417" s="39">
        <v>12</v>
      </c>
      <c r="G417" s="150"/>
      <c r="H417" s="40" t="e">
        <f t="shared" si="19"/>
        <v>#N/A</v>
      </c>
      <c r="I417" s="107" t="str">
        <f t="array" ref="I417">IF(B417&lt;&gt;"",INDEX('Eingabe Meldungen'!$C$2:$J$492,MATCH(B417&amp;C417,'Eingabe Meldungen'!$C$2:$C$492&amp;'Eingabe Meldungen'!$D$2:$D$492,0),8),"")</f>
        <v/>
      </c>
      <c r="J417" s="40"/>
      <c r="K417" s="40"/>
      <c r="L417" s="151"/>
      <c r="M417" s="112"/>
      <c r="O417" s="11"/>
      <c r="P417" s="10"/>
      <c r="Q417" s="11"/>
      <c r="R417" s="11"/>
      <c r="S417" s="11"/>
      <c r="T417" s="11"/>
      <c r="U417" s="11"/>
      <c r="Y417" s="15"/>
    </row>
    <row r="418" spans="2:25" ht="13.2" hidden="1" thickBot="1" x14ac:dyDescent="0.25">
      <c r="B418" s="148" t="str">
        <f t="array" ref="B418">IF(ISERROR(INDEX('Eingabe Meldungen'!$C$2:$C$492,LARGE(('Eingabe Meldungen'!$A$2:$A$492=$B$404)*(ROW('Eingabe Meldungen'!$A$2:$A$492)-1),COUNTIF('Eingabe Meldungen'!$A$2:$A$492,$B$404)+1-ROW('Eingabe Meldungen'!A14)))),"",INDEX('Eingabe Meldungen'!$C$2:$C$492,LARGE(('Eingabe Meldungen'!$A$2:$A$492=$B$404)*(ROW('Eingabe Meldungen'!$A$2:$A$492)-1),COUNTIF('Eingabe Meldungen'!$A$2:$A$492,$B$404)+1-ROW('Eingabe Meldungen'!A14))))</f>
        <v/>
      </c>
      <c r="C418" s="40" t="str">
        <f t="array" ref="C418">IF(ISERROR(INDEX('Eingabe Meldungen'!$D$2:$D$492,LARGE(('Eingabe Meldungen'!$A$2:$A$492=$B$404)*(ROW('Eingabe Meldungen'!$A$2:$A$492)-1),COUNTIF('Eingabe Meldungen'!$A$2:$A$492,$B$404)+1-ROW('Eingabe Meldungen'!A14)))),"",INDEX('Eingabe Meldungen'!$D$2:$D$492,LARGE(('Eingabe Meldungen'!$A$2:$A$492=$B$404)*(ROW('Eingabe Meldungen'!$A$2:$A$492)-1),COUNTIF('Eingabe Meldungen'!$A$2:$A$492,$B$404)+1-ROW('Eingabe Meldungen'!A14))))</f>
        <v/>
      </c>
      <c r="D418" s="107" t="str">
        <f t="array" ref="D418">IF(B418&lt;&gt;"",INDEX('Eingabe Meldungen'!$C$2:$H$492,MATCH(B418&amp;C418,'Eingabe Meldungen'!$C$2:$C$492&amp;'Eingabe Meldungen'!$D$2:$D$492,0),6),"")</f>
        <v/>
      </c>
      <c r="E418" s="107" t="str">
        <f t="array" ref="E418">IF(B418&lt;&gt;"",INDEX('Eingabe Meldungen'!$C$2:$H$492,MATCH(B418&amp;C418,'Eingabe Meldungen'!$C$2:$C$492&amp;'Eingabe Meldungen'!$D$2:$D$492,0),4),"")</f>
        <v/>
      </c>
      <c r="F418" s="39">
        <v>13</v>
      </c>
      <c r="G418" s="150"/>
      <c r="H418" s="40" t="e">
        <f t="shared" si="19"/>
        <v>#N/A</v>
      </c>
      <c r="I418" s="107" t="str">
        <f t="array" ref="I418">IF(B418&lt;&gt;"",INDEX('Eingabe Meldungen'!$C$2:$J$492,MATCH(B418&amp;C418,'Eingabe Meldungen'!$C$2:$C$492&amp;'Eingabe Meldungen'!$D$2:$D$492,0),8),"")</f>
        <v/>
      </c>
      <c r="J418" s="40"/>
      <c r="K418" s="40"/>
      <c r="L418" s="151"/>
      <c r="M418" s="112"/>
      <c r="O418" s="11"/>
      <c r="P418" s="10"/>
      <c r="Q418" s="11"/>
      <c r="R418" s="11"/>
      <c r="S418" s="11"/>
      <c r="T418" s="11"/>
      <c r="U418" s="11"/>
      <c r="Y418" s="15"/>
    </row>
    <row r="419" spans="2:25" ht="15" hidden="1" customHeight="1" x14ac:dyDescent="0.2">
      <c r="B419" s="148" t="str">
        <f t="array" ref="B419">IF(ISERROR(INDEX('Eingabe Meldungen'!$C$2:$C$492,LARGE(('Eingabe Meldungen'!$A$2:$A$492=$B$404)*(ROW('Eingabe Meldungen'!$A$2:$A$492)-1),COUNTIF('Eingabe Meldungen'!$A$2:$A$492,$B$404)+1-ROW('Eingabe Meldungen'!A15)))),"",INDEX('Eingabe Meldungen'!$C$2:$C$492,LARGE(('Eingabe Meldungen'!$A$2:$A$492=$B$404)*(ROW('Eingabe Meldungen'!$A$2:$A$492)-1),COUNTIF('Eingabe Meldungen'!$A$2:$A$492,$B$404)+1-ROW('Eingabe Meldungen'!A15))))</f>
        <v/>
      </c>
      <c r="C419" s="40" t="str">
        <f t="array" ref="C419">IF(ISERROR(INDEX('Eingabe Meldungen'!$D$2:$D$492,LARGE(('Eingabe Meldungen'!$A$2:$A$492=$B$404)*(ROW('Eingabe Meldungen'!$A$2:$A$492)-1),COUNTIF('Eingabe Meldungen'!$A$2:$A$492,$B$404)+1-ROW('Eingabe Meldungen'!A15)))),"",INDEX('Eingabe Meldungen'!$D$2:$D$492,LARGE(('Eingabe Meldungen'!$A$2:$A$492=$B$404)*(ROW('Eingabe Meldungen'!$A$2:$A$492)-1),COUNTIF('Eingabe Meldungen'!$A$2:$A$492,$B$404)+1-ROW('Eingabe Meldungen'!A15))))</f>
        <v/>
      </c>
      <c r="D419" s="107" t="str">
        <f t="array" ref="D419">IF(B419&lt;&gt;"",INDEX('Eingabe Meldungen'!$C$2:$H$492,MATCH(B419&amp;C419,'Eingabe Meldungen'!$C$2:$C$492&amp;'Eingabe Meldungen'!$D$2:$D$492,0),6),"")</f>
        <v/>
      </c>
      <c r="E419" s="107" t="str">
        <f t="array" ref="E419">IF(B419&lt;&gt;"",INDEX('Eingabe Meldungen'!$C$2:$H$492,MATCH(B419&amp;C419,'Eingabe Meldungen'!$C$2:$C$492&amp;'Eingabe Meldungen'!$D$2:$D$492,0),4),"")</f>
        <v/>
      </c>
      <c r="F419" s="39">
        <v>14</v>
      </c>
      <c r="G419" s="150"/>
      <c r="H419" s="40" t="e">
        <f t="shared" si="19"/>
        <v>#N/A</v>
      </c>
      <c r="I419" s="107" t="str">
        <f t="array" ref="I419">IF(B419&lt;&gt;"",INDEX('Eingabe Meldungen'!$C$2:$J$492,MATCH(B419&amp;C419,'Eingabe Meldungen'!$C$2:$C$492&amp;'Eingabe Meldungen'!$D$2:$D$492,0),8),"")</f>
        <v/>
      </c>
      <c r="J419" s="40"/>
      <c r="K419" s="40"/>
      <c r="L419" s="151"/>
      <c r="M419" s="112"/>
      <c r="O419" s="11"/>
      <c r="P419" s="10"/>
      <c r="Q419" s="11"/>
      <c r="R419" s="11"/>
      <c r="S419" s="11"/>
      <c r="T419" s="11"/>
      <c r="U419" s="11"/>
    </row>
    <row r="420" spans="2:25" ht="13.2" hidden="1" thickBot="1" x14ac:dyDescent="0.25">
      <c r="B420" s="148" t="str">
        <f t="array" ref="B420">IF(ISERROR(INDEX('Eingabe Meldungen'!$C$2:$C$492,LARGE(('Eingabe Meldungen'!$A$2:$A$492=$B$404)*(ROW('Eingabe Meldungen'!$A$2:$A$492)-1),COUNTIF('Eingabe Meldungen'!$A$2:$A$492,$B$404)+1-ROW('Eingabe Meldungen'!A16)))),"",INDEX('Eingabe Meldungen'!$C$2:$C$492,LARGE(('Eingabe Meldungen'!$A$2:$A$492=$B$404)*(ROW('Eingabe Meldungen'!$A$2:$A$492)-1),COUNTIF('Eingabe Meldungen'!$A$2:$A$492,$B$404)+1-ROW('Eingabe Meldungen'!A16))))</f>
        <v/>
      </c>
      <c r="C420" s="40" t="str">
        <f t="array" ref="C420">IF(ISERROR(INDEX('Eingabe Meldungen'!$D$2:$D$492,LARGE(('Eingabe Meldungen'!$A$2:$A$492=$B$404)*(ROW('Eingabe Meldungen'!$A$2:$A$492)-1),COUNTIF('Eingabe Meldungen'!$A$2:$A$492,$B$404)+1-ROW('Eingabe Meldungen'!A16)))),"",INDEX('Eingabe Meldungen'!$D$2:$D$492,LARGE(('Eingabe Meldungen'!$A$2:$A$492=$B$404)*(ROW('Eingabe Meldungen'!$A$2:$A$492)-1),COUNTIF('Eingabe Meldungen'!$A$2:$A$492,$B$404)+1-ROW('Eingabe Meldungen'!A16))))</f>
        <v/>
      </c>
      <c r="D420" s="107" t="str">
        <f t="array" ref="D420">IF(B420&lt;&gt;"",INDEX('Eingabe Meldungen'!$C$2:$H$492,MATCH(B420&amp;C420,'Eingabe Meldungen'!$C$2:$C$492&amp;'Eingabe Meldungen'!$D$2:$D$492,0),6),"")</f>
        <v/>
      </c>
      <c r="E420" s="107" t="str">
        <f t="array" ref="E420">IF(B420&lt;&gt;"",INDEX('Eingabe Meldungen'!$C$2:$H$492,MATCH(B420&amp;C420,'Eingabe Meldungen'!$C$2:$C$492&amp;'Eingabe Meldungen'!$D$2:$D$492,0),4),"")</f>
        <v/>
      </c>
      <c r="F420" s="39">
        <v>15</v>
      </c>
      <c r="G420" s="150"/>
      <c r="H420" s="40" t="e">
        <f t="shared" si="19"/>
        <v>#N/A</v>
      </c>
      <c r="I420" s="107" t="str">
        <f t="array" ref="I420">IF(B420&lt;&gt;"",INDEX('Eingabe Meldungen'!$C$2:$J$492,MATCH(B420&amp;C420,'Eingabe Meldungen'!$C$2:$C$492&amp;'Eingabe Meldungen'!$D$2:$D$492,0),8),"")</f>
        <v/>
      </c>
      <c r="J420" s="40"/>
      <c r="K420" s="40"/>
      <c r="L420" s="151"/>
      <c r="M420" s="112"/>
      <c r="O420" s="11"/>
      <c r="P420" s="10"/>
      <c r="Q420" s="11"/>
      <c r="R420" s="11"/>
      <c r="S420" s="11"/>
      <c r="T420" s="11"/>
      <c r="U420" s="11"/>
    </row>
    <row r="421" spans="2:25" ht="13.2" hidden="1" thickBot="1" x14ac:dyDescent="0.25">
      <c r="B421" s="148" t="str">
        <f t="array" ref="B421">IF(ISERROR(INDEX('Eingabe Meldungen'!$C$2:$C$492,LARGE(('Eingabe Meldungen'!$A$2:$A$492=$B$404)*(ROW('Eingabe Meldungen'!$A$2:$A$492)-1),COUNTIF('Eingabe Meldungen'!$A$2:$A$492,$B$404)+1-ROW('Eingabe Meldungen'!A17)))),"",INDEX('Eingabe Meldungen'!$C$2:$C$492,LARGE(('Eingabe Meldungen'!$A$2:$A$492=$B$404)*(ROW('Eingabe Meldungen'!$A$2:$A$492)-1),COUNTIF('Eingabe Meldungen'!$A$2:$A$492,$B$404)+1-ROW('Eingabe Meldungen'!A17))))</f>
        <v/>
      </c>
      <c r="C421" s="40" t="str">
        <f t="array" ref="C421">IF(ISERROR(INDEX('Eingabe Meldungen'!$D$2:$D$492,LARGE(('Eingabe Meldungen'!$A$2:$A$492=$B$404)*(ROW('Eingabe Meldungen'!$A$2:$A$492)-1),COUNTIF('Eingabe Meldungen'!$A$2:$A$492,$B$404)+1-ROW('Eingabe Meldungen'!A17)))),"",INDEX('Eingabe Meldungen'!$D$2:$D$492,LARGE(('Eingabe Meldungen'!$A$2:$A$492=$B$404)*(ROW('Eingabe Meldungen'!$A$2:$A$492)-1),COUNTIF('Eingabe Meldungen'!$A$2:$A$492,$B$404)+1-ROW('Eingabe Meldungen'!A17))))</f>
        <v/>
      </c>
      <c r="D421" s="107" t="str">
        <f t="array" ref="D421">IF(B421&lt;&gt;"",INDEX('Eingabe Meldungen'!$C$2:$H$492,MATCH(B421&amp;C421,'Eingabe Meldungen'!$C$2:$C$492&amp;'Eingabe Meldungen'!$D$2:$D$492,0),6),"")</f>
        <v/>
      </c>
      <c r="E421" s="107" t="str">
        <f t="array" ref="E421">IF(B421&lt;&gt;"",INDEX('Eingabe Meldungen'!$C$2:$H$492,MATCH(B421&amp;C421,'Eingabe Meldungen'!$C$2:$C$492&amp;'Eingabe Meldungen'!$D$2:$D$492,0),4),"")</f>
        <v/>
      </c>
      <c r="F421" s="39">
        <v>16</v>
      </c>
      <c r="G421" s="150"/>
      <c r="H421" s="40" t="e">
        <f t="shared" si="19"/>
        <v>#N/A</v>
      </c>
      <c r="I421" s="107" t="str">
        <f t="array" ref="I421">IF(B421&lt;&gt;"",INDEX('Eingabe Meldungen'!$C$2:$J$492,MATCH(B421&amp;C421,'Eingabe Meldungen'!$C$2:$C$492&amp;'Eingabe Meldungen'!$D$2:$D$492,0),8),"")</f>
        <v/>
      </c>
      <c r="J421" s="40"/>
      <c r="K421" s="40"/>
      <c r="L421" s="151"/>
      <c r="M421" s="112"/>
      <c r="O421" s="11"/>
      <c r="P421" s="10"/>
      <c r="Q421" s="11"/>
      <c r="R421" s="11"/>
      <c r="S421" s="11"/>
      <c r="T421" s="11"/>
      <c r="U421" s="11"/>
      <c r="Y421" s="15"/>
    </row>
    <row r="422" spans="2:25" ht="13.2" hidden="1" thickBot="1" x14ac:dyDescent="0.25">
      <c r="B422" s="159"/>
      <c r="C422" s="160"/>
      <c r="D422" s="161"/>
      <c r="E422" s="161"/>
      <c r="F422" s="118"/>
      <c r="G422" s="174"/>
      <c r="H422" s="160"/>
      <c r="I422" s="161"/>
      <c r="J422" s="160"/>
      <c r="K422" s="160"/>
      <c r="L422" s="162"/>
      <c r="M422" s="128"/>
      <c r="O422" s="11"/>
      <c r="P422" s="10"/>
      <c r="Q422" s="11"/>
      <c r="R422" s="11"/>
      <c r="S422" s="11"/>
      <c r="T422" s="11"/>
      <c r="U422" s="11"/>
      <c r="Y422" s="15"/>
    </row>
    <row r="423" spans="2:25" ht="27.75" customHeight="1" x14ac:dyDescent="0.2">
      <c r="B423" s="120">
        <v>21</v>
      </c>
      <c r="C423" s="121" t="str">
        <f>VLOOKUP(B423,Ausschreibung!$B$5:$I$35,2,FALSE)</f>
        <v>Ergocup</v>
      </c>
      <c r="D423" s="122">
        <f>VLOOKUP(B423,Ausschreibung!$B$5:$I$35,3,FALSE)</f>
        <v>0.6416666666666665</v>
      </c>
      <c r="E423" s="121" t="str">
        <f>VLOOKUP(B423,Ausschreibung!$B$5:$I$35,4,FALSE)</f>
        <v>Seniorinnen A</v>
      </c>
      <c r="F423" s="121">
        <v>60</v>
      </c>
      <c r="G423" s="121" t="str">
        <f>VLOOKUP(B423,Ausschreibung!$B$5:$I$35,6,FALSE)</f>
        <v>19 und älter</v>
      </c>
      <c r="H423" s="121" t="str">
        <f>VLOOKUP(B423,Ausschreibung!$B$5:$I$35,8,FALSE)</f>
        <v>2000 m</v>
      </c>
      <c r="I423" s="121"/>
      <c r="J423" s="129">
        <f>D423-(2*$N$60)</f>
        <v>0.55833333333333313</v>
      </c>
      <c r="K423" s="129"/>
      <c r="L423" s="129">
        <f>D423-$N$60</f>
        <v>0.59999999999999987</v>
      </c>
      <c r="M423" s="123"/>
      <c r="O423" s="11"/>
      <c r="P423" s="10"/>
      <c r="Q423" s="11"/>
      <c r="R423" s="11"/>
      <c r="S423" s="11"/>
      <c r="T423" s="11"/>
      <c r="U423" s="11"/>
      <c r="Y423" s="15"/>
    </row>
    <row r="424" spans="2:25" x14ac:dyDescent="0.2">
      <c r="B424" s="176" t="s">
        <v>1</v>
      </c>
      <c r="C424" s="177" t="s">
        <v>2</v>
      </c>
      <c r="D424" s="178" t="s">
        <v>4</v>
      </c>
      <c r="E424" s="179" t="s">
        <v>16</v>
      </c>
      <c r="F424" s="178" t="s">
        <v>18</v>
      </c>
      <c r="G424" s="178" t="s">
        <v>50</v>
      </c>
      <c r="H424" s="178" t="s">
        <v>51</v>
      </c>
      <c r="I424" s="180" t="s">
        <v>17</v>
      </c>
      <c r="J424" s="178" t="s">
        <v>85</v>
      </c>
      <c r="K424" s="179"/>
      <c r="L424" s="179" t="s">
        <v>50</v>
      </c>
      <c r="M424" s="185" t="s">
        <v>87</v>
      </c>
      <c r="O424" s="11"/>
      <c r="P424" s="10"/>
      <c r="Q424" s="11"/>
      <c r="R424" s="11"/>
      <c r="S424" s="11"/>
      <c r="T424" s="11"/>
      <c r="U424" s="11"/>
      <c r="Y424" s="15"/>
    </row>
    <row r="425" spans="2:25" x14ac:dyDescent="0.2">
      <c r="B425" s="148" t="str">
        <f t="array" ref="B425">IF(ISERROR(INDEX('Eingabe Meldungen'!$C$2:$C$492,LARGE(('Eingabe Meldungen'!$A$2:$A$492=$B$423)*(ROW('Eingabe Meldungen'!$A$2:$A$492)-1),COUNTIF('Eingabe Meldungen'!$A$2:$A$492,$B$423)+1-ROW('Eingabe Meldungen'!A1)))),"",INDEX('Eingabe Meldungen'!$C$2:$C$492,LARGE(('Eingabe Meldungen'!$A$2:$A$492=$B$423)*(ROW('Eingabe Meldungen'!$A$2:$A$492)-1),COUNTIF('Eingabe Meldungen'!$A$2:$A$492,$B$423)+1-ROW('Eingabe Meldungen'!A1))))</f>
        <v>Leuter</v>
      </c>
      <c r="C425" s="40" t="str">
        <f t="array" ref="C425">IF(ISERROR(INDEX('Eingabe Meldungen'!$D$2:$D$492,LARGE(('Eingabe Meldungen'!$A$2:$A$492=$B$423)*(ROW('Eingabe Meldungen'!$A$2:$A$492)-1),COUNTIF('Eingabe Meldungen'!$A$2:$A$492,$B$423)+1-ROW('Eingabe Meldungen'!A1)))),"",INDEX('Eingabe Meldungen'!$D$2:$D$492,LARGE(('Eingabe Meldungen'!$A$2:$A$492=$B$423)*(ROW('Eingabe Meldungen'!$A$2:$A$492)-1),COUNTIF('Eingabe Meldungen'!$A$2:$A$492,$B$423)+1-ROW('Eingabe Meldungen'!A1))))</f>
        <v>Nadine</v>
      </c>
      <c r="D425" s="107">
        <f t="array" ref="D425">IF(B425&lt;&gt;"",INDEX('Eingabe Meldungen'!$C$2:$H$492,MATCH(B425&amp;C425,'Eingabe Meldungen'!$C$2:$C$492&amp;'Eingabe Meldungen'!$D$2:$D$492,0),6),"")</f>
        <v>1995</v>
      </c>
      <c r="E425" s="107" t="str">
        <f t="array" ref="E425">IF(B425&lt;&gt;"",INDEX('Eingabe Meldungen'!$C$2:$H$492,MATCH(B425&amp;C425,'Eingabe Meldungen'!$C$2:$C$492&amp;'Eingabe Meldungen'!$D$2:$D$492,0),4),"")</f>
        <v>LGW. bis 61 kg</v>
      </c>
      <c r="F425" s="107"/>
      <c r="G425" s="149"/>
      <c r="H425" s="40" t="e">
        <f t="shared" ref="H425:H432" si="20">RANK(G425,$G$425:$G$432,1)</f>
        <v>#N/A</v>
      </c>
      <c r="I425" s="107" t="str">
        <f t="array" ref="I425">IF(B425&lt;&gt;"",INDEX('Eingabe Meldungen'!$C$2:$J$492,MATCH(B425&amp;C425,'Eingabe Meldungen'!$C$2:$C$492&amp;'Eingabe Meldungen'!$D$2:$D$492,0),8),"")</f>
        <v>RV Waldsee</v>
      </c>
      <c r="J425" s="257"/>
      <c r="K425" s="257"/>
      <c r="L425" s="254"/>
      <c r="M425" s="258"/>
      <c r="O425" s="11"/>
      <c r="P425" s="10"/>
      <c r="Q425" s="11"/>
      <c r="R425" s="11"/>
      <c r="S425" s="11"/>
      <c r="T425" s="11"/>
      <c r="U425" s="11"/>
      <c r="Y425" s="15"/>
    </row>
    <row r="426" spans="2:25" x14ac:dyDescent="0.2">
      <c r="B426" s="148" t="str">
        <f t="array" ref="B426">IF(ISERROR(INDEX('Eingabe Meldungen'!$C$2:$C$492,LARGE(('Eingabe Meldungen'!$A$2:$A$492=$B$423)*(ROW('Eingabe Meldungen'!$A$2:$A$492)-1),COUNTIF('Eingabe Meldungen'!$A$2:$A$492,$B$423)+1-ROW('Eingabe Meldungen'!A2)))),"",INDEX('Eingabe Meldungen'!$C$2:$C$492,LARGE(('Eingabe Meldungen'!$A$2:$A$492=$B$423)*(ROW('Eingabe Meldungen'!$A$2:$A$492)-1),COUNTIF('Eingabe Meldungen'!$A$2:$A$492,$B$423)+1-ROW('Eingabe Meldungen'!A2))))</f>
        <v>Reimer</v>
      </c>
      <c r="C426" s="40" t="str">
        <f t="array" ref="C426">IF(ISERROR(INDEX('Eingabe Meldungen'!$D$2:$D$492,LARGE(('Eingabe Meldungen'!$A$2:$A$492=$B$423)*(ROW('Eingabe Meldungen'!$A$2:$A$492)-1),COUNTIF('Eingabe Meldungen'!$A$2:$A$492,$B$423)+1-ROW('Eingabe Meldungen'!A2)))),"",INDEX('Eingabe Meldungen'!$D$2:$D$492,LARGE(('Eingabe Meldungen'!$A$2:$A$492=$B$423)*(ROW('Eingabe Meldungen'!$A$2:$A$492)-1),COUNTIF('Eingabe Meldungen'!$A$2:$A$492,$B$423)+1-ROW('Eingabe Meldungen'!A2))))</f>
        <v>Cathrin</v>
      </c>
      <c r="D426" s="107">
        <f t="array" ref="D426">IF(B426&lt;&gt;"",INDEX('Eingabe Meldungen'!$C$2:$H$492,MATCH(B426&amp;C426,'Eingabe Meldungen'!$C$2:$C$492&amp;'Eingabe Meldungen'!$D$2:$D$492,0),6),"")</f>
        <v>2001</v>
      </c>
      <c r="E426" s="107" t="str">
        <f t="array" ref="E426">IF(B426&lt;&gt;"",INDEX('Eingabe Meldungen'!$C$2:$H$492,MATCH(B426&amp;C426,'Eingabe Meldungen'!$C$2:$C$492&amp;'Eingabe Meldungen'!$D$2:$D$492,0),4),"")</f>
        <v>LGW. bis 61 kg</v>
      </c>
      <c r="F426" s="107"/>
      <c r="G426" s="149"/>
      <c r="H426" s="40" t="e">
        <f t="shared" si="20"/>
        <v>#N/A</v>
      </c>
      <c r="I426" s="107" t="str">
        <f t="array" ref="I426">IF(B426&lt;&gt;"",INDEX('Eingabe Meldungen'!$C$2:$J$492,MATCH(B426&amp;C426,'Eingabe Meldungen'!$C$2:$C$492&amp;'Eingabe Meldungen'!$D$2:$D$492,0),8),"")</f>
        <v>RV Waldsee</v>
      </c>
      <c r="J426" s="257"/>
      <c r="K426" s="257"/>
      <c r="L426" s="254"/>
      <c r="M426" s="258"/>
      <c r="O426" s="11"/>
      <c r="P426" s="10"/>
      <c r="Q426" s="11"/>
      <c r="R426" s="11"/>
      <c r="S426" s="11"/>
      <c r="T426" s="11"/>
      <c r="U426" s="11"/>
      <c r="Y426" s="15"/>
    </row>
    <row r="427" spans="2:25" x14ac:dyDescent="0.2">
      <c r="B427" s="148" t="str">
        <f t="array" ref="B427">IF(ISERROR(INDEX('Eingabe Meldungen'!$C$2:$C$492,LARGE(('Eingabe Meldungen'!$A$2:$A$492=$B$423)*(ROW('Eingabe Meldungen'!$A$2:$A$492)-1),COUNTIF('Eingabe Meldungen'!$A$2:$A$492,$B$423)+1-ROW('Eingabe Meldungen'!A3)))),"",INDEX('Eingabe Meldungen'!$C$2:$C$492,LARGE(('Eingabe Meldungen'!$A$2:$A$492=$B$423)*(ROW('Eingabe Meldungen'!$A$2:$A$492)-1),COUNTIF('Eingabe Meldungen'!$A$2:$A$492,$B$423)+1-ROW('Eingabe Meldungen'!A3))))</f>
        <v>Outojane</v>
      </c>
      <c r="C427" s="40" t="str">
        <f t="array" ref="C427">IF(ISERROR(INDEX('Eingabe Meldungen'!$D$2:$D$492,LARGE(('Eingabe Meldungen'!$A$2:$A$492=$B$423)*(ROW('Eingabe Meldungen'!$A$2:$A$492)-1),COUNTIF('Eingabe Meldungen'!$A$2:$A$492,$B$423)+1-ROW('Eingabe Meldungen'!A3)))),"",INDEX('Eingabe Meldungen'!$D$2:$D$492,LARGE(('Eingabe Meldungen'!$A$2:$A$492=$B$423)*(ROW('Eingabe Meldungen'!$A$2:$A$492)-1),COUNTIF('Eingabe Meldungen'!$A$2:$A$492,$B$423)+1-ROW('Eingabe Meldungen'!A3))))</f>
        <v>Hanaa</v>
      </c>
      <c r="D427" s="107">
        <f t="array" ref="D427">IF(B427&lt;&gt;"",INDEX('Eingabe Meldungen'!$C$2:$H$492,MATCH(B427&amp;C427,'Eingabe Meldungen'!$C$2:$C$492&amp;'Eingabe Meldungen'!$D$2:$D$492,0),6),"")</f>
        <v>2001</v>
      </c>
      <c r="E427" s="107" t="str">
        <f t="array" ref="E427">IF(B427&lt;&gt;"",INDEX('Eingabe Meldungen'!$C$2:$H$492,MATCH(B427&amp;C427,'Eingabe Meldungen'!$C$2:$C$492&amp;'Eingabe Meldungen'!$D$2:$D$492,0),4),"")</f>
        <v>LGW. bis 61 kg</v>
      </c>
      <c r="F427" s="107"/>
      <c r="G427" s="149"/>
      <c r="H427" s="40" t="e">
        <f t="shared" si="20"/>
        <v>#N/A</v>
      </c>
      <c r="I427" s="107" t="str">
        <f t="array" ref="I427">IF(B427&lt;&gt;"",INDEX('Eingabe Meldungen'!$C$2:$J$492,MATCH(B427&amp;C427,'Eingabe Meldungen'!$C$2:$C$492&amp;'Eingabe Meldungen'!$D$2:$D$492,0),8),"")</f>
        <v>RG Eberbach</v>
      </c>
      <c r="J427" s="257"/>
      <c r="K427" s="257"/>
      <c r="L427" s="254"/>
      <c r="M427" s="262"/>
      <c r="O427" s="11"/>
      <c r="P427" s="10"/>
      <c r="Q427" s="11"/>
      <c r="R427" s="11"/>
      <c r="S427" s="11"/>
      <c r="T427" s="11"/>
      <c r="U427" s="11"/>
      <c r="Y427" s="15"/>
    </row>
    <row r="428" spans="2:25" x14ac:dyDescent="0.2">
      <c r="B428" s="148" t="str">
        <f t="array" ref="B428">IF(ISERROR(INDEX('Eingabe Meldungen'!$C$2:$C$492,LARGE(('Eingabe Meldungen'!$A$2:$A$492=$B$423)*(ROW('Eingabe Meldungen'!$A$2:$A$492)-1),COUNTIF('Eingabe Meldungen'!$A$2:$A$492,$B$423)+1-ROW('Eingabe Meldungen'!A4)))),"",INDEX('Eingabe Meldungen'!$C$2:$C$492,LARGE(('Eingabe Meldungen'!$A$2:$A$492=$B$423)*(ROW('Eingabe Meldungen'!$A$2:$A$492)-1),COUNTIF('Eingabe Meldungen'!$A$2:$A$492,$B$423)+1-ROW('Eingabe Meldungen'!A4))))</f>
        <v/>
      </c>
      <c r="C428" s="40" t="str">
        <f t="array" ref="C428">IF(ISERROR(INDEX('Eingabe Meldungen'!$D$2:$D$492,LARGE(('Eingabe Meldungen'!$A$2:$A$492=$B$423)*(ROW('Eingabe Meldungen'!$A$2:$A$492)-1),COUNTIF('Eingabe Meldungen'!$A$2:$A$492,$B$423)+1-ROW('Eingabe Meldungen'!A4)))),"",INDEX('Eingabe Meldungen'!$D$2:$D$492,LARGE(('Eingabe Meldungen'!$A$2:$A$492=$B$423)*(ROW('Eingabe Meldungen'!$A$2:$A$492)-1),COUNTIF('Eingabe Meldungen'!$A$2:$A$492,$B$423)+1-ROW('Eingabe Meldungen'!A4))))</f>
        <v/>
      </c>
      <c r="D428" s="107" t="str">
        <f t="array" ref="D428">IF(B428&lt;&gt;"",INDEX('Eingabe Meldungen'!$C$2:$H$492,MATCH(B428&amp;C428,'Eingabe Meldungen'!$C$2:$C$492&amp;'Eingabe Meldungen'!$D$2:$D$492,0),6),"")</f>
        <v/>
      </c>
      <c r="E428" s="107" t="str">
        <f t="array" ref="E428">IF(B428&lt;&gt;"",INDEX('Eingabe Meldungen'!$C$2:$H$492,MATCH(B428&amp;C428,'Eingabe Meldungen'!$C$2:$C$492&amp;'Eingabe Meldungen'!$D$2:$D$492,0),4),"")</f>
        <v/>
      </c>
      <c r="F428" s="107"/>
      <c r="G428" s="149"/>
      <c r="H428" s="40" t="e">
        <f t="shared" si="20"/>
        <v>#N/A</v>
      </c>
      <c r="I428" s="107" t="str">
        <f t="array" ref="I428">IF(B428&lt;&gt;"",INDEX('Eingabe Meldungen'!$C$2:$J$492,MATCH(B428&amp;C428,'Eingabe Meldungen'!$C$2:$C$492&amp;'Eingabe Meldungen'!$D$2:$D$492,0),8),"")</f>
        <v/>
      </c>
      <c r="J428" s="257"/>
      <c r="K428" s="257"/>
      <c r="L428" s="254"/>
      <c r="M428" s="262"/>
      <c r="O428" s="11"/>
      <c r="P428" s="10"/>
      <c r="Q428" s="11"/>
      <c r="R428" s="11"/>
      <c r="S428" s="11"/>
      <c r="T428" s="11"/>
      <c r="U428" s="11"/>
      <c r="Y428" s="15"/>
    </row>
    <row r="429" spans="2:25" x14ac:dyDescent="0.2">
      <c r="B429" s="148" t="str">
        <f t="array" ref="B429">IF(ISERROR(INDEX('Eingabe Meldungen'!$C$2:$C$492,LARGE(('Eingabe Meldungen'!$A$2:$A$492=$B$423)*(ROW('Eingabe Meldungen'!$A$2:$A$492)-1),COUNTIF('Eingabe Meldungen'!$A$2:$A$492,$B$423)+1-ROW('Eingabe Meldungen'!A13)))),"",INDEX('Eingabe Meldungen'!$C$2:$C$492,LARGE(('Eingabe Meldungen'!$A$2:$A$492=$B$423)*(ROW('Eingabe Meldungen'!$A$2:$A$492)-1),COUNTIF('Eingabe Meldungen'!$A$2:$A$492,$B$423)+1-ROW('Eingabe Meldungen'!A13))))</f>
        <v/>
      </c>
      <c r="C429" s="40" t="str">
        <f t="array" ref="C429">IF(ISERROR(INDEX('Eingabe Meldungen'!$D$2:$D$492,LARGE(('Eingabe Meldungen'!$A$2:$A$492=$B$423)*(ROW('Eingabe Meldungen'!$A$2:$A$492)-1),COUNTIF('Eingabe Meldungen'!$A$2:$A$492,$B$423)+1-ROW('Eingabe Meldungen'!A13)))),"",INDEX('Eingabe Meldungen'!$D$2:$D$492,LARGE(('Eingabe Meldungen'!$A$2:$A$492=$B$423)*(ROW('Eingabe Meldungen'!$A$2:$A$492)-1),COUNTIF('Eingabe Meldungen'!$A$2:$A$492,$B$423)+1-ROW('Eingabe Meldungen'!A13))))</f>
        <v/>
      </c>
      <c r="D429" s="107" t="str">
        <f t="array" ref="D429">IF(B429&lt;&gt;"",INDEX('Eingabe Meldungen'!$C$2:$H$492,MATCH(B429&amp;C429,'Eingabe Meldungen'!$C$2:$C$492&amp;'Eingabe Meldungen'!$D$2:$D$492,0),6),"")</f>
        <v/>
      </c>
      <c r="E429" s="107" t="str">
        <f t="array" ref="E429">IF(B429&lt;&gt;"",INDEX('Eingabe Meldungen'!$C$2:$H$492,MATCH(B429&amp;C429,'Eingabe Meldungen'!$C$2:$C$492&amp;'Eingabe Meldungen'!$D$2:$D$492,0),4),"")</f>
        <v/>
      </c>
      <c r="F429" s="107"/>
      <c r="G429" s="149"/>
      <c r="H429" s="40" t="e">
        <f t="shared" si="20"/>
        <v>#N/A</v>
      </c>
      <c r="I429" s="107" t="str">
        <f t="array" ref="I429">IF(B429&lt;&gt;"",INDEX('Eingabe Meldungen'!$C$2:$J$492,MATCH(B429&amp;C429,'Eingabe Meldungen'!$C$2:$C$492&amp;'Eingabe Meldungen'!$D$2:$D$492,0),8),"")</f>
        <v/>
      </c>
      <c r="J429" s="257"/>
      <c r="K429" s="257"/>
      <c r="L429" s="254"/>
      <c r="M429" s="262"/>
      <c r="O429" s="11"/>
      <c r="P429" s="10"/>
      <c r="Q429" s="11"/>
      <c r="R429" s="11"/>
      <c r="S429" s="11"/>
      <c r="T429" s="11"/>
      <c r="U429" s="11"/>
      <c r="Y429" s="15"/>
    </row>
    <row r="430" spans="2:25" x14ac:dyDescent="0.2">
      <c r="B430" s="148" t="str">
        <f t="array" ref="B430">IF(ISERROR(INDEX('Eingabe Meldungen'!$C$2:$C$492,LARGE(('Eingabe Meldungen'!$A$2:$A$492=$B$423)*(ROW('Eingabe Meldungen'!$A$2:$A$492)-1),COUNTIF('Eingabe Meldungen'!$A$2:$A$492,$B$423)+1-ROW('Eingabe Meldungen'!A14)))),"",INDEX('Eingabe Meldungen'!$C$2:$C$492,LARGE(('Eingabe Meldungen'!$A$2:$A$492=$B$423)*(ROW('Eingabe Meldungen'!$A$2:$A$492)-1),COUNTIF('Eingabe Meldungen'!$A$2:$A$492,$B$423)+1-ROW('Eingabe Meldungen'!A14))))</f>
        <v/>
      </c>
      <c r="C430" s="40" t="str">
        <f t="array" ref="C430">IF(ISERROR(INDEX('Eingabe Meldungen'!$D$2:$D$492,LARGE(('Eingabe Meldungen'!$A$2:$A$492=$B$423)*(ROW('Eingabe Meldungen'!$A$2:$A$492)-1),COUNTIF('Eingabe Meldungen'!$A$2:$A$492,$B$423)+1-ROW('Eingabe Meldungen'!A14)))),"",INDEX('Eingabe Meldungen'!$D$2:$D$492,LARGE(('Eingabe Meldungen'!$A$2:$A$492=$B$423)*(ROW('Eingabe Meldungen'!$A$2:$A$492)-1),COUNTIF('Eingabe Meldungen'!$A$2:$A$492,$B$423)+1-ROW('Eingabe Meldungen'!A14))))</f>
        <v/>
      </c>
      <c r="D430" s="107" t="str">
        <f t="array" ref="D430">IF(B430&lt;&gt;"",INDEX('Eingabe Meldungen'!$C$2:$H$492,MATCH(B430&amp;C430,'Eingabe Meldungen'!$C$2:$C$492&amp;'Eingabe Meldungen'!$D$2:$D$492,0),6),"")</f>
        <v/>
      </c>
      <c r="E430" s="107" t="str">
        <f t="array" ref="E430">IF(B430&lt;&gt;"",INDEX('Eingabe Meldungen'!$C$2:$H$492,MATCH(B430&amp;C430,'Eingabe Meldungen'!$C$2:$C$492&amp;'Eingabe Meldungen'!$D$2:$D$492,0),4),"")</f>
        <v/>
      </c>
      <c r="F430" s="107"/>
      <c r="G430" s="149"/>
      <c r="H430" s="40" t="e">
        <f t="shared" si="20"/>
        <v>#N/A</v>
      </c>
      <c r="I430" s="107" t="str">
        <f t="array" ref="I430">IF(B430&lt;&gt;"",INDEX('Eingabe Meldungen'!$C$2:$J$492,MATCH(B430&amp;C430,'Eingabe Meldungen'!$C$2:$C$492&amp;'Eingabe Meldungen'!$D$2:$D$492,0),8),"")</f>
        <v/>
      </c>
      <c r="J430" s="257"/>
      <c r="K430" s="257"/>
      <c r="L430" s="254"/>
      <c r="M430" s="262"/>
      <c r="O430" s="11"/>
      <c r="P430" s="10"/>
      <c r="Q430" s="11"/>
      <c r="R430" s="11"/>
      <c r="S430" s="11"/>
      <c r="T430" s="11"/>
      <c r="U430" s="11"/>
      <c r="Y430" s="15"/>
    </row>
    <row r="431" spans="2:25" x14ac:dyDescent="0.2">
      <c r="B431" s="148" t="str">
        <f t="array" ref="B431">IF(ISERROR(INDEX('Eingabe Meldungen'!$C$2:$C$492,LARGE(('Eingabe Meldungen'!$A$2:$A$492=$B$423)*(ROW('Eingabe Meldungen'!$A$2:$A$492)-1),COUNTIF('Eingabe Meldungen'!$A$2:$A$492,$B$423)+1-ROW('Eingabe Meldungen'!A15)))),"",INDEX('Eingabe Meldungen'!$C$2:$C$492,LARGE(('Eingabe Meldungen'!$A$2:$A$492=$B$423)*(ROW('Eingabe Meldungen'!$A$2:$A$492)-1),COUNTIF('Eingabe Meldungen'!$A$2:$A$492,$B$423)+1-ROW('Eingabe Meldungen'!A15))))</f>
        <v/>
      </c>
      <c r="C431" s="40" t="str">
        <f t="array" ref="C431">IF(ISERROR(INDEX('Eingabe Meldungen'!$D$2:$D$492,LARGE(('Eingabe Meldungen'!$A$2:$A$492=$B$423)*(ROW('Eingabe Meldungen'!$A$2:$A$492)-1),COUNTIF('Eingabe Meldungen'!$A$2:$A$492,$B$423)+1-ROW('Eingabe Meldungen'!A15)))),"",INDEX('Eingabe Meldungen'!$D$2:$D$492,LARGE(('Eingabe Meldungen'!$A$2:$A$492=$B$423)*(ROW('Eingabe Meldungen'!$A$2:$A$492)-1),COUNTIF('Eingabe Meldungen'!$A$2:$A$492,$B$423)+1-ROW('Eingabe Meldungen'!A15))))</f>
        <v/>
      </c>
      <c r="D431" s="107" t="str">
        <f t="array" ref="D431">IF(B431&lt;&gt;"",INDEX('Eingabe Meldungen'!$C$2:$H$492,MATCH(B431&amp;C431,'Eingabe Meldungen'!$C$2:$C$492&amp;'Eingabe Meldungen'!$D$2:$D$492,0),6),"")</f>
        <v/>
      </c>
      <c r="E431" s="107" t="str">
        <f t="array" ref="E431">IF(B431&lt;&gt;"",INDEX('Eingabe Meldungen'!$C$2:$H$492,MATCH(B431&amp;C431,'Eingabe Meldungen'!$C$2:$C$492&amp;'Eingabe Meldungen'!$D$2:$D$492,0),4),"")</f>
        <v/>
      </c>
      <c r="F431" s="107"/>
      <c r="G431" s="149"/>
      <c r="H431" s="40" t="e">
        <f t="shared" si="20"/>
        <v>#N/A</v>
      </c>
      <c r="I431" s="107" t="str">
        <f t="array" ref="I431">IF(B431&lt;&gt;"",INDEX('Eingabe Meldungen'!$C$2:$J$492,MATCH(B431&amp;C431,'Eingabe Meldungen'!$C$2:$C$492&amp;'Eingabe Meldungen'!$D$2:$D$492,0),8),"")</f>
        <v/>
      </c>
      <c r="J431" s="257"/>
      <c r="K431" s="257"/>
      <c r="L431" s="254"/>
      <c r="M431" s="262"/>
      <c r="O431" s="11"/>
      <c r="P431" s="10"/>
      <c r="Q431" s="11"/>
      <c r="R431" s="11"/>
      <c r="S431" s="11"/>
      <c r="T431" s="11"/>
      <c r="U431" s="11"/>
      <c r="Y431" s="15"/>
    </row>
    <row r="432" spans="2:25" ht="13.2" thickBot="1" x14ac:dyDescent="0.25">
      <c r="B432" s="148" t="str">
        <f t="array" ref="B432">IF(ISERROR(INDEX('Eingabe Meldungen'!$C$2:$C$492,LARGE(('Eingabe Meldungen'!$A$2:$A$492=$B$423)*(ROW('Eingabe Meldungen'!$A$2:$A$492)-1),COUNTIF('Eingabe Meldungen'!$A$2:$A$492,$B$423)+1-ROW('Eingabe Meldungen'!A16)))),"",INDEX('Eingabe Meldungen'!$C$2:$C$492,LARGE(('Eingabe Meldungen'!$A$2:$A$492=$B$423)*(ROW('Eingabe Meldungen'!$A$2:$A$492)-1),COUNTIF('Eingabe Meldungen'!$A$2:$A$492,$B$423)+1-ROW('Eingabe Meldungen'!A16))))</f>
        <v/>
      </c>
      <c r="C432" s="40" t="str">
        <f t="array" ref="C432">IF(ISERROR(INDEX('Eingabe Meldungen'!$D$2:$D$492,LARGE(('Eingabe Meldungen'!$A$2:$A$492=$B$423)*(ROW('Eingabe Meldungen'!$A$2:$A$492)-1),COUNTIF('Eingabe Meldungen'!$A$2:$A$492,$B$423)+1-ROW('Eingabe Meldungen'!A16)))),"",INDEX('Eingabe Meldungen'!$D$2:$D$492,LARGE(('Eingabe Meldungen'!$A$2:$A$492=$B$423)*(ROW('Eingabe Meldungen'!$A$2:$A$492)-1),COUNTIF('Eingabe Meldungen'!$A$2:$A$492,$B$423)+1-ROW('Eingabe Meldungen'!A16))))</f>
        <v/>
      </c>
      <c r="D432" s="107" t="str">
        <f t="array" ref="D432">IF(B432&lt;&gt;"",INDEX('Eingabe Meldungen'!$C$2:$H$492,MATCH(B432&amp;C432,'Eingabe Meldungen'!$C$2:$C$492&amp;'Eingabe Meldungen'!$D$2:$D$492,0),6),"")</f>
        <v/>
      </c>
      <c r="E432" s="107" t="str">
        <f t="array" ref="E432">IF(B432&lt;&gt;"",INDEX('Eingabe Meldungen'!$C$2:$H$492,MATCH(B432&amp;C432,'Eingabe Meldungen'!$C$2:$C$492&amp;'Eingabe Meldungen'!$D$2:$D$492,0),4),"")</f>
        <v/>
      </c>
      <c r="F432" s="107"/>
      <c r="G432" s="149"/>
      <c r="H432" s="40" t="e">
        <f t="shared" si="20"/>
        <v>#N/A</v>
      </c>
      <c r="I432" s="107" t="str">
        <f t="array" ref="I432">IF(B432&lt;&gt;"",INDEX('Eingabe Meldungen'!$C$2:$J$492,MATCH(B432&amp;C432,'Eingabe Meldungen'!$C$2:$C$492&amp;'Eingabe Meldungen'!$D$2:$D$492,0),8),"")</f>
        <v/>
      </c>
      <c r="J432" s="259"/>
      <c r="K432" s="259"/>
      <c r="L432" s="260"/>
      <c r="M432" s="263"/>
      <c r="O432" s="11"/>
      <c r="P432" s="10"/>
      <c r="Q432" s="11"/>
      <c r="R432" s="11"/>
      <c r="S432" s="11"/>
      <c r="T432" s="11"/>
      <c r="U432" s="11"/>
      <c r="Y432" s="15"/>
    </row>
    <row r="433" spans="2:25" ht="13.2" hidden="1" thickBot="1" x14ac:dyDescent="0.25">
      <c r="B433" s="164"/>
      <c r="C433" s="155"/>
      <c r="D433" s="165"/>
      <c r="E433" s="165"/>
      <c r="F433" s="119"/>
      <c r="G433" s="171"/>
      <c r="H433" s="155"/>
      <c r="I433" s="165"/>
      <c r="J433" s="155"/>
      <c r="K433" s="155"/>
      <c r="L433" s="156"/>
      <c r="M433" s="127"/>
      <c r="O433" s="11"/>
      <c r="P433" s="10"/>
      <c r="Q433" s="11"/>
      <c r="R433" s="11"/>
      <c r="S433" s="11"/>
      <c r="T433" s="11"/>
      <c r="U433" s="11"/>
      <c r="Y433" s="15"/>
    </row>
    <row r="434" spans="2:25" ht="33" hidden="1" customHeight="1" x14ac:dyDescent="0.2">
      <c r="B434" s="114">
        <f>B423+1</f>
        <v>22</v>
      </c>
      <c r="C434" s="108" t="str">
        <f>VLOOKUP(B434,Ausschreibung!$B$5:$I$35,2,FALSE)</f>
        <v>Ergocup</v>
      </c>
      <c r="D434" s="109">
        <f>VLOOKUP(B434,Ausschreibung!$B$5:$I$35,3,FALSE)</f>
        <v>0.6416666666666665</v>
      </c>
      <c r="E434" s="108" t="str">
        <f>VLOOKUP(B434,Ausschreibung!$B$5:$I$35,4,FALSE)</f>
        <v>Seniorinnen A</v>
      </c>
      <c r="F434" s="108" t="str">
        <f>VLOOKUP(B434,Ausschreibung!$B$5:$I$35,5,FALSE)</f>
        <v>-</v>
      </c>
      <c r="G434" s="108" t="str">
        <f>VLOOKUP(B434,Ausschreibung!$B$5:$I$35,6,FALSE)</f>
        <v>19 und älter</v>
      </c>
      <c r="H434" s="108" t="str">
        <f>VLOOKUP(B434,Ausschreibung!$B$5:$I$35,8,FALSE)</f>
        <v>2000 m</v>
      </c>
      <c r="I434" s="108" t="s">
        <v>30</v>
      </c>
      <c r="J434" s="108"/>
      <c r="K434" s="40"/>
      <c r="L434" s="151"/>
      <c r="M434" s="112"/>
      <c r="O434" s="11"/>
      <c r="P434" s="10"/>
      <c r="Q434" s="11"/>
      <c r="R434" s="11"/>
      <c r="S434" s="11"/>
      <c r="T434" s="11"/>
      <c r="U434" s="11"/>
      <c r="Y434" s="15"/>
    </row>
    <row r="435" spans="2:25" ht="13.2" hidden="1" thickBot="1" x14ac:dyDescent="0.25">
      <c r="B435" s="111" t="s">
        <v>1</v>
      </c>
      <c r="C435" s="104" t="s">
        <v>2</v>
      </c>
      <c r="D435" s="103" t="s">
        <v>49</v>
      </c>
      <c r="E435" s="146" t="s">
        <v>16</v>
      </c>
      <c r="F435" s="103" t="s">
        <v>18</v>
      </c>
      <c r="G435" s="105" t="s">
        <v>50</v>
      </c>
      <c r="H435" s="103" t="s">
        <v>51</v>
      </c>
      <c r="I435" s="106" t="s">
        <v>17</v>
      </c>
      <c r="J435" s="103"/>
      <c r="K435" s="40"/>
      <c r="L435" s="151"/>
      <c r="M435" s="112"/>
      <c r="O435" s="11"/>
      <c r="P435" s="10"/>
      <c r="Q435" s="11"/>
      <c r="R435" s="11"/>
      <c r="S435" s="11"/>
      <c r="T435" s="11"/>
      <c r="U435" s="11"/>
      <c r="Y435" s="15"/>
    </row>
    <row r="436" spans="2:25" ht="13.2" hidden="1" thickBot="1" x14ac:dyDescent="0.25">
      <c r="B436" s="148" t="str">
        <f t="array" ref="B436">IF(ISERROR(INDEX('Eingabe Meldungen'!$C$2:$C$492,LARGE(('Eingabe Meldungen'!$A$2:$A$492=$B$434)*(ROW('Eingabe Meldungen'!$A$2:$A$492)-1),COUNTIF('Eingabe Meldungen'!$A$2:$A$492,$B$434)+1-ROW('Eingabe Meldungen'!A1)))),"",INDEX('Eingabe Meldungen'!$C$2:$C$492,LARGE(('Eingabe Meldungen'!$A$2:$A$492=$B$434)*(ROW('Eingabe Meldungen'!$A$2:$A$492)-1),COUNTIF('Eingabe Meldungen'!$A$2:$A$492,$B$434)+1-ROW('Eingabe Meldungen'!A1))))</f>
        <v>Marquardt</v>
      </c>
      <c r="C436" s="40" t="str">
        <f t="array" ref="C436">IF(ISERROR(INDEX('Eingabe Meldungen'!$D$2:$D$492,LARGE(('Eingabe Meldungen'!$A$2:$A$492=$B$434)*(ROW('Eingabe Meldungen'!$A$2:$A$492)-1),COUNTIF('Eingabe Meldungen'!$A$2:$A$492,$B$434)+1-ROW('Eingabe Meldungen'!A1)))),"",INDEX('Eingabe Meldungen'!$D$2:$D$492,LARGE(('Eingabe Meldungen'!$A$2:$A$492=$B$434)*(ROW('Eingabe Meldungen'!$A$2:$A$492)-1),COUNTIF('Eingabe Meldungen'!$A$2:$A$492,$B$434)+1-ROW('Eingabe Meldungen'!A1))))</f>
        <v>Linda</v>
      </c>
      <c r="D436" s="107">
        <f t="array" ref="D436">IF(B436&lt;&gt;"",INDEX('Eingabe Meldungen'!$C$2:$H$492,MATCH(B436&amp;C436,'Eingabe Meldungen'!$C$2:$C$492&amp;'Eingabe Meldungen'!$D$2:$D$492,0),6),"")</f>
        <v>1995</v>
      </c>
      <c r="E436" s="107" t="str">
        <f t="array" ref="E436">IF(B436&lt;&gt;"",INDEX('Eingabe Meldungen'!$C$2:$H$492,MATCH(B436&amp;C436,'Eingabe Meldungen'!$C$2:$C$492&amp;'Eingabe Meldungen'!$D$2:$D$492,0),4),"")</f>
        <v>-</v>
      </c>
      <c r="F436" s="107">
        <v>1</v>
      </c>
      <c r="G436" s="149"/>
      <c r="H436" s="40" t="e">
        <f>RANK(G436,$G$436:$G$451,1)</f>
        <v>#N/A</v>
      </c>
      <c r="I436" s="107" t="str">
        <f t="array" ref="I436">IF(B436&lt;&gt;"",INDEX('Eingabe Meldungen'!$C$2:$J$492,MATCH(B436&amp;C436,'Eingabe Meldungen'!$C$2:$C$492&amp;'Eingabe Meldungen'!$D$2:$D$492,0),8),"")</f>
        <v>Ruderverein Bad Wimpfen</v>
      </c>
      <c r="J436" s="40"/>
      <c r="K436" s="40"/>
      <c r="L436" s="151"/>
      <c r="M436" s="112"/>
      <c r="O436" s="11"/>
      <c r="P436" s="10"/>
      <c r="Q436" s="11"/>
      <c r="R436" s="11"/>
      <c r="S436" s="11"/>
      <c r="T436" s="11"/>
      <c r="U436" s="11"/>
      <c r="Y436" s="15"/>
    </row>
    <row r="437" spans="2:25" ht="13.2" hidden="1" thickBot="1" x14ac:dyDescent="0.25">
      <c r="B437" s="148" t="str">
        <f t="array" ref="B437">IF(ISERROR(INDEX('Eingabe Meldungen'!$C$2:$C$492,LARGE(('Eingabe Meldungen'!$A$2:$A$492=$B$434)*(ROW('Eingabe Meldungen'!$A$2:$A$492)-1),COUNTIF('Eingabe Meldungen'!$A$2:$A$492,$B$434)+1-ROW('Eingabe Meldungen'!A2)))),"",INDEX('Eingabe Meldungen'!$C$2:$C$492,LARGE(('Eingabe Meldungen'!$A$2:$A$492=$B$434)*(ROW('Eingabe Meldungen'!$A$2:$A$492)-1),COUNTIF('Eingabe Meldungen'!$A$2:$A$492,$B$434)+1-ROW('Eingabe Meldungen'!A2))))</f>
        <v>Jendrozek</v>
      </c>
      <c r="C437" s="40" t="str">
        <f t="array" ref="C437">IF(ISERROR(INDEX('Eingabe Meldungen'!$D$2:$D$492,LARGE(('Eingabe Meldungen'!$A$2:$A$492=$B$434)*(ROW('Eingabe Meldungen'!$A$2:$A$492)-1),COUNTIF('Eingabe Meldungen'!$A$2:$A$492,$B$434)+1-ROW('Eingabe Meldungen'!A2)))),"",INDEX('Eingabe Meldungen'!$D$2:$D$492,LARGE(('Eingabe Meldungen'!$A$2:$A$492=$B$434)*(ROW('Eingabe Meldungen'!$A$2:$A$492)-1),COUNTIF('Eingabe Meldungen'!$A$2:$A$492,$B$434)+1-ROW('Eingabe Meldungen'!A2))))</f>
        <v>Luisa</v>
      </c>
      <c r="D437" s="107">
        <f t="array" ref="D437">IF(B437&lt;&gt;"",INDEX('Eingabe Meldungen'!$C$2:$H$492,MATCH(B437&amp;C437,'Eingabe Meldungen'!$C$2:$C$492&amp;'Eingabe Meldungen'!$D$2:$D$492,0),6),"")</f>
        <v>1998</v>
      </c>
      <c r="E437" s="107" t="str">
        <f t="array" ref="E437">IF(B437&lt;&gt;"",INDEX('Eingabe Meldungen'!$C$2:$H$492,MATCH(B437&amp;C437,'Eingabe Meldungen'!$C$2:$C$492&amp;'Eingabe Meldungen'!$D$2:$D$492,0),4),"")</f>
        <v>-</v>
      </c>
      <c r="F437" s="39">
        <v>2</v>
      </c>
      <c r="G437" s="149"/>
      <c r="H437" s="40" t="e">
        <f t="shared" ref="H437:H451" si="21">RANK(G437,$G$436:$G$451,1)</f>
        <v>#N/A</v>
      </c>
      <c r="I437" s="107" t="str">
        <f t="array" ref="I437">IF(B437&lt;&gt;"",INDEX('Eingabe Meldungen'!$C$2:$J$492,MATCH(B437&amp;C437,'Eingabe Meldungen'!$C$2:$C$492&amp;'Eingabe Meldungen'!$D$2:$D$492,0),8),"")</f>
        <v>Stuttgarter RG</v>
      </c>
      <c r="J437" s="40"/>
      <c r="K437" s="40"/>
      <c r="L437" s="151"/>
      <c r="M437" s="112"/>
      <c r="O437" s="11"/>
      <c r="P437" s="10"/>
      <c r="Q437" s="11"/>
      <c r="R437" s="11"/>
      <c r="S437" s="11"/>
      <c r="T437" s="11"/>
      <c r="U437" s="11"/>
      <c r="Y437" s="15"/>
    </row>
    <row r="438" spans="2:25" ht="14.25" hidden="1" customHeight="1" x14ac:dyDescent="0.2">
      <c r="B438" s="148" t="str">
        <f t="array" ref="B438">IF(ISERROR(INDEX('Eingabe Meldungen'!$C$2:$C$492,LARGE(('Eingabe Meldungen'!$A$2:$A$492=$B$434)*(ROW('Eingabe Meldungen'!$A$2:$A$492)-1),COUNTIF('Eingabe Meldungen'!$A$2:$A$492,$B$434)+1-ROW('Eingabe Meldungen'!A3)))),"",INDEX('Eingabe Meldungen'!$C$2:$C$492,LARGE(('Eingabe Meldungen'!$A$2:$A$492=$B$434)*(ROW('Eingabe Meldungen'!$A$2:$A$492)-1),COUNTIF('Eingabe Meldungen'!$A$2:$A$492,$B$434)+1-ROW('Eingabe Meldungen'!A3))))</f>
        <v>Bergler</v>
      </c>
      <c r="C438" s="40" t="str">
        <f t="array" ref="C438">IF(ISERROR(INDEX('Eingabe Meldungen'!$D$2:$D$492,LARGE(('Eingabe Meldungen'!$A$2:$A$492=$B$434)*(ROW('Eingabe Meldungen'!$A$2:$A$492)-1),COUNTIF('Eingabe Meldungen'!$A$2:$A$492,$B$434)+1-ROW('Eingabe Meldungen'!A3)))),"",INDEX('Eingabe Meldungen'!$D$2:$D$492,LARGE(('Eingabe Meldungen'!$A$2:$A$492=$B$434)*(ROW('Eingabe Meldungen'!$A$2:$A$492)-1),COUNTIF('Eingabe Meldungen'!$A$2:$A$492,$B$434)+1-ROW('Eingabe Meldungen'!A3))))</f>
        <v>Nils</v>
      </c>
      <c r="D438" s="107">
        <f t="array" ref="D438">IF(B438&lt;&gt;"",INDEX('Eingabe Meldungen'!$C$2:$H$492,MATCH(B438&amp;C438,'Eingabe Meldungen'!$C$2:$C$492&amp;'Eingabe Meldungen'!$D$2:$D$492,0),6),"")</f>
        <v>2001</v>
      </c>
      <c r="E438" s="107" t="str">
        <f t="array" ref="E438">IF(B438&lt;&gt;"",INDEX('Eingabe Meldungen'!$C$2:$H$492,MATCH(B438&amp;C438,'Eingabe Meldungen'!$C$2:$C$492&amp;'Eingabe Meldungen'!$D$2:$D$492,0),4),"")</f>
        <v>-</v>
      </c>
      <c r="F438" s="39">
        <v>3</v>
      </c>
      <c r="G438" s="150"/>
      <c r="H438" s="40" t="e">
        <f t="shared" si="21"/>
        <v>#N/A</v>
      </c>
      <c r="I438" s="107" t="str">
        <f t="array" ref="I438">IF(B438&lt;&gt;"",INDEX('Eingabe Meldungen'!$C$2:$J$492,MATCH(B438&amp;C438,'Eingabe Meldungen'!$C$2:$C$492&amp;'Eingabe Meldungen'!$D$2:$D$492,0),8),"")</f>
        <v>RG Eberbach</v>
      </c>
      <c r="J438" s="40"/>
      <c r="K438" s="40"/>
      <c r="L438" s="151"/>
      <c r="M438" s="112"/>
      <c r="O438" s="11"/>
      <c r="P438" s="10"/>
      <c r="Q438" s="11"/>
      <c r="R438" s="11"/>
      <c r="S438" s="11"/>
      <c r="T438" s="11"/>
      <c r="U438" s="11"/>
    </row>
    <row r="439" spans="2:25" ht="13.2" hidden="1" thickBot="1" x14ac:dyDescent="0.25">
      <c r="B439" s="148" t="str">
        <f t="array" ref="B439">IF(ISERROR(INDEX('Eingabe Meldungen'!$C$2:$C$492,LARGE(('Eingabe Meldungen'!$A$2:$A$492=$B$434)*(ROW('Eingabe Meldungen'!$A$2:$A$492)-1),COUNTIF('Eingabe Meldungen'!$A$2:$A$492,$B$434)+1-ROW('Eingabe Meldungen'!A4)))),"",INDEX('Eingabe Meldungen'!$C$2:$C$492,LARGE(('Eingabe Meldungen'!$A$2:$A$492=$B$434)*(ROW('Eingabe Meldungen'!$A$2:$A$492)-1),COUNTIF('Eingabe Meldungen'!$A$2:$A$492,$B$434)+1-ROW('Eingabe Meldungen'!A4))))</f>
        <v/>
      </c>
      <c r="C439" s="40" t="str">
        <f t="array" ref="C439">IF(ISERROR(INDEX('Eingabe Meldungen'!$D$2:$D$492,LARGE(('Eingabe Meldungen'!$A$2:$A$492=$B$434)*(ROW('Eingabe Meldungen'!$A$2:$A$492)-1),COUNTIF('Eingabe Meldungen'!$A$2:$A$492,$B$434)+1-ROW('Eingabe Meldungen'!A4)))),"",INDEX('Eingabe Meldungen'!$D$2:$D$492,LARGE(('Eingabe Meldungen'!$A$2:$A$492=$B$434)*(ROW('Eingabe Meldungen'!$A$2:$A$492)-1),COUNTIF('Eingabe Meldungen'!$A$2:$A$492,$B$434)+1-ROW('Eingabe Meldungen'!A4))))</f>
        <v/>
      </c>
      <c r="D439" s="107" t="str">
        <f t="array" ref="D439">IF(B439&lt;&gt;"",INDEX('Eingabe Meldungen'!$C$2:$H$492,MATCH(B439&amp;C439,'Eingabe Meldungen'!$C$2:$C$492&amp;'Eingabe Meldungen'!$D$2:$D$492,0),6),"")</f>
        <v/>
      </c>
      <c r="E439" s="107" t="str">
        <f t="array" ref="E439">IF(B439&lt;&gt;"",INDEX('Eingabe Meldungen'!$C$2:$H$492,MATCH(B439&amp;C439,'Eingabe Meldungen'!$C$2:$C$492&amp;'Eingabe Meldungen'!$D$2:$D$492,0),4),"")</f>
        <v/>
      </c>
      <c r="F439" s="39">
        <v>4</v>
      </c>
      <c r="G439" s="150"/>
      <c r="H439" s="40" t="e">
        <f t="shared" si="21"/>
        <v>#N/A</v>
      </c>
      <c r="I439" s="107" t="str">
        <f t="array" ref="I439">IF(B439&lt;&gt;"",INDEX('Eingabe Meldungen'!$C$2:$J$492,MATCH(B439&amp;C439,'Eingabe Meldungen'!$C$2:$C$492&amp;'Eingabe Meldungen'!$D$2:$D$492,0),8),"")</f>
        <v/>
      </c>
      <c r="J439" s="40"/>
      <c r="K439" s="40"/>
      <c r="L439" s="151"/>
      <c r="M439" s="112"/>
      <c r="O439" s="11"/>
      <c r="P439" s="10"/>
      <c r="Q439" s="11"/>
      <c r="R439" s="11"/>
      <c r="S439" s="11"/>
      <c r="T439" s="11"/>
      <c r="U439" s="11"/>
    </row>
    <row r="440" spans="2:25" ht="13.2" hidden="1" thickBot="1" x14ac:dyDescent="0.25">
      <c r="B440" s="148" t="str">
        <f t="array" ref="B440">IF(ISERROR(INDEX('Eingabe Meldungen'!$C$2:$C$492,LARGE(('Eingabe Meldungen'!$A$2:$A$492=$B$434)*(ROW('Eingabe Meldungen'!$A$2:$A$492)-1),COUNTIF('Eingabe Meldungen'!$A$2:$A$492,$B$434)+1-ROW('Eingabe Meldungen'!A5)))),"",INDEX('Eingabe Meldungen'!$C$2:$C$492,LARGE(('Eingabe Meldungen'!$A$2:$A$492=$B$434)*(ROW('Eingabe Meldungen'!$A$2:$A$492)-1),COUNTIF('Eingabe Meldungen'!$A$2:$A$492,$B$434)+1-ROW('Eingabe Meldungen'!A5))))</f>
        <v/>
      </c>
      <c r="C440" s="40" t="str">
        <f t="array" ref="C440">IF(ISERROR(INDEX('Eingabe Meldungen'!$D$2:$D$492,LARGE(('Eingabe Meldungen'!$A$2:$A$492=$B$434)*(ROW('Eingabe Meldungen'!$A$2:$A$492)-1),COUNTIF('Eingabe Meldungen'!$A$2:$A$492,$B$434)+1-ROW('Eingabe Meldungen'!A5)))),"",INDEX('Eingabe Meldungen'!$D$2:$D$492,LARGE(('Eingabe Meldungen'!$A$2:$A$492=$B$434)*(ROW('Eingabe Meldungen'!$A$2:$A$492)-1),COUNTIF('Eingabe Meldungen'!$A$2:$A$492,$B$434)+1-ROW('Eingabe Meldungen'!A5))))</f>
        <v/>
      </c>
      <c r="D440" s="107" t="str">
        <f t="array" ref="D440">IF(B440&lt;&gt;"",INDEX('Eingabe Meldungen'!$C$2:$H$492,MATCH(B440&amp;C440,'Eingabe Meldungen'!$C$2:$C$492&amp;'Eingabe Meldungen'!$D$2:$D$492,0),6),"")</f>
        <v/>
      </c>
      <c r="E440" s="107" t="str">
        <f t="array" ref="E440">IF(B440&lt;&gt;"",INDEX('Eingabe Meldungen'!$C$2:$H$492,MATCH(B440&amp;C440,'Eingabe Meldungen'!$C$2:$C$492&amp;'Eingabe Meldungen'!$D$2:$D$492,0),4),"")</f>
        <v/>
      </c>
      <c r="F440" s="39">
        <v>5</v>
      </c>
      <c r="G440" s="150"/>
      <c r="H440" s="40" t="e">
        <f t="shared" si="21"/>
        <v>#N/A</v>
      </c>
      <c r="I440" s="107" t="str">
        <f t="array" ref="I440">IF(B440&lt;&gt;"",INDEX('Eingabe Meldungen'!$C$2:$J$492,MATCH(B440&amp;C440,'Eingabe Meldungen'!$C$2:$C$492&amp;'Eingabe Meldungen'!$D$2:$D$492,0),8),"")</f>
        <v/>
      </c>
      <c r="J440" s="40"/>
      <c r="K440" s="40"/>
      <c r="L440" s="151"/>
      <c r="M440" s="112"/>
      <c r="O440" s="11"/>
      <c r="P440" s="10"/>
      <c r="Q440" s="11"/>
      <c r="R440" s="11"/>
      <c r="S440" s="11"/>
      <c r="T440" s="11"/>
      <c r="U440" s="11"/>
      <c r="Y440" s="15"/>
    </row>
    <row r="441" spans="2:25" ht="13.2" hidden="1" thickBot="1" x14ac:dyDescent="0.25">
      <c r="B441" s="148" t="str">
        <f t="array" ref="B441">IF(ISERROR(INDEX('Eingabe Meldungen'!$C$2:$C$492,LARGE(('Eingabe Meldungen'!$A$2:$A$492=$B$434)*(ROW('Eingabe Meldungen'!$A$2:$A$492)-1),COUNTIF('Eingabe Meldungen'!$A$2:$A$492,$B$434)+1-ROW('Eingabe Meldungen'!A6)))),"",INDEX('Eingabe Meldungen'!$C$2:$C$492,LARGE(('Eingabe Meldungen'!$A$2:$A$492=$B$434)*(ROW('Eingabe Meldungen'!$A$2:$A$492)-1),COUNTIF('Eingabe Meldungen'!$A$2:$A$492,$B$434)+1-ROW('Eingabe Meldungen'!A6))))</f>
        <v/>
      </c>
      <c r="C441" s="40" t="str">
        <f t="array" ref="C441">IF(ISERROR(INDEX('Eingabe Meldungen'!$D$2:$D$492,LARGE(('Eingabe Meldungen'!$A$2:$A$492=$B$434)*(ROW('Eingabe Meldungen'!$A$2:$A$492)-1),COUNTIF('Eingabe Meldungen'!$A$2:$A$492,$B$434)+1-ROW('Eingabe Meldungen'!A6)))),"",INDEX('Eingabe Meldungen'!$D$2:$D$492,LARGE(('Eingabe Meldungen'!$A$2:$A$492=$B$434)*(ROW('Eingabe Meldungen'!$A$2:$A$492)-1),COUNTIF('Eingabe Meldungen'!$A$2:$A$492,$B$434)+1-ROW('Eingabe Meldungen'!A6))))</f>
        <v/>
      </c>
      <c r="D441" s="107" t="str">
        <f t="array" ref="D441">IF(B441&lt;&gt;"",INDEX('Eingabe Meldungen'!$C$2:$H$492,MATCH(B441&amp;C441,'Eingabe Meldungen'!$C$2:$C$492&amp;'Eingabe Meldungen'!$D$2:$D$492,0),6),"")</f>
        <v/>
      </c>
      <c r="E441" s="107" t="str">
        <f t="array" ref="E441">IF(B441&lt;&gt;"",INDEX('Eingabe Meldungen'!$C$2:$H$492,MATCH(B441&amp;C441,'Eingabe Meldungen'!$C$2:$C$492&amp;'Eingabe Meldungen'!$D$2:$D$492,0),4),"")</f>
        <v/>
      </c>
      <c r="F441" s="39">
        <v>6</v>
      </c>
      <c r="G441" s="150"/>
      <c r="H441" s="40" t="e">
        <f t="shared" si="21"/>
        <v>#N/A</v>
      </c>
      <c r="I441" s="107" t="str">
        <f t="array" ref="I441">IF(B441&lt;&gt;"",INDEX('Eingabe Meldungen'!$C$2:$J$492,MATCH(B441&amp;C441,'Eingabe Meldungen'!$C$2:$C$492&amp;'Eingabe Meldungen'!$D$2:$D$492,0),8),"")</f>
        <v/>
      </c>
      <c r="J441" s="40"/>
      <c r="K441" s="40"/>
      <c r="L441" s="151"/>
      <c r="M441" s="112"/>
      <c r="O441" s="11"/>
      <c r="P441" s="10"/>
      <c r="Q441" s="11"/>
      <c r="R441" s="11"/>
      <c r="S441" s="11"/>
      <c r="T441" s="11"/>
      <c r="U441" s="11"/>
      <c r="Y441" s="15"/>
    </row>
    <row r="442" spans="2:25" ht="13.2" hidden="1" thickBot="1" x14ac:dyDescent="0.25">
      <c r="B442" s="148" t="str">
        <f t="array" ref="B442">IF(ISERROR(INDEX('Eingabe Meldungen'!$C$2:$C$492,LARGE(('Eingabe Meldungen'!$A$2:$A$492=$B$434)*(ROW('Eingabe Meldungen'!$A$2:$A$492)-1),COUNTIF('Eingabe Meldungen'!$A$2:$A$492,$B$434)+1-ROW('Eingabe Meldungen'!A8)))),"",INDEX('Eingabe Meldungen'!$C$2:$C$492,LARGE(('Eingabe Meldungen'!$A$2:$A$492=$B$434)*(ROW('Eingabe Meldungen'!$A$2:$A$492)-1),COUNTIF('Eingabe Meldungen'!$A$2:$A$492,$B$434)+1-ROW('Eingabe Meldungen'!A8))))</f>
        <v/>
      </c>
      <c r="C442" s="40" t="str">
        <f t="array" ref="C442">IF(ISERROR(INDEX('Eingabe Meldungen'!$D$2:$D$492,LARGE(('Eingabe Meldungen'!$A$2:$A$492=$B$434)*(ROW('Eingabe Meldungen'!$A$2:$A$492)-1),COUNTIF('Eingabe Meldungen'!$A$2:$A$492,$B$434)+1-ROW('Eingabe Meldungen'!A8)))),"",INDEX('Eingabe Meldungen'!$D$2:$D$492,LARGE(('Eingabe Meldungen'!$A$2:$A$492=$B$434)*(ROW('Eingabe Meldungen'!$A$2:$A$492)-1),COUNTIF('Eingabe Meldungen'!$A$2:$A$492,$B$434)+1-ROW('Eingabe Meldungen'!A8))))</f>
        <v/>
      </c>
      <c r="D442" s="107" t="str">
        <f t="array" ref="D442">IF(B442&lt;&gt;"",INDEX('Eingabe Meldungen'!$C$2:$H$492,MATCH(B442&amp;C442,'Eingabe Meldungen'!$C$2:$C$492&amp;'Eingabe Meldungen'!$D$2:$D$492,0),6),"")</f>
        <v/>
      </c>
      <c r="E442" s="107" t="str">
        <f t="array" ref="E442">IF(B442&lt;&gt;"",INDEX('Eingabe Meldungen'!$C$2:$H$492,MATCH(B442&amp;C442,'Eingabe Meldungen'!$C$2:$C$492&amp;'Eingabe Meldungen'!$D$2:$D$492,0),4),"")</f>
        <v/>
      </c>
      <c r="F442" s="39">
        <v>7</v>
      </c>
      <c r="G442" s="150"/>
      <c r="H442" s="40" t="e">
        <f t="shared" si="21"/>
        <v>#N/A</v>
      </c>
      <c r="I442" s="107" t="str">
        <f t="array" ref="I442">IF(B442&lt;&gt;"",INDEX('Eingabe Meldungen'!$C$2:$J$492,MATCH(B442&amp;C442,'Eingabe Meldungen'!$C$2:$C$492&amp;'Eingabe Meldungen'!$D$2:$D$492,0),8),"")</f>
        <v/>
      </c>
      <c r="J442" s="40"/>
      <c r="K442" s="40"/>
      <c r="L442" s="151"/>
      <c r="M442" s="112"/>
      <c r="O442" s="11"/>
      <c r="P442" s="10"/>
      <c r="Q442" s="11"/>
      <c r="R442" s="11"/>
      <c r="S442" s="11"/>
      <c r="T442" s="11"/>
      <c r="U442" s="11"/>
      <c r="Y442" s="15"/>
    </row>
    <row r="443" spans="2:25" ht="13.2" hidden="1" thickBot="1" x14ac:dyDescent="0.25">
      <c r="B443" s="148" t="str">
        <f t="array" ref="B443">IF(ISERROR(INDEX('Eingabe Meldungen'!$C$2:$C$492,LARGE(('Eingabe Meldungen'!$A$2:$A$492=$B$434)*(ROW('Eingabe Meldungen'!$A$2:$A$492)-1),COUNTIF('Eingabe Meldungen'!$A$2:$A$492,$B$434)+1-ROW('Eingabe Meldungen'!A9)))),"",INDEX('Eingabe Meldungen'!$C$2:$C$492,LARGE(('Eingabe Meldungen'!$A$2:$A$492=$B$434)*(ROW('Eingabe Meldungen'!$A$2:$A$492)-1),COUNTIF('Eingabe Meldungen'!$A$2:$A$492,$B$434)+1-ROW('Eingabe Meldungen'!A9))))</f>
        <v/>
      </c>
      <c r="C443" s="40" t="str">
        <f t="array" ref="C443">IF(ISERROR(INDEX('Eingabe Meldungen'!$D$2:$D$492,LARGE(('Eingabe Meldungen'!$A$2:$A$492=$B$434)*(ROW('Eingabe Meldungen'!$A$2:$A$492)-1),COUNTIF('Eingabe Meldungen'!$A$2:$A$492,$B$434)+1-ROW('Eingabe Meldungen'!A9)))),"",INDEX('Eingabe Meldungen'!$D$2:$D$492,LARGE(('Eingabe Meldungen'!$A$2:$A$492=$B$434)*(ROW('Eingabe Meldungen'!$A$2:$A$492)-1),COUNTIF('Eingabe Meldungen'!$A$2:$A$492,$B$434)+1-ROW('Eingabe Meldungen'!A9))))</f>
        <v/>
      </c>
      <c r="D443" s="107" t="str">
        <f t="array" ref="D443">IF(B443&lt;&gt;"",INDEX('Eingabe Meldungen'!$C$2:$H$492,MATCH(B443&amp;C443,'Eingabe Meldungen'!$C$2:$C$492&amp;'Eingabe Meldungen'!$D$2:$D$492,0),6),"")</f>
        <v/>
      </c>
      <c r="E443" s="107" t="str">
        <f t="array" ref="E443">IF(B443&lt;&gt;"",INDEX('Eingabe Meldungen'!$C$2:$H$492,MATCH(B443&amp;C443,'Eingabe Meldungen'!$C$2:$C$492&amp;'Eingabe Meldungen'!$D$2:$D$492,0),4),"")</f>
        <v/>
      </c>
      <c r="F443" s="39">
        <v>8</v>
      </c>
      <c r="G443" s="150"/>
      <c r="H443" s="40" t="e">
        <f t="shared" si="21"/>
        <v>#N/A</v>
      </c>
      <c r="I443" s="107" t="str">
        <f t="array" ref="I443">IF(B443&lt;&gt;"",INDEX('Eingabe Meldungen'!$C$2:$J$492,MATCH(B443&amp;C443,'Eingabe Meldungen'!$C$2:$C$492&amp;'Eingabe Meldungen'!$D$2:$D$492,0),8),"")</f>
        <v/>
      </c>
      <c r="J443" s="40"/>
      <c r="K443" s="40"/>
      <c r="L443" s="151"/>
      <c r="M443" s="112"/>
      <c r="O443" s="11"/>
      <c r="P443" s="10"/>
      <c r="Q443" s="11"/>
      <c r="R443" s="11"/>
      <c r="S443" s="11"/>
      <c r="T443" s="11"/>
      <c r="U443" s="11"/>
      <c r="Y443" s="15"/>
    </row>
    <row r="444" spans="2:25" ht="13.2" hidden="1" thickBot="1" x14ac:dyDescent="0.25">
      <c r="B444" s="148" t="str">
        <f t="array" ref="B444">IF(ISERROR(INDEX('Eingabe Meldungen'!$C$2:$C$492,LARGE(('Eingabe Meldungen'!$A$2:$A$492=$B$434)*(ROW('Eingabe Meldungen'!$A$2:$A$492)-1),COUNTIF('Eingabe Meldungen'!$A$2:$A$492,$B$434)+1-ROW('Eingabe Meldungen'!A10)))),"",INDEX('Eingabe Meldungen'!$C$2:$C$492,LARGE(('Eingabe Meldungen'!$A$2:$A$492=$B$434)*(ROW('Eingabe Meldungen'!$A$2:$A$492)-1),COUNTIF('Eingabe Meldungen'!$A$2:$A$492,$B$434)+1-ROW('Eingabe Meldungen'!A10))))</f>
        <v/>
      </c>
      <c r="C444" s="40" t="str">
        <f t="array" ref="C444">IF(ISERROR(INDEX('Eingabe Meldungen'!$D$2:$D$492,LARGE(('Eingabe Meldungen'!$A$2:$A$492=$B$434)*(ROW('Eingabe Meldungen'!$A$2:$A$492)-1),COUNTIF('Eingabe Meldungen'!$A$2:$A$492,$B$434)+1-ROW('Eingabe Meldungen'!A10)))),"",INDEX('Eingabe Meldungen'!$D$2:$D$492,LARGE(('Eingabe Meldungen'!$A$2:$A$492=$B$434)*(ROW('Eingabe Meldungen'!$A$2:$A$492)-1),COUNTIF('Eingabe Meldungen'!$A$2:$A$492,$B$434)+1-ROW('Eingabe Meldungen'!A10))))</f>
        <v/>
      </c>
      <c r="D444" s="107" t="str">
        <f t="array" ref="D444">IF(B444&lt;&gt;"",INDEX('Eingabe Meldungen'!$C$2:$H$492,MATCH(B444&amp;C444,'Eingabe Meldungen'!$C$2:$C$492&amp;'Eingabe Meldungen'!$D$2:$D$492,0),6),"")</f>
        <v/>
      </c>
      <c r="E444" s="107" t="str">
        <f t="array" ref="E444">IF(B444&lt;&gt;"",INDEX('Eingabe Meldungen'!$C$2:$H$492,MATCH(B444&amp;C444,'Eingabe Meldungen'!$C$2:$C$492&amp;'Eingabe Meldungen'!$D$2:$D$492,0),4),"")</f>
        <v/>
      </c>
      <c r="F444" s="39">
        <v>9</v>
      </c>
      <c r="G444" s="150"/>
      <c r="H444" s="40" t="e">
        <f t="shared" si="21"/>
        <v>#N/A</v>
      </c>
      <c r="I444" s="107" t="str">
        <f t="array" ref="I444">IF(B444&lt;&gt;"",INDEX('Eingabe Meldungen'!$C$2:$J$492,MATCH(B444&amp;C444,'Eingabe Meldungen'!$C$2:$C$492&amp;'Eingabe Meldungen'!$D$2:$D$492,0),8),"")</f>
        <v/>
      </c>
      <c r="J444" s="40"/>
      <c r="K444" s="40"/>
      <c r="L444" s="151"/>
      <c r="M444" s="112"/>
      <c r="O444" s="11"/>
      <c r="P444" s="10"/>
      <c r="Q444" s="11"/>
      <c r="R444" s="11"/>
      <c r="S444" s="11"/>
      <c r="T444" s="11"/>
      <c r="U444" s="11"/>
      <c r="Y444" s="15"/>
    </row>
    <row r="445" spans="2:25" ht="13.2" hidden="1" thickBot="1" x14ac:dyDescent="0.25">
      <c r="B445" s="148" t="str">
        <f t="array" ref="B445">IF(ISERROR(INDEX('Eingabe Meldungen'!$C$2:$C$492,LARGE(('Eingabe Meldungen'!$A$2:$A$492=$B$434)*(ROW('Eingabe Meldungen'!$A$2:$A$492)-1),COUNTIF('Eingabe Meldungen'!$A$2:$A$492,$B$434)+1-ROW('Eingabe Meldungen'!A11)))),"",INDEX('Eingabe Meldungen'!$C$2:$C$492,LARGE(('Eingabe Meldungen'!$A$2:$A$492=$B$434)*(ROW('Eingabe Meldungen'!$A$2:$A$492)-1),COUNTIF('Eingabe Meldungen'!$A$2:$A$492,$B$434)+1-ROW('Eingabe Meldungen'!A11))))</f>
        <v/>
      </c>
      <c r="C445" s="40" t="str">
        <f t="array" ref="C445">IF(ISERROR(INDEX('Eingabe Meldungen'!$D$2:$D$492,LARGE(('Eingabe Meldungen'!$A$2:$A$492=$B$434)*(ROW('Eingabe Meldungen'!$A$2:$A$492)-1),COUNTIF('Eingabe Meldungen'!$A$2:$A$492,$B$434)+1-ROW('Eingabe Meldungen'!A11)))),"",INDEX('Eingabe Meldungen'!$D$2:$D$492,LARGE(('Eingabe Meldungen'!$A$2:$A$492=$B$434)*(ROW('Eingabe Meldungen'!$A$2:$A$492)-1),COUNTIF('Eingabe Meldungen'!$A$2:$A$492,$B$434)+1-ROW('Eingabe Meldungen'!A11))))</f>
        <v/>
      </c>
      <c r="D445" s="107" t="str">
        <f t="array" ref="D445">IF(B445&lt;&gt;"",INDEX('Eingabe Meldungen'!$C$2:$H$492,MATCH(B445&amp;C445,'Eingabe Meldungen'!$C$2:$C$492&amp;'Eingabe Meldungen'!$D$2:$D$492,0),6),"")</f>
        <v/>
      </c>
      <c r="E445" s="107" t="str">
        <f t="array" ref="E445">IF(B445&lt;&gt;"",INDEX('Eingabe Meldungen'!$C$2:$H$492,MATCH(B445&amp;C445,'Eingabe Meldungen'!$C$2:$C$492&amp;'Eingabe Meldungen'!$D$2:$D$492,0),4),"")</f>
        <v/>
      </c>
      <c r="F445" s="39">
        <v>10</v>
      </c>
      <c r="G445" s="150"/>
      <c r="H445" s="40" t="e">
        <f t="shared" si="21"/>
        <v>#N/A</v>
      </c>
      <c r="I445" s="107" t="str">
        <f t="array" ref="I445">IF(B445&lt;&gt;"",INDEX('Eingabe Meldungen'!$C$2:$J$492,MATCH(B445&amp;C445,'Eingabe Meldungen'!$C$2:$C$492&amp;'Eingabe Meldungen'!$D$2:$D$492,0),8),"")</f>
        <v/>
      </c>
      <c r="J445" s="40"/>
      <c r="K445" s="40"/>
      <c r="L445" s="151"/>
      <c r="M445" s="147"/>
      <c r="O445" s="11"/>
      <c r="P445" s="10"/>
      <c r="Q445" s="11"/>
      <c r="R445" s="11"/>
      <c r="S445" s="11"/>
      <c r="T445" s="11"/>
      <c r="U445" s="11"/>
      <c r="Y445" s="15"/>
    </row>
    <row r="446" spans="2:25" ht="13.2" hidden="1" thickBot="1" x14ac:dyDescent="0.25">
      <c r="B446" s="148" t="str">
        <f t="array" ref="B446">IF(ISERROR(INDEX('Eingabe Meldungen'!$C$2:$C$492,LARGE(('Eingabe Meldungen'!$A$2:$A$492=$B$434)*(ROW('Eingabe Meldungen'!$A$2:$A$492)-1),COUNTIF('Eingabe Meldungen'!$A$2:$A$492,$B$434)+1-ROW('Eingabe Meldungen'!A12)))),"",INDEX('Eingabe Meldungen'!$C$2:$C$492,LARGE(('Eingabe Meldungen'!$A$2:$A$492=$B$434)*(ROW('Eingabe Meldungen'!$A$2:$A$492)-1),COUNTIF('Eingabe Meldungen'!$A$2:$A$492,$B$434)+1-ROW('Eingabe Meldungen'!A12))))</f>
        <v/>
      </c>
      <c r="C446" s="40" t="str">
        <f t="array" ref="C446">IF(ISERROR(INDEX('Eingabe Meldungen'!$D$2:$D$492,LARGE(('Eingabe Meldungen'!$A$2:$A$492=$B$434)*(ROW('Eingabe Meldungen'!$A$2:$A$492)-1),COUNTIF('Eingabe Meldungen'!$A$2:$A$492,$B$434)+1-ROW('Eingabe Meldungen'!A12)))),"",INDEX('Eingabe Meldungen'!$D$2:$D$492,LARGE(('Eingabe Meldungen'!$A$2:$A$492=$B$434)*(ROW('Eingabe Meldungen'!$A$2:$A$492)-1),COUNTIF('Eingabe Meldungen'!$A$2:$A$492,$B$434)+1-ROW('Eingabe Meldungen'!A12))))</f>
        <v/>
      </c>
      <c r="D446" s="107" t="str">
        <f t="array" ref="D446">IF(B446&lt;&gt;"",INDEX('Eingabe Meldungen'!$C$2:$H$492,MATCH(B446&amp;C446,'Eingabe Meldungen'!$C$2:$C$492&amp;'Eingabe Meldungen'!$D$2:$D$492,0),6),"")</f>
        <v/>
      </c>
      <c r="E446" s="107" t="str">
        <f t="array" ref="E446">IF(B446&lt;&gt;"",INDEX('Eingabe Meldungen'!$C$2:$H$492,MATCH(B446&amp;C446,'Eingabe Meldungen'!$C$2:$C$492&amp;'Eingabe Meldungen'!$D$2:$D$492,0),4),"")</f>
        <v/>
      </c>
      <c r="F446" s="39">
        <v>11</v>
      </c>
      <c r="G446" s="150"/>
      <c r="H446" s="40" t="e">
        <f t="shared" si="21"/>
        <v>#N/A</v>
      </c>
      <c r="I446" s="107" t="str">
        <f t="array" ref="I446">IF(B446&lt;&gt;"",INDEX('Eingabe Meldungen'!$C$2:$J$492,MATCH(B446&amp;C446,'Eingabe Meldungen'!$C$2:$C$492&amp;'Eingabe Meldungen'!$D$2:$D$492,0),8),"")</f>
        <v/>
      </c>
      <c r="J446" s="40"/>
      <c r="K446" s="40"/>
      <c r="L446" s="151"/>
      <c r="M446" s="147"/>
      <c r="O446" s="11"/>
      <c r="P446" s="10"/>
      <c r="Q446" s="11"/>
      <c r="R446" s="11"/>
      <c r="S446" s="11"/>
      <c r="T446" s="11"/>
      <c r="U446" s="11"/>
      <c r="Y446" s="15"/>
    </row>
    <row r="447" spans="2:25" ht="13.2" hidden="1" thickBot="1" x14ac:dyDescent="0.25">
      <c r="B447" s="148" t="str">
        <f t="array" ref="B447">IF(ISERROR(INDEX('Eingabe Meldungen'!$C$2:$C$492,LARGE(('Eingabe Meldungen'!$A$2:$A$492=$B$434)*(ROW('Eingabe Meldungen'!$A$2:$A$492)-1),COUNTIF('Eingabe Meldungen'!$A$2:$A$492,$B$434)+1-ROW('Eingabe Meldungen'!A13)))),"",INDEX('Eingabe Meldungen'!$C$2:$C$492,LARGE(('Eingabe Meldungen'!$A$2:$A$492=$B$434)*(ROW('Eingabe Meldungen'!$A$2:$A$492)-1),COUNTIF('Eingabe Meldungen'!$A$2:$A$492,$B$434)+1-ROW('Eingabe Meldungen'!A13))))</f>
        <v/>
      </c>
      <c r="C447" s="40" t="str">
        <f t="array" ref="C447">IF(ISERROR(INDEX('Eingabe Meldungen'!$D$2:$D$492,LARGE(('Eingabe Meldungen'!$A$2:$A$492=$B$434)*(ROW('Eingabe Meldungen'!$A$2:$A$492)-1),COUNTIF('Eingabe Meldungen'!$A$2:$A$492,$B$434)+1-ROW('Eingabe Meldungen'!A13)))),"",INDEX('Eingabe Meldungen'!$D$2:$D$492,LARGE(('Eingabe Meldungen'!$A$2:$A$492=$B$434)*(ROW('Eingabe Meldungen'!$A$2:$A$492)-1),COUNTIF('Eingabe Meldungen'!$A$2:$A$492,$B$434)+1-ROW('Eingabe Meldungen'!A13))))</f>
        <v/>
      </c>
      <c r="D447" s="107" t="str">
        <f t="array" ref="D447">IF(B447&lt;&gt;"",INDEX('Eingabe Meldungen'!$C$2:$H$492,MATCH(B447&amp;C447,'Eingabe Meldungen'!$C$2:$C$492&amp;'Eingabe Meldungen'!$D$2:$D$492,0),6),"")</f>
        <v/>
      </c>
      <c r="E447" s="107" t="str">
        <f t="array" ref="E447">IF(B447&lt;&gt;"",INDEX('Eingabe Meldungen'!$C$2:$H$492,MATCH(B447&amp;C447,'Eingabe Meldungen'!$C$2:$C$492&amp;'Eingabe Meldungen'!$D$2:$D$492,0),4),"")</f>
        <v/>
      </c>
      <c r="F447" s="39">
        <v>12</v>
      </c>
      <c r="G447" s="150"/>
      <c r="H447" s="40" t="e">
        <f t="shared" si="21"/>
        <v>#N/A</v>
      </c>
      <c r="I447" s="107" t="str">
        <f t="array" ref="I447">IF(B447&lt;&gt;"",INDEX('Eingabe Meldungen'!$C$2:$J$492,MATCH(B447&amp;C447,'Eingabe Meldungen'!$C$2:$C$492&amp;'Eingabe Meldungen'!$D$2:$D$492,0),8),"")</f>
        <v/>
      </c>
      <c r="J447" s="40"/>
      <c r="K447" s="40"/>
      <c r="L447" s="151"/>
      <c r="M447" s="112"/>
      <c r="O447" s="11"/>
      <c r="P447" s="10"/>
      <c r="Q447" s="11"/>
      <c r="R447" s="11"/>
      <c r="S447" s="11"/>
      <c r="T447" s="11"/>
      <c r="U447" s="11"/>
      <c r="Y447" s="15"/>
    </row>
    <row r="448" spans="2:25" ht="13.2" hidden="1" thickBot="1" x14ac:dyDescent="0.25">
      <c r="B448" s="148" t="str">
        <f t="array" ref="B448">IF(ISERROR(INDEX('Eingabe Meldungen'!$C$2:$C$492,LARGE(('Eingabe Meldungen'!$A$2:$A$492=$B$434)*(ROW('Eingabe Meldungen'!$A$2:$A$492)-1),COUNTIF('Eingabe Meldungen'!$A$2:$A$492,$B$434)+1-ROW('Eingabe Meldungen'!A14)))),"",INDEX('Eingabe Meldungen'!$C$2:$C$492,LARGE(('Eingabe Meldungen'!$A$2:$A$492=$B$434)*(ROW('Eingabe Meldungen'!$A$2:$A$492)-1),COUNTIF('Eingabe Meldungen'!$A$2:$A$492,$B$434)+1-ROW('Eingabe Meldungen'!A14))))</f>
        <v/>
      </c>
      <c r="C448" s="40" t="str">
        <f t="array" ref="C448">IF(ISERROR(INDEX('Eingabe Meldungen'!$D$2:$D$492,LARGE(('Eingabe Meldungen'!$A$2:$A$492=$B$434)*(ROW('Eingabe Meldungen'!$A$2:$A$492)-1),COUNTIF('Eingabe Meldungen'!$A$2:$A$492,$B$434)+1-ROW('Eingabe Meldungen'!A14)))),"",INDEX('Eingabe Meldungen'!$D$2:$D$492,LARGE(('Eingabe Meldungen'!$A$2:$A$492=$B$434)*(ROW('Eingabe Meldungen'!$A$2:$A$492)-1),COUNTIF('Eingabe Meldungen'!$A$2:$A$492,$B$434)+1-ROW('Eingabe Meldungen'!A14))))</f>
        <v/>
      </c>
      <c r="D448" s="107" t="str">
        <f t="array" ref="D448">IF(B448&lt;&gt;"",INDEX('Eingabe Meldungen'!$C$2:$H$492,MATCH(B448&amp;C448,'Eingabe Meldungen'!$C$2:$C$492&amp;'Eingabe Meldungen'!$D$2:$D$492,0),6),"")</f>
        <v/>
      </c>
      <c r="E448" s="107" t="str">
        <f t="array" ref="E448">IF(B448&lt;&gt;"",INDEX('Eingabe Meldungen'!$C$2:$H$492,MATCH(B448&amp;C448,'Eingabe Meldungen'!$C$2:$C$492&amp;'Eingabe Meldungen'!$D$2:$D$492,0),4),"")</f>
        <v/>
      </c>
      <c r="F448" s="39">
        <v>13</v>
      </c>
      <c r="G448" s="150"/>
      <c r="H448" s="40" t="e">
        <f t="shared" si="21"/>
        <v>#N/A</v>
      </c>
      <c r="I448" s="107" t="str">
        <f t="array" ref="I448">IF(B448&lt;&gt;"",INDEX('Eingabe Meldungen'!$C$2:$J$492,MATCH(B448&amp;C448,'Eingabe Meldungen'!$C$2:$C$492&amp;'Eingabe Meldungen'!$D$2:$D$492,0),8),"")</f>
        <v/>
      </c>
      <c r="J448" s="40"/>
      <c r="K448" s="40"/>
      <c r="L448" s="151"/>
      <c r="M448" s="112"/>
      <c r="O448" s="11"/>
      <c r="P448" s="10"/>
      <c r="Q448" s="11"/>
      <c r="R448" s="11"/>
      <c r="S448" s="11"/>
      <c r="T448" s="11"/>
      <c r="U448" s="11"/>
      <c r="Y448" s="15"/>
    </row>
    <row r="449" spans="2:25" ht="13.2" hidden="1" thickBot="1" x14ac:dyDescent="0.25">
      <c r="B449" s="148" t="str">
        <f t="array" ref="B449">IF(ISERROR(INDEX('Eingabe Meldungen'!$C$2:$C$492,LARGE(('Eingabe Meldungen'!$A$2:$A$492=$B$434)*(ROW('Eingabe Meldungen'!$A$2:$A$492)-1),COUNTIF('Eingabe Meldungen'!$A$2:$A$492,$B$434)+1-ROW('Eingabe Meldungen'!A15)))),"",INDEX('Eingabe Meldungen'!$C$2:$C$492,LARGE(('Eingabe Meldungen'!$A$2:$A$492=$B$434)*(ROW('Eingabe Meldungen'!$A$2:$A$492)-1),COUNTIF('Eingabe Meldungen'!$A$2:$A$492,$B$434)+1-ROW('Eingabe Meldungen'!A15))))</f>
        <v/>
      </c>
      <c r="C449" s="40" t="str">
        <f t="array" ref="C449">IF(ISERROR(INDEX('Eingabe Meldungen'!$D$2:$D$492,LARGE(('Eingabe Meldungen'!$A$2:$A$492=$B$434)*(ROW('Eingabe Meldungen'!$A$2:$A$492)-1),COUNTIF('Eingabe Meldungen'!$A$2:$A$492,$B$434)+1-ROW('Eingabe Meldungen'!A15)))),"",INDEX('Eingabe Meldungen'!$D$2:$D$492,LARGE(('Eingabe Meldungen'!$A$2:$A$492=$B$434)*(ROW('Eingabe Meldungen'!$A$2:$A$492)-1),COUNTIF('Eingabe Meldungen'!$A$2:$A$492,$B$434)+1-ROW('Eingabe Meldungen'!A15))))</f>
        <v/>
      </c>
      <c r="D449" s="107" t="str">
        <f t="array" ref="D449">IF(B449&lt;&gt;"",INDEX('Eingabe Meldungen'!$C$2:$H$492,MATCH(B449&amp;C449,'Eingabe Meldungen'!$C$2:$C$492&amp;'Eingabe Meldungen'!$D$2:$D$492,0),6),"")</f>
        <v/>
      </c>
      <c r="E449" s="107" t="str">
        <f t="array" ref="E449">IF(B449&lt;&gt;"",INDEX('Eingabe Meldungen'!$C$2:$H$492,MATCH(B449&amp;C449,'Eingabe Meldungen'!$C$2:$C$492&amp;'Eingabe Meldungen'!$D$2:$D$492,0),4),"")</f>
        <v/>
      </c>
      <c r="F449" s="39">
        <v>14</v>
      </c>
      <c r="G449" s="150"/>
      <c r="H449" s="40" t="e">
        <f t="shared" si="21"/>
        <v>#N/A</v>
      </c>
      <c r="I449" s="107" t="str">
        <f t="array" ref="I449">IF(B449&lt;&gt;"",INDEX('Eingabe Meldungen'!$C$2:$J$492,MATCH(B449&amp;C449,'Eingabe Meldungen'!$C$2:$C$492&amp;'Eingabe Meldungen'!$D$2:$D$492,0),8),"")</f>
        <v/>
      </c>
      <c r="J449" s="40"/>
      <c r="K449" s="40"/>
      <c r="L449" s="151"/>
      <c r="M449" s="112"/>
      <c r="O449" s="11"/>
      <c r="P449" s="10"/>
      <c r="Q449" s="11"/>
      <c r="R449" s="11"/>
      <c r="S449" s="11"/>
      <c r="T449" s="11"/>
      <c r="U449" s="11"/>
      <c r="Y449" s="15"/>
    </row>
    <row r="450" spans="2:25" ht="13.2" hidden="1" thickBot="1" x14ac:dyDescent="0.25">
      <c r="B450" s="148" t="str">
        <f t="array" ref="B450">IF(ISERROR(INDEX('Eingabe Meldungen'!$C$2:$C$492,LARGE(('Eingabe Meldungen'!$A$2:$A$492=$B$434)*(ROW('Eingabe Meldungen'!$A$2:$A$492)-1),COUNTIF('Eingabe Meldungen'!$A$2:$A$492,$B$434)+1-ROW('Eingabe Meldungen'!A16)))),"",INDEX('Eingabe Meldungen'!$C$2:$C$492,LARGE(('Eingabe Meldungen'!$A$2:$A$492=$B$434)*(ROW('Eingabe Meldungen'!$A$2:$A$492)-1),COUNTIF('Eingabe Meldungen'!$A$2:$A$492,$B$434)+1-ROW('Eingabe Meldungen'!A16))))</f>
        <v/>
      </c>
      <c r="C450" s="40" t="str">
        <f t="array" ref="C450">IF(ISERROR(INDEX('Eingabe Meldungen'!$D$2:$D$492,LARGE(('Eingabe Meldungen'!$A$2:$A$492=$B$434)*(ROW('Eingabe Meldungen'!$A$2:$A$492)-1),COUNTIF('Eingabe Meldungen'!$A$2:$A$492,$B$434)+1-ROW('Eingabe Meldungen'!A16)))),"",INDEX('Eingabe Meldungen'!$D$2:$D$492,LARGE(('Eingabe Meldungen'!$A$2:$A$492=$B$434)*(ROW('Eingabe Meldungen'!$A$2:$A$492)-1),COUNTIF('Eingabe Meldungen'!$A$2:$A$492,$B$434)+1-ROW('Eingabe Meldungen'!A16))))</f>
        <v/>
      </c>
      <c r="D450" s="107" t="str">
        <f t="array" ref="D450">IF(B450&lt;&gt;"",INDEX('Eingabe Meldungen'!$C$2:$H$492,MATCH(B450&amp;C450,'Eingabe Meldungen'!$C$2:$C$492&amp;'Eingabe Meldungen'!$D$2:$D$492,0),6),"")</f>
        <v/>
      </c>
      <c r="E450" s="107" t="str">
        <f t="array" ref="E450">IF(B450&lt;&gt;"",INDEX('Eingabe Meldungen'!$C$2:$H$492,MATCH(B450&amp;C450,'Eingabe Meldungen'!$C$2:$C$492&amp;'Eingabe Meldungen'!$D$2:$D$492,0),4),"")</f>
        <v/>
      </c>
      <c r="F450" s="39">
        <v>15</v>
      </c>
      <c r="G450" s="150"/>
      <c r="H450" s="40" t="e">
        <f t="shared" si="21"/>
        <v>#N/A</v>
      </c>
      <c r="I450" s="107" t="str">
        <f t="array" ref="I450">IF(B450&lt;&gt;"",INDEX('Eingabe Meldungen'!$C$2:$J$492,MATCH(B450&amp;C450,'Eingabe Meldungen'!$C$2:$C$492&amp;'Eingabe Meldungen'!$D$2:$D$492,0),8),"")</f>
        <v/>
      </c>
      <c r="J450" s="40"/>
      <c r="K450" s="40"/>
      <c r="L450" s="151"/>
      <c r="M450" s="112"/>
      <c r="O450" s="11"/>
      <c r="P450" s="10"/>
      <c r="Q450" s="11"/>
      <c r="R450" s="11"/>
      <c r="S450" s="11"/>
      <c r="T450" s="11"/>
      <c r="U450" s="11"/>
      <c r="Y450" s="15"/>
    </row>
    <row r="451" spans="2:25" ht="13.2" hidden="1" thickBot="1" x14ac:dyDescent="0.25">
      <c r="B451" s="148" t="str">
        <f t="array" ref="B451">IF(ISERROR(INDEX('Eingabe Meldungen'!$C$2:$C$492,LARGE(('Eingabe Meldungen'!$A$2:$A$492=$B$434)*(ROW('Eingabe Meldungen'!$A$2:$A$492)-1),COUNTIF('Eingabe Meldungen'!$A$2:$A$492,$B$434)+1-ROW('Eingabe Meldungen'!A17)))),"",INDEX('Eingabe Meldungen'!$C$2:$C$492,LARGE(('Eingabe Meldungen'!$A$2:$A$492=$B$434)*(ROW('Eingabe Meldungen'!$A$2:$A$492)-1),COUNTIF('Eingabe Meldungen'!$A$2:$A$492,$B$434)+1-ROW('Eingabe Meldungen'!A17))))</f>
        <v/>
      </c>
      <c r="C451" s="40" t="str">
        <f t="array" ref="C451">IF(ISERROR(INDEX('Eingabe Meldungen'!$D$2:$D$492,LARGE(('Eingabe Meldungen'!$A$2:$A$492=$B$434)*(ROW('Eingabe Meldungen'!$A$2:$A$492)-1),COUNTIF('Eingabe Meldungen'!$A$2:$A$492,$B$434)+1-ROW('Eingabe Meldungen'!A17)))),"",INDEX('Eingabe Meldungen'!$D$2:$D$492,LARGE(('Eingabe Meldungen'!$A$2:$A$492=$B$434)*(ROW('Eingabe Meldungen'!$A$2:$A$492)-1),COUNTIF('Eingabe Meldungen'!$A$2:$A$492,$B$434)+1-ROW('Eingabe Meldungen'!A17))))</f>
        <v/>
      </c>
      <c r="D451" s="107" t="str">
        <f t="array" ref="D451">IF(B451&lt;&gt;"",INDEX('Eingabe Meldungen'!$C$2:$H$492,MATCH(B451&amp;C451,'Eingabe Meldungen'!$C$2:$C$492&amp;'Eingabe Meldungen'!$D$2:$D$492,0),6),"")</f>
        <v/>
      </c>
      <c r="E451" s="107" t="str">
        <f t="array" ref="E451">IF(B451&lt;&gt;"",INDEX('Eingabe Meldungen'!$C$2:$H$492,MATCH(B451&amp;C451,'Eingabe Meldungen'!$C$2:$C$492&amp;'Eingabe Meldungen'!$D$2:$D$492,0),4),"")</f>
        <v/>
      </c>
      <c r="F451" s="39">
        <v>16</v>
      </c>
      <c r="G451" s="150"/>
      <c r="H451" s="40" t="e">
        <f t="shared" si="21"/>
        <v>#N/A</v>
      </c>
      <c r="I451" s="161" t="str">
        <f t="array" ref="I451">IF(B451&lt;&gt;"",INDEX('Eingabe Meldungen'!$C$2:$J$492,MATCH(B451&amp;C451,'Eingabe Meldungen'!$C$2:$C$492&amp;'Eingabe Meldungen'!$D$2:$D$492,0),8),"")</f>
        <v/>
      </c>
      <c r="J451" s="160"/>
      <c r="K451" s="160"/>
      <c r="L451" s="162"/>
      <c r="M451" s="128"/>
      <c r="O451" s="11"/>
      <c r="P451" s="10"/>
      <c r="Q451" s="11"/>
      <c r="R451" s="11"/>
      <c r="S451" s="11"/>
      <c r="T451" s="11"/>
      <c r="U451" s="11"/>
      <c r="Y451" s="15"/>
    </row>
    <row r="452" spans="2:25" ht="27.75" customHeight="1" x14ac:dyDescent="0.2">
      <c r="B452" s="114">
        <f>B434+1</f>
        <v>23</v>
      </c>
      <c r="C452" s="108" t="str">
        <f>VLOOKUP(B452,Ausschreibung!$B$5:$I$35,2,FALSE)</f>
        <v>Ergocup</v>
      </c>
      <c r="D452" s="109">
        <f>VLOOKUP(B452,Ausschreibung!$B$5:$I$35,3,FALSE)</f>
        <v>0.65208333333333313</v>
      </c>
      <c r="E452" s="108" t="str">
        <f>VLOOKUP(B452,Ausschreibung!$B$5:$I$35,4,FALSE)</f>
        <v>Senioren A</v>
      </c>
      <c r="F452" s="108">
        <v>70</v>
      </c>
      <c r="G452" s="108" t="str">
        <f>VLOOKUP(B452,Ausschreibung!$B$5:$I$35,6,FALSE)</f>
        <v>19 und älter</v>
      </c>
      <c r="H452" s="108" t="str">
        <f>VLOOKUP(B452,Ausschreibung!$B$5:$I$35,8,FALSE)</f>
        <v>2000 m</v>
      </c>
      <c r="I452" s="121"/>
      <c r="J452" s="129">
        <f>D452-(2*$N$60)</f>
        <v>0.56874999999999976</v>
      </c>
      <c r="K452" s="129"/>
      <c r="L452" s="129">
        <f>D452-$N$60</f>
        <v>0.6104166666666665</v>
      </c>
      <c r="M452" s="123"/>
      <c r="O452" s="11"/>
      <c r="P452" s="10"/>
      <c r="Q452" s="11"/>
      <c r="R452" s="11"/>
      <c r="S452" s="11"/>
      <c r="T452" s="11"/>
      <c r="U452" s="11"/>
      <c r="Y452" s="15"/>
    </row>
    <row r="453" spans="2:25" x14ac:dyDescent="0.2">
      <c r="B453" s="176" t="s">
        <v>1</v>
      </c>
      <c r="C453" s="177" t="s">
        <v>2</v>
      </c>
      <c r="D453" s="178" t="s">
        <v>4</v>
      </c>
      <c r="E453" s="179" t="s">
        <v>16</v>
      </c>
      <c r="F453" s="178" t="s">
        <v>18</v>
      </c>
      <c r="G453" s="178" t="s">
        <v>50</v>
      </c>
      <c r="H453" s="178" t="s">
        <v>51</v>
      </c>
      <c r="I453" s="180" t="s">
        <v>17</v>
      </c>
      <c r="J453" s="178" t="s">
        <v>85</v>
      </c>
      <c r="K453" s="179"/>
      <c r="L453" s="179" t="s">
        <v>50</v>
      </c>
      <c r="M453" s="185" t="s">
        <v>87</v>
      </c>
      <c r="O453" s="11"/>
      <c r="P453" s="10"/>
      <c r="Q453" s="11"/>
      <c r="R453" s="11"/>
      <c r="S453" s="11"/>
      <c r="T453" s="11"/>
      <c r="U453" s="11"/>
      <c r="Y453" s="15"/>
    </row>
    <row r="454" spans="2:25" x14ac:dyDescent="0.2">
      <c r="B454" s="148" t="str">
        <f t="array" ref="B454">IF(ISERROR(INDEX('Eingabe Meldungen'!$C$2:$C$492,LARGE(('Eingabe Meldungen'!$A$2:$A$492=$B$452)*(ROW('Eingabe Meldungen'!$A$2:$A$492)-1),COUNTIF('Eingabe Meldungen'!$A$2:$A$492,$B$452)+1-ROW('Eingabe Meldungen'!A1)))),"",INDEX('Eingabe Meldungen'!$C$2:$C$492,LARGE(('Eingabe Meldungen'!$A$2:$A$492=$B$452)*(ROW('Eingabe Meldungen'!$A$2:$A$492)-1),COUNTIF('Eingabe Meldungen'!$A$2:$A$492,$B$452)+1-ROW('Eingabe Meldungen'!A1))))</f>
        <v>Bogenschütz</v>
      </c>
      <c r="C454" s="40" t="str">
        <f t="array" ref="C454">IF(ISERROR(INDEX('Eingabe Meldungen'!$D$2:$D$492,LARGE(('Eingabe Meldungen'!$A$2:$A$492=$B$452)*(ROW('Eingabe Meldungen'!$A$2:$A$492)-1),COUNTIF('Eingabe Meldungen'!$A$2:$A$492,$B$452)+1-ROW('Eingabe Meldungen'!A1)))),"",INDEX('Eingabe Meldungen'!$D$2:$D$492,LARGE(('Eingabe Meldungen'!$A$2:$A$492=$B$452)*(ROW('Eingabe Meldungen'!$A$2:$A$492)-1),COUNTIF('Eingabe Meldungen'!$A$2:$A$492,$B$452)+1-ROW('Eingabe Meldungen'!A1))))</f>
        <v>Benjamin</v>
      </c>
      <c r="D454" s="107">
        <f t="array" ref="D454">IF(B454&lt;&gt;"",INDEX('Eingabe Meldungen'!$C$2:$H$492,MATCH(B454&amp;C454,'Eingabe Meldungen'!$C$2:$C$492&amp;'Eingabe Meldungen'!$D$2:$D$492,0),6),"")</f>
        <v>1986</v>
      </c>
      <c r="E454" s="107" t="str">
        <f t="array" ref="E454">IF(B454&lt;&gt;"",INDEX('Eingabe Meldungen'!$C$2:$H$492,MATCH(B454&amp;C454,'Eingabe Meldungen'!$C$2:$C$492&amp;'Eingabe Meldungen'!$D$2:$D$492,0),4),"")</f>
        <v>LGW. bis 75 kg</v>
      </c>
      <c r="F454" s="107"/>
      <c r="G454" s="149"/>
      <c r="H454" s="40" t="e">
        <f t="shared" ref="H454:H466" si="22">RANK(G454,$G$454:$G$466,1)</f>
        <v>#N/A</v>
      </c>
      <c r="I454" s="107" t="str">
        <f t="array" ref="I454">IF(B454&lt;&gt;"",INDEX('Eingabe Meldungen'!$C$2:$J$492,MATCH(B454&amp;C454,'Eingabe Meldungen'!$C$2:$C$492&amp;'Eingabe Meldungen'!$D$2:$D$492,0),8),"")</f>
        <v>Stuttgarter RG</v>
      </c>
      <c r="J454" s="257"/>
      <c r="K454" s="257"/>
      <c r="L454" s="254"/>
      <c r="M454" s="262"/>
      <c r="O454" s="11"/>
      <c r="P454" s="10"/>
      <c r="Q454" s="11"/>
      <c r="R454" s="11"/>
      <c r="S454" s="11"/>
      <c r="T454" s="11"/>
      <c r="U454" s="11"/>
      <c r="Y454" s="15"/>
    </row>
    <row r="455" spans="2:25" x14ac:dyDescent="0.2">
      <c r="B455" s="148" t="str">
        <f t="array" ref="B455">IF(ISERROR(INDEX('Eingabe Meldungen'!$C$2:$C$492,LARGE(('Eingabe Meldungen'!$A$2:$A$492=$B$452)*(ROW('Eingabe Meldungen'!$A$2:$A$492)-1),COUNTIF('Eingabe Meldungen'!$A$2:$A$492,$B$452)+1-ROW('Eingabe Meldungen'!A2)))),"",INDEX('Eingabe Meldungen'!$C$2:$C$492,LARGE(('Eingabe Meldungen'!$A$2:$A$492=$B$452)*(ROW('Eingabe Meldungen'!$A$2:$A$492)-1),COUNTIF('Eingabe Meldungen'!$A$2:$A$492,$B$452)+1-ROW('Eingabe Meldungen'!A2))))</f>
        <v>Schneckenberger</v>
      </c>
      <c r="C455" s="40" t="str">
        <f t="array" ref="C455">IF(ISERROR(INDEX('Eingabe Meldungen'!$D$2:$D$492,LARGE(('Eingabe Meldungen'!$A$2:$A$492=$B$452)*(ROW('Eingabe Meldungen'!$A$2:$A$492)-1),COUNTIF('Eingabe Meldungen'!$A$2:$A$492,$B$452)+1-ROW('Eingabe Meldungen'!A2)))),"",INDEX('Eingabe Meldungen'!$D$2:$D$492,LARGE(('Eingabe Meldungen'!$A$2:$A$492=$B$452)*(ROW('Eingabe Meldungen'!$A$2:$A$492)-1),COUNTIF('Eingabe Meldungen'!$A$2:$A$492,$B$452)+1-ROW('Eingabe Meldungen'!A2))))</f>
        <v>Lukas</v>
      </c>
      <c r="D455" s="107">
        <f t="array" ref="D455">IF(B455&lt;&gt;"",INDEX('Eingabe Meldungen'!$C$2:$H$492,MATCH(B455&amp;C455,'Eingabe Meldungen'!$C$2:$C$492&amp;'Eingabe Meldungen'!$D$2:$D$492,0),6),"")</f>
        <v>2000</v>
      </c>
      <c r="E455" s="107" t="str">
        <f t="array" ref="E455">IF(B455&lt;&gt;"",INDEX('Eingabe Meldungen'!$C$2:$H$492,MATCH(B455&amp;C455,'Eingabe Meldungen'!$C$2:$C$492&amp;'Eingabe Meldungen'!$D$2:$D$492,0),4),"")</f>
        <v>LGW. bis 75 kg</v>
      </c>
      <c r="F455" s="107"/>
      <c r="G455" s="149"/>
      <c r="H455" s="40" t="e">
        <f t="shared" si="22"/>
        <v>#N/A</v>
      </c>
      <c r="I455" s="107" t="str">
        <f t="array" ref="I455">IF(B455&lt;&gt;"",INDEX('Eingabe Meldungen'!$C$2:$J$492,MATCH(B455&amp;C455,'Eingabe Meldungen'!$C$2:$C$492&amp;'Eingabe Meldungen'!$D$2:$D$492,0),8),"")</f>
        <v>RC Nürtingen</v>
      </c>
      <c r="J455" s="257"/>
      <c r="K455" s="257"/>
      <c r="L455" s="254"/>
      <c r="M455" s="262"/>
      <c r="O455" s="11"/>
      <c r="P455" s="10"/>
      <c r="Q455" s="11"/>
      <c r="R455" s="11"/>
      <c r="S455" s="11"/>
      <c r="T455" s="11"/>
      <c r="U455" s="11"/>
      <c r="Y455" s="15"/>
    </row>
    <row r="456" spans="2:25" x14ac:dyDescent="0.2">
      <c r="B456" s="148" t="str">
        <f t="array" ref="B456">IF(ISERROR(INDEX('Eingabe Meldungen'!$C$2:$C$492,LARGE(('Eingabe Meldungen'!$A$2:$A$492=$B$452)*(ROW('Eingabe Meldungen'!$A$2:$A$492)-1),COUNTIF('Eingabe Meldungen'!$A$2:$A$492,$B$452)+1-ROW('Eingabe Meldungen'!A3)))),"",INDEX('Eingabe Meldungen'!$C$2:$C$492,LARGE(('Eingabe Meldungen'!$A$2:$A$492=$B$452)*(ROW('Eingabe Meldungen'!$A$2:$A$492)-1),COUNTIF('Eingabe Meldungen'!$A$2:$A$492,$B$452)+1-ROW('Eingabe Meldungen'!A3))))</f>
        <v>Remelé</v>
      </c>
      <c r="C456" s="40" t="str">
        <f t="array" ref="C456">IF(ISERROR(INDEX('Eingabe Meldungen'!$D$2:$D$492,LARGE(('Eingabe Meldungen'!$A$2:$A$492=$B$452)*(ROW('Eingabe Meldungen'!$A$2:$A$492)-1),COUNTIF('Eingabe Meldungen'!$A$2:$A$492,$B$452)+1-ROW('Eingabe Meldungen'!A3)))),"",INDEX('Eingabe Meldungen'!$D$2:$D$492,LARGE(('Eingabe Meldungen'!$A$2:$A$492=$B$452)*(ROW('Eingabe Meldungen'!$A$2:$A$492)-1),COUNTIF('Eingabe Meldungen'!$A$2:$A$492,$B$452)+1-ROW('Eingabe Meldungen'!A3))))</f>
        <v>Friedrich</v>
      </c>
      <c r="D456" s="107">
        <f t="array" ref="D456">IF(B456&lt;&gt;"",INDEX('Eingabe Meldungen'!$C$2:$H$492,MATCH(B456&amp;C456,'Eingabe Meldungen'!$C$2:$C$492&amp;'Eingabe Meldungen'!$D$2:$D$492,0),6),"")</f>
        <v>2001</v>
      </c>
      <c r="E456" s="107" t="str">
        <f t="array" ref="E456">IF(B456&lt;&gt;"",INDEX('Eingabe Meldungen'!$C$2:$H$492,MATCH(B456&amp;C456,'Eingabe Meldungen'!$C$2:$C$492&amp;'Eingabe Meldungen'!$D$2:$D$492,0),4),"")</f>
        <v>LGW. bis 75 kg</v>
      </c>
      <c r="F456" s="107"/>
      <c r="G456" s="149"/>
      <c r="H456" s="40" t="e">
        <f t="shared" si="22"/>
        <v>#N/A</v>
      </c>
      <c r="I456" s="107" t="str">
        <f t="array" ref="I456">IF(B456&lt;&gt;"",INDEX('Eingabe Meldungen'!$C$2:$J$492,MATCH(B456&amp;C456,'Eingabe Meldungen'!$C$2:$C$492&amp;'Eingabe Meldungen'!$D$2:$D$492,0),8),"")</f>
        <v>Schweinfurter Ruder-Club Franken</v>
      </c>
      <c r="J456" s="257"/>
      <c r="K456" s="257"/>
      <c r="L456" s="254"/>
      <c r="M456" s="258"/>
      <c r="Y456" s="15"/>
    </row>
    <row r="457" spans="2:25" x14ac:dyDescent="0.2">
      <c r="B457" s="148" t="str">
        <f t="array" ref="B457">IF(ISERROR(INDEX('Eingabe Meldungen'!$C$2:$C$492,LARGE(('Eingabe Meldungen'!$A$2:$A$492=$B$452)*(ROW('Eingabe Meldungen'!$A$2:$A$492)-1),COUNTIF('Eingabe Meldungen'!$A$2:$A$492,$B$452)+1-ROW('Eingabe Meldungen'!A4)))),"",INDEX('Eingabe Meldungen'!$C$2:$C$492,LARGE(('Eingabe Meldungen'!$A$2:$A$492=$B$452)*(ROW('Eingabe Meldungen'!$A$2:$A$492)-1),COUNTIF('Eingabe Meldungen'!$A$2:$A$492,$B$452)+1-ROW('Eingabe Meldungen'!A4))))</f>
        <v>Stein</v>
      </c>
      <c r="C457" s="40" t="str">
        <f t="array" ref="C457">IF(ISERROR(INDEX('Eingabe Meldungen'!$D$2:$D$492,LARGE(('Eingabe Meldungen'!$A$2:$A$492=$B$452)*(ROW('Eingabe Meldungen'!$A$2:$A$492)-1),COUNTIF('Eingabe Meldungen'!$A$2:$A$492,$B$452)+1-ROW('Eingabe Meldungen'!A4)))),"",INDEX('Eingabe Meldungen'!$D$2:$D$492,LARGE(('Eingabe Meldungen'!$A$2:$A$492=$B$452)*(ROW('Eingabe Meldungen'!$A$2:$A$492)-1),COUNTIF('Eingabe Meldungen'!$A$2:$A$492,$B$452)+1-ROW('Eingabe Meldungen'!A4))))</f>
        <v>Jonas</v>
      </c>
      <c r="D457" s="107">
        <f t="array" ref="D457">IF(B457&lt;&gt;"",INDEX('Eingabe Meldungen'!$C$2:$H$492,MATCH(B457&amp;C457,'Eingabe Meldungen'!$C$2:$C$492&amp;'Eingabe Meldungen'!$D$2:$D$492,0),6),"")</f>
        <v>2001</v>
      </c>
      <c r="E457" s="107" t="str">
        <f t="array" ref="E457">IF(B457&lt;&gt;"",INDEX('Eingabe Meldungen'!$C$2:$H$492,MATCH(B457&amp;C457,'Eingabe Meldungen'!$C$2:$C$492&amp;'Eingabe Meldungen'!$D$2:$D$492,0),4),"")</f>
        <v>LGW. bis 75 kg</v>
      </c>
      <c r="F457" s="107"/>
      <c r="G457" s="149"/>
      <c r="H457" s="40" t="e">
        <f t="shared" si="22"/>
        <v>#N/A</v>
      </c>
      <c r="I457" s="107" t="str">
        <f t="array" ref="I457">IF(B457&lt;&gt;"",INDEX('Eingabe Meldungen'!$C$2:$J$492,MATCH(B457&amp;C457,'Eingabe Meldungen'!$C$2:$C$492&amp;'Eingabe Meldungen'!$D$2:$D$492,0),8),"")</f>
        <v>Marbacher Ruderverein</v>
      </c>
      <c r="J457" s="257"/>
      <c r="K457" s="257"/>
      <c r="L457" s="254"/>
      <c r="M457" s="258"/>
      <c r="Y457" s="15"/>
    </row>
    <row r="458" spans="2:25" x14ac:dyDescent="0.2">
      <c r="B458" s="148" t="str">
        <f t="array" ref="B458">IF(ISERROR(INDEX('Eingabe Meldungen'!$C$2:$C$492,LARGE(('Eingabe Meldungen'!$A$2:$A$492=$B$452)*(ROW('Eingabe Meldungen'!$A$2:$A$492)-1),COUNTIF('Eingabe Meldungen'!$A$2:$A$492,$B$452)+1-ROW('Eingabe Meldungen'!A5)))),"",INDEX('Eingabe Meldungen'!$C$2:$C$492,LARGE(('Eingabe Meldungen'!$A$2:$A$492=$B$452)*(ROW('Eingabe Meldungen'!$A$2:$A$492)-1),COUNTIF('Eingabe Meldungen'!$A$2:$A$492,$B$452)+1-ROW('Eingabe Meldungen'!A5))))</f>
        <v/>
      </c>
      <c r="C458" s="40" t="str">
        <f t="array" ref="C458">IF(ISERROR(INDEX('Eingabe Meldungen'!$D$2:$D$492,LARGE(('Eingabe Meldungen'!$A$2:$A$492=$B$452)*(ROW('Eingabe Meldungen'!$A$2:$A$492)-1),COUNTIF('Eingabe Meldungen'!$A$2:$A$492,$B$452)+1-ROW('Eingabe Meldungen'!A5)))),"",INDEX('Eingabe Meldungen'!$D$2:$D$492,LARGE(('Eingabe Meldungen'!$A$2:$A$492=$B$452)*(ROW('Eingabe Meldungen'!$A$2:$A$492)-1),COUNTIF('Eingabe Meldungen'!$A$2:$A$492,$B$452)+1-ROW('Eingabe Meldungen'!A5))))</f>
        <v/>
      </c>
      <c r="D458" s="107" t="str">
        <f t="array" ref="D458">IF(B458&lt;&gt;"",INDEX('Eingabe Meldungen'!$C$2:$H$492,MATCH(B458&amp;C458,'Eingabe Meldungen'!$C$2:$C$492&amp;'Eingabe Meldungen'!$D$2:$D$492,0),6),"")</f>
        <v/>
      </c>
      <c r="E458" s="107" t="str">
        <f t="array" ref="E458">IF(B458&lt;&gt;"",INDEX('Eingabe Meldungen'!$C$2:$H$492,MATCH(B458&amp;C458,'Eingabe Meldungen'!$C$2:$C$492&amp;'Eingabe Meldungen'!$D$2:$D$492,0),4),"")</f>
        <v/>
      </c>
      <c r="F458" s="107"/>
      <c r="G458" s="149"/>
      <c r="H458" s="40" t="e">
        <f t="shared" si="22"/>
        <v>#N/A</v>
      </c>
      <c r="I458" s="107" t="str">
        <f t="array" ref="I458">IF(B458&lt;&gt;"",INDEX('Eingabe Meldungen'!$C$2:$J$492,MATCH(B458&amp;C458,'Eingabe Meldungen'!$C$2:$C$492&amp;'Eingabe Meldungen'!$D$2:$D$492,0),8),"")</f>
        <v/>
      </c>
      <c r="J458" s="257"/>
      <c r="K458" s="257"/>
      <c r="L458" s="254"/>
      <c r="M458" s="258"/>
      <c r="Y458" s="15"/>
    </row>
    <row r="459" spans="2:25" x14ac:dyDescent="0.2">
      <c r="B459" s="148" t="str">
        <f t="array" ref="B459">IF(ISERROR(INDEX('Eingabe Meldungen'!$C$2:$C$492,LARGE(('Eingabe Meldungen'!$A$2:$A$492=$B$452)*(ROW('Eingabe Meldungen'!$A$2:$A$492)-1),COUNTIF('Eingabe Meldungen'!$A$2:$A$492,$B$452)+1-ROW('Eingabe Meldungen'!A6)))),"",INDEX('Eingabe Meldungen'!$C$2:$C$492,LARGE(('Eingabe Meldungen'!$A$2:$A$492=$B$452)*(ROW('Eingabe Meldungen'!$A$2:$A$492)-1),COUNTIF('Eingabe Meldungen'!$A$2:$A$492,$B$452)+1-ROW('Eingabe Meldungen'!A6))))</f>
        <v/>
      </c>
      <c r="C459" s="40" t="str">
        <f t="array" ref="C459">IF(ISERROR(INDEX('Eingabe Meldungen'!$D$2:$D$492,LARGE(('Eingabe Meldungen'!$A$2:$A$492=$B$452)*(ROW('Eingabe Meldungen'!$A$2:$A$492)-1),COUNTIF('Eingabe Meldungen'!$A$2:$A$492,$B$452)+1-ROW('Eingabe Meldungen'!A6)))),"",INDEX('Eingabe Meldungen'!$D$2:$D$492,LARGE(('Eingabe Meldungen'!$A$2:$A$492=$B$452)*(ROW('Eingabe Meldungen'!$A$2:$A$492)-1),COUNTIF('Eingabe Meldungen'!$A$2:$A$492,$B$452)+1-ROW('Eingabe Meldungen'!A6))))</f>
        <v/>
      </c>
      <c r="D459" s="107" t="str">
        <f t="array" ref="D459">IF(B459&lt;&gt;"",INDEX('Eingabe Meldungen'!$C$2:$H$492,MATCH(B459&amp;C459,'Eingabe Meldungen'!$C$2:$C$492&amp;'Eingabe Meldungen'!$D$2:$D$492,0),6),"")</f>
        <v/>
      </c>
      <c r="E459" s="107" t="str">
        <f t="array" ref="E459">IF(B459&lt;&gt;"",INDEX('Eingabe Meldungen'!$C$2:$H$492,MATCH(B459&amp;C459,'Eingabe Meldungen'!$C$2:$C$492&amp;'Eingabe Meldungen'!$D$2:$D$492,0),4),"")</f>
        <v/>
      </c>
      <c r="F459" s="107"/>
      <c r="G459" s="149"/>
      <c r="H459" s="40" t="e">
        <f t="shared" si="22"/>
        <v>#N/A</v>
      </c>
      <c r="I459" s="107" t="str">
        <f t="array" ref="I459">IF(B459&lt;&gt;"",INDEX('Eingabe Meldungen'!$C$2:$J$492,MATCH(B459&amp;C459,'Eingabe Meldungen'!$C$2:$C$492&amp;'Eingabe Meldungen'!$D$2:$D$492,0),8),"")</f>
        <v/>
      </c>
      <c r="J459" s="257"/>
      <c r="K459" s="257"/>
      <c r="L459" s="254"/>
      <c r="M459" s="258"/>
      <c r="Y459" s="15"/>
    </row>
    <row r="460" spans="2:25" x14ac:dyDescent="0.2">
      <c r="B460" s="148" t="str">
        <f t="array" ref="B460">IF(ISERROR(INDEX('Eingabe Meldungen'!$C$2:$C$492,LARGE(('Eingabe Meldungen'!$A$2:$A$492=$B$452)*(ROW('Eingabe Meldungen'!$A$2:$A$492)-1),COUNTIF('Eingabe Meldungen'!$A$2:$A$492,$B$452)+1-ROW('Eingabe Meldungen'!A7)))),"",INDEX('Eingabe Meldungen'!$C$2:$C$492,LARGE(('Eingabe Meldungen'!$A$2:$A$492=$B$452)*(ROW('Eingabe Meldungen'!$A$2:$A$492)-1),COUNTIF('Eingabe Meldungen'!$A$2:$A$492,$B$452)+1-ROW('Eingabe Meldungen'!A7))))</f>
        <v/>
      </c>
      <c r="C460" s="40" t="str">
        <f t="array" ref="C460">IF(ISERROR(INDEX('Eingabe Meldungen'!$D$2:$D$492,LARGE(('Eingabe Meldungen'!$A$2:$A$492=$B$452)*(ROW('Eingabe Meldungen'!$A$2:$A$492)-1),COUNTIF('Eingabe Meldungen'!$A$2:$A$492,$B$452)+1-ROW('Eingabe Meldungen'!A7)))),"",INDEX('Eingabe Meldungen'!$D$2:$D$492,LARGE(('Eingabe Meldungen'!$A$2:$A$492=$B$452)*(ROW('Eingabe Meldungen'!$A$2:$A$492)-1),COUNTIF('Eingabe Meldungen'!$A$2:$A$492,$B$452)+1-ROW('Eingabe Meldungen'!A7))))</f>
        <v/>
      </c>
      <c r="D460" s="107" t="str">
        <f t="array" ref="D460">IF(B460&lt;&gt;"",INDEX('Eingabe Meldungen'!$C$2:$H$492,MATCH(B460&amp;C460,'Eingabe Meldungen'!$C$2:$C$492&amp;'Eingabe Meldungen'!$D$2:$D$492,0),6),"")</f>
        <v/>
      </c>
      <c r="E460" s="107" t="str">
        <f t="array" ref="E460">IF(B460&lt;&gt;"",INDEX('Eingabe Meldungen'!$C$2:$H$492,MATCH(B460&amp;C460,'Eingabe Meldungen'!$C$2:$C$492&amp;'Eingabe Meldungen'!$D$2:$D$492,0),4),"")</f>
        <v/>
      </c>
      <c r="F460" s="107"/>
      <c r="G460" s="149"/>
      <c r="H460" s="40" t="e">
        <f t="shared" si="22"/>
        <v>#N/A</v>
      </c>
      <c r="I460" s="107" t="str">
        <f t="array" ref="I460">IF(B460&lt;&gt;"",INDEX('Eingabe Meldungen'!$C$2:$J$492,MATCH(B460&amp;C460,'Eingabe Meldungen'!$C$2:$C$492&amp;'Eingabe Meldungen'!$D$2:$D$492,0),8),"")</f>
        <v/>
      </c>
      <c r="J460" s="257"/>
      <c r="K460" s="257"/>
      <c r="L460" s="254"/>
      <c r="M460" s="258"/>
      <c r="Y460" s="15"/>
    </row>
    <row r="461" spans="2:25" x14ac:dyDescent="0.2">
      <c r="B461" s="148" t="str">
        <f t="array" ref="B461">IF(ISERROR(INDEX('Eingabe Meldungen'!$C$2:$C$492,LARGE(('Eingabe Meldungen'!$A$2:$A$492=$B$452)*(ROW('Eingabe Meldungen'!$A$2:$A$492)-1),COUNTIF('Eingabe Meldungen'!$A$2:$A$492,$B$452)+1-ROW('Eingabe Meldungen'!A8)))),"",INDEX('Eingabe Meldungen'!$C$2:$C$492,LARGE(('Eingabe Meldungen'!$A$2:$A$492=$B$452)*(ROW('Eingabe Meldungen'!$A$2:$A$492)-1),COUNTIF('Eingabe Meldungen'!$A$2:$A$492,$B$452)+1-ROW('Eingabe Meldungen'!A8))))</f>
        <v/>
      </c>
      <c r="C461" s="40" t="str">
        <f t="array" ref="C461">IF(ISERROR(INDEX('Eingabe Meldungen'!$D$2:$D$492,LARGE(('Eingabe Meldungen'!$A$2:$A$492=$B$452)*(ROW('Eingabe Meldungen'!$A$2:$A$492)-1),COUNTIF('Eingabe Meldungen'!$A$2:$A$492,$B$452)+1-ROW('Eingabe Meldungen'!A8)))),"",INDEX('Eingabe Meldungen'!$D$2:$D$492,LARGE(('Eingabe Meldungen'!$A$2:$A$492=$B$452)*(ROW('Eingabe Meldungen'!$A$2:$A$492)-1),COUNTIF('Eingabe Meldungen'!$A$2:$A$492,$B$452)+1-ROW('Eingabe Meldungen'!A8))))</f>
        <v/>
      </c>
      <c r="D461" s="107" t="str">
        <f t="array" ref="D461">IF(B461&lt;&gt;"",INDEX('Eingabe Meldungen'!$C$2:$H$492,MATCH(B461&amp;C461,'Eingabe Meldungen'!$C$2:$C$492&amp;'Eingabe Meldungen'!$D$2:$D$492,0),6),"")</f>
        <v/>
      </c>
      <c r="E461" s="107" t="str">
        <f t="array" ref="E461">IF(B461&lt;&gt;"",INDEX('Eingabe Meldungen'!$C$2:$H$492,MATCH(B461&amp;C461,'Eingabe Meldungen'!$C$2:$C$492&amp;'Eingabe Meldungen'!$D$2:$D$492,0),4),"")</f>
        <v/>
      </c>
      <c r="F461" s="107"/>
      <c r="G461" s="149"/>
      <c r="H461" s="40" t="e">
        <f t="shared" si="22"/>
        <v>#N/A</v>
      </c>
      <c r="I461" s="107" t="str">
        <f t="array" ref="I461">IF(B461&lt;&gt;"",INDEX('Eingabe Meldungen'!$C$2:$J$492,MATCH(B461&amp;C461,'Eingabe Meldungen'!$C$2:$C$492&amp;'Eingabe Meldungen'!$D$2:$D$492,0),8),"")</f>
        <v/>
      </c>
      <c r="J461" s="257"/>
      <c r="K461" s="257"/>
      <c r="L461" s="254"/>
      <c r="M461" s="258"/>
      <c r="Y461" s="15"/>
    </row>
    <row r="462" spans="2:25" ht="15" customHeight="1" x14ac:dyDescent="0.2">
      <c r="B462" s="148" t="str">
        <f t="array" ref="B462">IF(ISERROR(INDEX('Eingabe Meldungen'!$C$2:$C$492,LARGE(('Eingabe Meldungen'!$A$2:$A$492=$B$452)*(ROW('Eingabe Meldungen'!$A$2:$A$492)-1),COUNTIF('Eingabe Meldungen'!$A$2:$A$492,$B$452)+1-ROW('Eingabe Meldungen'!A12)))),"",INDEX('Eingabe Meldungen'!$C$2:$C$492,LARGE(('Eingabe Meldungen'!$A$2:$A$492=$B$452)*(ROW('Eingabe Meldungen'!$A$2:$A$492)-1),COUNTIF('Eingabe Meldungen'!$A$2:$A$492,$B$452)+1-ROW('Eingabe Meldungen'!A12))))</f>
        <v/>
      </c>
      <c r="C462" s="40" t="str">
        <f t="array" ref="C462">IF(ISERROR(INDEX('Eingabe Meldungen'!$D$2:$D$492,LARGE(('Eingabe Meldungen'!$A$2:$A$492=$B$452)*(ROW('Eingabe Meldungen'!$A$2:$A$492)-1),COUNTIF('Eingabe Meldungen'!$A$2:$A$492,$B$452)+1-ROW('Eingabe Meldungen'!A12)))),"",INDEX('Eingabe Meldungen'!$D$2:$D$492,LARGE(('Eingabe Meldungen'!$A$2:$A$492=$B$452)*(ROW('Eingabe Meldungen'!$A$2:$A$492)-1),COUNTIF('Eingabe Meldungen'!$A$2:$A$492,$B$452)+1-ROW('Eingabe Meldungen'!A12))))</f>
        <v/>
      </c>
      <c r="D462" s="107" t="str">
        <f t="array" ref="D462">IF(B462&lt;&gt;"",INDEX('Eingabe Meldungen'!$C$2:$H$492,MATCH(B462&amp;C462,'Eingabe Meldungen'!$C$2:$C$492&amp;'Eingabe Meldungen'!$D$2:$D$492,0),6),"")</f>
        <v/>
      </c>
      <c r="E462" s="107" t="str">
        <f t="array" ref="E462">IF(B462&lt;&gt;"",INDEX('Eingabe Meldungen'!$C$2:$H$492,MATCH(B462&amp;C462,'Eingabe Meldungen'!$C$2:$C$492&amp;'Eingabe Meldungen'!$D$2:$D$492,0),4),"")</f>
        <v/>
      </c>
      <c r="F462" s="107"/>
      <c r="G462" s="149"/>
      <c r="H462" s="40" t="e">
        <f t="shared" si="22"/>
        <v>#N/A</v>
      </c>
      <c r="I462" s="107" t="str">
        <f t="array" ref="I462">IF(B462&lt;&gt;"",INDEX('Eingabe Meldungen'!$C$2:$J$492,MATCH(B462&amp;C462,'Eingabe Meldungen'!$C$2:$C$492&amp;'Eingabe Meldungen'!$D$2:$D$492,0),8),"")</f>
        <v/>
      </c>
      <c r="J462" s="257"/>
      <c r="K462" s="257"/>
      <c r="L462" s="254"/>
      <c r="M462" s="258"/>
    </row>
    <row r="463" spans="2:25" x14ac:dyDescent="0.2">
      <c r="B463" s="148" t="str">
        <f t="array" ref="B463">IF(ISERROR(INDEX('Eingabe Meldungen'!$C$2:$C$492,LARGE(('Eingabe Meldungen'!$A$2:$A$492=$B$452)*(ROW('Eingabe Meldungen'!$A$2:$A$492)-1),COUNTIF('Eingabe Meldungen'!$A$2:$A$492,$B$452)+1-ROW('Eingabe Meldungen'!A13)))),"",INDEX('Eingabe Meldungen'!$C$2:$C$492,LARGE(('Eingabe Meldungen'!$A$2:$A$492=$B$452)*(ROW('Eingabe Meldungen'!$A$2:$A$492)-1),COUNTIF('Eingabe Meldungen'!$A$2:$A$492,$B$452)+1-ROW('Eingabe Meldungen'!A13))))</f>
        <v/>
      </c>
      <c r="C463" s="40" t="str">
        <f t="array" ref="C463">IF(ISERROR(INDEX('Eingabe Meldungen'!$D$2:$D$492,LARGE(('Eingabe Meldungen'!$A$2:$A$492=$B$452)*(ROW('Eingabe Meldungen'!$A$2:$A$492)-1),COUNTIF('Eingabe Meldungen'!$A$2:$A$492,$B$452)+1-ROW('Eingabe Meldungen'!A13)))),"",INDEX('Eingabe Meldungen'!$D$2:$D$492,LARGE(('Eingabe Meldungen'!$A$2:$A$492=$B$452)*(ROW('Eingabe Meldungen'!$A$2:$A$492)-1),COUNTIF('Eingabe Meldungen'!$A$2:$A$492,$B$452)+1-ROW('Eingabe Meldungen'!A13))))</f>
        <v/>
      </c>
      <c r="D463" s="107" t="str">
        <f t="array" ref="D463">IF(B463&lt;&gt;"",INDEX('Eingabe Meldungen'!$C$2:$H$492,MATCH(B463&amp;C463,'Eingabe Meldungen'!$C$2:$C$492&amp;'Eingabe Meldungen'!$D$2:$D$492,0),6),"")</f>
        <v/>
      </c>
      <c r="E463" s="107" t="str">
        <f t="array" ref="E463">IF(B463&lt;&gt;"",INDEX('Eingabe Meldungen'!$C$2:$H$492,MATCH(B463&amp;C463,'Eingabe Meldungen'!$C$2:$C$492&amp;'Eingabe Meldungen'!$D$2:$D$492,0),4),"")</f>
        <v/>
      </c>
      <c r="F463" s="107"/>
      <c r="G463" s="149"/>
      <c r="H463" s="40" t="e">
        <f t="shared" si="22"/>
        <v>#N/A</v>
      </c>
      <c r="I463" s="107" t="str">
        <f t="array" ref="I463">IF(B463&lt;&gt;"",INDEX('Eingabe Meldungen'!$C$2:$J$492,MATCH(B463&amp;C463,'Eingabe Meldungen'!$C$2:$C$492&amp;'Eingabe Meldungen'!$D$2:$D$492,0),8),"")</f>
        <v/>
      </c>
      <c r="J463" s="257"/>
      <c r="K463" s="257"/>
      <c r="L463" s="254"/>
      <c r="M463" s="258"/>
    </row>
    <row r="464" spans="2:25" x14ac:dyDescent="0.2">
      <c r="B464" s="148" t="str">
        <f t="array" ref="B464">IF(ISERROR(INDEX('Eingabe Meldungen'!$C$2:$C$492,LARGE(('Eingabe Meldungen'!$A$2:$A$492=$B$452)*(ROW('Eingabe Meldungen'!$A$2:$A$492)-1),COUNTIF('Eingabe Meldungen'!$A$2:$A$492,$B$452)+1-ROW('Eingabe Meldungen'!A14)))),"",INDEX('Eingabe Meldungen'!$C$2:$C$492,LARGE(('Eingabe Meldungen'!$A$2:$A$492=$B$452)*(ROW('Eingabe Meldungen'!$A$2:$A$492)-1),COUNTIF('Eingabe Meldungen'!$A$2:$A$492,$B$452)+1-ROW('Eingabe Meldungen'!A14))))</f>
        <v/>
      </c>
      <c r="C464" s="40" t="str">
        <f t="array" ref="C464">IF(ISERROR(INDEX('Eingabe Meldungen'!$D$2:$D$492,LARGE(('Eingabe Meldungen'!$A$2:$A$492=$B$452)*(ROW('Eingabe Meldungen'!$A$2:$A$492)-1),COUNTIF('Eingabe Meldungen'!$A$2:$A$492,$B$452)+1-ROW('Eingabe Meldungen'!A14)))),"",INDEX('Eingabe Meldungen'!$D$2:$D$492,LARGE(('Eingabe Meldungen'!$A$2:$A$492=$B$452)*(ROW('Eingabe Meldungen'!$A$2:$A$492)-1),COUNTIF('Eingabe Meldungen'!$A$2:$A$492,$B$452)+1-ROW('Eingabe Meldungen'!A14))))</f>
        <v/>
      </c>
      <c r="D464" s="107" t="str">
        <f t="array" ref="D464">IF(B464&lt;&gt;"",INDEX('Eingabe Meldungen'!$C$2:$H$492,MATCH(B464&amp;C464,'Eingabe Meldungen'!$C$2:$C$492&amp;'Eingabe Meldungen'!$D$2:$D$492,0),6),"")</f>
        <v/>
      </c>
      <c r="E464" s="107" t="str">
        <f t="array" ref="E464">IF(B464&lt;&gt;"",INDEX('Eingabe Meldungen'!$C$2:$H$492,MATCH(B464&amp;C464,'Eingabe Meldungen'!$C$2:$C$492&amp;'Eingabe Meldungen'!$D$2:$D$492,0),4),"")</f>
        <v/>
      </c>
      <c r="F464" s="107"/>
      <c r="G464" s="149"/>
      <c r="H464" s="40" t="e">
        <f t="shared" si="22"/>
        <v>#N/A</v>
      </c>
      <c r="I464" s="107" t="str">
        <f t="array" ref="I464">IF(B464&lt;&gt;"",INDEX('Eingabe Meldungen'!$C$2:$J$492,MATCH(B464&amp;C464,'Eingabe Meldungen'!$C$2:$C$492&amp;'Eingabe Meldungen'!$D$2:$D$492,0),8),"")</f>
        <v/>
      </c>
      <c r="J464" s="257"/>
      <c r="K464" s="257"/>
      <c r="L464" s="254"/>
      <c r="M464" s="258"/>
      <c r="Y464" s="15"/>
    </row>
    <row r="465" spans="2:25" x14ac:dyDescent="0.2">
      <c r="B465" s="148" t="str">
        <f t="array" ref="B465">IF(ISERROR(INDEX('Eingabe Meldungen'!$C$2:$C$492,LARGE(('Eingabe Meldungen'!$A$2:$A$492=$B$452)*(ROW('Eingabe Meldungen'!$A$2:$A$492)-1),COUNTIF('Eingabe Meldungen'!$A$2:$A$492,$B$452)+1-ROW('Eingabe Meldungen'!A15)))),"",INDEX('Eingabe Meldungen'!$C$2:$C$492,LARGE(('Eingabe Meldungen'!$A$2:$A$492=$B$452)*(ROW('Eingabe Meldungen'!$A$2:$A$492)-1),COUNTIF('Eingabe Meldungen'!$A$2:$A$492,$B$452)+1-ROW('Eingabe Meldungen'!A15))))</f>
        <v/>
      </c>
      <c r="C465" s="40" t="str">
        <f t="array" ref="C465">IF(ISERROR(INDEX('Eingabe Meldungen'!$D$2:$D$492,LARGE(('Eingabe Meldungen'!$A$2:$A$492=$B$452)*(ROW('Eingabe Meldungen'!$A$2:$A$492)-1),COUNTIF('Eingabe Meldungen'!$A$2:$A$492,$B$452)+1-ROW('Eingabe Meldungen'!A15)))),"",INDEX('Eingabe Meldungen'!$D$2:$D$492,LARGE(('Eingabe Meldungen'!$A$2:$A$492=$B$452)*(ROW('Eingabe Meldungen'!$A$2:$A$492)-1),COUNTIF('Eingabe Meldungen'!$A$2:$A$492,$B$452)+1-ROW('Eingabe Meldungen'!A15))))</f>
        <v/>
      </c>
      <c r="D465" s="107" t="str">
        <f t="array" ref="D465">IF(B465&lt;&gt;"",INDEX('Eingabe Meldungen'!$C$2:$H$492,MATCH(B465&amp;C465,'Eingabe Meldungen'!$C$2:$C$492&amp;'Eingabe Meldungen'!$D$2:$D$492,0),6),"")</f>
        <v/>
      </c>
      <c r="E465" s="107" t="str">
        <f t="array" ref="E465">IF(B465&lt;&gt;"",INDEX('Eingabe Meldungen'!$C$2:$H$492,MATCH(B465&amp;C465,'Eingabe Meldungen'!$C$2:$C$492&amp;'Eingabe Meldungen'!$D$2:$D$492,0),4),"")</f>
        <v/>
      </c>
      <c r="F465" s="107"/>
      <c r="G465" s="149"/>
      <c r="H465" s="40" t="e">
        <f t="shared" si="22"/>
        <v>#N/A</v>
      </c>
      <c r="I465" s="107" t="str">
        <f t="array" ref="I465">IF(B465&lt;&gt;"",INDEX('Eingabe Meldungen'!$C$2:$J$492,MATCH(B465&amp;C465,'Eingabe Meldungen'!$C$2:$C$492&amp;'Eingabe Meldungen'!$D$2:$D$492,0),8),"")</f>
        <v/>
      </c>
      <c r="J465" s="257"/>
      <c r="K465" s="257"/>
      <c r="L465" s="254"/>
      <c r="M465" s="258"/>
      <c r="Y465" s="15"/>
    </row>
    <row r="466" spans="2:25" x14ac:dyDescent="0.2">
      <c r="B466" s="148" t="str">
        <f t="array" ref="B466">IF(ISERROR(INDEX('Eingabe Meldungen'!$C$2:$C$492,LARGE(('Eingabe Meldungen'!$A$2:$A$492=$B$452)*(ROW('Eingabe Meldungen'!$A$2:$A$492)-1),COUNTIF('Eingabe Meldungen'!$A$2:$A$492,$B$452)+1-ROW('Eingabe Meldungen'!A16)))),"",INDEX('Eingabe Meldungen'!$C$2:$C$492,LARGE(('Eingabe Meldungen'!$A$2:$A$492=$B$452)*(ROW('Eingabe Meldungen'!$A$2:$A$492)-1),COUNTIF('Eingabe Meldungen'!$A$2:$A$492,$B$452)+1-ROW('Eingabe Meldungen'!A16))))</f>
        <v/>
      </c>
      <c r="C466" s="40" t="str">
        <f t="array" ref="C466">IF(ISERROR(INDEX('Eingabe Meldungen'!$D$2:$D$492,LARGE(('Eingabe Meldungen'!$A$2:$A$492=$B$452)*(ROW('Eingabe Meldungen'!$A$2:$A$492)-1),COUNTIF('Eingabe Meldungen'!$A$2:$A$492,$B$452)+1-ROW('Eingabe Meldungen'!A16)))),"",INDEX('Eingabe Meldungen'!$D$2:$D$492,LARGE(('Eingabe Meldungen'!$A$2:$A$492=$B$452)*(ROW('Eingabe Meldungen'!$A$2:$A$492)-1),COUNTIF('Eingabe Meldungen'!$A$2:$A$492,$B$452)+1-ROW('Eingabe Meldungen'!A16))))</f>
        <v/>
      </c>
      <c r="D466" s="107" t="str">
        <f t="array" ref="D466">IF(B466&lt;&gt;"",INDEX('Eingabe Meldungen'!$C$2:$H$492,MATCH(B466&amp;C466,'Eingabe Meldungen'!$C$2:$C$492&amp;'Eingabe Meldungen'!$D$2:$D$492,0),6),"")</f>
        <v/>
      </c>
      <c r="E466" s="107" t="str">
        <f t="array" ref="E466">IF(B466&lt;&gt;"",INDEX('Eingabe Meldungen'!$C$2:$H$492,MATCH(B466&amp;C466,'Eingabe Meldungen'!$C$2:$C$492&amp;'Eingabe Meldungen'!$D$2:$D$492,0),4),"")</f>
        <v/>
      </c>
      <c r="F466" s="107"/>
      <c r="G466" s="149"/>
      <c r="H466" s="40" t="e">
        <f t="shared" si="22"/>
        <v>#N/A</v>
      </c>
      <c r="I466" s="107" t="str">
        <f t="array" ref="I466">IF(B466&lt;&gt;"",INDEX('Eingabe Meldungen'!$C$2:$J$492,MATCH(B466&amp;C466,'Eingabe Meldungen'!$C$2:$C$492&amp;'Eingabe Meldungen'!$D$2:$D$492,0),8),"")</f>
        <v/>
      </c>
      <c r="J466" s="257"/>
      <c r="K466" s="257"/>
      <c r="L466" s="254"/>
      <c r="M466" s="258"/>
      <c r="Y466" s="15"/>
    </row>
    <row r="467" spans="2:25" ht="13.2" hidden="1" thickBot="1" x14ac:dyDescent="0.25">
      <c r="B467" s="43"/>
      <c r="C467" s="39"/>
      <c r="D467" s="107"/>
      <c r="E467" s="107"/>
      <c r="F467" s="39"/>
      <c r="G467" s="167"/>
      <c r="H467" s="40"/>
      <c r="I467" s="107" t="str">
        <f t="array" ref="I467">IF(B467&lt;&gt;"",INDEX('Eingabe Meldungen'!$C$2:$J$244,MATCH(B467&amp;C467,'Eingabe Meldungen'!$C$2:$C$244&amp;'Eingabe Meldungen'!$D$2:$D$244,0),8),"")</f>
        <v/>
      </c>
      <c r="J467" s="40"/>
      <c r="K467" s="40"/>
      <c r="L467" s="151"/>
      <c r="M467" s="147"/>
      <c r="Y467" s="15"/>
    </row>
    <row r="468" spans="2:25" ht="27.75" hidden="1" customHeight="1" x14ac:dyDescent="0.2">
      <c r="B468" s="114">
        <f>B452+1</f>
        <v>24</v>
      </c>
      <c r="C468" s="108" t="str">
        <f>VLOOKUP(B468,Ausschreibung!$B$5:$I$35,2,FALSE)</f>
        <v>Ergocup</v>
      </c>
      <c r="D468" s="109">
        <f>VLOOKUP(B468,Ausschreibung!$B$5:$I$35,3,FALSE)</f>
        <v>0.65208333333333313</v>
      </c>
      <c r="E468" s="108" t="str">
        <f>VLOOKUP(B468,Ausschreibung!$B$5:$I$35,4,FALSE)</f>
        <v>Senioren A</v>
      </c>
      <c r="F468" s="108" t="str">
        <f>VLOOKUP(B468,Ausschreibung!$B$5:$I$35,5,FALSE)</f>
        <v>-</v>
      </c>
      <c r="G468" s="108" t="str">
        <f>VLOOKUP(B468,Ausschreibung!$B$5:$I$35,6,FALSE)</f>
        <v>19 und älter</v>
      </c>
      <c r="H468" s="108" t="str">
        <f>VLOOKUP(B468,Ausschreibung!$B$5:$I$35,8,FALSE)</f>
        <v>2000 m</v>
      </c>
      <c r="I468" s="108" t="s">
        <v>30</v>
      </c>
      <c r="J468" s="108"/>
      <c r="K468" s="40"/>
      <c r="L468" s="151"/>
      <c r="M468" s="147"/>
      <c r="Y468" s="15"/>
    </row>
    <row r="469" spans="2:25" ht="13.2" hidden="1" thickBot="1" x14ac:dyDescent="0.25">
      <c r="B469" s="111" t="s">
        <v>1</v>
      </c>
      <c r="C469" s="104" t="s">
        <v>2</v>
      </c>
      <c r="D469" s="103" t="s">
        <v>49</v>
      </c>
      <c r="E469" s="146" t="s">
        <v>16</v>
      </c>
      <c r="F469" s="103" t="s">
        <v>18</v>
      </c>
      <c r="G469" s="105" t="s">
        <v>50</v>
      </c>
      <c r="H469" s="103" t="s">
        <v>51</v>
      </c>
      <c r="I469" s="106" t="s">
        <v>17</v>
      </c>
      <c r="J469" s="103"/>
      <c r="K469" s="40"/>
      <c r="L469" s="151"/>
      <c r="M469" s="147"/>
      <c r="Y469" s="15"/>
    </row>
    <row r="470" spans="2:25" ht="13.2" hidden="1" thickBot="1" x14ac:dyDescent="0.25">
      <c r="B470" s="148" t="str">
        <f t="array" ref="B470">IF(ISERROR(INDEX('Eingabe Meldungen'!$C$2:$C$492,LARGE(('Eingabe Meldungen'!$A$2:$A$492=$B$468)*(ROW('Eingabe Meldungen'!$A$2:$A$492)-1),COUNTIF('Eingabe Meldungen'!$A$2:$A$492,$B$468)+1-ROW('Eingabe Meldungen'!A1)))),"",INDEX('Eingabe Meldungen'!$C$2:$C$492,LARGE(('Eingabe Meldungen'!$A$2:$A$492=$B$468)*(ROW('Eingabe Meldungen'!$A$2:$A$492)-1),COUNTIF('Eingabe Meldungen'!$A$2:$A$492,$B$468)+1-ROW('Eingabe Meldungen'!A1))))</f>
        <v>Killinger</v>
      </c>
      <c r="C470" s="40" t="str">
        <f t="array" ref="C470">IF(ISERROR(INDEX('Eingabe Meldungen'!$D$2:$D$492,LARGE(('Eingabe Meldungen'!$A$2:$A$492=$B$468)*(ROW('Eingabe Meldungen'!$A$2:$A$492)-1),COUNTIF('Eingabe Meldungen'!$A$2:$A$492,$B$468)+1-ROW('Eingabe Meldungen'!A1)))),"",INDEX('Eingabe Meldungen'!$D$2:$D$492,LARGE(('Eingabe Meldungen'!$A$2:$A$492=$B$468)*(ROW('Eingabe Meldungen'!$A$2:$A$492)-1),COUNTIF('Eingabe Meldungen'!$A$2:$A$492,$B$468)+1-ROW('Eingabe Meldungen'!A1))))</f>
        <v>Cornelius</v>
      </c>
      <c r="D470" s="107">
        <f t="array" ref="D470">IF(B470&lt;&gt;"",INDEX('Eingabe Meldungen'!$C$2:$H$492,MATCH(B470&amp;C470,'Eingabe Meldungen'!$C$2:$C$492&amp;'Eingabe Meldungen'!$D$2:$D$492,0),6),"")</f>
        <v>1992</v>
      </c>
      <c r="E470" s="107" t="str">
        <f t="array" ref="E470">IF(B470&lt;&gt;"",INDEX('Eingabe Meldungen'!$C$2:$H$492,MATCH(B470&amp;C470,'Eingabe Meldungen'!$C$2:$C$492&amp;'Eingabe Meldungen'!$D$2:$D$492,0),4),"")</f>
        <v>-</v>
      </c>
      <c r="F470" s="107">
        <v>1</v>
      </c>
      <c r="G470" s="149"/>
      <c r="H470" s="40" t="e">
        <f>RANK(G470,$G$470:$G$485,1)</f>
        <v>#N/A</v>
      </c>
      <c r="I470" s="107" t="str">
        <f t="array" ref="I470">IF(B470&lt;&gt;"",INDEX('Eingabe Meldungen'!$C$2:$J$492,MATCH(B470&amp;C470,'Eingabe Meldungen'!$C$2:$C$492&amp;'Eingabe Meldungen'!$D$2:$D$492,0),8),"")</f>
        <v>Marbacher Ruderverein</v>
      </c>
      <c r="J470" s="40"/>
      <c r="K470" s="40"/>
      <c r="L470" s="151"/>
      <c r="M470" s="147"/>
      <c r="Y470" s="15"/>
    </row>
    <row r="471" spans="2:25" ht="13.2" hidden="1" thickBot="1" x14ac:dyDescent="0.25">
      <c r="B471" s="148" t="str">
        <f t="array" ref="B471">IF(ISERROR(INDEX('Eingabe Meldungen'!$C$2:$C$492,LARGE(('Eingabe Meldungen'!$A$2:$A$492=$B$468)*(ROW('Eingabe Meldungen'!$A$2:$A$492)-1),COUNTIF('Eingabe Meldungen'!$A$2:$A$492,$B$468)+1-ROW('Eingabe Meldungen'!A2)))),"",INDEX('Eingabe Meldungen'!$C$2:$C$492,LARGE(('Eingabe Meldungen'!$A$2:$A$492=$B$468)*(ROW('Eingabe Meldungen'!$A$2:$A$492)-1),COUNTIF('Eingabe Meldungen'!$A$2:$A$492,$B$468)+1-ROW('Eingabe Meldungen'!A2))))</f>
        <v>Schmidt</v>
      </c>
      <c r="C471" s="40" t="str">
        <f t="array" ref="C471">IF(ISERROR(INDEX('Eingabe Meldungen'!$D$2:$D$492,LARGE(('Eingabe Meldungen'!$A$2:$A$492=$B$468)*(ROW('Eingabe Meldungen'!$A$2:$A$492)-1),COUNTIF('Eingabe Meldungen'!$A$2:$A$492,$B$468)+1-ROW('Eingabe Meldungen'!A2)))),"",INDEX('Eingabe Meldungen'!$D$2:$D$492,LARGE(('Eingabe Meldungen'!$A$2:$A$492=$B$468)*(ROW('Eingabe Meldungen'!$A$2:$A$492)-1),COUNTIF('Eingabe Meldungen'!$A$2:$A$492,$B$468)+1-ROW('Eingabe Meldungen'!A2))))</f>
        <v>Jonas</v>
      </c>
      <c r="D471" s="107">
        <f t="array" ref="D471">IF(B471&lt;&gt;"",INDEX('Eingabe Meldungen'!$C$2:$H$492,MATCH(B471&amp;C471,'Eingabe Meldungen'!$C$2:$C$492&amp;'Eingabe Meldungen'!$D$2:$D$492,0),6),"")</f>
        <v>1997</v>
      </c>
      <c r="E471" s="107" t="str">
        <f t="array" ref="E471">IF(B471&lt;&gt;"",INDEX('Eingabe Meldungen'!$C$2:$H$492,MATCH(B471&amp;C471,'Eingabe Meldungen'!$C$2:$C$492&amp;'Eingabe Meldungen'!$D$2:$D$492,0),4),"")</f>
        <v>-</v>
      </c>
      <c r="F471" s="39">
        <v>2</v>
      </c>
      <c r="G471" s="149"/>
      <c r="H471" s="40" t="e">
        <f t="shared" ref="H471:H485" si="23">RANK(G471,$G$470:$G$485,1)</f>
        <v>#N/A</v>
      </c>
      <c r="I471" s="107" t="str">
        <f t="array" ref="I471">IF(B471&lt;&gt;"",INDEX('Eingabe Meldungen'!$C$2:$J$492,MATCH(B471&amp;C471,'Eingabe Meldungen'!$C$2:$C$492&amp;'Eingabe Meldungen'!$D$2:$D$492,0),8),"")</f>
        <v>Marbacher Ruderverein</v>
      </c>
      <c r="J471" s="40"/>
      <c r="K471" s="40"/>
      <c r="L471" s="151"/>
      <c r="M471" s="147"/>
      <c r="Y471" s="15"/>
    </row>
    <row r="472" spans="2:25" ht="13.2" hidden="1" thickBot="1" x14ac:dyDescent="0.25">
      <c r="B472" s="148" t="str">
        <f t="array" ref="B472">IF(ISERROR(INDEX('Eingabe Meldungen'!$C$2:$C$492,LARGE(('Eingabe Meldungen'!$A$2:$A$492=$B$468)*(ROW('Eingabe Meldungen'!$A$2:$A$492)-1),COUNTIF('Eingabe Meldungen'!$A$2:$A$492,$B$468)+1-ROW('Eingabe Meldungen'!A3)))),"",INDEX('Eingabe Meldungen'!$C$2:$C$492,LARGE(('Eingabe Meldungen'!$A$2:$A$492=$B$468)*(ROW('Eingabe Meldungen'!$A$2:$A$492)-1),COUNTIF('Eingabe Meldungen'!$A$2:$A$492,$B$468)+1-ROW('Eingabe Meldungen'!A3))))</f>
        <v/>
      </c>
      <c r="C472" s="40" t="str">
        <f t="array" ref="C472">IF(ISERROR(INDEX('Eingabe Meldungen'!$D$2:$D$492,LARGE(('Eingabe Meldungen'!$A$2:$A$492=$B$468)*(ROW('Eingabe Meldungen'!$A$2:$A$492)-1),COUNTIF('Eingabe Meldungen'!$A$2:$A$492,$B$468)+1-ROW('Eingabe Meldungen'!A3)))),"",INDEX('Eingabe Meldungen'!$D$2:$D$492,LARGE(('Eingabe Meldungen'!$A$2:$A$492=$B$468)*(ROW('Eingabe Meldungen'!$A$2:$A$492)-1),COUNTIF('Eingabe Meldungen'!$A$2:$A$492,$B$468)+1-ROW('Eingabe Meldungen'!A3))))</f>
        <v/>
      </c>
      <c r="D472" s="107" t="str">
        <f t="array" ref="D472">IF(B472&lt;&gt;"",INDEX('Eingabe Meldungen'!$C$2:$H$492,MATCH(B472&amp;C472,'Eingabe Meldungen'!$C$2:$C$492&amp;'Eingabe Meldungen'!$D$2:$D$492,0),6),"")</f>
        <v/>
      </c>
      <c r="E472" s="107" t="str">
        <f t="array" ref="E472">IF(B472&lt;&gt;"",INDEX('Eingabe Meldungen'!$C$2:$H$492,MATCH(B472&amp;C472,'Eingabe Meldungen'!$C$2:$C$492&amp;'Eingabe Meldungen'!$D$2:$D$492,0),4),"")</f>
        <v/>
      </c>
      <c r="F472" s="39">
        <v>3</v>
      </c>
      <c r="G472" s="150"/>
      <c r="H472" s="40" t="e">
        <f t="shared" si="23"/>
        <v>#N/A</v>
      </c>
      <c r="I472" s="107" t="str">
        <f t="array" ref="I472">IF(B472&lt;&gt;"",INDEX('Eingabe Meldungen'!$C$2:$J$492,MATCH(B472&amp;C472,'Eingabe Meldungen'!$C$2:$C$492&amp;'Eingabe Meldungen'!$D$2:$D$492,0),8),"")</f>
        <v/>
      </c>
      <c r="J472" s="40"/>
      <c r="K472" s="40"/>
      <c r="L472" s="151"/>
      <c r="M472" s="147"/>
      <c r="Y472" s="15"/>
    </row>
    <row r="473" spans="2:25" ht="13.2" hidden="1" thickBot="1" x14ac:dyDescent="0.25">
      <c r="B473" s="148" t="str">
        <f t="array" ref="B473">IF(ISERROR(INDEX('Eingabe Meldungen'!$C$2:$C$492,LARGE(('Eingabe Meldungen'!$A$2:$A$492=$B$468)*(ROW('Eingabe Meldungen'!$A$2:$A$492)-1),COUNTIF('Eingabe Meldungen'!$A$2:$A$492,$B$468)+1-ROW('Eingabe Meldungen'!A4)))),"",INDEX('Eingabe Meldungen'!$C$2:$C$492,LARGE(('Eingabe Meldungen'!$A$2:$A$492=$B$468)*(ROW('Eingabe Meldungen'!$A$2:$A$492)-1),COUNTIF('Eingabe Meldungen'!$A$2:$A$492,$B$468)+1-ROW('Eingabe Meldungen'!A4))))</f>
        <v/>
      </c>
      <c r="C473" s="40" t="str">
        <f t="array" ref="C473">IF(ISERROR(INDEX('Eingabe Meldungen'!$D$2:$D$492,LARGE(('Eingabe Meldungen'!$A$2:$A$492=$B$468)*(ROW('Eingabe Meldungen'!$A$2:$A$492)-1),COUNTIF('Eingabe Meldungen'!$A$2:$A$492,$B$468)+1-ROW('Eingabe Meldungen'!A4)))),"",INDEX('Eingabe Meldungen'!$D$2:$D$492,LARGE(('Eingabe Meldungen'!$A$2:$A$492=$B$468)*(ROW('Eingabe Meldungen'!$A$2:$A$492)-1),COUNTIF('Eingabe Meldungen'!$A$2:$A$492,$B$468)+1-ROW('Eingabe Meldungen'!A4))))</f>
        <v/>
      </c>
      <c r="D473" s="107" t="str">
        <f t="array" ref="D473">IF(B473&lt;&gt;"",INDEX('Eingabe Meldungen'!$C$2:$H$492,MATCH(B473&amp;C473,'Eingabe Meldungen'!$C$2:$C$492&amp;'Eingabe Meldungen'!$D$2:$D$492,0),6),"")</f>
        <v/>
      </c>
      <c r="E473" s="107" t="str">
        <f t="array" ref="E473">IF(B473&lt;&gt;"",INDEX('Eingabe Meldungen'!$C$2:$H$492,MATCH(B473&amp;C473,'Eingabe Meldungen'!$C$2:$C$492&amp;'Eingabe Meldungen'!$D$2:$D$492,0),4),"")</f>
        <v/>
      </c>
      <c r="F473" s="39">
        <v>4</v>
      </c>
      <c r="G473" s="150"/>
      <c r="H473" s="40" t="e">
        <f t="shared" si="23"/>
        <v>#N/A</v>
      </c>
      <c r="I473" s="107" t="str">
        <f t="array" ref="I473">IF(B473&lt;&gt;"",INDEX('Eingabe Meldungen'!$C$2:$J$492,MATCH(B473&amp;C473,'Eingabe Meldungen'!$C$2:$C$492&amp;'Eingabe Meldungen'!$D$2:$D$492,0),8),"")</f>
        <v/>
      </c>
      <c r="J473" s="40"/>
      <c r="K473" s="40"/>
      <c r="L473" s="151"/>
      <c r="M473" s="147"/>
      <c r="Y473" s="15"/>
    </row>
    <row r="474" spans="2:25" ht="13.2" hidden="1" thickBot="1" x14ac:dyDescent="0.25">
      <c r="B474" s="148" t="str">
        <f t="array" ref="B474">IF(ISERROR(INDEX('Eingabe Meldungen'!$C$2:$C$492,LARGE(('Eingabe Meldungen'!$A$2:$A$492=$B$468)*(ROW('Eingabe Meldungen'!$A$2:$A$492)-1),COUNTIF('Eingabe Meldungen'!$A$2:$A$492,$B$468)+1-ROW('Eingabe Meldungen'!A5)))),"",INDEX('Eingabe Meldungen'!$C$2:$C$492,LARGE(('Eingabe Meldungen'!$A$2:$A$492=$B$468)*(ROW('Eingabe Meldungen'!$A$2:$A$492)-1),COUNTIF('Eingabe Meldungen'!$A$2:$A$492,$B$468)+1-ROW('Eingabe Meldungen'!A5))))</f>
        <v/>
      </c>
      <c r="C474" s="40" t="str">
        <f t="array" ref="C474">IF(ISERROR(INDEX('Eingabe Meldungen'!$D$2:$D$492,LARGE(('Eingabe Meldungen'!$A$2:$A$492=$B$468)*(ROW('Eingabe Meldungen'!$A$2:$A$492)-1),COUNTIF('Eingabe Meldungen'!$A$2:$A$492,$B$468)+1-ROW('Eingabe Meldungen'!A5)))),"",INDEX('Eingabe Meldungen'!$D$2:$D$492,LARGE(('Eingabe Meldungen'!$A$2:$A$492=$B$468)*(ROW('Eingabe Meldungen'!$A$2:$A$492)-1),COUNTIF('Eingabe Meldungen'!$A$2:$A$492,$B$468)+1-ROW('Eingabe Meldungen'!A5))))</f>
        <v/>
      </c>
      <c r="D474" s="107" t="str">
        <f t="array" ref="D474">IF(B474&lt;&gt;"",INDEX('Eingabe Meldungen'!$C$2:$H$492,MATCH(B474&amp;C474,'Eingabe Meldungen'!$C$2:$C$492&amp;'Eingabe Meldungen'!$D$2:$D$492,0),6),"")</f>
        <v/>
      </c>
      <c r="E474" s="107" t="str">
        <f t="array" ref="E474">IF(B474&lt;&gt;"",INDEX('Eingabe Meldungen'!$C$2:$H$492,MATCH(B474&amp;C474,'Eingabe Meldungen'!$C$2:$C$492&amp;'Eingabe Meldungen'!$D$2:$D$492,0),4),"")</f>
        <v/>
      </c>
      <c r="F474" s="39">
        <v>5</v>
      </c>
      <c r="G474" s="150"/>
      <c r="H474" s="40" t="e">
        <f t="shared" si="23"/>
        <v>#N/A</v>
      </c>
      <c r="I474" s="107" t="str">
        <f t="array" ref="I474">IF(B474&lt;&gt;"",INDEX('Eingabe Meldungen'!$C$2:$J$492,MATCH(B474&amp;C474,'Eingabe Meldungen'!$C$2:$C$492&amp;'Eingabe Meldungen'!$D$2:$D$492,0),8),"")</f>
        <v/>
      </c>
      <c r="J474" s="40"/>
      <c r="K474" s="40"/>
      <c r="L474" s="151"/>
      <c r="M474" s="147"/>
    </row>
    <row r="475" spans="2:25" ht="13.2" hidden="1" thickBot="1" x14ac:dyDescent="0.25">
      <c r="B475" s="148" t="str">
        <f t="array" ref="B475">IF(ISERROR(INDEX('Eingabe Meldungen'!$C$2:$C$492,LARGE(('Eingabe Meldungen'!$A$2:$A$492=$B$468)*(ROW('Eingabe Meldungen'!$A$2:$A$492)-1),COUNTIF('Eingabe Meldungen'!$A$2:$A$492,$B$468)+1-ROW('Eingabe Meldungen'!A6)))),"",INDEX('Eingabe Meldungen'!$C$2:$C$492,LARGE(('Eingabe Meldungen'!$A$2:$A$492=$B$468)*(ROW('Eingabe Meldungen'!$A$2:$A$492)-1),COUNTIF('Eingabe Meldungen'!$A$2:$A$492,$B$468)+1-ROW('Eingabe Meldungen'!A6))))</f>
        <v/>
      </c>
      <c r="C475" s="40" t="str">
        <f t="array" ref="C475">IF(ISERROR(INDEX('Eingabe Meldungen'!$D$2:$D$492,LARGE(('Eingabe Meldungen'!$A$2:$A$492=$B$468)*(ROW('Eingabe Meldungen'!$A$2:$A$492)-1),COUNTIF('Eingabe Meldungen'!$A$2:$A$492,$B$468)+1-ROW('Eingabe Meldungen'!A6)))),"",INDEX('Eingabe Meldungen'!$D$2:$D$492,LARGE(('Eingabe Meldungen'!$A$2:$A$492=$B$468)*(ROW('Eingabe Meldungen'!$A$2:$A$492)-1),COUNTIF('Eingabe Meldungen'!$A$2:$A$492,$B$468)+1-ROW('Eingabe Meldungen'!A6))))</f>
        <v/>
      </c>
      <c r="D475" s="107" t="str">
        <f t="array" ref="D475">IF(B475&lt;&gt;"",INDEX('Eingabe Meldungen'!$C$2:$H$492,MATCH(B475&amp;C475,'Eingabe Meldungen'!$C$2:$C$492&amp;'Eingabe Meldungen'!$D$2:$D$492,0),6),"")</f>
        <v/>
      </c>
      <c r="E475" s="107" t="str">
        <f t="array" ref="E475">IF(B475&lt;&gt;"",INDEX('Eingabe Meldungen'!$C$2:$H$492,MATCH(B475&amp;C475,'Eingabe Meldungen'!$C$2:$C$492&amp;'Eingabe Meldungen'!$D$2:$D$492,0),4),"")</f>
        <v/>
      </c>
      <c r="F475" s="39">
        <v>6</v>
      </c>
      <c r="G475" s="150"/>
      <c r="H475" s="40" t="e">
        <f t="shared" si="23"/>
        <v>#N/A</v>
      </c>
      <c r="I475" s="107" t="str">
        <f t="array" ref="I475">IF(B475&lt;&gt;"",INDEX('Eingabe Meldungen'!$C$2:$J$492,MATCH(B475&amp;C475,'Eingabe Meldungen'!$C$2:$C$492&amp;'Eingabe Meldungen'!$D$2:$D$492,0),8),"")</f>
        <v/>
      </c>
      <c r="J475" s="40"/>
      <c r="K475" s="40"/>
      <c r="L475" s="151"/>
      <c r="M475" s="147"/>
    </row>
    <row r="476" spans="2:25" ht="13.2" hidden="1" thickBot="1" x14ac:dyDescent="0.25">
      <c r="B476" s="148" t="str">
        <f t="array" ref="B476">IF(ISERROR(INDEX('Eingabe Meldungen'!$C$2:$C$492,LARGE(('Eingabe Meldungen'!$A$2:$A$492=$B$468)*(ROW('Eingabe Meldungen'!$A$2:$A$492)-1),COUNTIF('Eingabe Meldungen'!$A$2:$A$492,$B$468)+1-ROW('Eingabe Meldungen'!A8)))),"",INDEX('Eingabe Meldungen'!$C$2:$C$492,LARGE(('Eingabe Meldungen'!$A$2:$A$492=$B$468)*(ROW('Eingabe Meldungen'!$A$2:$A$492)-1),COUNTIF('Eingabe Meldungen'!$A$2:$A$492,$B$468)+1-ROW('Eingabe Meldungen'!A8))))</f>
        <v/>
      </c>
      <c r="C476" s="40" t="str">
        <f t="array" ref="C476">IF(ISERROR(INDEX('Eingabe Meldungen'!$D$2:$D$492,LARGE(('Eingabe Meldungen'!$A$2:$A$492=$B$468)*(ROW('Eingabe Meldungen'!$A$2:$A$492)-1),COUNTIF('Eingabe Meldungen'!$A$2:$A$492,$B$468)+1-ROW('Eingabe Meldungen'!A8)))),"",INDEX('Eingabe Meldungen'!$D$2:$D$492,LARGE(('Eingabe Meldungen'!$A$2:$A$492=$B$468)*(ROW('Eingabe Meldungen'!$A$2:$A$492)-1),COUNTIF('Eingabe Meldungen'!$A$2:$A$492,$B$468)+1-ROW('Eingabe Meldungen'!A8))))</f>
        <v/>
      </c>
      <c r="D476" s="107" t="str">
        <f t="array" ref="D476">IF(B476&lt;&gt;"",INDEX('Eingabe Meldungen'!$C$2:$H$492,MATCH(B476&amp;C476,'Eingabe Meldungen'!$C$2:$C$492&amp;'Eingabe Meldungen'!$D$2:$D$492,0),6),"")</f>
        <v/>
      </c>
      <c r="E476" s="107" t="str">
        <f t="array" ref="E476">IF(B476&lt;&gt;"",INDEX('Eingabe Meldungen'!$C$2:$H$492,MATCH(B476&amp;C476,'Eingabe Meldungen'!$C$2:$C$492&amp;'Eingabe Meldungen'!$D$2:$D$492,0),4),"")</f>
        <v/>
      </c>
      <c r="F476" s="39">
        <v>7</v>
      </c>
      <c r="G476" s="150"/>
      <c r="H476" s="40" t="e">
        <f t="shared" si="23"/>
        <v>#N/A</v>
      </c>
      <c r="I476" s="107" t="str">
        <f t="array" ref="I476">IF(B476&lt;&gt;"",INDEX('Eingabe Meldungen'!$C$2:$J$492,MATCH(B476&amp;C476,'Eingabe Meldungen'!$C$2:$C$492&amp;'Eingabe Meldungen'!$D$2:$D$492,0),8),"")</f>
        <v/>
      </c>
      <c r="J476" s="40"/>
      <c r="K476" s="40"/>
      <c r="L476" s="151"/>
      <c r="M476" s="147"/>
    </row>
    <row r="477" spans="2:25" ht="13.2" hidden="1" thickBot="1" x14ac:dyDescent="0.25">
      <c r="B477" s="148" t="str">
        <f t="array" ref="B477">IF(ISERROR(INDEX('Eingabe Meldungen'!$C$2:$C$492,LARGE(('Eingabe Meldungen'!$A$2:$A$492=$B$468)*(ROW('Eingabe Meldungen'!$A$2:$A$492)-1),COUNTIF('Eingabe Meldungen'!$A$2:$A$492,$B$468)+1-ROW('Eingabe Meldungen'!A9)))),"",INDEX('Eingabe Meldungen'!$C$2:$C$492,LARGE(('Eingabe Meldungen'!$A$2:$A$492=$B$468)*(ROW('Eingabe Meldungen'!$A$2:$A$492)-1),COUNTIF('Eingabe Meldungen'!$A$2:$A$492,$B$468)+1-ROW('Eingabe Meldungen'!A9))))</f>
        <v/>
      </c>
      <c r="C477" s="40" t="str">
        <f t="array" ref="C477">IF(ISERROR(INDEX('Eingabe Meldungen'!$D$2:$D$492,LARGE(('Eingabe Meldungen'!$A$2:$A$492=$B$468)*(ROW('Eingabe Meldungen'!$A$2:$A$492)-1),COUNTIF('Eingabe Meldungen'!$A$2:$A$492,$B$468)+1-ROW('Eingabe Meldungen'!A9)))),"",INDEX('Eingabe Meldungen'!$D$2:$D$492,LARGE(('Eingabe Meldungen'!$A$2:$A$492=$B$468)*(ROW('Eingabe Meldungen'!$A$2:$A$492)-1),COUNTIF('Eingabe Meldungen'!$A$2:$A$492,$B$468)+1-ROW('Eingabe Meldungen'!A9))))</f>
        <v/>
      </c>
      <c r="D477" s="107" t="str">
        <f t="array" ref="D477">IF(B477&lt;&gt;"",INDEX('Eingabe Meldungen'!$C$2:$H$492,MATCH(B477&amp;C477,'Eingabe Meldungen'!$C$2:$C$492&amp;'Eingabe Meldungen'!$D$2:$D$492,0),6),"")</f>
        <v/>
      </c>
      <c r="E477" s="107" t="str">
        <f t="array" ref="E477">IF(B477&lt;&gt;"",INDEX('Eingabe Meldungen'!$C$2:$H$492,MATCH(B477&amp;C477,'Eingabe Meldungen'!$C$2:$C$492&amp;'Eingabe Meldungen'!$D$2:$D$492,0),4),"")</f>
        <v/>
      </c>
      <c r="F477" s="39">
        <v>8</v>
      </c>
      <c r="G477" s="150"/>
      <c r="H477" s="40" t="e">
        <f t="shared" si="23"/>
        <v>#N/A</v>
      </c>
      <c r="I477" s="107" t="str">
        <f t="array" ref="I477">IF(B477&lt;&gt;"",INDEX('Eingabe Meldungen'!$C$2:$J$492,MATCH(B477&amp;C477,'Eingabe Meldungen'!$C$2:$C$492&amp;'Eingabe Meldungen'!$D$2:$D$492,0),8),"")</f>
        <v/>
      </c>
      <c r="J477" s="40"/>
      <c r="K477" s="40"/>
      <c r="L477" s="151"/>
      <c r="M477" s="147"/>
    </row>
    <row r="478" spans="2:25" ht="13.2" hidden="1" thickBot="1" x14ac:dyDescent="0.25">
      <c r="B478" s="148" t="str">
        <f t="array" ref="B478">IF(ISERROR(INDEX('Eingabe Meldungen'!$C$2:$C$492,LARGE(('Eingabe Meldungen'!$A$2:$A$492=$B$468)*(ROW('Eingabe Meldungen'!$A$2:$A$492)-1),COUNTIF('Eingabe Meldungen'!$A$2:$A$492,$B$468)+1-ROW('Eingabe Meldungen'!A10)))),"",INDEX('Eingabe Meldungen'!$C$2:$C$492,LARGE(('Eingabe Meldungen'!$A$2:$A$492=$B$468)*(ROW('Eingabe Meldungen'!$A$2:$A$492)-1),COUNTIF('Eingabe Meldungen'!$A$2:$A$492,$B$468)+1-ROW('Eingabe Meldungen'!A10))))</f>
        <v/>
      </c>
      <c r="C478" s="40" t="str">
        <f t="array" ref="C478">IF(ISERROR(INDEX('Eingabe Meldungen'!$D$2:$D$492,LARGE(('Eingabe Meldungen'!$A$2:$A$492=$B$468)*(ROW('Eingabe Meldungen'!$A$2:$A$492)-1),COUNTIF('Eingabe Meldungen'!$A$2:$A$492,$B$468)+1-ROW('Eingabe Meldungen'!A10)))),"",INDEX('Eingabe Meldungen'!$D$2:$D$492,LARGE(('Eingabe Meldungen'!$A$2:$A$492=$B$468)*(ROW('Eingabe Meldungen'!$A$2:$A$492)-1),COUNTIF('Eingabe Meldungen'!$A$2:$A$492,$B$468)+1-ROW('Eingabe Meldungen'!A10))))</f>
        <v/>
      </c>
      <c r="D478" s="107" t="str">
        <f t="array" ref="D478">IF(B478&lt;&gt;"",INDEX('Eingabe Meldungen'!$C$2:$H$492,MATCH(B478&amp;C478,'Eingabe Meldungen'!$C$2:$C$492&amp;'Eingabe Meldungen'!$D$2:$D$492,0),6),"")</f>
        <v/>
      </c>
      <c r="E478" s="107" t="str">
        <f t="array" ref="E478">IF(B478&lt;&gt;"",INDEX('Eingabe Meldungen'!$C$2:$H$492,MATCH(B478&amp;C478,'Eingabe Meldungen'!$C$2:$C$492&amp;'Eingabe Meldungen'!$D$2:$D$492,0),4),"")</f>
        <v/>
      </c>
      <c r="F478" s="39">
        <v>9</v>
      </c>
      <c r="G478" s="150"/>
      <c r="H478" s="40" t="e">
        <f t="shared" si="23"/>
        <v>#N/A</v>
      </c>
      <c r="I478" s="107" t="str">
        <f t="array" ref="I478">IF(B478&lt;&gt;"",INDEX('Eingabe Meldungen'!$C$2:$J$492,MATCH(B478&amp;C478,'Eingabe Meldungen'!$C$2:$C$492&amp;'Eingabe Meldungen'!$D$2:$D$492,0),8),"")</f>
        <v/>
      </c>
      <c r="J478" s="40"/>
      <c r="K478" s="40"/>
      <c r="L478" s="151"/>
      <c r="M478" s="147"/>
    </row>
    <row r="479" spans="2:25" ht="13.2" hidden="1" thickBot="1" x14ac:dyDescent="0.25">
      <c r="B479" s="148" t="str">
        <f t="array" ref="B479">IF(ISERROR(INDEX('Eingabe Meldungen'!$C$2:$C$492,LARGE(('Eingabe Meldungen'!$A$2:$A$492=$B$468)*(ROW('Eingabe Meldungen'!$A$2:$A$492)-1),COUNTIF('Eingabe Meldungen'!$A$2:$A$492,$B$468)+1-ROW('Eingabe Meldungen'!A11)))),"",INDEX('Eingabe Meldungen'!$C$2:$C$492,LARGE(('Eingabe Meldungen'!$A$2:$A$492=$B$468)*(ROW('Eingabe Meldungen'!$A$2:$A$492)-1),COUNTIF('Eingabe Meldungen'!$A$2:$A$492,$B$468)+1-ROW('Eingabe Meldungen'!A11))))</f>
        <v/>
      </c>
      <c r="C479" s="40" t="str">
        <f t="array" ref="C479">IF(ISERROR(INDEX('Eingabe Meldungen'!$D$2:$D$492,LARGE(('Eingabe Meldungen'!$A$2:$A$492=$B$468)*(ROW('Eingabe Meldungen'!$A$2:$A$492)-1),COUNTIF('Eingabe Meldungen'!$A$2:$A$492,$B$468)+1-ROW('Eingabe Meldungen'!A11)))),"",INDEX('Eingabe Meldungen'!$D$2:$D$492,LARGE(('Eingabe Meldungen'!$A$2:$A$492=$B$468)*(ROW('Eingabe Meldungen'!$A$2:$A$492)-1),COUNTIF('Eingabe Meldungen'!$A$2:$A$492,$B$468)+1-ROW('Eingabe Meldungen'!A11))))</f>
        <v/>
      </c>
      <c r="D479" s="107" t="str">
        <f t="array" ref="D479">IF(B479&lt;&gt;"",INDEX('Eingabe Meldungen'!$C$2:$H$492,MATCH(B479&amp;C479,'Eingabe Meldungen'!$C$2:$C$492&amp;'Eingabe Meldungen'!$D$2:$D$492,0),6),"")</f>
        <v/>
      </c>
      <c r="E479" s="107" t="str">
        <f t="array" ref="E479">IF(B479&lt;&gt;"",INDEX('Eingabe Meldungen'!$C$2:$H$492,MATCH(B479&amp;C479,'Eingabe Meldungen'!$C$2:$C$492&amp;'Eingabe Meldungen'!$D$2:$D$492,0),4),"")</f>
        <v/>
      </c>
      <c r="F479" s="39">
        <v>10</v>
      </c>
      <c r="G479" s="150"/>
      <c r="H479" s="40" t="e">
        <f t="shared" si="23"/>
        <v>#N/A</v>
      </c>
      <c r="I479" s="107" t="str">
        <f t="array" ref="I479">IF(B479&lt;&gt;"",INDEX('Eingabe Meldungen'!$C$2:$J$492,MATCH(B479&amp;C479,'Eingabe Meldungen'!$C$2:$C$492&amp;'Eingabe Meldungen'!$D$2:$D$492,0),8),"")</f>
        <v/>
      </c>
      <c r="J479" s="40"/>
      <c r="K479" s="40"/>
      <c r="L479" s="151"/>
      <c r="M479" s="147"/>
    </row>
    <row r="480" spans="2:25" ht="13.2" hidden="1" thickBot="1" x14ac:dyDescent="0.25">
      <c r="B480" s="148" t="str">
        <f t="array" ref="B480">IF(ISERROR(INDEX('Eingabe Meldungen'!$C$2:$C$492,LARGE(('Eingabe Meldungen'!$A$2:$A$492=$B$468)*(ROW('Eingabe Meldungen'!$A$2:$A$492)-1),COUNTIF('Eingabe Meldungen'!$A$2:$A$492,$B$468)+1-ROW('Eingabe Meldungen'!A12)))),"",INDEX('Eingabe Meldungen'!$C$2:$C$492,LARGE(('Eingabe Meldungen'!$A$2:$A$492=$B$468)*(ROW('Eingabe Meldungen'!$A$2:$A$492)-1),COUNTIF('Eingabe Meldungen'!$A$2:$A$492,$B$468)+1-ROW('Eingabe Meldungen'!A12))))</f>
        <v/>
      </c>
      <c r="C480" s="40" t="str">
        <f t="array" ref="C480">IF(ISERROR(INDEX('Eingabe Meldungen'!$D$2:$D$492,LARGE(('Eingabe Meldungen'!$A$2:$A$492=$B$468)*(ROW('Eingabe Meldungen'!$A$2:$A$492)-1),COUNTIF('Eingabe Meldungen'!$A$2:$A$492,$B$468)+1-ROW('Eingabe Meldungen'!A12)))),"",INDEX('Eingabe Meldungen'!$D$2:$D$492,LARGE(('Eingabe Meldungen'!$A$2:$A$492=$B$468)*(ROW('Eingabe Meldungen'!$A$2:$A$492)-1),COUNTIF('Eingabe Meldungen'!$A$2:$A$492,$B$468)+1-ROW('Eingabe Meldungen'!A12))))</f>
        <v/>
      </c>
      <c r="D480" s="107" t="str">
        <f t="array" ref="D480">IF(B480&lt;&gt;"",INDEX('Eingabe Meldungen'!$C$2:$H$492,MATCH(B480&amp;C480,'Eingabe Meldungen'!$C$2:$C$492&amp;'Eingabe Meldungen'!$D$2:$D$492,0),6),"")</f>
        <v/>
      </c>
      <c r="E480" s="107" t="str">
        <f t="array" ref="E480">IF(B480&lt;&gt;"",INDEX('Eingabe Meldungen'!$C$2:$H$492,MATCH(B480&amp;C480,'Eingabe Meldungen'!$C$2:$C$492&amp;'Eingabe Meldungen'!$D$2:$D$492,0),4),"")</f>
        <v/>
      </c>
      <c r="F480" s="39">
        <v>11</v>
      </c>
      <c r="G480" s="150"/>
      <c r="H480" s="40" t="e">
        <f t="shared" si="23"/>
        <v>#N/A</v>
      </c>
      <c r="I480" s="107" t="str">
        <f t="array" ref="I480">IF(B480&lt;&gt;"",INDEX('Eingabe Meldungen'!$C$2:$J$492,MATCH(B480&amp;C480,'Eingabe Meldungen'!$C$2:$C$492&amp;'Eingabe Meldungen'!$D$2:$D$492,0),8),"")</f>
        <v/>
      </c>
      <c r="J480" s="40"/>
      <c r="K480" s="40"/>
      <c r="L480" s="151"/>
      <c r="M480" s="147"/>
    </row>
    <row r="481" spans="2:13" ht="13.2" hidden="1" thickBot="1" x14ac:dyDescent="0.25">
      <c r="B481" s="148" t="str">
        <f t="array" ref="B481">IF(ISERROR(INDEX('Eingabe Meldungen'!$C$2:$C$492,LARGE(('Eingabe Meldungen'!$A$2:$A$492=$B$468)*(ROW('Eingabe Meldungen'!$A$2:$A$492)-1),COUNTIF('Eingabe Meldungen'!$A$2:$A$492,$B$468)+1-ROW('Eingabe Meldungen'!A13)))),"",INDEX('Eingabe Meldungen'!$C$2:$C$492,LARGE(('Eingabe Meldungen'!$A$2:$A$492=$B$468)*(ROW('Eingabe Meldungen'!$A$2:$A$492)-1),COUNTIF('Eingabe Meldungen'!$A$2:$A$492,$B$468)+1-ROW('Eingabe Meldungen'!A13))))</f>
        <v/>
      </c>
      <c r="C481" s="40" t="str">
        <f t="array" ref="C481">IF(ISERROR(INDEX('Eingabe Meldungen'!$D$2:$D$492,LARGE(('Eingabe Meldungen'!$A$2:$A$492=$B$468)*(ROW('Eingabe Meldungen'!$A$2:$A$492)-1),COUNTIF('Eingabe Meldungen'!$A$2:$A$492,$B$468)+1-ROW('Eingabe Meldungen'!A13)))),"",INDEX('Eingabe Meldungen'!$D$2:$D$492,LARGE(('Eingabe Meldungen'!$A$2:$A$492=$B$468)*(ROW('Eingabe Meldungen'!$A$2:$A$492)-1),COUNTIF('Eingabe Meldungen'!$A$2:$A$492,$B$468)+1-ROW('Eingabe Meldungen'!A13))))</f>
        <v/>
      </c>
      <c r="D481" s="107" t="str">
        <f t="array" ref="D481">IF(B481&lt;&gt;"",INDEX('Eingabe Meldungen'!$C$2:$H$492,MATCH(B481&amp;C481,'Eingabe Meldungen'!$C$2:$C$492&amp;'Eingabe Meldungen'!$D$2:$D$492,0),6),"")</f>
        <v/>
      </c>
      <c r="E481" s="107" t="str">
        <f t="array" ref="E481">IF(B481&lt;&gt;"",INDEX('Eingabe Meldungen'!$C$2:$H$492,MATCH(B481&amp;C481,'Eingabe Meldungen'!$C$2:$C$492&amp;'Eingabe Meldungen'!$D$2:$D$492,0),4),"")</f>
        <v/>
      </c>
      <c r="F481" s="39">
        <v>12</v>
      </c>
      <c r="G481" s="150"/>
      <c r="H481" s="40" t="e">
        <f t="shared" si="23"/>
        <v>#N/A</v>
      </c>
      <c r="I481" s="107" t="str">
        <f t="array" ref="I481">IF(B481&lt;&gt;"",INDEX('Eingabe Meldungen'!$C$2:$J$492,MATCH(B481&amp;C481,'Eingabe Meldungen'!$C$2:$C$492&amp;'Eingabe Meldungen'!$D$2:$D$492,0),8),"")</f>
        <v/>
      </c>
      <c r="J481" s="40"/>
      <c r="K481" s="40"/>
      <c r="L481" s="151"/>
      <c r="M481" s="147"/>
    </row>
    <row r="482" spans="2:13" ht="13.2" hidden="1" thickBot="1" x14ac:dyDescent="0.25">
      <c r="B482" s="148" t="str">
        <f t="array" ref="B482">IF(ISERROR(INDEX('Eingabe Meldungen'!$C$2:$C$492,LARGE(('Eingabe Meldungen'!$A$2:$A$492=$B$468)*(ROW('Eingabe Meldungen'!$A$2:$A$492)-1),COUNTIF('Eingabe Meldungen'!$A$2:$A$492,$B$468)+1-ROW('Eingabe Meldungen'!A14)))),"",INDEX('Eingabe Meldungen'!$C$2:$C$492,LARGE(('Eingabe Meldungen'!$A$2:$A$492=$B$468)*(ROW('Eingabe Meldungen'!$A$2:$A$492)-1),COUNTIF('Eingabe Meldungen'!$A$2:$A$492,$B$468)+1-ROW('Eingabe Meldungen'!A14))))</f>
        <v/>
      </c>
      <c r="C482" s="40" t="str">
        <f t="array" ref="C482">IF(ISERROR(INDEX('Eingabe Meldungen'!$D$2:$D$492,LARGE(('Eingabe Meldungen'!$A$2:$A$492=$B$468)*(ROW('Eingabe Meldungen'!$A$2:$A$492)-1),COUNTIF('Eingabe Meldungen'!$A$2:$A$492,$B$468)+1-ROW('Eingabe Meldungen'!A14)))),"",INDEX('Eingabe Meldungen'!$D$2:$D$492,LARGE(('Eingabe Meldungen'!$A$2:$A$492=$B$468)*(ROW('Eingabe Meldungen'!$A$2:$A$492)-1),COUNTIF('Eingabe Meldungen'!$A$2:$A$492,$B$468)+1-ROW('Eingabe Meldungen'!A14))))</f>
        <v/>
      </c>
      <c r="D482" s="107" t="str">
        <f t="array" ref="D482">IF(B482&lt;&gt;"",INDEX('Eingabe Meldungen'!$C$2:$H$492,MATCH(B482&amp;C482,'Eingabe Meldungen'!$C$2:$C$492&amp;'Eingabe Meldungen'!$D$2:$D$492,0),6),"")</f>
        <v/>
      </c>
      <c r="E482" s="107" t="str">
        <f t="array" ref="E482">IF(B482&lt;&gt;"",INDEX('Eingabe Meldungen'!$C$2:$H$492,MATCH(B482&amp;C482,'Eingabe Meldungen'!$C$2:$C$492&amp;'Eingabe Meldungen'!$D$2:$D$492,0),4),"")</f>
        <v/>
      </c>
      <c r="F482" s="39">
        <v>13</v>
      </c>
      <c r="G482" s="150"/>
      <c r="H482" s="40" t="e">
        <f t="shared" si="23"/>
        <v>#N/A</v>
      </c>
      <c r="I482" s="107" t="str">
        <f t="array" ref="I482">IF(B482&lt;&gt;"",INDEX('Eingabe Meldungen'!$C$2:$J$492,MATCH(B482&amp;C482,'Eingabe Meldungen'!$C$2:$C$492&amp;'Eingabe Meldungen'!$D$2:$D$492,0),8),"")</f>
        <v/>
      </c>
      <c r="J482" s="40"/>
      <c r="K482" s="40"/>
      <c r="L482" s="151"/>
      <c r="M482" s="147"/>
    </row>
    <row r="483" spans="2:13" ht="13.2" hidden="1" thickBot="1" x14ac:dyDescent="0.25">
      <c r="B483" s="148" t="str">
        <f t="array" ref="B483">IF(ISERROR(INDEX('Eingabe Meldungen'!$C$2:$C$492,LARGE(('Eingabe Meldungen'!$A$2:$A$492=$B$468)*(ROW('Eingabe Meldungen'!$A$2:$A$492)-1),COUNTIF('Eingabe Meldungen'!$A$2:$A$492,$B$468)+1-ROW('Eingabe Meldungen'!A15)))),"",INDEX('Eingabe Meldungen'!$C$2:$C$492,LARGE(('Eingabe Meldungen'!$A$2:$A$492=$B$468)*(ROW('Eingabe Meldungen'!$A$2:$A$492)-1),COUNTIF('Eingabe Meldungen'!$A$2:$A$492,$B$468)+1-ROW('Eingabe Meldungen'!A15))))</f>
        <v/>
      </c>
      <c r="C483" s="40" t="str">
        <f t="array" ref="C483">IF(ISERROR(INDEX('Eingabe Meldungen'!$D$2:$D$492,LARGE(('Eingabe Meldungen'!$A$2:$A$492=$B$468)*(ROW('Eingabe Meldungen'!$A$2:$A$492)-1),COUNTIF('Eingabe Meldungen'!$A$2:$A$492,$B$468)+1-ROW('Eingabe Meldungen'!A15)))),"",INDEX('Eingabe Meldungen'!$D$2:$D$492,LARGE(('Eingabe Meldungen'!$A$2:$A$492=$B$468)*(ROW('Eingabe Meldungen'!$A$2:$A$492)-1),COUNTIF('Eingabe Meldungen'!$A$2:$A$492,$B$468)+1-ROW('Eingabe Meldungen'!A15))))</f>
        <v/>
      </c>
      <c r="D483" s="107" t="str">
        <f t="array" ref="D483">IF(B483&lt;&gt;"",INDEX('Eingabe Meldungen'!$C$2:$H$492,MATCH(B483&amp;C483,'Eingabe Meldungen'!$C$2:$C$492&amp;'Eingabe Meldungen'!$D$2:$D$492,0),6),"")</f>
        <v/>
      </c>
      <c r="E483" s="107" t="str">
        <f t="array" ref="E483">IF(B483&lt;&gt;"",INDEX('Eingabe Meldungen'!$C$2:$H$492,MATCH(B483&amp;C483,'Eingabe Meldungen'!$C$2:$C$492&amp;'Eingabe Meldungen'!$D$2:$D$492,0),4),"")</f>
        <v/>
      </c>
      <c r="F483" s="39">
        <v>14</v>
      </c>
      <c r="G483" s="150"/>
      <c r="H483" s="40" t="e">
        <f t="shared" si="23"/>
        <v>#N/A</v>
      </c>
      <c r="I483" s="107" t="str">
        <f t="array" ref="I483">IF(B483&lt;&gt;"",INDEX('Eingabe Meldungen'!$C$2:$J$492,MATCH(B483&amp;C483,'Eingabe Meldungen'!$C$2:$C$492&amp;'Eingabe Meldungen'!$D$2:$D$492,0),8),"")</f>
        <v/>
      </c>
      <c r="J483" s="40"/>
      <c r="K483" s="40"/>
      <c r="L483" s="151"/>
      <c r="M483" s="147"/>
    </row>
    <row r="484" spans="2:13" ht="13.2" hidden="1" thickBot="1" x14ac:dyDescent="0.25">
      <c r="B484" s="148" t="str">
        <f t="array" ref="B484">IF(ISERROR(INDEX('Eingabe Meldungen'!$C$2:$C$492,LARGE(('Eingabe Meldungen'!$A$2:$A$492=$B$468)*(ROW('Eingabe Meldungen'!$A$2:$A$492)-1),COUNTIF('Eingabe Meldungen'!$A$2:$A$492,$B$468)+1-ROW('Eingabe Meldungen'!A16)))),"",INDEX('Eingabe Meldungen'!$C$2:$C$492,LARGE(('Eingabe Meldungen'!$A$2:$A$492=$B$468)*(ROW('Eingabe Meldungen'!$A$2:$A$492)-1),COUNTIF('Eingabe Meldungen'!$A$2:$A$492,$B$468)+1-ROW('Eingabe Meldungen'!A16))))</f>
        <v/>
      </c>
      <c r="C484" s="40" t="str">
        <f t="array" ref="C484">IF(ISERROR(INDEX('Eingabe Meldungen'!$D$2:$D$492,LARGE(('Eingabe Meldungen'!$A$2:$A$492=$B$468)*(ROW('Eingabe Meldungen'!$A$2:$A$492)-1),COUNTIF('Eingabe Meldungen'!$A$2:$A$492,$B$468)+1-ROW('Eingabe Meldungen'!A16)))),"",INDEX('Eingabe Meldungen'!$D$2:$D$492,LARGE(('Eingabe Meldungen'!$A$2:$A$492=$B$468)*(ROW('Eingabe Meldungen'!$A$2:$A$492)-1),COUNTIF('Eingabe Meldungen'!$A$2:$A$492,$B$468)+1-ROW('Eingabe Meldungen'!A16))))</f>
        <v/>
      </c>
      <c r="D484" s="107" t="str">
        <f t="array" ref="D484">IF(B484&lt;&gt;"",INDEX('Eingabe Meldungen'!$C$2:$H$492,MATCH(B484&amp;C484,'Eingabe Meldungen'!$C$2:$C$492&amp;'Eingabe Meldungen'!$D$2:$D$492,0),6),"")</f>
        <v/>
      </c>
      <c r="E484" s="107" t="str">
        <f t="array" ref="E484">IF(B484&lt;&gt;"",INDEX('Eingabe Meldungen'!$C$2:$H$492,MATCH(B484&amp;C484,'Eingabe Meldungen'!$C$2:$C$492&amp;'Eingabe Meldungen'!$D$2:$D$492,0),4),"")</f>
        <v/>
      </c>
      <c r="F484" s="39">
        <v>15</v>
      </c>
      <c r="G484" s="150"/>
      <c r="H484" s="40" t="e">
        <f t="shared" si="23"/>
        <v>#N/A</v>
      </c>
      <c r="I484" s="107" t="str">
        <f t="array" ref="I484">IF(B484&lt;&gt;"",INDEX('Eingabe Meldungen'!$C$2:$J$492,MATCH(B484&amp;C484,'Eingabe Meldungen'!$C$2:$C$492&amp;'Eingabe Meldungen'!$D$2:$D$492,0),8),"")</f>
        <v/>
      </c>
      <c r="J484" s="40"/>
      <c r="K484" s="40"/>
      <c r="L484" s="151"/>
      <c r="M484" s="147"/>
    </row>
    <row r="485" spans="2:13" ht="13.2" hidden="1" thickBot="1" x14ac:dyDescent="0.25">
      <c r="B485" s="159" t="str">
        <f t="array" ref="B485">IF(ISERROR(INDEX('Eingabe Meldungen'!$C$2:$C$492,LARGE(('Eingabe Meldungen'!$A$2:$A$492=$B$468)*(ROW('Eingabe Meldungen'!$A$2:$A$492)-1),COUNTIF('Eingabe Meldungen'!$A$2:$A$492,$B$468)+1-ROW('Eingabe Meldungen'!A17)))),"",INDEX('Eingabe Meldungen'!$C$2:$C$492,LARGE(('Eingabe Meldungen'!$A$2:$A$492=$B$468)*(ROW('Eingabe Meldungen'!$A$2:$A$492)-1),COUNTIF('Eingabe Meldungen'!$A$2:$A$492,$B$468)+1-ROW('Eingabe Meldungen'!A17))))</f>
        <v/>
      </c>
      <c r="C485" s="160" t="str">
        <f t="array" ref="C485">IF(ISERROR(INDEX('Eingabe Meldungen'!$D$2:$D$492,LARGE(('Eingabe Meldungen'!$A$2:$A$492=$B$468)*(ROW('Eingabe Meldungen'!$A$2:$A$492)-1),COUNTIF('Eingabe Meldungen'!$A$2:$A$492,$B$468)+1-ROW('Eingabe Meldungen'!A17)))),"",INDEX('Eingabe Meldungen'!$D$2:$D$492,LARGE(('Eingabe Meldungen'!$A$2:$A$492=$B$468)*(ROW('Eingabe Meldungen'!$A$2:$A$492)-1),COUNTIF('Eingabe Meldungen'!$A$2:$A$492,$B$468)+1-ROW('Eingabe Meldungen'!A17))))</f>
        <v/>
      </c>
      <c r="D485" s="161" t="str">
        <f t="array" ref="D485">IF(B485&lt;&gt;"",INDEX('Eingabe Meldungen'!$C$2:$H$492,MATCH(B485&amp;C485,'Eingabe Meldungen'!$C$2:$C$492&amp;'Eingabe Meldungen'!$D$2:$D$492,0),6),"")</f>
        <v/>
      </c>
      <c r="E485" s="161" t="str">
        <f t="array" ref="E485">IF(B485&lt;&gt;"",INDEX('Eingabe Meldungen'!$C$2:$H$492,MATCH(B485&amp;C485,'Eingabe Meldungen'!$C$2:$C$492&amp;'Eingabe Meldungen'!$D$2:$D$492,0),4),"")</f>
        <v/>
      </c>
      <c r="F485" s="118">
        <v>16</v>
      </c>
      <c r="G485" s="175"/>
      <c r="H485" s="160" t="e">
        <f t="shared" si="23"/>
        <v>#N/A</v>
      </c>
      <c r="I485" s="161" t="str">
        <f t="array" ref="I485">IF(B485&lt;&gt;"",INDEX('Eingabe Meldungen'!$C$2:$J$492,MATCH(B485&amp;C485,'Eingabe Meldungen'!$C$2:$C$492&amp;'Eingabe Meldungen'!$D$2:$D$492,0),8),"")</f>
        <v/>
      </c>
      <c r="J485" s="160"/>
      <c r="K485" s="160"/>
      <c r="L485" s="162"/>
      <c r="M485" s="163"/>
    </row>
    <row r="486" spans="2:13" ht="27" hidden="1" customHeight="1" x14ac:dyDescent="0.2">
      <c r="B486" s="120">
        <f>B468+1</f>
        <v>25</v>
      </c>
      <c r="C486" s="121" t="str">
        <f>VLOOKUP(B486,Ausschreibung!$B$5:$I$35,2,FALSE)</f>
        <v>Ergocup</v>
      </c>
      <c r="D486" s="122">
        <f>VLOOKUP(B486,Ausschreibung!$B$5:$I$35,3,FALSE)</f>
        <v>0.66249999999999976</v>
      </c>
      <c r="E486" s="121" t="str">
        <f>VLOOKUP(B486,Ausschreibung!$B$5:$I$35,4,FALSE)</f>
        <v>Masters A-H, männlich</v>
      </c>
      <c r="F486" s="121">
        <v>61</v>
      </c>
      <c r="G486" s="121" t="str">
        <f>VLOOKUP(B486,Ausschreibung!$B$5:$I$35,6,FALSE)</f>
        <v>27 und älter</v>
      </c>
      <c r="H486" s="121" t="str">
        <f>VLOOKUP(B486,Ausschreibung!$B$5:$I$35,8,FALSE)</f>
        <v>2000 m</v>
      </c>
      <c r="I486" s="121"/>
      <c r="J486" s="129">
        <f>D486-(2*$N$60)</f>
        <v>0.57916666666666639</v>
      </c>
      <c r="K486" s="129"/>
      <c r="L486" s="129">
        <f>D486-$N$60</f>
        <v>0.62083333333333313</v>
      </c>
      <c r="M486" s="123"/>
    </row>
    <row r="487" spans="2:13" hidden="1" x14ac:dyDescent="0.2">
      <c r="B487" s="176" t="s">
        <v>1</v>
      </c>
      <c r="C487" s="177" t="s">
        <v>2</v>
      </c>
      <c r="D487" s="178" t="s">
        <v>4</v>
      </c>
      <c r="E487" s="179" t="s">
        <v>16</v>
      </c>
      <c r="F487" s="178" t="s">
        <v>18</v>
      </c>
      <c r="G487" s="178" t="s">
        <v>50</v>
      </c>
      <c r="H487" s="178" t="s">
        <v>51</v>
      </c>
      <c r="I487" s="180" t="s">
        <v>17</v>
      </c>
      <c r="J487" s="178" t="s">
        <v>85</v>
      </c>
      <c r="K487" s="179"/>
      <c r="L487" s="179" t="s">
        <v>50</v>
      </c>
      <c r="M487" s="185" t="s">
        <v>87</v>
      </c>
    </row>
    <row r="488" spans="2:13" hidden="1" x14ac:dyDescent="0.2">
      <c r="B488" s="148" t="str">
        <f t="array" ref="B488">IF(ISERROR(INDEX('Eingabe Meldungen'!$C$2:$C$492,LARGE(('Eingabe Meldungen'!$A$2:$A$492=$B$486)*(ROW('Eingabe Meldungen'!$A$2:$A$492)-1),COUNTIF('Eingabe Meldungen'!$A$2:$A$492,$B$486)+1-ROW('Eingabe Meldungen'!A1)))),"",INDEX('Eingabe Meldungen'!$C$2:$C$492,LARGE(('Eingabe Meldungen'!$A$2:$A$492=$B$486)*(ROW('Eingabe Meldungen'!$A$2:$A$492)-1),COUNTIF('Eingabe Meldungen'!$A$2:$A$492,$B$486)+1-ROW('Eingabe Meldungen'!A1))))</f>
        <v>Sommer</v>
      </c>
      <c r="C488" s="40" t="str">
        <f t="array" ref="C488">IF(ISERROR(INDEX('Eingabe Meldungen'!$D$2:$D$492,LARGE(('Eingabe Meldungen'!$A$2:$A$492=$B$486)*(ROW('Eingabe Meldungen'!$A$2:$A$492)-1),COUNTIF('Eingabe Meldungen'!$A$2:$A$492,$B$486)+1-ROW('Eingabe Meldungen'!A1)))),"",INDEX('Eingabe Meldungen'!$D$2:$D$492,LARGE(('Eingabe Meldungen'!$A$2:$A$492=$B$486)*(ROW('Eingabe Meldungen'!$A$2:$A$492)-1),COUNTIF('Eingabe Meldungen'!$A$2:$A$492,$B$486)+1-ROW('Eingabe Meldungen'!A1))))</f>
        <v>Christian</v>
      </c>
      <c r="D488" s="107">
        <f t="array" ref="D488">IF(B488&lt;&gt;"",INDEX('Eingabe Meldungen'!$C$2:$H$492,MATCH(B488&amp;C488,'Eingabe Meldungen'!$C$2:$C$492&amp;'Eingabe Meldungen'!$D$2:$D$492,0),6),"")</f>
        <v>1942</v>
      </c>
      <c r="E488" s="107" t="str">
        <f t="array" ref="E488">IF(B488&lt;&gt;"",INDEX('Eingabe Meldungen'!$C$2:$H$492,MATCH(B488&amp;C488,'Eingabe Meldungen'!$C$2:$C$492&amp;'Eingabe Meldungen'!$D$2:$D$492,0),4),"")</f>
        <v>I</v>
      </c>
      <c r="F488" s="107">
        <v>1</v>
      </c>
      <c r="G488" s="149"/>
      <c r="H488" s="40" t="e">
        <f>RANK(G488,$G$488:$G$503,1)</f>
        <v>#N/A</v>
      </c>
      <c r="I488" s="107" t="str">
        <f t="array" ref="I488">IF(B488&lt;&gt;"",INDEX('Eingabe Meldungen'!$C$2:$J$492,MATCH(B488&amp;C488,'Eingabe Meldungen'!$C$2:$C$492&amp;'Eingabe Meldungen'!$D$2:$D$492,0),8),"")</f>
        <v>USV TU Dresden</v>
      </c>
      <c r="J488" s="190"/>
      <c r="K488" s="190"/>
      <c r="L488" s="192"/>
      <c r="M488" s="191"/>
    </row>
    <row r="489" spans="2:13" hidden="1" x14ac:dyDescent="0.2">
      <c r="B489" s="148" t="str">
        <f t="array" ref="B489">IF(ISERROR(INDEX('Eingabe Meldungen'!$C$2:$C$492,LARGE(('Eingabe Meldungen'!$A$2:$A$492=$B$486)*(ROW('Eingabe Meldungen'!$A$2:$A$492)-1),COUNTIF('Eingabe Meldungen'!$A$2:$A$492,$B$486)+1-ROW('Eingabe Meldungen'!A2)))),"",INDEX('Eingabe Meldungen'!$C$2:$C$492,LARGE(('Eingabe Meldungen'!$A$2:$A$492=$B$486)*(ROW('Eingabe Meldungen'!$A$2:$A$492)-1),COUNTIF('Eingabe Meldungen'!$A$2:$A$492,$B$486)+1-ROW('Eingabe Meldungen'!A2))))</f>
        <v>Köhler</v>
      </c>
      <c r="C489" s="40" t="str">
        <f t="array" ref="C489">IF(ISERROR(INDEX('Eingabe Meldungen'!$D$2:$D$492,LARGE(('Eingabe Meldungen'!$A$2:$A$492=$B$486)*(ROW('Eingabe Meldungen'!$A$2:$A$492)-1),COUNTIF('Eingabe Meldungen'!$A$2:$A$492,$B$486)+1-ROW('Eingabe Meldungen'!A2)))),"",INDEX('Eingabe Meldungen'!$D$2:$D$492,LARGE(('Eingabe Meldungen'!$A$2:$A$492=$B$486)*(ROW('Eingabe Meldungen'!$A$2:$A$492)-1),COUNTIF('Eingabe Meldungen'!$A$2:$A$492,$B$486)+1-ROW('Eingabe Meldungen'!A2))))</f>
        <v>Bernhard</v>
      </c>
      <c r="D489" s="107">
        <f t="array" ref="D489">IF(B489&lt;&gt;"",INDEX('Eingabe Meldungen'!$C$2:$H$492,MATCH(B489&amp;C489,'Eingabe Meldungen'!$C$2:$C$492&amp;'Eingabe Meldungen'!$D$2:$D$492,0),6),"")</f>
        <v>1958</v>
      </c>
      <c r="E489" s="107" t="str">
        <f t="array" ref="E489">IF(B489&lt;&gt;"",INDEX('Eingabe Meldungen'!$C$2:$H$492,MATCH(B489&amp;C489,'Eingabe Meldungen'!$C$2:$C$492&amp;'Eingabe Meldungen'!$D$2:$D$492,0),4),"")</f>
        <v>F</v>
      </c>
      <c r="F489" s="39">
        <v>2</v>
      </c>
      <c r="G489" s="149"/>
      <c r="H489" s="40" t="e">
        <f t="shared" ref="H489:H503" si="24">RANK(G489,$G$488:$G$503,1)</f>
        <v>#N/A</v>
      </c>
      <c r="I489" s="107" t="str">
        <f t="array" ref="I489">IF(B489&lt;&gt;"",INDEX('Eingabe Meldungen'!$C$2:$J$492,MATCH(B489&amp;C489,'Eingabe Meldungen'!$C$2:$C$492&amp;'Eingabe Meldungen'!$D$2:$D$492,0),8),"")</f>
        <v>Fitness Oase in Regen</v>
      </c>
      <c r="J489" s="190"/>
      <c r="K489" s="190"/>
      <c r="L489" s="192"/>
      <c r="M489" s="191"/>
    </row>
    <row r="490" spans="2:13" hidden="1" x14ac:dyDescent="0.2">
      <c r="B490" s="148" t="str">
        <f t="array" ref="B490">IF(ISERROR(INDEX('Eingabe Meldungen'!$C$2:$C$492,LARGE(('Eingabe Meldungen'!$A$2:$A$492=$B$486)*(ROW('Eingabe Meldungen'!$A$2:$A$492)-1),COUNTIF('Eingabe Meldungen'!$A$2:$A$492,$B$486)+1-ROW('Eingabe Meldungen'!A3)))),"",INDEX('Eingabe Meldungen'!$C$2:$C$492,LARGE(('Eingabe Meldungen'!$A$2:$A$492=$B$486)*(ROW('Eingabe Meldungen'!$A$2:$A$492)-1),COUNTIF('Eingabe Meldungen'!$A$2:$A$492,$B$486)+1-ROW('Eingabe Meldungen'!A3))))</f>
        <v>Grün</v>
      </c>
      <c r="C490" s="40" t="str">
        <f t="array" ref="C490">IF(ISERROR(INDEX('Eingabe Meldungen'!$D$2:$D$492,LARGE(('Eingabe Meldungen'!$A$2:$A$492=$B$486)*(ROW('Eingabe Meldungen'!$A$2:$A$492)-1),COUNTIF('Eingabe Meldungen'!$A$2:$A$492,$B$486)+1-ROW('Eingabe Meldungen'!A3)))),"",INDEX('Eingabe Meldungen'!$D$2:$D$492,LARGE(('Eingabe Meldungen'!$A$2:$A$492=$B$486)*(ROW('Eingabe Meldungen'!$A$2:$A$492)-1),COUNTIF('Eingabe Meldungen'!$A$2:$A$492,$B$486)+1-ROW('Eingabe Meldungen'!A3))))</f>
        <v>Michael</v>
      </c>
      <c r="D490" s="107">
        <f t="array" ref="D490">IF(B490&lt;&gt;"",INDEX('Eingabe Meldungen'!$C$2:$H$492,MATCH(B490&amp;C490,'Eingabe Meldungen'!$C$2:$C$492&amp;'Eingabe Meldungen'!$D$2:$D$492,0),6),"")</f>
        <v>1968</v>
      </c>
      <c r="E490" s="107" t="str">
        <f t="array" ref="E490">IF(B490&lt;&gt;"",INDEX('Eingabe Meldungen'!$C$2:$H$492,MATCH(B490&amp;C490,'Eingabe Meldungen'!$C$2:$C$492&amp;'Eingabe Meldungen'!$D$2:$D$492,0),4),"")</f>
        <v>D</v>
      </c>
      <c r="F490" s="39">
        <v>3</v>
      </c>
      <c r="G490" s="150"/>
      <c r="H490" s="40" t="e">
        <f t="shared" si="24"/>
        <v>#N/A</v>
      </c>
      <c r="I490" s="107" t="str">
        <f t="array" ref="I490">IF(B490&lt;&gt;"",INDEX('Eingabe Meldungen'!$C$2:$J$492,MATCH(B490&amp;C490,'Eingabe Meldungen'!$C$2:$C$492&amp;'Eingabe Meldungen'!$D$2:$D$492,0),8),"")</f>
        <v>HRG Schwaben</v>
      </c>
      <c r="J490" s="190"/>
      <c r="K490" s="190"/>
      <c r="L490" s="192"/>
      <c r="M490" s="191"/>
    </row>
    <row r="491" spans="2:13" hidden="1" x14ac:dyDescent="0.2">
      <c r="B491" s="148" t="str">
        <f t="array" ref="B491">IF(ISERROR(INDEX('Eingabe Meldungen'!$C$2:$C$492,LARGE(('Eingabe Meldungen'!$A$2:$A$492=$B$486)*(ROW('Eingabe Meldungen'!$A$2:$A$492)-1),COUNTIF('Eingabe Meldungen'!$A$2:$A$492,$B$486)+1-ROW('Eingabe Meldungen'!A4)))),"",INDEX('Eingabe Meldungen'!$C$2:$C$492,LARGE(('Eingabe Meldungen'!$A$2:$A$492=$B$486)*(ROW('Eingabe Meldungen'!$A$2:$A$492)-1),COUNTIF('Eingabe Meldungen'!$A$2:$A$492,$B$486)+1-ROW('Eingabe Meldungen'!A4))))</f>
        <v>Angelakov</v>
      </c>
      <c r="C491" s="40" t="str">
        <f t="array" ref="C491">IF(ISERROR(INDEX('Eingabe Meldungen'!$D$2:$D$492,LARGE(('Eingabe Meldungen'!$A$2:$A$492=$B$486)*(ROW('Eingabe Meldungen'!$A$2:$A$492)-1),COUNTIF('Eingabe Meldungen'!$A$2:$A$492,$B$486)+1-ROW('Eingabe Meldungen'!A4)))),"",INDEX('Eingabe Meldungen'!$D$2:$D$492,LARGE(('Eingabe Meldungen'!$A$2:$A$492=$B$486)*(ROW('Eingabe Meldungen'!$A$2:$A$492)-1),COUNTIF('Eingabe Meldungen'!$A$2:$A$492,$B$486)+1-ROW('Eingabe Meldungen'!A4))))</f>
        <v>David</v>
      </c>
      <c r="D491" s="107">
        <f t="array" ref="D491">IF(B491&lt;&gt;"",INDEX('Eingabe Meldungen'!$C$2:$H$492,MATCH(B491&amp;C491,'Eingabe Meldungen'!$C$2:$C$492&amp;'Eingabe Meldungen'!$D$2:$D$492,0),6),"")</f>
        <v>1970</v>
      </c>
      <c r="E491" s="107" t="str">
        <f t="array" ref="E491">IF(B491&lt;&gt;"",INDEX('Eingabe Meldungen'!$C$2:$H$492,MATCH(B491&amp;C491,'Eingabe Meldungen'!$C$2:$C$492&amp;'Eingabe Meldungen'!$D$2:$D$492,0),4),"")</f>
        <v>D</v>
      </c>
      <c r="F491" s="39">
        <v>4</v>
      </c>
      <c r="G491" s="150"/>
      <c r="H491" s="40" t="e">
        <f t="shared" si="24"/>
        <v>#N/A</v>
      </c>
      <c r="I491" s="107" t="str">
        <f t="array" ref="I491">IF(B491&lt;&gt;"",INDEX('Eingabe Meldungen'!$C$2:$J$492,MATCH(B491&amp;C491,'Eingabe Meldungen'!$C$2:$C$492&amp;'Eingabe Meldungen'!$D$2:$D$492,0),8),"")</f>
        <v>Marbacher Ruderverein</v>
      </c>
      <c r="J491" s="190"/>
      <c r="K491" s="190"/>
      <c r="L491" s="192"/>
      <c r="M491" s="191"/>
    </row>
    <row r="492" spans="2:13" hidden="1" x14ac:dyDescent="0.2">
      <c r="B492" s="148" t="str">
        <f t="array" ref="B492">IF(ISERROR(INDEX('Eingabe Meldungen'!$C$2:$C$492,LARGE(('Eingabe Meldungen'!$A$2:$A$492=$B$486)*(ROW('Eingabe Meldungen'!$A$2:$A$492)-1),COUNTIF('Eingabe Meldungen'!$A$2:$A$492,$B$486)+1-ROW('Eingabe Meldungen'!A5)))),"",INDEX('Eingabe Meldungen'!$C$2:$C$492,LARGE(('Eingabe Meldungen'!$A$2:$A$492=$B$486)*(ROW('Eingabe Meldungen'!$A$2:$A$492)-1),COUNTIF('Eingabe Meldungen'!$A$2:$A$492,$B$486)+1-ROW('Eingabe Meldungen'!A5))))</f>
        <v>Marx</v>
      </c>
      <c r="C492" s="40" t="str">
        <f t="array" ref="C492">IF(ISERROR(INDEX('Eingabe Meldungen'!$D$2:$D$492,LARGE(('Eingabe Meldungen'!$A$2:$A$492=$B$486)*(ROW('Eingabe Meldungen'!$A$2:$A$492)-1),COUNTIF('Eingabe Meldungen'!$A$2:$A$492,$B$486)+1-ROW('Eingabe Meldungen'!A5)))),"",INDEX('Eingabe Meldungen'!$D$2:$D$492,LARGE(('Eingabe Meldungen'!$A$2:$A$492=$B$486)*(ROW('Eingabe Meldungen'!$A$2:$A$492)-1),COUNTIF('Eingabe Meldungen'!$A$2:$A$492,$B$486)+1-ROW('Eingabe Meldungen'!A5))))</f>
        <v>Johannes</v>
      </c>
      <c r="D492" s="107">
        <f t="array" ref="D492">IF(B492&lt;&gt;"",INDEX('Eingabe Meldungen'!$C$2:$H$492,MATCH(B492&amp;C492,'Eingabe Meldungen'!$C$2:$C$492&amp;'Eingabe Meldungen'!$D$2:$D$492,0),6),"")</f>
        <v>1962</v>
      </c>
      <c r="E492" s="107" t="str">
        <f t="array" ref="E492">IF(B492&lt;&gt;"",INDEX('Eingabe Meldungen'!$C$2:$H$492,MATCH(B492&amp;C492,'Eingabe Meldungen'!$C$2:$C$492&amp;'Eingabe Meldungen'!$D$2:$D$492,0),4),"")</f>
        <v>E</v>
      </c>
      <c r="F492" s="39">
        <v>5</v>
      </c>
      <c r="G492" s="150"/>
      <c r="H492" s="40" t="e">
        <f t="shared" si="24"/>
        <v>#N/A</v>
      </c>
      <c r="I492" s="107" t="str">
        <f t="array" ref="I492">IF(B492&lt;&gt;"",INDEX('Eingabe Meldungen'!$C$2:$J$492,MATCH(B492&amp;C492,'Eingabe Meldungen'!$C$2:$C$492&amp;'Eingabe Meldungen'!$D$2:$D$492,0),8),"")</f>
        <v>RC Neptun Neckarelz</v>
      </c>
      <c r="J492" s="190"/>
      <c r="K492" s="190"/>
      <c r="L492" s="192"/>
      <c r="M492" s="191"/>
    </row>
    <row r="493" spans="2:13" hidden="1" x14ac:dyDescent="0.2">
      <c r="B493" s="148" t="str">
        <f t="array" ref="B493">IF(ISERROR(INDEX('Eingabe Meldungen'!$C$2:$C$492,LARGE(('Eingabe Meldungen'!$A$2:$A$492=$B$486)*(ROW('Eingabe Meldungen'!$A$2:$A$492)-1),COUNTIF('Eingabe Meldungen'!$A$2:$A$492,$B$486)+1-ROW('Eingabe Meldungen'!A6)))),"",INDEX('Eingabe Meldungen'!$C$2:$C$492,LARGE(('Eingabe Meldungen'!$A$2:$A$492=$B$486)*(ROW('Eingabe Meldungen'!$A$2:$A$492)-1),COUNTIF('Eingabe Meldungen'!$A$2:$A$492,$B$486)+1-ROW('Eingabe Meldungen'!A6))))</f>
        <v>Schönmann Fink</v>
      </c>
      <c r="C493" s="40" t="str">
        <f t="array" ref="C493">IF(ISERROR(INDEX('Eingabe Meldungen'!$D$2:$D$492,LARGE(('Eingabe Meldungen'!$A$2:$A$492=$B$486)*(ROW('Eingabe Meldungen'!$A$2:$A$492)-1),COUNTIF('Eingabe Meldungen'!$A$2:$A$492,$B$486)+1-ROW('Eingabe Meldungen'!A6)))),"",INDEX('Eingabe Meldungen'!$D$2:$D$492,LARGE(('Eingabe Meldungen'!$A$2:$A$492=$B$486)*(ROW('Eingabe Meldungen'!$A$2:$A$492)-1),COUNTIF('Eingabe Meldungen'!$A$2:$A$492,$B$486)+1-ROW('Eingabe Meldungen'!A6))))</f>
        <v>Matthias</v>
      </c>
      <c r="D493" s="107">
        <f t="array" ref="D493">IF(B493&lt;&gt;"",INDEX('Eingabe Meldungen'!$C$2:$H$492,MATCH(B493&amp;C493,'Eingabe Meldungen'!$C$2:$C$492&amp;'Eingabe Meldungen'!$D$2:$D$492,0),6),"")</f>
        <v>1979</v>
      </c>
      <c r="E493" s="107" t="str">
        <f t="array" ref="E493">IF(B493&lt;&gt;"",INDEX('Eingabe Meldungen'!$C$2:$H$492,MATCH(B493&amp;C493,'Eingabe Meldungen'!$C$2:$C$492&amp;'Eingabe Meldungen'!$D$2:$D$492,0),4),"")</f>
        <v>B</v>
      </c>
      <c r="F493" s="39">
        <v>6</v>
      </c>
      <c r="G493" s="150"/>
      <c r="H493" s="40" t="e">
        <f t="shared" si="24"/>
        <v>#N/A</v>
      </c>
      <c r="I493" s="107" t="str">
        <f t="array" ref="I493">IF(B493&lt;&gt;"",INDEX('Eingabe Meldungen'!$C$2:$J$492,MATCH(B493&amp;C493,'Eingabe Meldungen'!$C$2:$C$492&amp;'Eingabe Meldungen'!$D$2:$D$492,0),8),"")</f>
        <v>RC Neptun Neckarelz</v>
      </c>
      <c r="J493" s="190"/>
      <c r="K493" s="190"/>
      <c r="L493" s="192"/>
      <c r="M493" s="191"/>
    </row>
    <row r="494" spans="2:13" hidden="1" x14ac:dyDescent="0.2">
      <c r="B494" s="148" t="str">
        <f t="array" ref="B494">IF(ISERROR(INDEX('Eingabe Meldungen'!$C$2:$C$492,LARGE(('Eingabe Meldungen'!$A$2:$A$492=$B$486)*(ROW('Eingabe Meldungen'!$A$2:$A$492)-1),COUNTIF('Eingabe Meldungen'!$A$2:$A$492,$B$486)+1-ROW('Eingabe Meldungen'!A8)))),"",INDEX('Eingabe Meldungen'!$C$2:$C$492,LARGE(('Eingabe Meldungen'!$A$2:$A$492=$B$486)*(ROW('Eingabe Meldungen'!$A$2:$A$492)-1),COUNTIF('Eingabe Meldungen'!$A$2:$A$492,$B$486)+1-ROW('Eingabe Meldungen'!A8))))</f>
        <v>Weiß</v>
      </c>
      <c r="C494" s="40" t="str">
        <f t="array" ref="C494">IF(ISERROR(INDEX('Eingabe Meldungen'!$D$2:$D$492,LARGE(('Eingabe Meldungen'!$A$2:$A$492=$B$486)*(ROW('Eingabe Meldungen'!$A$2:$A$492)-1),COUNTIF('Eingabe Meldungen'!$A$2:$A$492,$B$486)+1-ROW('Eingabe Meldungen'!A8)))),"",INDEX('Eingabe Meldungen'!$D$2:$D$492,LARGE(('Eingabe Meldungen'!$A$2:$A$492=$B$486)*(ROW('Eingabe Meldungen'!$A$2:$A$492)-1),COUNTIF('Eingabe Meldungen'!$A$2:$A$492,$B$486)+1-ROW('Eingabe Meldungen'!A8))))</f>
        <v>Fabian</v>
      </c>
      <c r="D494" s="107">
        <f t="array" ref="D494">IF(B494&lt;&gt;"",INDEX('Eingabe Meldungen'!$C$2:$H$492,MATCH(B494&amp;C494,'Eingabe Meldungen'!$C$2:$C$492&amp;'Eingabe Meldungen'!$D$2:$D$492,0),6),"")</f>
        <v>1992</v>
      </c>
      <c r="E494" s="107" t="str">
        <f t="array" ref="E494">IF(B494&lt;&gt;"",INDEX('Eingabe Meldungen'!$C$2:$H$492,MATCH(B494&amp;C494,'Eingabe Meldungen'!$C$2:$C$492&amp;'Eingabe Meldungen'!$D$2:$D$492,0),4),"")</f>
        <v>A</v>
      </c>
      <c r="F494" s="39">
        <v>7</v>
      </c>
      <c r="G494" s="150"/>
      <c r="H494" s="40" t="e">
        <f t="shared" si="24"/>
        <v>#N/A</v>
      </c>
      <c r="I494" s="107" t="str">
        <f t="array" ref="I494">IF(B494&lt;&gt;"",INDEX('Eingabe Meldungen'!$C$2:$J$492,MATCH(B494&amp;C494,'Eingabe Meldungen'!$C$2:$C$492&amp;'Eingabe Meldungen'!$D$2:$D$492,0),8),"")</f>
        <v>HRG Schwaben</v>
      </c>
      <c r="J494" s="190"/>
      <c r="K494" s="190"/>
      <c r="L494" s="192"/>
      <c r="M494" s="191"/>
    </row>
    <row r="495" spans="2:13" hidden="1" x14ac:dyDescent="0.2">
      <c r="B495" s="148" t="str">
        <f t="array" ref="B495">IF(ISERROR(INDEX('Eingabe Meldungen'!$C$2:$C$492,LARGE(('Eingabe Meldungen'!$A$2:$A$492=$B$486)*(ROW('Eingabe Meldungen'!$A$2:$A$492)-1),COUNTIF('Eingabe Meldungen'!$A$2:$A$492,$B$486)+1-ROW('Eingabe Meldungen'!A9)))),"",INDEX('Eingabe Meldungen'!$C$2:$C$492,LARGE(('Eingabe Meldungen'!$A$2:$A$492=$B$486)*(ROW('Eingabe Meldungen'!$A$2:$A$492)-1),COUNTIF('Eingabe Meldungen'!$A$2:$A$492,$B$486)+1-ROW('Eingabe Meldungen'!A9))))</f>
        <v/>
      </c>
      <c r="C495" s="40" t="str">
        <f t="array" ref="C495">IF(ISERROR(INDEX('Eingabe Meldungen'!$D$2:$D$492,LARGE(('Eingabe Meldungen'!$A$2:$A$492=$B$486)*(ROW('Eingabe Meldungen'!$A$2:$A$492)-1),COUNTIF('Eingabe Meldungen'!$A$2:$A$492,$B$486)+1-ROW('Eingabe Meldungen'!A9)))),"",INDEX('Eingabe Meldungen'!$D$2:$D$492,LARGE(('Eingabe Meldungen'!$A$2:$A$492=$B$486)*(ROW('Eingabe Meldungen'!$A$2:$A$492)-1),COUNTIF('Eingabe Meldungen'!$A$2:$A$492,$B$486)+1-ROW('Eingabe Meldungen'!A9))))</f>
        <v/>
      </c>
      <c r="D495" s="107" t="str">
        <f t="array" ref="D495">IF(B495&lt;&gt;"",INDEX('Eingabe Meldungen'!$C$2:$H$492,MATCH(B495&amp;C495,'Eingabe Meldungen'!$C$2:$C$492&amp;'Eingabe Meldungen'!$D$2:$D$492,0),6),"")</f>
        <v/>
      </c>
      <c r="E495" s="107" t="str">
        <f t="array" ref="E495">IF(B495&lt;&gt;"",INDEX('Eingabe Meldungen'!$C$2:$H$492,MATCH(B495&amp;C495,'Eingabe Meldungen'!$C$2:$C$492&amp;'Eingabe Meldungen'!$D$2:$D$492,0),4),"")</f>
        <v/>
      </c>
      <c r="F495" s="39">
        <v>8</v>
      </c>
      <c r="G495" s="150"/>
      <c r="H495" s="40" t="e">
        <f t="shared" si="24"/>
        <v>#N/A</v>
      </c>
      <c r="I495" s="107" t="str">
        <f t="array" ref="I495">IF(B495&lt;&gt;"",INDEX('Eingabe Meldungen'!$C$2:$J$492,MATCH(B495&amp;C495,'Eingabe Meldungen'!$C$2:$C$492&amp;'Eingabe Meldungen'!$D$2:$D$492,0),8),"")</f>
        <v/>
      </c>
      <c r="J495" s="190"/>
      <c r="K495" s="190"/>
      <c r="L495" s="192"/>
      <c r="M495" s="191"/>
    </row>
    <row r="496" spans="2:13" hidden="1" x14ac:dyDescent="0.2">
      <c r="B496" s="148" t="str">
        <f t="array" ref="B496">IF(ISERROR(INDEX('Eingabe Meldungen'!$C$2:$C$492,LARGE(('Eingabe Meldungen'!$A$2:$A$492=$B$486)*(ROW('Eingabe Meldungen'!$A$2:$A$492)-1),COUNTIF('Eingabe Meldungen'!$A$2:$A$492,$B$486)+1-ROW('Eingabe Meldungen'!A10)))),"",INDEX('Eingabe Meldungen'!$C$2:$C$492,LARGE(('Eingabe Meldungen'!$A$2:$A$492=$B$486)*(ROW('Eingabe Meldungen'!$A$2:$A$492)-1),COUNTIF('Eingabe Meldungen'!$A$2:$A$492,$B$486)+1-ROW('Eingabe Meldungen'!A10))))</f>
        <v/>
      </c>
      <c r="C496" s="40" t="str">
        <f t="array" ref="C496">IF(ISERROR(INDEX('Eingabe Meldungen'!$D$2:$D$492,LARGE(('Eingabe Meldungen'!$A$2:$A$492=$B$486)*(ROW('Eingabe Meldungen'!$A$2:$A$492)-1),COUNTIF('Eingabe Meldungen'!$A$2:$A$492,$B$486)+1-ROW('Eingabe Meldungen'!A10)))),"",INDEX('Eingabe Meldungen'!$D$2:$D$492,LARGE(('Eingabe Meldungen'!$A$2:$A$492=$B$486)*(ROW('Eingabe Meldungen'!$A$2:$A$492)-1),COUNTIF('Eingabe Meldungen'!$A$2:$A$492,$B$486)+1-ROW('Eingabe Meldungen'!A10))))</f>
        <v/>
      </c>
      <c r="D496" s="107" t="str">
        <f t="array" ref="D496">IF(B496&lt;&gt;"",INDEX('Eingabe Meldungen'!$C$2:$H$492,MATCH(B496&amp;C496,'Eingabe Meldungen'!$C$2:$C$492&amp;'Eingabe Meldungen'!$D$2:$D$492,0),6),"")</f>
        <v/>
      </c>
      <c r="E496" s="107" t="str">
        <f t="array" ref="E496">IF(B496&lt;&gt;"",INDEX('Eingabe Meldungen'!$C$2:$H$492,MATCH(B496&amp;C496,'Eingabe Meldungen'!$C$2:$C$492&amp;'Eingabe Meldungen'!$D$2:$D$492,0),4),"")</f>
        <v/>
      </c>
      <c r="F496" s="39">
        <v>9</v>
      </c>
      <c r="G496" s="150"/>
      <c r="H496" s="40" t="e">
        <f t="shared" si="24"/>
        <v>#N/A</v>
      </c>
      <c r="I496" s="107" t="str">
        <f t="array" ref="I496">IF(B496&lt;&gt;"",INDEX('Eingabe Meldungen'!$C$2:$J$492,MATCH(B496&amp;C496,'Eingabe Meldungen'!$C$2:$C$492&amp;'Eingabe Meldungen'!$D$2:$D$492,0),8),"")</f>
        <v/>
      </c>
      <c r="J496" s="190"/>
      <c r="K496" s="190"/>
      <c r="L496" s="192"/>
      <c r="M496" s="191"/>
    </row>
    <row r="497" spans="2:13" hidden="1" x14ac:dyDescent="0.2">
      <c r="B497" s="148" t="str">
        <f t="array" ref="B497">IF(ISERROR(INDEX('Eingabe Meldungen'!$C$2:$C$492,LARGE(('Eingabe Meldungen'!$A$2:$A$492=$B$486)*(ROW('Eingabe Meldungen'!$A$2:$A$492)-1),COUNTIF('Eingabe Meldungen'!$A$2:$A$492,$B$486)+1-ROW('Eingabe Meldungen'!A11)))),"",INDEX('Eingabe Meldungen'!$C$2:$C$492,LARGE(('Eingabe Meldungen'!$A$2:$A$492=$B$486)*(ROW('Eingabe Meldungen'!$A$2:$A$492)-1),COUNTIF('Eingabe Meldungen'!$A$2:$A$492,$B$486)+1-ROW('Eingabe Meldungen'!A11))))</f>
        <v/>
      </c>
      <c r="C497" s="40" t="str">
        <f t="array" ref="C497">IF(ISERROR(INDEX('Eingabe Meldungen'!$D$2:$D$492,LARGE(('Eingabe Meldungen'!$A$2:$A$492=$B$486)*(ROW('Eingabe Meldungen'!$A$2:$A$492)-1),COUNTIF('Eingabe Meldungen'!$A$2:$A$492,$B$486)+1-ROW('Eingabe Meldungen'!A11)))),"",INDEX('Eingabe Meldungen'!$D$2:$D$492,LARGE(('Eingabe Meldungen'!$A$2:$A$492=$B$486)*(ROW('Eingabe Meldungen'!$A$2:$A$492)-1),COUNTIF('Eingabe Meldungen'!$A$2:$A$492,$B$486)+1-ROW('Eingabe Meldungen'!A11))))</f>
        <v/>
      </c>
      <c r="D497" s="107" t="str">
        <f t="array" ref="D497">IF(B497&lt;&gt;"",INDEX('Eingabe Meldungen'!$C$2:$H$492,MATCH(B497&amp;C497,'Eingabe Meldungen'!$C$2:$C$492&amp;'Eingabe Meldungen'!$D$2:$D$492,0),6),"")</f>
        <v/>
      </c>
      <c r="E497" s="107" t="str">
        <f t="array" ref="E497">IF(B497&lt;&gt;"",INDEX('Eingabe Meldungen'!$C$2:$H$492,MATCH(B497&amp;C497,'Eingabe Meldungen'!$C$2:$C$492&amp;'Eingabe Meldungen'!$D$2:$D$492,0),4),"")</f>
        <v/>
      </c>
      <c r="F497" s="39">
        <v>10</v>
      </c>
      <c r="G497" s="150"/>
      <c r="H497" s="40" t="e">
        <f t="shared" si="24"/>
        <v>#N/A</v>
      </c>
      <c r="I497" s="107" t="str">
        <f t="array" ref="I497">IF(B497&lt;&gt;"",INDEX('Eingabe Meldungen'!$C$2:$J$492,MATCH(B497&amp;C497,'Eingabe Meldungen'!$C$2:$C$492&amp;'Eingabe Meldungen'!$D$2:$D$492,0),8),"")</f>
        <v/>
      </c>
      <c r="J497" s="190"/>
      <c r="K497" s="190"/>
      <c r="L497" s="192"/>
      <c r="M497" s="191"/>
    </row>
    <row r="498" spans="2:13" hidden="1" x14ac:dyDescent="0.2">
      <c r="B498" s="148" t="str">
        <f t="array" ref="B498">IF(ISERROR(INDEX('Eingabe Meldungen'!$C$2:$C$492,LARGE(('Eingabe Meldungen'!$A$2:$A$492=$B$486)*(ROW('Eingabe Meldungen'!$A$2:$A$492)-1),COUNTIF('Eingabe Meldungen'!$A$2:$A$492,$B$486)+1-ROW('Eingabe Meldungen'!A12)))),"",INDEX('Eingabe Meldungen'!$C$2:$C$492,LARGE(('Eingabe Meldungen'!$A$2:$A$492=$B$486)*(ROW('Eingabe Meldungen'!$A$2:$A$492)-1),COUNTIF('Eingabe Meldungen'!$A$2:$A$492,$B$486)+1-ROW('Eingabe Meldungen'!A12))))</f>
        <v/>
      </c>
      <c r="C498" s="40" t="str">
        <f t="array" ref="C498">IF(ISERROR(INDEX('Eingabe Meldungen'!$D$2:$D$492,LARGE(('Eingabe Meldungen'!$A$2:$A$492=$B$486)*(ROW('Eingabe Meldungen'!$A$2:$A$492)-1),COUNTIF('Eingabe Meldungen'!$A$2:$A$492,$B$486)+1-ROW('Eingabe Meldungen'!A12)))),"",INDEX('Eingabe Meldungen'!$D$2:$D$492,LARGE(('Eingabe Meldungen'!$A$2:$A$492=$B$486)*(ROW('Eingabe Meldungen'!$A$2:$A$492)-1),COUNTIF('Eingabe Meldungen'!$A$2:$A$492,$B$486)+1-ROW('Eingabe Meldungen'!A12))))</f>
        <v/>
      </c>
      <c r="D498" s="107" t="str">
        <f t="array" ref="D498">IF(B498&lt;&gt;"",INDEX('Eingabe Meldungen'!$C$2:$H$492,MATCH(B498&amp;C498,'Eingabe Meldungen'!$C$2:$C$492&amp;'Eingabe Meldungen'!$D$2:$D$492,0),6),"")</f>
        <v/>
      </c>
      <c r="E498" s="107" t="str">
        <f t="array" ref="E498">IF(B498&lt;&gt;"",INDEX('Eingabe Meldungen'!$C$2:$H$492,MATCH(B498&amp;C498,'Eingabe Meldungen'!$C$2:$C$492&amp;'Eingabe Meldungen'!$D$2:$D$492,0),4),"")</f>
        <v/>
      </c>
      <c r="F498" s="39">
        <v>11</v>
      </c>
      <c r="G498" s="150"/>
      <c r="H498" s="40" t="e">
        <f t="shared" si="24"/>
        <v>#N/A</v>
      </c>
      <c r="I498" s="107" t="str">
        <f t="array" ref="I498">IF(B498&lt;&gt;"",INDEX('Eingabe Meldungen'!$C$2:$J$492,MATCH(B498&amp;C498,'Eingabe Meldungen'!$C$2:$C$492&amp;'Eingabe Meldungen'!$D$2:$D$492,0),8),"")</f>
        <v/>
      </c>
      <c r="J498" s="190"/>
      <c r="K498" s="190"/>
      <c r="L498" s="192"/>
      <c r="M498" s="191"/>
    </row>
    <row r="499" spans="2:13" hidden="1" x14ac:dyDescent="0.2">
      <c r="B499" s="148" t="str">
        <f t="array" ref="B499">IF(ISERROR(INDEX('Eingabe Meldungen'!$C$2:$C$492,LARGE(('Eingabe Meldungen'!$A$2:$A$492=$B$486)*(ROW('Eingabe Meldungen'!$A$2:$A$492)-1),COUNTIF('Eingabe Meldungen'!$A$2:$A$492,$B$486)+1-ROW('Eingabe Meldungen'!A13)))),"",INDEX('Eingabe Meldungen'!$C$2:$C$492,LARGE(('Eingabe Meldungen'!$A$2:$A$492=$B$486)*(ROW('Eingabe Meldungen'!$A$2:$A$492)-1),COUNTIF('Eingabe Meldungen'!$A$2:$A$492,$B$486)+1-ROW('Eingabe Meldungen'!A13))))</f>
        <v/>
      </c>
      <c r="C499" s="40" t="str">
        <f t="array" ref="C499">IF(ISERROR(INDEX('Eingabe Meldungen'!$D$2:$D$492,LARGE(('Eingabe Meldungen'!$A$2:$A$492=$B$486)*(ROW('Eingabe Meldungen'!$A$2:$A$492)-1),COUNTIF('Eingabe Meldungen'!$A$2:$A$492,$B$486)+1-ROW('Eingabe Meldungen'!A13)))),"",INDEX('Eingabe Meldungen'!$D$2:$D$492,LARGE(('Eingabe Meldungen'!$A$2:$A$492=$B$486)*(ROW('Eingabe Meldungen'!$A$2:$A$492)-1),COUNTIF('Eingabe Meldungen'!$A$2:$A$492,$B$486)+1-ROW('Eingabe Meldungen'!A13))))</f>
        <v/>
      </c>
      <c r="D499" s="107" t="str">
        <f t="array" ref="D499">IF(B499&lt;&gt;"",INDEX('Eingabe Meldungen'!$C$2:$H$492,MATCH(B499&amp;C499,'Eingabe Meldungen'!$C$2:$C$492&amp;'Eingabe Meldungen'!$D$2:$D$492,0),6),"")</f>
        <v/>
      </c>
      <c r="E499" s="107" t="str">
        <f t="array" ref="E499">IF(B499&lt;&gt;"",INDEX('Eingabe Meldungen'!$C$2:$H$492,MATCH(B499&amp;C499,'Eingabe Meldungen'!$C$2:$C$492&amp;'Eingabe Meldungen'!$D$2:$D$492,0),4),"")</f>
        <v/>
      </c>
      <c r="F499" s="39">
        <v>12</v>
      </c>
      <c r="G499" s="150"/>
      <c r="H499" s="40" t="e">
        <f t="shared" si="24"/>
        <v>#N/A</v>
      </c>
      <c r="I499" s="107" t="str">
        <f t="array" ref="I499">IF(B499&lt;&gt;"",INDEX('Eingabe Meldungen'!$C$2:$J$492,MATCH(B499&amp;C499,'Eingabe Meldungen'!$C$2:$C$492&amp;'Eingabe Meldungen'!$D$2:$D$492,0),8),"")</f>
        <v/>
      </c>
      <c r="J499" s="190"/>
      <c r="K499" s="190"/>
      <c r="L499" s="192"/>
      <c r="M499" s="191"/>
    </row>
    <row r="500" spans="2:13" hidden="1" x14ac:dyDescent="0.2">
      <c r="B500" s="148" t="str">
        <f t="array" ref="B500">IF(ISERROR(INDEX('Eingabe Meldungen'!$C$2:$C$492,LARGE(('Eingabe Meldungen'!$A$2:$A$492=$B$486)*(ROW('Eingabe Meldungen'!$A$2:$A$492)-1),COUNTIF('Eingabe Meldungen'!$A$2:$A$492,$B$486)+1-ROW('Eingabe Meldungen'!A14)))),"",INDEX('Eingabe Meldungen'!$C$2:$C$492,LARGE(('Eingabe Meldungen'!$A$2:$A$492=$B$486)*(ROW('Eingabe Meldungen'!$A$2:$A$492)-1),COUNTIF('Eingabe Meldungen'!$A$2:$A$492,$B$486)+1-ROW('Eingabe Meldungen'!A14))))</f>
        <v/>
      </c>
      <c r="C500" s="40" t="str">
        <f t="array" ref="C500">IF(ISERROR(INDEX('Eingabe Meldungen'!$D$2:$D$492,LARGE(('Eingabe Meldungen'!$A$2:$A$492=$B$486)*(ROW('Eingabe Meldungen'!$A$2:$A$492)-1),COUNTIF('Eingabe Meldungen'!$A$2:$A$492,$B$486)+1-ROW('Eingabe Meldungen'!A14)))),"",INDEX('Eingabe Meldungen'!$D$2:$D$492,LARGE(('Eingabe Meldungen'!$A$2:$A$492=$B$486)*(ROW('Eingabe Meldungen'!$A$2:$A$492)-1),COUNTIF('Eingabe Meldungen'!$A$2:$A$492,$B$486)+1-ROW('Eingabe Meldungen'!A14))))</f>
        <v/>
      </c>
      <c r="D500" s="107" t="str">
        <f t="array" ref="D500">IF(B500&lt;&gt;"",INDEX('Eingabe Meldungen'!$C$2:$H$492,MATCH(B500&amp;C500,'Eingabe Meldungen'!$C$2:$C$492&amp;'Eingabe Meldungen'!$D$2:$D$492,0),6),"")</f>
        <v/>
      </c>
      <c r="E500" s="107" t="str">
        <f t="array" ref="E500">IF(B500&lt;&gt;"",INDEX('Eingabe Meldungen'!$C$2:$H$492,MATCH(B500&amp;C500,'Eingabe Meldungen'!$C$2:$C$492&amp;'Eingabe Meldungen'!$D$2:$D$492,0),4),"")</f>
        <v/>
      </c>
      <c r="F500" s="39">
        <v>13</v>
      </c>
      <c r="G500" s="150"/>
      <c r="H500" s="40" t="e">
        <f t="shared" si="24"/>
        <v>#N/A</v>
      </c>
      <c r="I500" s="107" t="str">
        <f t="array" ref="I500">IF(B500&lt;&gt;"",INDEX('Eingabe Meldungen'!$C$2:$J$492,MATCH(B500&amp;C500,'Eingabe Meldungen'!$C$2:$C$492&amp;'Eingabe Meldungen'!$D$2:$D$492,0),8),"")</f>
        <v/>
      </c>
      <c r="J500" s="190"/>
      <c r="K500" s="190"/>
      <c r="L500" s="192"/>
      <c r="M500" s="191"/>
    </row>
    <row r="501" spans="2:13" hidden="1" x14ac:dyDescent="0.2">
      <c r="B501" s="148" t="str">
        <f t="array" ref="B501">IF(ISERROR(INDEX('Eingabe Meldungen'!$C$2:$C$492,LARGE(('Eingabe Meldungen'!$A$2:$A$492=$B$486)*(ROW('Eingabe Meldungen'!$A$2:$A$492)-1),COUNTIF('Eingabe Meldungen'!$A$2:$A$492,$B$486)+1-ROW('Eingabe Meldungen'!A15)))),"",INDEX('Eingabe Meldungen'!$C$2:$C$492,LARGE(('Eingabe Meldungen'!$A$2:$A$492=$B$486)*(ROW('Eingabe Meldungen'!$A$2:$A$492)-1),COUNTIF('Eingabe Meldungen'!$A$2:$A$492,$B$486)+1-ROW('Eingabe Meldungen'!A15))))</f>
        <v/>
      </c>
      <c r="C501" s="40" t="str">
        <f t="array" ref="C501">IF(ISERROR(INDEX('Eingabe Meldungen'!$D$2:$D$492,LARGE(('Eingabe Meldungen'!$A$2:$A$492=$B$486)*(ROW('Eingabe Meldungen'!$A$2:$A$492)-1),COUNTIF('Eingabe Meldungen'!$A$2:$A$492,$B$486)+1-ROW('Eingabe Meldungen'!A15)))),"",INDEX('Eingabe Meldungen'!$D$2:$D$492,LARGE(('Eingabe Meldungen'!$A$2:$A$492=$B$486)*(ROW('Eingabe Meldungen'!$A$2:$A$492)-1),COUNTIF('Eingabe Meldungen'!$A$2:$A$492,$B$486)+1-ROW('Eingabe Meldungen'!A15))))</f>
        <v/>
      </c>
      <c r="D501" s="107" t="str">
        <f t="array" ref="D501">IF(B501&lt;&gt;"",INDEX('Eingabe Meldungen'!$C$2:$H$492,MATCH(B501&amp;C501,'Eingabe Meldungen'!$C$2:$C$492&amp;'Eingabe Meldungen'!$D$2:$D$492,0),6),"")</f>
        <v/>
      </c>
      <c r="E501" s="107" t="str">
        <f t="array" ref="E501">IF(B501&lt;&gt;"",INDEX('Eingabe Meldungen'!$C$2:$H$492,MATCH(B501&amp;C501,'Eingabe Meldungen'!$C$2:$C$492&amp;'Eingabe Meldungen'!$D$2:$D$492,0),4),"")</f>
        <v/>
      </c>
      <c r="F501" s="39">
        <v>14</v>
      </c>
      <c r="G501" s="150"/>
      <c r="H501" s="40" t="e">
        <f t="shared" si="24"/>
        <v>#N/A</v>
      </c>
      <c r="I501" s="107" t="str">
        <f t="array" ref="I501">IF(B501&lt;&gt;"",INDEX('Eingabe Meldungen'!$C$2:$J$492,MATCH(B501&amp;C501,'Eingabe Meldungen'!$C$2:$C$492&amp;'Eingabe Meldungen'!$D$2:$D$492,0),8),"")</f>
        <v/>
      </c>
      <c r="J501" s="190"/>
      <c r="K501" s="190"/>
      <c r="L501" s="192"/>
      <c r="M501" s="191"/>
    </row>
    <row r="502" spans="2:13" hidden="1" x14ac:dyDescent="0.2">
      <c r="B502" s="148" t="str">
        <f t="array" ref="B502">IF(ISERROR(INDEX('Eingabe Meldungen'!$C$2:$C$492,LARGE(('Eingabe Meldungen'!$A$2:$A$492=$B$486)*(ROW('Eingabe Meldungen'!$A$2:$A$492)-1),COUNTIF('Eingabe Meldungen'!$A$2:$A$492,$B$486)+1-ROW('Eingabe Meldungen'!A16)))),"",INDEX('Eingabe Meldungen'!$C$2:$C$492,LARGE(('Eingabe Meldungen'!$A$2:$A$492=$B$486)*(ROW('Eingabe Meldungen'!$A$2:$A$492)-1),COUNTIF('Eingabe Meldungen'!$A$2:$A$492,$B$486)+1-ROW('Eingabe Meldungen'!A16))))</f>
        <v/>
      </c>
      <c r="C502" s="40" t="str">
        <f t="array" ref="C502">IF(ISERROR(INDEX('Eingabe Meldungen'!$D$2:$D$492,LARGE(('Eingabe Meldungen'!$A$2:$A$492=$B$486)*(ROW('Eingabe Meldungen'!$A$2:$A$492)-1),COUNTIF('Eingabe Meldungen'!$A$2:$A$492,$B$486)+1-ROW('Eingabe Meldungen'!A16)))),"",INDEX('Eingabe Meldungen'!$D$2:$D$492,LARGE(('Eingabe Meldungen'!$A$2:$A$492=$B$486)*(ROW('Eingabe Meldungen'!$A$2:$A$492)-1),COUNTIF('Eingabe Meldungen'!$A$2:$A$492,$B$486)+1-ROW('Eingabe Meldungen'!A16))))</f>
        <v/>
      </c>
      <c r="D502" s="107" t="str">
        <f t="array" ref="D502">IF(B502&lt;&gt;"",INDEX('Eingabe Meldungen'!$C$2:$H$492,MATCH(B502&amp;C502,'Eingabe Meldungen'!$C$2:$C$492&amp;'Eingabe Meldungen'!$D$2:$D$492,0),6),"")</f>
        <v/>
      </c>
      <c r="E502" s="107" t="str">
        <f t="array" ref="E502">IF(B502&lt;&gt;"",INDEX('Eingabe Meldungen'!$C$2:$H$492,MATCH(B502&amp;C502,'Eingabe Meldungen'!$C$2:$C$492&amp;'Eingabe Meldungen'!$D$2:$D$492,0),4),"")</f>
        <v/>
      </c>
      <c r="F502" s="39">
        <v>15</v>
      </c>
      <c r="G502" s="150"/>
      <c r="H502" s="40" t="e">
        <f t="shared" si="24"/>
        <v>#N/A</v>
      </c>
      <c r="I502" s="107" t="str">
        <f t="array" ref="I502">IF(B502&lt;&gt;"",INDEX('Eingabe Meldungen'!$C$2:$J$492,MATCH(B502&amp;C502,'Eingabe Meldungen'!$C$2:$C$492&amp;'Eingabe Meldungen'!$D$2:$D$492,0),8),"")</f>
        <v/>
      </c>
      <c r="J502" s="190"/>
      <c r="K502" s="190"/>
      <c r="L502" s="192"/>
      <c r="M502" s="191"/>
    </row>
    <row r="503" spans="2:13" ht="13.2" hidden="1" thickBot="1" x14ac:dyDescent="0.25">
      <c r="B503" s="152" t="str">
        <f t="array" ref="B503">IF(ISERROR(INDEX('Eingabe Meldungen'!$C$2:$C$492,LARGE(('Eingabe Meldungen'!$A$2:$A$492=$B$486)*(ROW('Eingabe Meldungen'!$A$2:$A$492)-1),COUNTIF('Eingabe Meldungen'!$A$2:$A$492,$B$486)+1-ROW('Eingabe Meldungen'!A17)))),"",INDEX('Eingabe Meldungen'!$C$2:$C$492,LARGE(('Eingabe Meldungen'!$A$2:$A$492=$B$486)*(ROW('Eingabe Meldungen'!$A$2:$A$492)-1),COUNTIF('Eingabe Meldungen'!$A$2:$A$492,$B$486)+1-ROW('Eingabe Meldungen'!A17))))</f>
        <v/>
      </c>
      <c r="C503" s="44" t="str">
        <f t="array" ref="C503">IF(ISERROR(INDEX('Eingabe Meldungen'!$D$2:$D$492,LARGE(('Eingabe Meldungen'!$A$2:$A$492=$B$486)*(ROW('Eingabe Meldungen'!$A$2:$A$492)-1),COUNTIF('Eingabe Meldungen'!$A$2:$A$492,$B$486)+1-ROW('Eingabe Meldungen'!A17)))),"",INDEX('Eingabe Meldungen'!$D$2:$D$492,LARGE(('Eingabe Meldungen'!$A$2:$A$492=$B$486)*(ROW('Eingabe Meldungen'!$A$2:$A$492)-1),COUNTIF('Eingabe Meldungen'!$A$2:$A$492,$B$486)+1-ROW('Eingabe Meldungen'!A17))))</f>
        <v/>
      </c>
      <c r="D503" s="153" t="str">
        <f t="array" ref="D503">IF(B503&lt;&gt;"",INDEX('Eingabe Meldungen'!$C$2:$H$492,MATCH(B503&amp;C503,'Eingabe Meldungen'!$C$2:$C$492&amp;'Eingabe Meldungen'!$D$2:$D$492,0),6),"")</f>
        <v/>
      </c>
      <c r="E503" s="153" t="str">
        <f t="array" ref="E503">IF(B503&lt;&gt;"",INDEX('Eingabe Meldungen'!$C$2:$H$492,MATCH(B503&amp;C503,'Eingabe Meldungen'!$C$2:$C$492&amp;'Eingabe Meldungen'!$D$2:$D$492,0),4),"")</f>
        <v/>
      </c>
      <c r="F503" s="115">
        <v>16</v>
      </c>
      <c r="G503" s="154"/>
      <c r="H503" s="44" t="e">
        <f t="shared" si="24"/>
        <v>#N/A</v>
      </c>
      <c r="I503" s="153" t="str">
        <f t="array" ref="I503">IF(B503&lt;&gt;"",INDEX('Eingabe Meldungen'!$C$2:$J$492,MATCH(B503&amp;C503,'Eingabe Meldungen'!$C$2:$C$492&amp;'Eingabe Meldungen'!$D$2:$D$492,0),8),"")</f>
        <v/>
      </c>
      <c r="J503" s="193"/>
      <c r="K503" s="193"/>
      <c r="L503" s="194"/>
      <c r="M503" s="195"/>
    </row>
    <row r="504" spans="2:13" ht="13.2" hidden="1" thickBot="1" x14ac:dyDescent="0.25">
      <c r="B504" s="164"/>
      <c r="C504" s="155"/>
      <c r="D504" s="155"/>
      <c r="E504" s="155"/>
      <c r="F504" s="155"/>
      <c r="G504" s="155"/>
      <c r="H504" s="155"/>
      <c r="I504" s="155"/>
      <c r="J504" s="155"/>
      <c r="K504" s="155"/>
      <c r="L504" s="156"/>
      <c r="M504" s="157"/>
    </row>
    <row r="505" spans="2:13" ht="30" hidden="1" customHeight="1" x14ac:dyDescent="0.2">
      <c r="B505" s="114">
        <f>B486+1</f>
        <v>26</v>
      </c>
      <c r="C505" s="108" t="str">
        <f>VLOOKUP(B505,Ausschreibung!$B$5:$I$35,2,FALSE)</f>
        <v>Ergocup</v>
      </c>
      <c r="D505" s="109">
        <f>VLOOKUP(B505,Ausschreibung!$B$5:$I$35,3,FALSE)</f>
        <v>0.67291666666666639</v>
      </c>
      <c r="E505" s="108" t="str">
        <f>VLOOKUP(B505,Ausschreibung!$B$5:$I$35,4,FALSE)</f>
        <v>Masters A-H, weiblich</v>
      </c>
      <c r="F505" s="108" t="str">
        <f>VLOOKUP(B505,Ausschreibung!$B$5:$I$35,5,FALSE)</f>
        <v>-</v>
      </c>
      <c r="G505" s="108" t="str">
        <f>VLOOKUP(B505,Ausschreibung!$B$5:$I$35,6,FALSE)</f>
        <v>27 und älter</v>
      </c>
      <c r="H505" s="108" t="str">
        <f>VLOOKUP(B505,Ausschreibung!$B$5:$I$35,8,FALSE)</f>
        <v>2000 m</v>
      </c>
      <c r="I505" s="108" t="s">
        <v>30</v>
      </c>
      <c r="J505" s="108"/>
      <c r="K505" s="40"/>
      <c r="L505" s="151"/>
      <c r="M505" s="147"/>
    </row>
    <row r="506" spans="2:13" ht="13.2" hidden="1" thickBot="1" x14ac:dyDescent="0.25">
      <c r="B506" s="111" t="s">
        <v>1</v>
      </c>
      <c r="C506" s="104" t="s">
        <v>2</v>
      </c>
      <c r="D506" s="103" t="s">
        <v>49</v>
      </c>
      <c r="E506" s="146" t="s">
        <v>16</v>
      </c>
      <c r="F506" s="103" t="s">
        <v>18</v>
      </c>
      <c r="G506" s="105" t="s">
        <v>50</v>
      </c>
      <c r="H506" s="103" t="s">
        <v>51</v>
      </c>
      <c r="I506" s="106" t="s">
        <v>17</v>
      </c>
      <c r="J506" s="103"/>
      <c r="K506" s="40"/>
      <c r="L506" s="151"/>
      <c r="M506" s="147"/>
    </row>
    <row r="507" spans="2:13" ht="13.2" hidden="1" thickBot="1" x14ac:dyDescent="0.25">
      <c r="B507" s="148" t="str">
        <f t="array" ref="B507">IF(ISERROR(INDEX('Eingabe Meldungen'!$C$2:$C$492,LARGE(('Eingabe Meldungen'!$A$2:$A$492=$B$505)*(ROW('Eingabe Meldungen'!$A$2:$A$492)-1),COUNTIF('Eingabe Meldungen'!$A$2:$A$492,$B$505)+1-ROW('Eingabe Meldungen'!A1)))),"",INDEX('Eingabe Meldungen'!$C$2:$C$492,LARGE(('Eingabe Meldungen'!$A$2:$A$492=$B$505)*(ROW('Eingabe Meldungen'!$A$2:$A$492)-1),COUNTIF('Eingabe Meldungen'!$A$2:$A$492,$B$505)+1-ROW('Eingabe Meldungen'!A1))))</f>
        <v/>
      </c>
      <c r="C507" s="40" t="str">
        <f t="array" ref="C507">IF(ISERROR(INDEX('Eingabe Meldungen'!$D$2:$D$492,LARGE(('Eingabe Meldungen'!$A$2:$A$492=$B$505)*(ROW('Eingabe Meldungen'!$A$2:$A$492)-1),COUNTIF('Eingabe Meldungen'!$A$2:$A$492,$B$505)+1-ROW('Eingabe Meldungen'!A1)))),"",INDEX('Eingabe Meldungen'!$D$2:$D$492,LARGE(('Eingabe Meldungen'!$A$2:$A$492=$B$505)*(ROW('Eingabe Meldungen'!$A$2:$A$492)-1),COUNTIF('Eingabe Meldungen'!$A$2:$A$492,$B$505)+1-ROW('Eingabe Meldungen'!A1))))</f>
        <v/>
      </c>
      <c r="D507" s="107" t="str">
        <f t="array" ref="D507">IF(B507&lt;&gt;"",INDEX('Eingabe Meldungen'!$C$2:$H$492,MATCH(B507&amp;C507,'Eingabe Meldungen'!$C$2:$C$492&amp;'Eingabe Meldungen'!$D$2:$D$492,0),6),"")</f>
        <v/>
      </c>
      <c r="E507" s="107" t="str">
        <f t="array" ref="E507">IF(B507&lt;&gt;"",INDEX('Eingabe Meldungen'!$C$2:$H$492,MATCH(B507&amp;C507,'Eingabe Meldungen'!$C$2:$C$492&amp;'Eingabe Meldungen'!$D$2:$D$492,0),4),"")</f>
        <v/>
      </c>
      <c r="F507" s="107">
        <v>1</v>
      </c>
      <c r="G507" s="149"/>
      <c r="H507" s="40" t="e">
        <f>RANK(G507,$G$507:$G$522,1)</f>
        <v>#N/A</v>
      </c>
      <c r="I507" s="107" t="str">
        <f t="array" ref="I507">IF(B507&lt;&gt;"",INDEX('Eingabe Meldungen'!$C$2:$J$492,MATCH(B507&amp;C507,'Eingabe Meldungen'!$C$2:$C$492&amp;'Eingabe Meldungen'!$D$2:$D$492,0),8),"")</f>
        <v/>
      </c>
      <c r="J507" s="40"/>
      <c r="K507" s="40"/>
      <c r="L507" s="151"/>
      <c r="M507" s="147"/>
    </row>
    <row r="508" spans="2:13" ht="13.2" hidden="1" thickBot="1" x14ac:dyDescent="0.25">
      <c r="B508" s="148" t="str">
        <f t="array" ref="B508">IF(ISERROR(INDEX('Eingabe Meldungen'!$C$2:$C$492,LARGE(('Eingabe Meldungen'!$A$2:$A$492=$B$505)*(ROW('Eingabe Meldungen'!$A$2:$A$492)-1),COUNTIF('Eingabe Meldungen'!$A$2:$A$492,$B$505)+1-ROW('Eingabe Meldungen'!A2)))),"",INDEX('Eingabe Meldungen'!$C$2:$C$492,LARGE(('Eingabe Meldungen'!$A$2:$A$492=$B$505)*(ROW('Eingabe Meldungen'!$A$2:$A$492)-1),COUNTIF('Eingabe Meldungen'!$A$2:$A$492,$B$505)+1-ROW('Eingabe Meldungen'!A2))))</f>
        <v/>
      </c>
      <c r="C508" s="40" t="str">
        <f t="array" ref="C508">IF(ISERROR(INDEX('Eingabe Meldungen'!$D$2:$D$492,LARGE(('Eingabe Meldungen'!$A$2:$A$492=$B$505)*(ROW('Eingabe Meldungen'!$A$2:$A$492)-1),COUNTIF('Eingabe Meldungen'!$A$2:$A$492,$B$505)+1-ROW('Eingabe Meldungen'!A2)))),"",INDEX('Eingabe Meldungen'!$D$2:$D$492,LARGE(('Eingabe Meldungen'!$A$2:$A$492=$B$505)*(ROW('Eingabe Meldungen'!$A$2:$A$492)-1),COUNTIF('Eingabe Meldungen'!$A$2:$A$492,$B$505)+1-ROW('Eingabe Meldungen'!A2))))</f>
        <v/>
      </c>
      <c r="D508" s="107" t="str">
        <f t="array" ref="D508">IF(B508&lt;&gt;"",INDEX('Eingabe Meldungen'!$C$2:$H$492,MATCH(B508&amp;C508,'Eingabe Meldungen'!$C$2:$C$492&amp;'Eingabe Meldungen'!$D$2:$D$492,0),6),"")</f>
        <v/>
      </c>
      <c r="E508" s="107" t="str">
        <f t="array" ref="E508">IF(B508&lt;&gt;"",INDEX('Eingabe Meldungen'!$C$2:$H$492,MATCH(B508&amp;C508,'Eingabe Meldungen'!$C$2:$C$492&amp;'Eingabe Meldungen'!$D$2:$D$492,0),4),"")</f>
        <v/>
      </c>
      <c r="F508" s="39">
        <v>2</v>
      </c>
      <c r="G508" s="149"/>
      <c r="H508" s="40" t="e">
        <f t="shared" ref="H508:H522" si="25">RANK(G508,$G$507:$G$522,1)</f>
        <v>#N/A</v>
      </c>
      <c r="I508" s="107" t="str">
        <f t="array" ref="I508">IF(B508&lt;&gt;"",INDEX('Eingabe Meldungen'!$C$2:$J$492,MATCH(B508&amp;C508,'Eingabe Meldungen'!$C$2:$C$492&amp;'Eingabe Meldungen'!$D$2:$D$492,0),8),"")</f>
        <v/>
      </c>
      <c r="J508" s="40"/>
      <c r="K508" s="40"/>
      <c r="L508" s="151"/>
      <c r="M508" s="147"/>
    </row>
    <row r="509" spans="2:13" ht="13.2" hidden="1" thickBot="1" x14ac:dyDescent="0.25">
      <c r="B509" s="148" t="str">
        <f t="array" ref="B509">IF(ISERROR(INDEX('Eingabe Meldungen'!$C$2:$C$492,LARGE(('Eingabe Meldungen'!$A$2:$A$492=$B$505)*(ROW('Eingabe Meldungen'!$A$2:$A$492)-1),COUNTIF('Eingabe Meldungen'!$A$2:$A$492,$B$505)+1-ROW('Eingabe Meldungen'!A3)))),"",INDEX('Eingabe Meldungen'!$C$2:$C$492,LARGE(('Eingabe Meldungen'!$A$2:$A$492=$B$505)*(ROW('Eingabe Meldungen'!$A$2:$A$492)-1),COUNTIF('Eingabe Meldungen'!$A$2:$A$492,$B$505)+1-ROW('Eingabe Meldungen'!A3))))</f>
        <v/>
      </c>
      <c r="C509" s="40" t="str">
        <f t="array" ref="C509">IF(ISERROR(INDEX('Eingabe Meldungen'!$D$2:$D$492,LARGE(('Eingabe Meldungen'!$A$2:$A$492=$B$505)*(ROW('Eingabe Meldungen'!$A$2:$A$492)-1),COUNTIF('Eingabe Meldungen'!$A$2:$A$492,$B$505)+1-ROW('Eingabe Meldungen'!A3)))),"",INDEX('Eingabe Meldungen'!$D$2:$D$492,LARGE(('Eingabe Meldungen'!$A$2:$A$492=$B$505)*(ROW('Eingabe Meldungen'!$A$2:$A$492)-1),COUNTIF('Eingabe Meldungen'!$A$2:$A$492,$B$505)+1-ROW('Eingabe Meldungen'!A3))))</f>
        <v/>
      </c>
      <c r="D509" s="107" t="str">
        <f t="array" ref="D509">IF(B509&lt;&gt;"",INDEX('Eingabe Meldungen'!$C$2:$H$492,MATCH(B509&amp;C509,'Eingabe Meldungen'!$C$2:$C$492&amp;'Eingabe Meldungen'!$D$2:$D$492,0),6),"")</f>
        <v/>
      </c>
      <c r="E509" s="107" t="str">
        <f t="array" ref="E509">IF(B509&lt;&gt;"",INDEX('Eingabe Meldungen'!$C$2:$H$492,MATCH(B509&amp;C509,'Eingabe Meldungen'!$C$2:$C$492&amp;'Eingabe Meldungen'!$D$2:$D$492,0),4),"")</f>
        <v/>
      </c>
      <c r="F509" s="39">
        <v>3</v>
      </c>
      <c r="G509" s="150"/>
      <c r="H509" s="40" t="e">
        <f t="shared" si="25"/>
        <v>#N/A</v>
      </c>
      <c r="I509" s="107" t="str">
        <f t="array" ref="I509">IF(B509&lt;&gt;"",INDEX('Eingabe Meldungen'!$C$2:$J$492,MATCH(B509&amp;C509,'Eingabe Meldungen'!$C$2:$C$492&amp;'Eingabe Meldungen'!$D$2:$D$492,0),8),"")</f>
        <v/>
      </c>
      <c r="J509" s="40"/>
      <c r="K509" s="40"/>
      <c r="L509" s="151"/>
      <c r="M509" s="147"/>
    </row>
    <row r="510" spans="2:13" ht="13.2" hidden="1" thickBot="1" x14ac:dyDescent="0.25">
      <c r="B510" s="148" t="str">
        <f t="array" ref="B510">IF(ISERROR(INDEX('Eingabe Meldungen'!$C$2:$C$492,LARGE(('Eingabe Meldungen'!$A$2:$A$492=$B$505)*(ROW('Eingabe Meldungen'!$A$2:$A$492)-1),COUNTIF('Eingabe Meldungen'!$A$2:$A$492,$B$505)+1-ROW('Eingabe Meldungen'!A4)))),"",INDEX('Eingabe Meldungen'!$C$2:$C$492,LARGE(('Eingabe Meldungen'!$A$2:$A$492=$B$505)*(ROW('Eingabe Meldungen'!$A$2:$A$492)-1),COUNTIF('Eingabe Meldungen'!$A$2:$A$492,$B$505)+1-ROW('Eingabe Meldungen'!A4))))</f>
        <v/>
      </c>
      <c r="C510" s="40" t="str">
        <f t="array" ref="C510">IF(ISERROR(INDEX('Eingabe Meldungen'!$D$2:$D$492,LARGE(('Eingabe Meldungen'!$A$2:$A$492=$B$505)*(ROW('Eingabe Meldungen'!$A$2:$A$492)-1),COUNTIF('Eingabe Meldungen'!$A$2:$A$492,$B$505)+1-ROW('Eingabe Meldungen'!A4)))),"",INDEX('Eingabe Meldungen'!$D$2:$D$492,LARGE(('Eingabe Meldungen'!$A$2:$A$492=$B$505)*(ROW('Eingabe Meldungen'!$A$2:$A$492)-1),COUNTIF('Eingabe Meldungen'!$A$2:$A$492,$B$505)+1-ROW('Eingabe Meldungen'!A4))))</f>
        <v/>
      </c>
      <c r="D510" s="107" t="str">
        <f t="array" ref="D510">IF(B510&lt;&gt;"",INDEX('Eingabe Meldungen'!$C$2:$H$492,MATCH(B510&amp;C510,'Eingabe Meldungen'!$C$2:$C$492&amp;'Eingabe Meldungen'!$D$2:$D$492,0),6),"")</f>
        <v/>
      </c>
      <c r="E510" s="107" t="str">
        <f t="array" ref="E510">IF(B510&lt;&gt;"",INDEX('Eingabe Meldungen'!$C$2:$H$492,MATCH(B510&amp;C510,'Eingabe Meldungen'!$C$2:$C$492&amp;'Eingabe Meldungen'!$D$2:$D$492,0),4),"")</f>
        <v/>
      </c>
      <c r="F510" s="39">
        <v>4</v>
      </c>
      <c r="G510" s="150"/>
      <c r="H510" s="40" t="e">
        <f t="shared" si="25"/>
        <v>#N/A</v>
      </c>
      <c r="I510" s="107" t="str">
        <f t="array" ref="I510">IF(B510&lt;&gt;"",INDEX('Eingabe Meldungen'!$C$2:$J$492,MATCH(B510&amp;C510,'Eingabe Meldungen'!$C$2:$C$492&amp;'Eingabe Meldungen'!$D$2:$D$492,0),8),"")</f>
        <v/>
      </c>
      <c r="J510" s="40"/>
      <c r="K510" s="40"/>
      <c r="L510" s="151"/>
      <c r="M510" s="147"/>
    </row>
    <row r="511" spans="2:13" ht="13.2" hidden="1" thickBot="1" x14ac:dyDescent="0.25">
      <c r="B511" s="148" t="str">
        <f t="array" ref="B511">IF(ISERROR(INDEX('Eingabe Meldungen'!$C$2:$C$492,LARGE(('Eingabe Meldungen'!$A$2:$A$492=$B$505)*(ROW('Eingabe Meldungen'!$A$2:$A$492)-1),COUNTIF('Eingabe Meldungen'!$A$2:$A$492,$B$505)+1-ROW('Eingabe Meldungen'!A5)))),"",INDEX('Eingabe Meldungen'!$C$2:$C$492,LARGE(('Eingabe Meldungen'!$A$2:$A$492=$B$505)*(ROW('Eingabe Meldungen'!$A$2:$A$492)-1),COUNTIF('Eingabe Meldungen'!$A$2:$A$492,$B$505)+1-ROW('Eingabe Meldungen'!A5))))</f>
        <v/>
      </c>
      <c r="C511" s="40" t="str">
        <f t="array" ref="C511">IF(ISERROR(INDEX('Eingabe Meldungen'!$D$2:$D$492,LARGE(('Eingabe Meldungen'!$A$2:$A$492=$B$505)*(ROW('Eingabe Meldungen'!$A$2:$A$492)-1),COUNTIF('Eingabe Meldungen'!$A$2:$A$492,$B$505)+1-ROW('Eingabe Meldungen'!A5)))),"",INDEX('Eingabe Meldungen'!$D$2:$D$492,LARGE(('Eingabe Meldungen'!$A$2:$A$492=$B$505)*(ROW('Eingabe Meldungen'!$A$2:$A$492)-1),COUNTIF('Eingabe Meldungen'!$A$2:$A$492,$B$505)+1-ROW('Eingabe Meldungen'!A5))))</f>
        <v/>
      </c>
      <c r="D511" s="107" t="str">
        <f t="array" ref="D511">IF(B511&lt;&gt;"",INDEX('Eingabe Meldungen'!$C$2:$H$492,MATCH(B511&amp;C511,'Eingabe Meldungen'!$C$2:$C$492&amp;'Eingabe Meldungen'!$D$2:$D$492,0),6),"")</f>
        <v/>
      </c>
      <c r="E511" s="107" t="str">
        <f t="array" ref="E511">IF(B511&lt;&gt;"",INDEX('Eingabe Meldungen'!$C$2:$H$492,MATCH(B511&amp;C511,'Eingabe Meldungen'!$C$2:$C$492&amp;'Eingabe Meldungen'!$D$2:$D$492,0),4),"")</f>
        <v/>
      </c>
      <c r="F511" s="39">
        <v>5</v>
      </c>
      <c r="G511" s="150"/>
      <c r="H511" s="40" t="e">
        <f t="shared" si="25"/>
        <v>#N/A</v>
      </c>
      <c r="I511" s="107" t="str">
        <f t="array" ref="I511">IF(B511&lt;&gt;"",INDEX('Eingabe Meldungen'!$C$2:$J$492,MATCH(B511&amp;C511,'Eingabe Meldungen'!$C$2:$C$492&amp;'Eingabe Meldungen'!$D$2:$D$492,0),8),"")</f>
        <v/>
      </c>
      <c r="J511" s="40"/>
      <c r="K511" s="40"/>
      <c r="L511" s="151"/>
      <c r="M511" s="147"/>
    </row>
    <row r="512" spans="2:13" ht="13.2" hidden="1" thickBot="1" x14ac:dyDescent="0.25">
      <c r="B512" s="148" t="str">
        <f t="array" ref="B512">IF(ISERROR(INDEX('Eingabe Meldungen'!$C$2:$C$492,LARGE(('Eingabe Meldungen'!$A$2:$A$492=$B$505)*(ROW('Eingabe Meldungen'!$A$2:$A$492)-1),COUNTIF('Eingabe Meldungen'!$A$2:$A$492,$B$505)+1-ROW('Eingabe Meldungen'!A6)))),"",INDEX('Eingabe Meldungen'!$C$2:$C$492,LARGE(('Eingabe Meldungen'!$A$2:$A$492=$B$505)*(ROW('Eingabe Meldungen'!$A$2:$A$492)-1),COUNTIF('Eingabe Meldungen'!$A$2:$A$492,$B$505)+1-ROW('Eingabe Meldungen'!A6))))</f>
        <v/>
      </c>
      <c r="C512" s="40" t="str">
        <f t="array" ref="C512">IF(ISERROR(INDEX('Eingabe Meldungen'!$D$2:$D$492,LARGE(('Eingabe Meldungen'!$A$2:$A$492=$B$505)*(ROW('Eingabe Meldungen'!$A$2:$A$492)-1),COUNTIF('Eingabe Meldungen'!$A$2:$A$492,$B$505)+1-ROW('Eingabe Meldungen'!A6)))),"",INDEX('Eingabe Meldungen'!$D$2:$D$492,LARGE(('Eingabe Meldungen'!$A$2:$A$492=$B$505)*(ROW('Eingabe Meldungen'!$A$2:$A$492)-1),COUNTIF('Eingabe Meldungen'!$A$2:$A$492,$B$505)+1-ROW('Eingabe Meldungen'!A6))))</f>
        <v/>
      </c>
      <c r="D512" s="107" t="str">
        <f t="array" ref="D512">IF(B512&lt;&gt;"",INDEX('Eingabe Meldungen'!$C$2:$H$492,MATCH(B512&amp;C512,'Eingabe Meldungen'!$C$2:$C$492&amp;'Eingabe Meldungen'!$D$2:$D$492,0),6),"")</f>
        <v/>
      </c>
      <c r="E512" s="107" t="str">
        <f t="array" ref="E512">IF(B512&lt;&gt;"",INDEX('Eingabe Meldungen'!$C$2:$H$492,MATCH(B512&amp;C512,'Eingabe Meldungen'!$C$2:$C$492&amp;'Eingabe Meldungen'!$D$2:$D$492,0),4),"")</f>
        <v/>
      </c>
      <c r="F512" s="39">
        <v>6</v>
      </c>
      <c r="G512" s="150"/>
      <c r="H512" s="40" t="e">
        <f t="shared" si="25"/>
        <v>#N/A</v>
      </c>
      <c r="I512" s="107" t="str">
        <f t="array" ref="I512">IF(B512&lt;&gt;"",INDEX('Eingabe Meldungen'!$C$2:$J$492,MATCH(B512&amp;C512,'Eingabe Meldungen'!$C$2:$C$492&amp;'Eingabe Meldungen'!$D$2:$D$492,0),8),"")</f>
        <v/>
      </c>
      <c r="J512" s="40"/>
      <c r="K512" s="40"/>
      <c r="L512" s="151"/>
      <c r="M512" s="147"/>
    </row>
    <row r="513" spans="2:13" ht="13.2" hidden="1" thickBot="1" x14ac:dyDescent="0.25">
      <c r="B513" s="148" t="str">
        <f t="array" ref="B513">IF(ISERROR(INDEX('Eingabe Meldungen'!$C$2:$C$492,LARGE(('Eingabe Meldungen'!$A$2:$A$492=$B$505)*(ROW('Eingabe Meldungen'!$A$2:$A$492)-1),COUNTIF('Eingabe Meldungen'!$A$2:$A$492,$B$505)+1-ROW('Eingabe Meldungen'!A8)))),"",INDEX('Eingabe Meldungen'!$C$2:$C$492,LARGE(('Eingabe Meldungen'!$A$2:$A$492=$B$505)*(ROW('Eingabe Meldungen'!$A$2:$A$492)-1),COUNTIF('Eingabe Meldungen'!$A$2:$A$492,$B$505)+1-ROW('Eingabe Meldungen'!A8))))</f>
        <v/>
      </c>
      <c r="C513" s="40" t="str">
        <f t="array" ref="C513">IF(ISERROR(INDEX('Eingabe Meldungen'!$D$2:$D$492,LARGE(('Eingabe Meldungen'!$A$2:$A$492=$B$505)*(ROW('Eingabe Meldungen'!$A$2:$A$492)-1),COUNTIF('Eingabe Meldungen'!$A$2:$A$492,$B$505)+1-ROW('Eingabe Meldungen'!A8)))),"",INDEX('Eingabe Meldungen'!$D$2:$D$492,LARGE(('Eingabe Meldungen'!$A$2:$A$492=$B$505)*(ROW('Eingabe Meldungen'!$A$2:$A$492)-1),COUNTIF('Eingabe Meldungen'!$A$2:$A$492,$B$505)+1-ROW('Eingabe Meldungen'!A8))))</f>
        <v/>
      </c>
      <c r="D513" s="107" t="str">
        <f t="array" ref="D513">IF(B513&lt;&gt;"",INDEX('Eingabe Meldungen'!$C$2:$H$492,MATCH(B513&amp;C513,'Eingabe Meldungen'!$C$2:$C$492&amp;'Eingabe Meldungen'!$D$2:$D$492,0),6),"")</f>
        <v/>
      </c>
      <c r="E513" s="107" t="str">
        <f t="array" ref="E513">IF(B513&lt;&gt;"",INDEX('Eingabe Meldungen'!$C$2:$H$492,MATCH(B513&amp;C513,'Eingabe Meldungen'!$C$2:$C$492&amp;'Eingabe Meldungen'!$D$2:$D$492,0),4),"")</f>
        <v/>
      </c>
      <c r="F513" s="39">
        <v>7</v>
      </c>
      <c r="G513" s="150"/>
      <c r="H513" s="40" t="e">
        <f t="shared" si="25"/>
        <v>#N/A</v>
      </c>
      <c r="I513" s="107" t="str">
        <f t="array" ref="I513">IF(B513&lt;&gt;"",INDEX('Eingabe Meldungen'!$C$2:$J$492,MATCH(B513&amp;C513,'Eingabe Meldungen'!$C$2:$C$492&amp;'Eingabe Meldungen'!$D$2:$D$492,0),8),"")</f>
        <v/>
      </c>
      <c r="J513" s="40"/>
      <c r="K513" s="40"/>
      <c r="L513" s="151"/>
      <c r="M513" s="147"/>
    </row>
    <row r="514" spans="2:13" ht="13.2" hidden="1" thickBot="1" x14ac:dyDescent="0.25">
      <c r="B514" s="148" t="str">
        <f t="array" ref="B514">IF(ISERROR(INDEX('Eingabe Meldungen'!$C$2:$C$492,LARGE(('Eingabe Meldungen'!$A$2:$A$492=$B$505)*(ROW('Eingabe Meldungen'!$A$2:$A$492)-1),COUNTIF('Eingabe Meldungen'!$A$2:$A$492,$B$505)+1-ROW('Eingabe Meldungen'!A9)))),"",INDEX('Eingabe Meldungen'!$C$2:$C$492,LARGE(('Eingabe Meldungen'!$A$2:$A$492=$B$505)*(ROW('Eingabe Meldungen'!$A$2:$A$492)-1),COUNTIF('Eingabe Meldungen'!$A$2:$A$492,$B$505)+1-ROW('Eingabe Meldungen'!A9))))</f>
        <v/>
      </c>
      <c r="C514" s="40" t="str">
        <f t="array" ref="C514">IF(ISERROR(INDEX('Eingabe Meldungen'!$D$2:$D$492,LARGE(('Eingabe Meldungen'!$A$2:$A$492=$B$505)*(ROW('Eingabe Meldungen'!$A$2:$A$492)-1),COUNTIF('Eingabe Meldungen'!$A$2:$A$492,$B$505)+1-ROW('Eingabe Meldungen'!A9)))),"",INDEX('Eingabe Meldungen'!$D$2:$D$492,LARGE(('Eingabe Meldungen'!$A$2:$A$492=$B$505)*(ROW('Eingabe Meldungen'!$A$2:$A$492)-1),COUNTIF('Eingabe Meldungen'!$A$2:$A$492,$B$505)+1-ROW('Eingabe Meldungen'!A9))))</f>
        <v/>
      </c>
      <c r="D514" s="107" t="str">
        <f t="array" ref="D514">IF(B514&lt;&gt;"",INDEX('Eingabe Meldungen'!$C$2:$H$492,MATCH(B514&amp;C514,'Eingabe Meldungen'!$C$2:$C$492&amp;'Eingabe Meldungen'!$D$2:$D$492,0),6),"")</f>
        <v/>
      </c>
      <c r="E514" s="107" t="str">
        <f t="array" ref="E514">IF(B514&lt;&gt;"",INDEX('Eingabe Meldungen'!$C$2:$H$492,MATCH(B514&amp;C514,'Eingabe Meldungen'!$C$2:$C$492&amp;'Eingabe Meldungen'!$D$2:$D$492,0),4),"")</f>
        <v/>
      </c>
      <c r="F514" s="39">
        <v>8</v>
      </c>
      <c r="G514" s="150"/>
      <c r="H514" s="40" t="e">
        <f t="shared" si="25"/>
        <v>#N/A</v>
      </c>
      <c r="I514" s="107" t="str">
        <f t="array" ref="I514">IF(B514&lt;&gt;"",INDEX('Eingabe Meldungen'!$C$2:$J$492,MATCH(B514&amp;C514,'Eingabe Meldungen'!$C$2:$C$492&amp;'Eingabe Meldungen'!$D$2:$D$492,0),8),"")</f>
        <v/>
      </c>
      <c r="J514" s="40"/>
      <c r="K514" s="40"/>
      <c r="L514" s="151"/>
      <c r="M514" s="147"/>
    </row>
    <row r="515" spans="2:13" ht="13.2" hidden="1" thickBot="1" x14ac:dyDescent="0.25">
      <c r="B515" s="148" t="str">
        <f t="array" ref="B515">IF(ISERROR(INDEX('Eingabe Meldungen'!$C$2:$C$492,LARGE(('Eingabe Meldungen'!$A$2:$A$492=$B$505)*(ROW('Eingabe Meldungen'!$A$2:$A$492)-1),COUNTIF('Eingabe Meldungen'!$A$2:$A$492,$B$505)+1-ROW('Eingabe Meldungen'!A10)))),"",INDEX('Eingabe Meldungen'!$C$2:$C$492,LARGE(('Eingabe Meldungen'!$A$2:$A$492=$B$505)*(ROW('Eingabe Meldungen'!$A$2:$A$492)-1),COUNTIF('Eingabe Meldungen'!$A$2:$A$492,$B$505)+1-ROW('Eingabe Meldungen'!A10))))</f>
        <v/>
      </c>
      <c r="C515" s="40" t="str">
        <f t="array" ref="C515">IF(ISERROR(INDEX('Eingabe Meldungen'!$D$2:$D$492,LARGE(('Eingabe Meldungen'!$A$2:$A$492=$B$505)*(ROW('Eingabe Meldungen'!$A$2:$A$492)-1),COUNTIF('Eingabe Meldungen'!$A$2:$A$492,$B$505)+1-ROW('Eingabe Meldungen'!A10)))),"",INDEX('Eingabe Meldungen'!$D$2:$D$492,LARGE(('Eingabe Meldungen'!$A$2:$A$492=$B$505)*(ROW('Eingabe Meldungen'!$A$2:$A$492)-1),COUNTIF('Eingabe Meldungen'!$A$2:$A$492,$B$505)+1-ROW('Eingabe Meldungen'!A10))))</f>
        <v/>
      </c>
      <c r="D515" s="107" t="str">
        <f t="array" ref="D515">IF(B515&lt;&gt;"",INDEX('Eingabe Meldungen'!$C$2:$H$492,MATCH(B515&amp;C515,'Eingabe Meldungen'!$C$2:$C$492&amp;'Eingabe Meldungen'!$D$2:$D$492,0),6),"")</f>
        <v/>
      </c>
      <c r="E515" s="107" t="str">
        <f t="array" ref="E515">IF(B515&lt;&gt;"",INDEX('Eingabe Meldungen'!$C$2:$H$492,MATCH(B515&amp;C515,'Eingabe Meldungen'!$C$2:$C$492&amp;'Eingabe Meldungen'!$D$2:$D$492,0),4),"")</f>
        <v/>
      </c>
      <c r="F515" s="39">
        <v>9</v>
      </c>
      <c r="G515" s="150"/>
      <c r="H515" s="40" t="e">
        <f t="shared" si="25"/>
        <v>#N/A</v>
      </c>
      <c r="I515" s="107" t="str">
        <f t="array" ref="I515">IF(B515&lt;&gt;"",INDEX('Eingabe Meldungen'!$C$2:$J$492,MATCH(B515&amp;C515,'Eingabe Meldungen'!$C$2:$C$492&amp;'Eingabe Meldungen'!$D$2:$D$492,0),8),"")</f>
        <v/>
      </c>
      <c r="J515" s="40"/>
      <c r="K515" s="40"/>
      <c r="L515" s="151"/>
      <c r="M515" s="147"/>
    </row>
    <row r="516" spans="2:13" ht="13.2" hidden="1" thickBot="1" x14ac:dyDescent="0.25">
      <c r="B516" s="148" t="str">
        <f t="array" ref="B516">IF(ISERROR(INDEX('Eingabe Meldungen'!$C$2:$C$492,LARGE(('Eingabe Meldungen'!$A$2:$A$492=$B$505)*(ROW('Eingabe Meldungen'!$A$2:$A$492)-1),COUNTIF('Eingabe Meldungen'!$A$2:$A$492,$B$505)+1-ROW('Eingabe Meldungen'!A11)))),"",INDEX('Eingabe Meldungen'!$C$2:$C$492,LARGE(('Eingabe Meldungen'!$A$2:$A$492=$B$505)*(ROW('Eingabe Meldungen'!$A$2:$A$492)-1),COUNTIF('Eingabe Meldungen'!$A$2:$A$492,$B$505)+1-ROW('Eingabe Meldungen'!A11))))</f>
        <v/>
      </c>
      <c r="C516" s="40" t="str">
        <f t="array" ref="C516">IF(ISERROR(INDEX('Eingabe Meldungen'!$D$2:$D$492,LARGE(('Eingabe Meldungen'!$A$2:$A$492=$B$505)*(ROW('Eingabe Meldungen'!$A$2:$A$492)-1),COUNTIF('Eingabe Meldungen'!$A$2:$A$492,$B$505)+1-ROW('Eingabe Meldungen'!A11)))),"",INDEX('Eingabe Meldungen'!$D$2:$D$492,LARGE(('Eingabe Meldungen'!$A$2:$A$492=$B$505)*(ROW('Eingabe Meldungen'!$A$2:$A$492)-1),COUNTIF('Eingabe Meldungen'!$A$2:$A$492,$B$505)+1-ROW('Eingabe Meldungen'!A11))))</f>
        <v/>
      </c>
      <c r="D516" s="107" t="str">
        <f t="array" ref="D516">IF(B516&lt;&gt;"",INDEX('Eingabe Meldungen'!$C$2:$H$492,MATCH(B516&amp;C516,'Eingabe Meldungen'!$C$2:$C$492&amp;'Eingabe Meldungen'!$D$2:$D$492,0),6),"")</f>
        <v/>
      </c>
      <c r="E516" s="107" t="str">
        <f t="array" ref="E516">IF(B516&lt;&gt;"",INDEX('Eingabe Meldungen'!$C$2:$H$492,MATCH(B516&amp;C516,'Eingabe Meldungen'!$C$2:$C$492&amp;'Eingabe Meldungen'!$D$2:$D$492,0),4),"")</f>
        <v/>
      </c>
      <c r="F516" s="39">
        <v>10</v>
      </c>
      <c r="G516" s="150"/>
      <c r="H516" s="40" t="e">
        <f t="shared" si="25"/>
        <v>#N/A</v>
      </c>
      <c r="I516" s="107" t="str">
        <f t="array" ref="I516">IF(B516&lt;&gt;"",INDEX('Eingabe Meldungen'!$C$2:$J$492,MATCH(B516&amp;C516,'Eingabe Meldungen'!$C$2:$C$492&amp;'Eingabe Meldungen'!$D$2:$D$492,0),8),"")</f>
        <v/>
      </c>
      <c r="J516" s="40"/>
      <c r="K516" s="40"/>
      <c r="L516" s="151"/>
      <c r="M516" s="147"/>
    </row>
    <row r="517" spans="2:13" ht="13.2" hidden="1" thickBot="1" x14ac:dyDescent="0.25">
      <c r="B517" s="148" t="str">
        <f t="array" ref="B517">IF(ISERROR(INDEX('Eingabe Meldungen'!$C$2:$C$492,LARGE(('Eingabe Meldungen'!$A$2:$A$492=$B$505)*(ROW('Eingabe Meldungen'!$A$2:$A$492)-1),COUNTIF('Eingabe Meldungen'!$A$2:$A$492,$B$505)+1-ROW('Eingabe Meldungen'!A12)))),"",INDEX('Eingabe Meldungen'!$C$2:$C$492,LARGE(('Eingabe Meldungen'!$A$2:$A$492=$B$505)*(ROW('Eingabe Meldungen'!$A$2:$A$492)-1),COUNTIF('Eingabe Meldungen'!$A$2:$A$492,$B$505)+1-ROW('Eingabe Meldungen'!A12))))</f>
        <v/>
      </c>
      <c r="C517" s="40" t="str">
        <f t="array" ref="C517">IF(ISERROR(INDEX('Eingabe Meldungen'!$D$2:$D$492,LARGE(('Eingabe Meldungen'!$A$2:$A$492=$B$505)*(ROW('Eingabe Meldungen'!$A$2:$A$492)-1),COUNTIF('Eingabe Meldungen'!$A$2:$A$492,$B$505)+1-ROW('Eingabe Meldungen'!A12)))),"",INDEX('Eingabe Meldungen'!$D$2:$D$492,LARGE(('Eingabe Meldungen'!$A$2:$A$492=$B$505)*(ROW('Eingabe Meldungen'!$A$2:$A$492)-1),COUNTIF('Eingabe Meldungen'!$A$2:$A$492,$B$505)+1-ROW('Eingabe Meldungen'!A12))))</f>
        <v/>
      </c>
      <c r="D517" s="107" t="str">
        <f t="array" ref="D517">IF(B517&lt;&gt;"",INDEX('Eingabe Meldungen'!$C$2:$H$492,MATCH(B517&amp;C517,'Eingabe Meldungen'!$C$2:$C$492&amp;'Eingabe Meldungen'!$D$2:$D$492,0),6),"")</f>
        <v/>
      </c>
      <c r="E517" s="107" t="str">
        <f t="array" ref="E517">IF(B517&lt;&gt;"",INDEX('Eingabe Meldungen'!$C$2:$H$492,MATCH(B517&amp;C517,'Eingabe Meldungen'!$C$2:$C$492&amp;'Eingabe Meldungen'!$D$2:$D$492,0),4),"")</f>
        <v/>
      </c>
      <c r="F517" s="39">
        <v>11</v>
      </c>
      <c r="G517" s="150"/>
      <c r="H517" s="40" t="e">
        <f t="shared" si="25"/>
        <v>#N/A</v>
      </c>
      <c r="I517" s="107" t="str">
        <f t="array" ref="I517">IF(B517&lt;&gt;"",INDEX('Eingabe Meldungen'!$C$2:$J$492,MATCH(B517&amp;C517,'Eingabe Meldungen'!$C$2:$C$492&amp;'Eingabe Meldungen'!$D$2:$D$492,0),8),"")</f>
        <v/>
      </c>
      <c r="J517" s="40"/>
      <c r="K517" s="40"/>
      <c r="L517" s="151"/>
      <c r="M517" s="147"/>
    </row>
    <row r="518" spans="2:13" ht="13.2" hidden="1" thickBot="1" x14ac:dyDescent="0.25">
      <c r="B518" s="148" t="str">
        <f t="array" ref="B518">IF(ISERROR(INDEX('Eingabe Meldungen'!$C$2:$C$492,LARGE(('Eingabe Meldungen'!$A$2:$A$492=$B$505)*(ROW('Eingabe Meldungen'!$A$2:$A$492)-1),COUNTIF('Eingabe Meldungen'!$A$2:$A$492,$B$505)+1-ROW('Eingabe Meldungen'!A13)))),"",INDEX('Eingabe Meldungen'!$C$2:$C$492,LARGE(('Eingabe Meldungen'!$A$2:$A$492=$B$505)*(ROW('Eingabe Meldungen'!$A$2:$A$492)-1),COUNTIF('Eingabe Meldungen'!$A$2:$A$492,$B$505)+1-ROW('Eingabe Meldungen'!A13))))</f>
        <v/>
      </c>
      <c r="C518" s="40" t="str">
        <f t="array" ref="C518">IF(ISERROR(INDEX('Eingabe Meldungen'!$D$2:$D$492,LARGE(('Eingabe Meldungen'!$A$2:$A$492=$B$505)*(ROW('Eingabe Meldungen'!$A$2:$A$492)-1),COUNTIF('Eingabe Meldungen'!$A$2:$A$492,$B$505)+1-ROW('Eingabe Meldungen'!A13)))),"",INDEX('Eingabe Meldungen'!$D$2:$D$492,LARGE(('Eingabe Meldungen'!$A$2:$A$492=$B$505)*(ROW('Eingabe Meldungen'!$A$2:$A$492)-1),COUNTIF('Eingabe Meldungen'!$A$2:$A$492,$B$505)+1-ROW('Eingabe Meldungen'!A13))))</f>
        <v/>
      </c>
      <c r="D518" s="107" t="str">
        <f t="array" ref="D518">IF(B518&lt;&gt;"",INDEX('Eingabe Meldungen'!$C$2:$H$492,MATCH(B518&amp;C518,'Eingabe Meldungen'!$C$2:$C$492&amp;'Eingabe Meldungen'!$D$2:$D$492,0),6),"")</f>
        <v/>
      </c>
      <c r="E518" s="107" t="str">
        <f t="array" ref="E518">IF(B518&lt;&gt;"",INDEX('Eingabe Meldungen'!$C$2:$H$492,MATCH(B518&amp;C518,'Eingabe Meldungen'!$C$2:$C$492&amp;'Eingabe Meldungen'!$D$2:$D$492,0),4),"")</f>
        <v/>
      </c>
      <c r="F518" s="39">
        <v>12</v>
      </c>
      <c r="G518" s="150"/>
      <c r="H518" s="40" t="e">
        <f t="shared" si="25"/>
        <v>#N/A</v>
      </c>
      <c r="I518" s="107" t="str">
        <f t="array" ref="I518">IF(B518&lt;&gt;"",INDEX('Eingabe Meldungen'!$C$2:$J$492,MATCH(B518&amp;C518,'Eingabe Meldungen'!$C$2:$C$492&amp;'Eingabe Meldungen'!$D$2:$D$492,0),8),"")</f>
        <v/>
      </c>
      <c r="J518" s="40"/>
      <c r="K518" s="40"/>
      <c r="L518" s="151"/>
      <c r="M518" s="147"/>
    </row>
    <row r="519" spans="2:13" ht="13.2" hidden="1" thickBot="1" x14ac:dyDescent="0.25">
      <c r="B519" s="148" t="str">
        <f t="array" ref="B519">IF(ISERROR(INDEX('Eingabe Meldungen'!$C$2:$C$492,LARGE(('Eingabe Meldungen'!$A$2:$A$492=$B$505)*(ROW('Eingabe Meldungen'!$A$2:$A$492)-1),COUNTIF('Eingabe Meldungen'!$A$2:$A$492,$B$505)+1-ROW('Eingabe Meldungen'!A14)))),"",INDEX('Eingabe Meldungen'!$C$2:$C$492,LARGE(('Eingabe Meldungen'!$A$2:$A$492=$B$505)*(ROW('Eingabe Meldungen'!$A$2:$A$492)-1),COUNTIF('Eingabe Meldungen'!$A$2:$A$492,$B$505)+1-ROW('Eingabe Meldungen'!A14))))</f>
        <v/>
      </c>
      <c r="C519" s="40" t="str">
        <f t="array" ref="C519">IF(ISERROR(INDEX('Eingabe Meldungen'!$D$2:$D$492,LARGE(('Eingabe Meldungen'!$A$2:$A$492=$B$505)*(ROW('Eingabe Meldungen'!$A$2:$A$492)-1),COUNTIF('Eingabe Meldungen'!$A$2:$A$492,$B$505)+1-ROW('Eingabe Meldungen'!A14)))),"",INDEX('Eingabe Meldungen'!$D$2:$D$492,LARGE(('Eingabe Meldungen'!$A$2:$A$492=$B$505)*(ROW('Eingabe Meldungen'!$A$2:$A$492)-1),COUNTIF('Eingabe Meldungen'!$A$2:$A$492,$B$505)+1-ROW('Eingabe Meldungen'!A14))))</f>
        <v/>
      </c>
      <c r="D519" s="107" t="str">
        <f t="array" ref="D519">IF(B519&lt;&gt;"",INDEX('Eingabe Meldungen'!$C$2:$H$492,MATCH(B519&amp;C519,'Eingabe Meldungen'!$C$2:$C$492&amp;'Eingabe Meldungen'!$D$2:$D$492,0),6),"")</f>
        <v/>
      </c>
      <c r="E519" s="107" t="str">
        <f t="array" ref="E519">IF(B519&lt;&gt;"",INDEX('Eingabe Meldungen'!$C$2:$H$492,MATCH(B519&amp;C519,'Eingabe Meldungen'!$C$2:$C$492&amp;'Eingabe Meldungen'!$D$2:$D$492,0),4),"")</f>
        <v/>
      </c>
      <c r="F519" s="39">
        <v>13</v>
      </c>
      <c r="G519" s="150"/>
      <c r="H519" s="40" t="e">
        <f t="shared" si="25"/>
        <v>#N/A</v>
      </c>
      <c r="I519" s="107" t="str">
        <f t="array" ref="I519">IF(B519&lt;&gt;"",INDEX('Eingabe Meldungen'!$C$2:$J$492,MATCH(B519&amp;C519,'Eingabe Meldungen'!$C$2:$C$492&amp;'Eingabe Meldungen'!$D$2:$D$492,0),8),"")</f>
        <v/>
      </c>
      <c r="J519" s="40"/>
      <c r="K519" s="40"/>
      <c r="L519" s="151"/>
      <c r="M519" s="147"/>
    </row>
    <row r="520" spans="2:13" ht="13.2" hidden="1" thickBot="1" x14ac:dyDescent="0.25">
      <c r="B520" s="148" t="str">
        <f t="array" ref="B520">IF(ISERROR(INDEX('Eingabe Meldungen'!$C$2:$C$492,LARGE(('Eingabe Meldungen'!$A$2:$A$492=$B$505)*(ROW('Eingabe Meldungen'!$A$2:$A$492)-1),COUNTIF('Eingabe Meldungen'!$A$2:$A$492,$B$505)+1-ROW('Eingabe Meldungen'!A15)))),"",INDEX('Eingabe Meldungen'!$C$2:$C$492,LARGE(('Eingabe Meldungen'!$A$2:$A$492=$B$505)*(ROW('Eingabe Meldungen'!$A$2:$A$492)-1),COUNTIF('Eingabe Meldungen'!$A$2:$A$492,$B$505)+1-ROW('Eingabe Meldungen'!A15))))</f>
        <v/>
      </c>
      <c r="C520" s="40" t="str">
        <f t="array" ref="C520">IF(ISERROR(INDEX('Eingabe Meldungen'!$D$2:$D$492,LARGE(('Eingabe Meldungen'!$A$2:$A$492=$B$505)*(ROW('Eingabe Meldungen'!$A$2:$A$492)-1),COUNTIF('Eingabe Meldungen'!$A$2:$A$492,$B$505)+1-ROW('Eingabe Meldungen'!A15)))),"",INDEX('Eingabe Meldungen'!$D$2:$D$492,LARGE(('Eingabe Meldungen'!$A$2:$A$492=$B$505)*(ROW('Eingabe Meldungen'!$A$2:$A$492)-1),COUNTIF('Eingabe Meldungen'!$A$2:$A$492,$B$505)+1-ROW('Eingabe Meldungen'!A15))))</f>
        <v/>
      </c>
      <c r="D520" s="107" t="str">
        <f t="array" ref="D520">IF(B520&lt;&gt;"",INDEX('Eingabe Meldungen'!$C$2:$H$492,MATCH(B520&amp;C520,'Eingabe Meldungen'!$C$2:$C$492&amp;'Eingabe Meldungen'!$D$2:$D$492,0),6),"")</f>
        <v/>
      </c>
      <c r="E520" s="107" t="str">
        <f t="array" ref="E520">IF(B520&lt;&gt;"",INDEX('Eingabe Meldungen'!$C$2:$H$492,MATCH(B520&amp;C520,'Eingabe Meldungen'!$C$2:$C$492&amp;'Eingabe Meldungen'!$D$2:$D$492,0),4),"")</f>
        <v/>
      </c>
      <c r="F520" s="39">
        <v>14</v>
      </c>
      <c r="G520" s="150"/>
      <c r="H520" s="40" t="e">
        <f t="shared" si="25"/>
        <v>#N/A</v>
      </c>
      <c r="I520" s="107" t="str">
        <f t="array" ref="I520">IF(B520&lt;&gt;"",INDEX('Eingabe Meldungen'!$C$2:$J$492,MATCH(B520&amp;C520,'Eingabe Meldungen'!$C$2:$C$492&amp;'Eingabe Meldungen'!$D$2:$D$492,0),8),"")</f>
        <v/>
      </c>
      <c r="J520" s="40"/>
      <c r="K520" s="40"/>
      <c r="L520" s="151"/>
      <c r="M520" s="147"/>
    </row>
    <row r="521" spans="2:13" ht="13.2" hidden="1" thickBot="1" x14ac:dyDescent="0.25">
      <c r="B521" s="148" t="str">
        <f t="array" ref="B521">IF(ISERROR(INDEX('Eingabe Meldungen'!$C$2:$C$492,LARGE(('Eingabe Meldungen'!$A$2:$A$492=$B$505)*(ROW('Eingabe Meldungen'!$A$2:$A$492)-1),COUNTIF('Eingabe Meldungen'!$A$2:$A$492,$B$505)+1-ROW('Eingabe Meldungen'!A16)))),"",INDEX('Eingabe Meldungen'!$C$2:$C$492,LARGE(('Eingabe Meldungen'!$A$2:$A$492=$B$505)*(ROW('Eingabe Meldungen'!$A$2:$A$492)-1),COUNTIF('Eingabe Meldungen'!$A$2:$A$492,$B$505)+1-ROW('Eingabe Meldungen'!A16))))</f>
        <v/>
      </c>
      <c r="C521" s="40" t="str">
        <f t="array" ref="C521">IF(ISERROR(INDEX('Eingabe Meldungen'!$D$2:$D$492,LARGE(('Eingabe Meldungen'!$A$2:$A$492=$B$505)*(ROW('Eingabe Meldungen'!$A$2:$A$492)-1),COUNTIF('Eingabe Meldungen'!$A$2:$A$492,$B$505)+1-ROW('Eingabe Meldungen'!A16)))),"",INDEX('Eingabe Meldungen'!$D$2:$D$492,LARGE(('Eingabe Meldungen'!$A$2:$A$492=$B$505)*(ROW('Eingabe Meldungen'!$A$2:$A$492)-1),COUNTIF('Eingabe Meldungen'!$A$2:$A$492,$B$505)+1-ROW('Eingabe Meldungen'!A16))))</f>
        <v/>
      </c>
      <c r="D521" s="107" t="str">
        <f t="array" ref="D521">IF(B521&lt;&gt;"",INDEX('Eingabe Meldungen'!$C$2:$H$492,MATCH(B521&amp;C521,'Eingabe Meldungen'!$C$2:$C$492&amp;'Eingabe Meldungen'!$D$2:$D$492,0),6),"")</f>
        <v/>
      </c>
      <c r="E521" s="107" t="str">
        <f t="array" ref="E521">IF(B521&lt;&gt;"",INDEX('Eingabe Meldungen'!$C$2:$H$492,MATCH(B521&amp;C521,'Eingabe Meldungen'!$C$2:$C$492&amp;'Eingabe Meldungen'!$D$2:$D$492,0),4),"")</f>
        <v/>
      </c>
      <c r="F521" s="39">
        <v>15</v>
      </c>
      <c r="G521" s="150"/>
      <c r="H521" s="40" t="e">
        <f t="shared" si="25"/>
        <v>#N/A</v>
      </c>
      <c r="I521" s="107" t="str">
        <f t="array" ref="I521">IF(B521&lt;&gt;"",INDEX('Eingabe Meldungen'!$C$2:$J$492,MATCH(B521&amp;C521,'Eingabe Meldungen'!$C$2:$C$492&amp;'Eingabe Meldungen'!$D$2:$D$492,0),8),"")</f>
        <v/>
      </c>
      <c r="J521" s="40"/>
      <c r="K521" s="40"/>
      <c r="L521" s="151"/>
      <c r="M521" s="147"/>
    </row>
    <row r="522" spans="2:13" ht="13.2" hidden="1" thickBot="1" x14ac:dyDescent="0.25">
      <c r="B522" s="159" t="str">
        <f t="array" ref="B522">IF(ISERROR(INDEX('Eingabe Meldungen'!$C$2:$C$492,LARGE(('Eingabe Meldungen'!$A$2:$A$492=$B$505)*(ROW('Eingabe Meldungen'!$A$2:$A$492)-1),COUNTIF('Eingabe Meldungen'!$A$2:$A$492,$B$505)+1-ROW('Eingabe Meldungen'!A17)))),"",INDEX('Eingabe Meldungen'!$C$2:$C$492,LARGE(('Eingabe Meldungen'!$A$2:$A$492=$B$505)*(ROW('Eingabe Meldungen'!$A$2:$A$492)-1),COUNTIF('Eingabe Meldungen'!$A$2:$A$492,$B$505)+1-ROW('Eingabe Meldungen'!A17))))</f>
        <v/>
      </c>
      <c r="C522" s="160" t="str">
        <f t="array" ref="C522">IF(ISERROR(INDEX('Eingabe Meldungen'!$D$2:$D$492,LARGE(('Eingabe Meldungen'!$A$2:$A$492=$B$505)*(ROW('Eingabe Meldungen'!$A$2:$A$492)-1),COUNTIF('Eingabe Meldungen'!$A$2:$A$492,$B$505)+1-ROW('Eingabe Meldungen'!A17)))),"",INDEX('Eingabe Meldungen'!$D$2:$D$492,LARGE(('Eingabe Meldungen'!$A$2:$A$492=$B$505)*(ROW('Eingabe Meldungen'!$A$2:$A$492)-1),COUNTIF('Eingabe Meldungen'!$A$2:$A$492,$B$505)+1-ROW('Eingabe Meldungen'!A17))))</f>
        <v/>
      </c>
      <c r="D522" s="161" t="str">
        <f t="array" ref="D522">IF(B522&lt;&gt;"",INDEX('Eingabe Meldungen'!$C$2:$H$492,MATCH(B522&amp;C522,'Eingabe Meldungen'!$C$2:$C$492&amp;'Eingabe Meldungen'!$D$2:$D$492,0),6),"")</f>
        <v/>
      </c>
      <c r="E522" s="161" t="str">
        <f t="array" ref="E522">IF(B522&lt;&gt;"",INDEX('Eingabe Meldungen'!$C$2:$H$492,MATCH(B522&amp;C522,'Eingabe Meldungen'!$C$2:$C$492&amp;'Eingabe Meldungen'!$D$2:$D$492,0),4),"")</f>
        <v/>
      </c>
      <c r="F522" s="118">
        <v>16</v>
      </c>
      <c r="G522" s="175"/>
      <c r="H522" s="160" t="e">
        <f t="shared" si="25"/>
        <v>#N/A</v>
      </c>
      <c r="I522" s="161" t="str">
        <f t="array" ref="I522">IF(B522&lt;&gt;"",INDEX('Eingabe Meldungen'!$C$2:$J$492,MATCH(B522&amp;C522,'Eingabe Meldungen'!$C$2:$C$492&amp;'Eingabe Meldungen'!$D$2:$D$492,0),8),"")</f>
        <v/>
      </c>
      <c r="J522" s="160"/>
      <c r="K522" s="160"/>
      <c r="L522" s="162"/>
      <c r="M522" s="163"/>
    </row>
    <row r="523" spans="2:13" hidden="1" x14ac:dyDescent="0.2"/>
    <row r="524" spans="2:13" ht="30" hidden="1" customHeight="1" x14ac:dyDescent="0.2">
      <c r="B524" s="26" t="e">
        <f>#REF!+1</f>
        <v>#REF!</v>
      </c>
      <c r="C524" s="65" t="e">
        <f>VLOOKUP(B524,Ausschreibung!$B$5:$I$35,2,FALSE)</f>
        <v>#REF!</v>
      </c>
      <c r="D524" s="27" t="e">
        <f>VLOOKUP(B524,Ausschreibung!$B$5:$I$35,3,FALSE)</f>
        <v>#REF!</v>
      </c>
      <c r="E524" s="68" t="e">
        <f>VLOOKUP(B524,Ausschreibung!$B$5:$I$35,4,FALSE)</f>
        <v>#REF!</v>
      </c>
      <c r="F524" s="68" t="e">
        <f>VLOOKUP(B524,Ausschreibung!$B$5:$I$35,5,FALSE)</f>
        <v>#REF!</v>
      </c>
      <c r="G524" s="65" t="e">
        <f>VLOOKUP(B524,Ausschreibung!$B$5:$I$35,6,FALSE)</f>
        <v>#REF!</v>
      </c>
      <c r="H524" s="65" t="e">
        <f>VLOOKUP(B524,Ausschreibung!$B$5:$I$35,8,FALSE)</f>
        <v>#REF!</v>
      </c>
      <c r="I524" s="28" t="s">
        <v>30</v>
      </c>
      <c r="J524" s="65"/>
    </row>
    <row r="525" spans="2:13" hidden="1" x14ac:dyDescent="0.2">
      <c r="B525" s="19" t="s">
        <v>1</v>
      </c>
      <c r="C525" s="18" t="s">
        <v>2</v>
      </c>
      <c r="D525" s="17" t="s">
        <v>49</v>
      </c>
      <c r="E525" s="25" t="s">
        <v>16</v>
      </c>
      <c r="F525" s="17" t="s">
        <v>18</v>
      </c>
      <c r="G525" s="73" t="s">
        <v>50</v>
      </c>
      <c r="H525" s="17" t="s">
        <v>51</v>
      </c>
      <c r="I525" s="30" t="s">
        <v>17</v>
      </c>
      <c r="J525" s="17"/>
    </row>
    <row r="526" spans="2:13" hidden="1" x14ac:dyDescent="0.2">
      <c r="B526" s="20" t="str">
        <f t="array" ref="B526">IF(ISERROR(INDEX('Eingabe Meldungen'!$C$2:$C$492,LARGE(('Eingabe Meldungen'!$A$2:$A$492=$B$524)*(ROW('Eingabe Meldungen'!$A$2:$A$492)-1),COUNTIF('Eingabe Meldungen'!$A$2:$A$492,$B$524)+1-ROW('Eingabe Meldungen'!A1)))),"",INDEX('Eingabe Meldungen'!$C$2:$C$492,LARGE(('Eingabe Meldungen'!$A$2:$A$492=$B$524)*(ROW('Eingabe Meldungen'!$A$2:$A$492)-1),COUNTIF('Eingabe Meldungen'!$A$2:$A$492,$B$524)+1-ROW('Eingabe Meldungen'!A1))))</f>
        <v/>
      </c>
      <c r="C526" t="str">
        <f t="array" ref="C526">IF(ISERROR(INDEX('Eingabe Meldungen'!$D$2:$D$492,LARGE(('Eingabe Meldungen'!$A$2:$A$492=$B$524)*(ROW('Eingabe Meldungen'!$A$2:$A$492)-1),COUNTIF('Eingabe Meldungen'!$A$2:$A$492,$B$524)+1-ROW('Eingabe Meldungen'!A1)))),"",INDEX('Eingabe Meldungen'!$D$2:$D$492,LARGE(('Eingabe Meldungen'!$A$2:$A$492=$B$524)*(ROW('Eingabe Meldungen'!$A$2:$A$492)-1),COUNTIF('Eingabe Meldungen'!$A$2:$A$492,$B$524)+1-ROW('Eingabe Meldungen'!A1))))</f>
        <v/>
      </c>
      <c r="D526" s="11" t="str">
        <f t="array" ref="D526">IF(B526&lt;&gt;"",INDEX('Eingabe Meldungen'!$C$2:$H$492,MATCH(B526&amp;C526,'Eingabe Meldungen'!$C$2:$C$492&amp;'Eingabe Meldungen'!$D$2:$D$492,0),6),"")</f>
        <v/>
      </c>
      <c r="E526" s="11" t="str">
        <f t="array" ref="E526">IF(B526&lt;&gt;"",INDEX('Eingabe Meldungen'!$C$2:$H$492,MATCH(B526&amp;C526,'Eingabe Meldungen'!$C$2:$C$492&amp;'Eingabe Meldungen'!$D$2:$D$492,0),4),"")</f>
        <v/>
      </c>
      <c r="F526" s="66">
        <v>1</v>
      </c>
      <c r="G526" s="74"/>
      <c r="H526" t="e">
        <f>RANK(G526,$G$526:$G$541,1)</f>
        <v>#N/A</v>
      </c>
      <c r="I526" s="21" t="str">
        <f t="array" ref="I526">IF(B526&lt;&gt;"",INDEX('Eingabe Meldungen'!$C$2:$J$492,MATCH(B526&amp;C526,'Eingabe Meldungen'!$C$2:$C$492&amp;'Eingabe Meldungen'!$D$2:$D$492,0),8),"")</f>
        <v/>
      </c>
    </row>
    <row r="527" spans="2:13" hidden="1" x14ac:dyDescent="0.2">
      <c r="B527" s="20" t="str">
        <f t="array" ref="B527">IF(ISERROR(INDEX('Eingabe Meldungen'!$C$2:$C$492,LARGE(('Eingabe Meldungen'!$A$2:$A$492=$B$524)*(ROW('Eingabe Meldungen'!$A$2:$A$492)-1),COUNTIF('Eingabe Meldungen'!$A$2:$A$492,$B$524)+1-ROW('Eingabe Meldungen'!A2)))),"",INDEX('Eingabe Meldungen'!$C$2:$C$492,LARGE(('Eingabe Meldungen'!$A$2:$A$492=$B$524)*(ROW('Eingabe Meldungen'!$A$2:$A$492)-1),COUNTIF('Eingabe Meldungen'!$A$2:$A$492,$B$524)+1-ROW('Eingabe Meldungen'!A2))))</f>
        <v/>
      </c>
      <c r="C527" t="str">
        <f t="array" ref="C527">IF(ISERROR(INDEX('Eingabe Meldungen'!$D$2:$D$492,LARGE(('Eingabe Meldungen'!$A$2:$A$492=$B$524)*(ROW('Eingabe Meldungen'!$A$2:$A$492)-1),COUNTIF('Eingabe Meldungen'!$A$2:$A$492,$B$524)+1-ROW('Eingabe Meldungen'!A2)))),"",INDEX('Eingabe Meldungen'!$D$2:$D$492,LARGE(('Eingabe Meldungen'!$A$2:$A$492=$B$524)*(ROW('Eingabe Meldungen'!$A$2:$A$492)-1),COUNTIF('Eingabe Meldungen'!$A$2:$A$492,$B$524)+1-ROW('Eingabe Meldungen'!A2))))</f>
        <v/>
      </c>
      <c r="D527" s="11" t="str">
        <f t="array" ref="D527">IF(B527&lt;&gt;"",INDEX('Eingabe Meldungen'!$C$2:$H$492,MATCH(B527&amp;C527,'Eingabe Meldungen'!$C$2:$C$492&amp;'Eingabe Meldungen'!$D$2:$D$492,0),6),"")</f>
        <v/>
      </c>
      <c r="E527" s="11" t="str">
        <f t="array" ref="E527">IF(B527&lt;&gt;"",INDEX('Eingabe Meldungen'!$C$2:$H$492,MATCH(B527&amp;C527,'Eingabe Meldungen'!$C$2:$C$492&amp;'Eingabe Meldungen'!$D$2:$D$492,0),4),"")</f>
        <v/>
      </c>
      <c r="F527" s="15">
        <v>2</v>
      </c>
      <c r="G527" s="74"/>
      <c r="H527" t="e">
        <f t="shared" ref="H527:H541" si="26">RANK(G527,$G$526:$G$541,1)</f>
        <v>#N/A</v>
      </c>
      <c r="I527" s="21" t="str">
        <f t="array" ref="I527">IF(B527&lt;&gt;"",INDEX('Eingabe Meldungen'!$C$2:$J$492,MATCH(B527&amp;C527,'Eingabe Meldungen'!$C$2:$C$492&amp;'Eingabe Meldungen'!$D$2:$D$492,0),8),"")</f>
        <v/>
      </c>
    </row>
    <row r="528" spans="2:13" hidden="1" x14ac:dyDescent="0.2">
      <c r="B528" s="20" t="str">
        <f t="array" ref="B528">IF(ISERROR(INDEX('Eingabe Meldungen'!$C$2:$C$492,LARGE(('Eingabe Meldungen'!$A$2:$A$492=$B$524)*(ROW('Eingabe Meldungen'!$A$2:$A$492)-1),COUNTIF('Eingabe Meldungen'!$A$2:$A$492,$B$524)+1-ROW('Eingabe Meldungen'!A3)))),"",INDEX('Eingabe Meldungen'!$C$2:$C$492,LARGE(('Eingabe Meldungen'!$A$2:$A$492=$B$524)*(ROW('Eingabe Meldungen'!$A$2:$A$492)-1),COUNTIF('Eingabe Meldungen'!$A$2:$A$492,$B$524)+1-ROW('Eingabe Meldungen'!A3))))</f>
        <v/>
      </c>
      <c r="C528" t="str">
        <f t="array" ref="C528">IF(ISERROR(INDEX('Eingabe Meldungen'!$D$2:$D$492,LARGE(('Eingabe Meldungen'!$A$2:$A$492=$B$524)*(ROW('Eingabe Meldungen'!$A$2:$A$492)-1),COUNTIF('Eingabe Meldungen'!$A$2:$A$492,$B$524)+1-ROW('Eingabe Meldungen'!A3)))),"",INDEX('Eingabe Meldungen'!$D$2:$D$492,LARGE(('Eingabe Meldungen'!$A$2:$A$492=$B$524)*(ROW('Eingabe Meldungen'!$A$2:$A$492)-1),COUNTIF('Eingabe Meldungen'!$A$2:$A$492,$B$524)+1-ROW('Eingabe Meldungen'!A3))))</f>
        <v/>
      </c>
      <c r="D528" s="11" t="str">
        <f t="array" ref="D528">IF(B528&lt;&gt;"",INDEX('Eingabe Meldungen'!$C$2:$H$492,MATCH(B528&amp;C528,'Eingabe Meldungen'!$C$2:$C$492&amp;'Eingabe Meldungen'!$D$2:$D$492,0),6),"")</f>
        <v/>
      </c>
      <c r="E528" s="11" t="str">
        <f t="array" ref="E528">IF(B528&lt;&gt;"",INDEX('Eingabe Meldungen'!$C$2:$H$492,MATCH(B528&amp;C528,'Eingabe Meldungen'!$C$2:$C$492&amp;'Eingabe Meldungen'!$D$2:$D$492,0),4),"")</f>
        <v/>
      </c>
      <c r="F528" s="15">
        <v>3</v>
      </c>
      <c r="G528" s="75"/>
      <c r="H528" t="e">
        <f t="shared" si="26"/>
        <v>#N/A</v>
      </c>
      <c r="I528" s="21" t="str">
        <f t="array" ref="I528">IF(B528&lt;&gt;"",INDEX('Eingabe Meldungen'!$C$2:$J$492,MATCH(B528&amp;C528,'Eingabe Meldungen'!$C$2:$C$492&amp;'Eingabe Meldungen'!$D$2:$D$492,0),8),"")</f>
        <v/>
      </c>
    </row>
    <row r="529" spans="2:10" hidden="1" x14ac:dyDescent="0.2">
      <c r="B529" s="20" t="str">
        <f t="array" ref="B529">IF(ISERROR(INDEX('Eingabe Meldungen'!$C$2:$C$492,LARGE(('Eingabe Meldungen'!$A$2:$A$492=$B$524)*(ROW('Eingabe Meldungen'!$A$2:$A$492)-1),COUNTIF('Eingabe Meldungen'!$A$2:$A$492,$B$524)+1-ROW('Eingabe Meldungen'!A4)))),"",INDEX('Eingabe Meldungen'!$C$2:$C$492,LARGE(('Eingabe Meldungen'!$A$2:$A$492=$B$524)*(ROW('Eingabe Meldungen'!$A$2:$A$492)-1),COUNTIF('Eingabe Meldungen'!$A$2:$A$492,$B$524)+1-ROW('Eingabe Meldungen'!A4))))</f>
        <v/>
      </c>
      <c r="C529" t="str">
        <f t="array" ref="C529">IF(ISERROR(INDEX('Eingabe Meldungen'!$D$2:$D$492,LARGE(('Eingabe Meldungen'!$A$2:$A$492=$B$524)*(ROW('Eingabe Meldungen'!$A$2:$A$492)-1),COUNTIF('Eingabe Meldungen'!$A$2:$A$492,$B$524)+1-ROW('Eingabe Meldungen'!A4)))),"",INDEX('Eingabe Meldungen'!$D$2:$D$492,LARGE(('Eingabe Meldungen'!$A$2:$A$492=$B$524)*(ROW('Eingabe Meldungen'!$A$2:$A$492)-1),COUNTIF('Eingabe Meldungen'!$A$2:$A$492,$B$524)+1-ROW('Eingabe Meldungen'!A4))))</f>
        <v/>
      </c>
      <c r="D529" s="11" t="str">
        <f t="array" ref="D529">IF(B529&lt;&gt;"",INDEX('Eingabe Meldungen'!$C$2:$H$492,MATCH(B529&amp;C529,'Eingabe Meldungen'!$C$2:$C$492&amp;'Eingabe Meldungen'!$D$2:$D$492,0),6),"")</f>
        <v/>
      </c>
      <c r="E529" s="11" t="str">
        <f t="array" ref="E529">IF(B529&lt;&gt;"",INDEX('Eingabe Meldungen'!$C$2:$H$492,MATCH(B529&amp;C529,'Eingabe Meldungen'!$C$2:$C$492&amp;'Eingabe Meldungen'!$D$2:$D$492,0),4),"")</f>
        <v/>
      </c>
      <c r="F529" s="15">
        <v>4</v>
      </c>
      <c r="G529" s="75"/>
      <c r="H529" t="e">
        <f t="shared" si="26"/>
        <v>#N/A</v>
      </c>
      <c r="I529" s="21" t="str">
        <f t="array" ref="I529">IF(B529&lt;&gt;"",INDEX('Eingabe Meldungen'!$C$2:$J$492,MATCH(B529&amp;C529,'Eingabe Meldungen'!$C$2:$C$492&amp;'Eingabe Meldungen'!$D$2:$D$492,0),8),"")</f>
        <v/>
      </c>
    </row>
    <row r="530" spans="2:10" hidden="1" x14ac:dyDescent="0.2">
      <c r="B530" s="20" t="str">
        <f t="array" ref="B530">IF(ISERROR(INDEX('Eingabe Meldungen'!$C$2:$C$492,LARGE(('Eingabe Meldungen'!$A$2:$A$492=$B$524)*(ROW('Eingabe Meldungen'!$A$2:$A$492)-1),COUNTIF('Eingabe Meldungen'!$A$2:$A$492,$B$524)+1-ROW('Eingabe Meldungen'!A5)))),"",INDEX('Eingabe Meldungen'!$C$2:$C$492,LARGE(('Eingabe Meldungen'!$A$2:$A$492=$B$524)*(ROW('Eingabe Meldungen'!$A$2:$A$492)-1),COUNTIF('Eingabe Meldungen'!$A$2:$A$492,$B$524)+1-ROW('Eingabe Meldungen'!A5))))</f>
        <v/>
      </c>
      <c r="C530" t="str">
        <f t="array" ref="C530">IF(ISERROR(INDEX('Eingabe Meldungen'!$D$2:$D$492,LARGE(('Eingabe Meldungen'!$A$2:$A$492=$B$524)*(ROW('Eingabe Meldungen'!$A$2:$A$492)-1),COUNTIF('Eingabe Meldungen'!$A$2:$A$492,$B$524)+1-ROW('Eingabe Meldungen'!A5)))),"",INDEX('Eingabe Meldungen'!$D$2:$D$492,LARGE(('Eingabe Meldungen'!$A$2:$A$492=$B$524)*(ROW('Eingabe Meldungen'!$A$2:$A$492)-1),COUNTIF('Eingabe Meldungen'!$A$2:$A$492,$B$524)+1-ROW('Eingabe Meldungen'!A5))))</f>
        <v/>
      </c>
      <c r="D530" s="11" t="str">
        <f t="array" ref="D530">IF(B530&lt;&gt;"",INDEX('Eingabe Meldungen'!$C$2:$H$492,MATCH(B530&amp;C530,'Eingabe Meldungen'!$C$2:$C$492&amp;'Eingabe Meldungen'!$D$2:$D$492,0),6),"")</f>
        <v/>
      </c>
      <c r="E530" s="11" t="str">
        <f t="array" ref="E530">IF(B530&lt;&gt;"",INDEX('Eingabe Meldungen'!$C$2:$H$492,MATCH(B530&amp;C530,'Eingabe Meldungen'!$C$2:$C$492&amp;'Eingabe Meldungen'!$D$2:$D$492,0),4),"")</f>
        <v/>
      </c>
      <c r="F530" s="15">
        <v>5</v>
      </c>
      <c r="G530" s="75"/>
      <c r="H530" t="e">
        <f t="shared" si="26"/>
        <v>#N/A</v>
      </c>
      <c r="I530" s="21" t="str">
        <f t="array" ref="I530">IF(B530&lt;&gt;"",INDEX('Eingabe Meldungen'!$C$2:$J$492,MATCH(B530&amp;C530,'Eingabe Meldungen'!$C$2:$C$492&amp;'Eingabe Meldungen'!$D$2:$D$492,0),8),"")</f>
        <v/>
      </c>
    </row>
    <row r="531" spans="2:10" hidden="1" x14ac:dyDescent="0.2">
      <c r="B531" s="20" t="str">
        <f t="array" ref="B531">IF(ISERROR(INDEX('Eingabe Meldungen'!$C$2:$C$492,LARGE(('Eingabe Meldungen'!$A$2:$A$492=$B$524)*(ROW('Eingabe Meldungen'!$A$2:$A$492)-1),COUNTIF('Eingabe Meldungen'!$A$2:$A$492,$B$524)+1-ROW('Eingabe Meldungen'!A6)))),"",INDEX('Eingabe Meldungen'!$C$2:$C$492,LARGE(('Eingabe Meldungen'!$A$2:$A$492=$B$524)*(ROW('Eingabe Meldungen'!$A$2:$A$492)-1),COUNTIF('Eingabe Meldungen'!$A$2:$A$492,$B$524)+1-ROW('Eingabe Meldungen'!A6))))</f>
        <v/>
      </c>
      <c r="C531" t="str">
        <f t="array" ref="C531">IF(ISERROR(INDEX('Eingabe Meldungen'!$D$2:$D$492,LARGE(('Eingabe Meldungen'!$A$2:$A$492=$B$524)*(ROW('Eingabe Meldungen'!$A$2:$A$492)-1),COUNTIF('Eingabe Meldungen'!$A$2:$A$492,$B$524)+1-ROW('Eingabe Meldungen'!A6)))),"",INDEX('Eingabe Meldungen'!$D$2:$D$492,LARGE(('Eingabe Meldungen'!$A$2:$A$492=$B$524)*(ROW('Eingabe Meldungen'!$A$2:$A$492)-1),COUNTIF('Eingabe Meldungen'!$A$2:$A$492,$B$524)+1-ROW('Eingabe Meldungen'!A6))))</f>
        <v/>
      </c>
      <c r="D531" s="11" t="str">
        <f t="array" ref="D531">IF(B531&lt;&gt;"",INDEX('Eingabe Meldungen'!$C$2:$H$492,MATCH(B531&amp;C531,'Eingabe Meldungen'!$C$2:$C$492&amp;'Eingabe Meldungen'!$D$2:$D$492,0),6),"")</f>
        <v/>
      </c>
      <c r="E531" s="11" t="str">
        <f t="array" ref="E531">IF(B531&lt;&gt;"",INDEX('Eingabe Meldungen'!$C$2:$H$492,MATCH(B531&amp;C531,'Eingabe Meldungen'!$C$2:$C$492&amp;'Eingabe Meldungen'!$D$2:$D$492,0),4),"")</f>
        <v/>
      </c>
      <c r="F531" s="15">
        <v>6</v>
      </c>
      <c r="G531" s="75"/>
      <c r="H531" t="e">
        <f t="shared" si="26"/>
        <v>#N/A</v>
      </c>
      <c r="I531" s="21" t="str">
        <f t="array" ref="I531">IF(B531&lt;&gt;"",INDEX('Eingabe Meldungen'!$C$2:$J$492,MATCH(B531&amp;C531,'Eingabe Meldungen'!$C$2:$C$492&amp;'Eingabe Meldungen'!$D$2:$D$492,0),8),"")</f>
        <v/>
      </c>
    </row>
    <row r="532" spans="2:10" hidden="1" x14ac:dyDescent="0.2">
      <c r="B532" s="20" t="str">
        <f t="array" ref="B532">IF(ISERROR(INDEX('Eingabe Meldungen'!$C$2:$C$492,LARGE(('Eingabe Meldungen'!$A$2:$A$492=$B$524)*(ROW('Eingabe Meldungen'!$A$2:$A$492)-1),COUNTIF('Eingabe Meldungen'!$A$2:$A$492,$B$524)+1-ROW('Eingabe Meldungen'!A8)))),"",INDEX('Eingabe Meldungen'!$C$2:$C$492,LARGE(('Eingabe Meldungen'!$A$2:$A$492=$B$524)*(ROW('Eingabe Meldungen'!$A$2:$A$492)-1),COUNTIF('Eingabe Meldungen'!$A$2:$A$492,$B$524)+1-ROW('Eingabe Meldungen'!A8))))</f>
        <v/>
      </c>
      <c r="C532" t="str">
        <f t="array" ref="C532">IF(ISERROR(INDEX('Eingabe Meldungen'!$D$2:$D$492,LARGE(('Eingabe Meldungen'!$A$2:$A$492=$B$524)*(ROW('Eingabe Meldungen'!$A$2:$A$492)-1),COUNTIF('Eingabe Meldungen'!$A$2:$A$492,$B$524)+1-ROW('Eingabe Meldungen'!A8)))),"",INDEX('Eingabe Meldungen'!$D$2:$D$492,LARGE(('Eingabe Meldungen'!$A$2:$A$492=$B$524)*(ROW('Eingabe Meldungen'!$A$2:$A$492)-1),COUNTIF('Eingabe Meldungen'!$A$2:$A$492,$B$524)+1-ROW('Eingabe Meldungen'!A8))))</f>
        <v/>
      </c>
      <c r="D532" s="11" t="str">
        <f t="array" ref="D532">IF(B532&lt;&gt;"",INDEX('Eingabe Meldungen'!$C$2:$H$492,MATCH(B532&amp;C532,'Eingabe Meldungen'!$C$2:$C$492&amp;'Eingabe Meldungen'!$D$2:$D$492,0),6),"")</f>
        <v/>
      </c>
      <c r="E532" s="11" t="str">
        <f t="array" ref="E532">IF(B532&lt;&gt;"",INDEX('Eingabe Meldungen'!$C$2:$H$492,MATCH(B532&amp;C532,'Eingabe Meldungen'!$C$2:$C$492&amp;'Eingabe Meldungen'!$D$2:$D$492,0),4),"")</f>
        <v/>
      </c>
      <c r="F532" s="15">
        <v>7</v>
      </c>
      <c r="G532" s="75"/>
      <c r="H532" t="e">
        <f t="shared" si="26"/>
        <v>#N/A</v>
      </c>
      <c r="I532" s="21" t="str">
        <f t="array" ref="I532">IF(B532&lt;&gt;"",INDEX('Eingabe Meldungen'!$C$2:$J$492,MATCH(B532&amp;C532,'Eingabe Meldungen'!$C$2:$C$492&amp;'Eingabe Meldungen'!$D$2:$D$492,0),8),"")</f>
        <v/>
      </c>
    </row>
    <row r="533" spans="2:10" hidden="1" x14ac:dyDescent="0.2">
      <c r="B533" s="20" t="str">
        <f t="array" ref="B533">IF(ISERROR(INDEX('Eingabe Meldungen'!$C$2:$C$492,LARGE(('Eingabe Meldungen'!$A$2:$A$492=$B$524)*(ROW('Eingabe Meldungen'!$A$2:$A$492)-1),COUNTIF('Eingabe Meldungen'!$A$2:$A$492,$B$524)+1-ROW('Eingabe Meldungen'!A9)))),"",INDEX('Eingabe Meldungen'!$C$2:$C$492,LARGE(('Eingabe Meldungen'!$A$2:$A$492=$B$524)*(ROW('Eingabe Meldungen'!$A$2:$A$492)-1),COUNTIF('Eingabe Meldungen'!$A$2:$A$492,$B$524)+1-ROW('Eingabe Meldungen'!A9))))</f>
        <v/>
      </c>
      <c r="C533" t="str">
        <f t="array" ref="C533">IF(ISERROR(INDEX('Eingabe Meldungen'!$D$2:$D$492,LARGE(('Eingabe Meldungen'!$A$2:$A$492=$B$524)*(ROW('Eingabe Meldungen'!$A$2:$A$492)-1),COUNTIF('Eingabe Meldungen'!$A$2:$A$492,$B$524)+1-ROW('Eingabe Meldungen'!A9)))),"",INDEX('Eingabe Meldungen'!$D$2:$D$492,LARGE(('Eingabe Meldungen'!$A$2:$A$492=$B$524)*(ROW('Eingabe Meldungen'!$A$2:$A$492)-1),COUNTIF('Eingabe Meldungen'!$A$2:$A$492,$B$524)+1-ROW('Eingabe Meldungen'!A9))))</f>
        <v/>
      </c>
      <c r="D533" s="11" t="str">
        <f t="array" ref="D533">IF(B533&lt;&gt;"",INDEX('Eingabe Meldungen'!$C$2:$H$492,MATCH(B533&amp;C533,'Eingabe Meldungen'!$C$2:$C$492&amp;'Eingabe Meldungen'!$D$2:$D$492,0),6),"")</f>
        <v/>
      </c>
      <c r="E533" s="11" t="str">
        <f t="array" ref="E533">IF(B533&lt;&gt;"",INDEX('Eingabe Meldungen'!$C$2:$H$492,MATCH(B533&amp;C533,'Eingabe Meldungen'!$C$2:$C$492&amp;'Eingabe Meldungen'!$D$2:$D$492,0),4),"")</f>
        <v/>
      </c>
      <c r="F533" s="15">
        <v>8</v>
      </c>
      <c r="G533" s="75"/>
      <c r="H533" t="e">
        <f t="shared" si="26"/>
        <v>#N/A</v>
      </c>
      <c r="I533" s="21" t="str">
        <f t="array" ref="I533">IF(B533&lt;&gt;"",INDEX('Eingabe Meldungen'!$C$2:$J$492,MATCH(B533&amp;C533,'Eingabe Meldungen'!$C$2:$C$492&amp;'Eingabe Meldungen'!$D$2:$D$492,0),8),"")</f>
        <v/>
      </c>
    </row>
    <row r="534" spans="2:10" hidden="1" x14ac:dyDescent="0.2">
      <c r="B534" s="20" t="str">
        <f t="array" ref="B534">IF(ISERROR(INDEX('Eingabe Meldungen'!$C$2:$C$492,LARGE(('Eingabe Meldungen'!$A$2:$A$492=$B$524)*(ROW('Eingabe Meldungen'!$A$2:$A$492)-1),COUNTIF('Eingabe Meldungen'!$A$2:$A$492,$B$524)+1-ROW('Eingabe Meldungen'!A10)))),"",INDEX('Eingabe Meldungen'!$C$2:$C$492,LARGE(('Eingabe Meldungen'!$A$2:$A$492=$B$524)*(ROW('Eingabe Meldungen'!$A$2:$A$492)-1),COUNTIF('Eingabe Meldungen'!$A$2:$A$492,$B$524)+1-ROW('Eingabe Meldungen'!A10))))</f>
        <v/>
      </c>
      <c r="C534" t="str">
        <f t="array" ref="C534">IF(ISERROR(INDEX('Eingabe Meldungen'!$D$2:$D$492,LARGE(('Eingabe Meldungen'!$A$2:$A$492=$B$524)*(ROW('Eingabe Meldungen'!$A$2:$A$492)-1),COUNTIF('Eingabe Meldungen'!$A$2:$A$492,$B$524)+1-ROW('Eingabe Meldungen'!A10)))),"",INDEX('Eingabe Meldungen'!$D$2:$D$492,LARGE(('Eingabe Meldungen'!$A$2:$A$492=$B$524)*(ROW('Eingabe Meldungen'!$A$2:$A$492)-1),COUNTIF('Eingabe Meldungen'!$A$2:$A$492,$B$524)+1-ROW('Eingabe Meldungen'!A10))))</f>
        <v/>
      </c>
      <c r="D534" s="11" t="str">
        <f t="array" ref="D534">IF(B534&lt;&gt;"",INDEX('Eingabe Meldungen'!$C$2:$H$492,MATCH(B534&amp;C534,'Eingabe Meldungen'!$C$2:$C$492&amp;'Eingabe Meldungen'!$D$2:$D$492,0),6),"")</f>
        <v/>
      </c>
      <c r="E534" s="11" t="str">
        <f t="array" ref="E534">IF(B534&lt;&gt;"",INDEX('Eingabe Meldungen'!$C$2:$H$492,MATCH(B534&amp;C534,'Eingabe Meldungen'!$C$2:$C$492&amp;'Eingabe Meldungen'!$D$2:$D$492,0),4),"")</f>
        <v/>
      </c>
      <c r="F534" s="15">
        <v>9</v>
      </c>
      <c r="G534" s="75"/>
      <c r="H534" t="e">
        <f t="shared" si="26"/>
        <v>#N/A</v>
      </c>
      <c r="I534" s="21" t="str">
        <f t="array" ref="I534">IF(B534&lt;&gt;"",INDEX('Eingabe Meldungen'!$C$2:$J$492,MATCH(B534&amp;C534,'Eingabe Meldungen'!$C$2:$C$492&amp;'Eingabe Meldungen'!$D$2:$D$492,0),8),"")</f>
        <v/>
      </c>
    </row>
    <row r="535" spans="2:10" hidden="1" x14ac:dyDescent="0.2">
      <c r="B535" s="20" t="str">
        <f t="array" ref="B535">IF(ISERROR(INDEX('Eingabe Meldungen'!$C$2:$C$492,LARGE(('Eingabe Meldungen'!$A$2:$A$492=$B$524)*(ROW('Eingabe Meldungen'!$A$2:$A$492)-1),COUNTIF('Eingabe Meldungen'!$A$2:$A$492,$B$524)+1-ROW('Eingabe Meldungen'!A11)))),"",INDEX('Eingabe Meldungen'!$C$2:$C$492,LARGE(('Eingabe Meldungen'!$A$2:$A$492=$B$524)*(ROW('Eingabe Meldungen'!$A$2:$A$492)-1),COUNTIF('Eingabe Meldungen'!$A$2:$A$492,$B$524)+1-ROW('Eingabe Meldungen'!A11))))</f>
        <v/>
      </c>
      <c r="C535" t="str">
        <f t="array" ref="C535">IF(ISERROR(INDEX('Eingabe Meldungen'!$D$2:$D$492,LARGE(('Eingabe Meldungen'!$A$2:$A$492=$B$524)*(ROW('Eingabe Meldungen'!$A$2:$A$492)-1),COUNTIF('Eingabe Meldungen'!$A$2:$A$492,$B$524)+1-ROW('Eingabe Meldungen'!A11)))),"",INDEX('Eingabe Meldungen'!$D$2:$D$492,LARGE(('Eingabe Meldungen'!$A$2:$A$492=$B$524)*(ROW('Eingabe Meldungen'!$A$2:$A$492)-1),COUNTIF('Eingabe Meldungen'!$A$2:$A$492,$B$524)+1-ROW('Eingabe Meldungen'!A11))))</f>
        <v/>
      </c>
      <c r="D535" s="11" t="str">
        <f t="array" ref="D535">IF(B535&lt;&gt;"",INDEX('Eingabe Meldungen'!$C$2:$H$492,MATCH(B535&amp;C535,'Eingabe Meldungen'!$C$2:$C$492&amp;'Eingabe Meldungen'!$D$2:$D$492,0),6),"")</f>
        <v/>
      </c>
      <c r="E535" s="11" t="str">
        <f t="array" ref="E535">IF(B535&lt;&gt;"",INDEX('Eingabe Meldungen'!$C$2:$H$492,MATCH(B535&amp;C535,'Eingabe Meldungen'!$C$2:$C$492&amp;'Eingabe Meldungen'!$D$2:$D$492,0),4),"")</f>
        <v/>
      </c>
      <c r="F535" s="15">
        <v>10</v>
      </c>
      <c r="G535" s="75"/>
      <c r="H535" t="e">
        <f t="shared" si="26"/>
        <v>#N/A</v>
      </c>
      <c r="I535" s="21" t="str">
        <f t="array" ref="I535">IF(B535&lt;&gt;"",INDEX('Eingabe Meldungen'!$C$2:$J$492,MATCH(B535&amp;C535,'Eingabe Meldungen'!$C$2:$C$492&amp;'Eingabe Meldungen'!$D$2:$D$492,0),8),"")</f>
        <v/>
      </c>
    </row>
    <row r="536" spans="2:10" hidden="1" x14ac:dyDescent="0.2">
      <c r="B536" s="20" t="str">
        <f t="array" ref="B536">IF(ISERROR(INDEX('Eingabe Meldungen'!$C$2:$C$492,LARGE(('Eingabe Meldungen'!$A$2:$A$492=$B$524)*(ROW('Eingabe Meldungen'!$A$2:$A$492)-1),COUNTIF('Eingabe Meldungen'!$A$2:$A$492,$B$524)+1-ROW('Eingabe Meldungen'!A12)))),"",INDEX('Eingabe Meldungen'!$C$2:$C$492,LARGE(('Eingabe Meldungen'!$A$2:$A$492=$B$524)*(ROW('Eingabe Meldungen'!$A$2:$A$492)-1),COUNTIF('Eingabe Meldungen'!$A$2:$A$492,$B$524)+1-ROW('Eingabe Meldungen'!A12))))</f>
        <v/>
      </c>
      <c r="C536" t="str">
        <f t="array" ref="C536">IF(ISERROR(INDEX('Eingabe Meldungen'!$D$2:$D$492,LARGE(('Eingabe Meldungen'!$A$2:$A$492=$B$524)*(ROW('Eingabe Meldungen'!$A$2:$A$492)-1),COUNTIF('Eingabe Meldungen'!$A$2:$A$492,$B$524)+1-ROW('Eingabe Meldungen'!A12)))),"",INDEX('Eingabe Meldungen'!$D$2:$D$492,LARGE(('Eingabe Meldungen'!$A$2:$A$492=$B$524)*(ROW('Eingabe Meldungen'!$A$2:$A$492)-1),COUNTIF('Eingabe Meldungen'!$A$2:$A$492,$B$524)+1-ROW('Eingabe Meldungen'!A12))))</f>
        <v/>
      </c>
      <c r="D536" s="11" t="str">
        <f t="array" ref="D536">IF(B536&lt;&gt;"",INDEX('Eingabe Meldungen'!$C$2:$H$492,MATCH(B536&amp;C536,'Eingabe Meldungen'!$C$2:$C$492&amp;'Eingabe Meldungen'!$D$2:$D$492,0),6),"")</f>
        <v/>
      </c>
      <c r="E536" s="11" t="str">
        <f t="array" ref="E536">IF(B536&lt;&gt;"",INDEX('Eingabe Meldungen'!$C$2:$H$492,MATCH(B536&amp;C536,'Eingabe Meldungen'!$C$2:$C$492&amp;'Eingabe Meldungen'!$D$2:$D$492,0),4),"")</f>
        <v/>
      </c>
      <c r="F536" s="15">
        <v>11</v>
      </c>
      <c r="G536" s="75"/>
      <c r="H536" t="e">
        <f t="shared" si="26"/>
        <v>#N/A</v>
      </c>
      <c r="I536" s="21" t="str">
        <f t="array" ref="I536">IF(B536&lt;&gt;"",INDEX('Eingabe Meldungen'!$C$2:$J$492,MATCH(B536&amp;C536,'Eingabe Meldungen'!$C$2:$C$492&amp;'Eingabe Meldungen'!$D$2:$D$492,0),8),"")</f>
        <v/>
      </c>
    </row>
    <row r="537" spans="2:10" hidden="1" x14ac:dyDescent="0.2">
      <c r="B537" s="20" t="str">
        <f t="array" ref="B537">IF(ISERROR(INDEX('Eingabe Meldungen'!$C$2:$C$492,LARGE(('Eingabe Meldungen'!$A$2:$A$492=$B$524)*(ROW('Eingabe Meldungen'!$A$2:$A$492)-1),COUNTIF('Eingabe Meldungen'!$A$2:$A$492,$B$524)+1-ROW('Eingabe Meldungen'!A13)))),"",INDEX('Eingabe Meldungen'!$C$2:$C$492,LARGE(('Eingabe Meldungen'!$A$2:$A$492=$B$524)*(ROW('Eingabe Meldungen'!$A$2:$A$492)-1),COUNTIF('Eingabe Meldungen'!$A$2:$A$492,$B$524)+1-ROW('Eingabe Meldungen'!A13))))</f>
        <v/>
      </c>
      <c r="C537" t="str">
        <f t="array" ref="C537">IF(ISERROR(INDEX('Eingabe Meldungen'!$D$2:$D$492,LARGE(('Eingabe Meldungen'!$A$2:$A$492=$B$524)*(ROW('Eingabe Meldungen'!$A$2:$A$492)-1),COUNTIF('Eingabe Meldungen'!$A$2:$A$492,$B$524)+1-ROW('Eingabe Meldungen'!A13)))),"",INDEX('Eingabe Meldungen'!$D$2:$D$492,LARGE(('Eingabe Meldungen'!$A$2:$A$492=$B$524)*(ROW('Eingabe Meldungen'!$A$2:$A$492)-1),COUNTIF('Eingabe Meldungen'!$A$2:$A$492,$B$524)+1-ROW('Eingabe Meldungen'!A13))))</f>
        <v/>
      </c>
      <c r="D537" s="11" t="str">
        <f t="array" ref="D537">IF(B537&lt;&gt;"",INDEX('Eingabe Meldungen'!$C$2:$H$492,MATCH(B537&amp;C537,'Eingabe Meldungen'!$C$2:$C$492&amp;'Eingabe Meldungen'!$D$2:$D$492,0),6),"")</f>
        <v/>
      </c>
      <c r="E537" s="11" t="str">
        <f t="array" ref="E537">IF(B537&lt;&gt;"",INDEX('Eingabe Meldungen'!$C$2:$H$492,MATCH(B537&amp;C537,'Eingabe Meldungen'!$C$2:$C$492&amp;'Eingabe Meldungen'!$D$2:$D$492,0),4),"")</f>
        <v/>
      </c>
      <c r="F537" s="15">
        <v>12</v>
      </c>
      <c r="G537" s="75"/>
      <c r="H537" t="e">
        <f t="shared" si="26"/>
        <v>#N/A</v>
      </c>
      <c r="I537" s="21" t="str">
        <f t="array" ref="I537">IF(B537&lt;&gt;"",INDEX('Eingabe Meldungen'!$C$2:$J$492,MATCH(B537&amp;C537,'Eingabe Meldungen'!$C$2:$C$492&amp;'Eingabe Meldungen'!$D$2:$D$492,0),8),"")</f>
        <v/>
      </c>
    </row>
    <row r="538" spans="2:10" hidden="1" x14ac:dyDescent="0.2">
      <c r="B538" s="20" t="str">
        <f t="array" ref="B538">IF(ISERROR(INDEX('Eingabe Meldungen'!$C$2:$C$492,LARGE(('Eingabe Meldungen'!$A$2:$A$492=$B$524)*(ROW('Eingabe Meldungen'!$A$2:$A$492)-1),COUNTIF('Eingabe Meldungen'!$A$2:$A$492,$B$524)+1-ROW('Eingabe Meldungen'!A14)))),"",INDEX('Eingabe Meldungen'!$C$2:$C$492,LARGE(('Eingabe Meldungen'!$A$2:$A$492=$B$524)*(ROW('Eingabe Meldungen'!$A$2:$A$492)-1),COUNTIF('Eingabe Meldungen'!$A$2:$A$492,$B$524)+1-ROW('Eingabe Meldungen'!A14))))</f>
        <v/>
      </c>
      <c r="C538" t="str">
        <f t="array" ref="C538">IF(ISERROR(INDEX('Eingabe Meldungen'!$D$2:$D$492,LARGE(('Eingabe Meldungen'!$A$2:$A$492=$B$524)*(ROW('Eingabe Meldungen'!$A$2:$A$492)-1),COUNTIF('Eingabe Meldungen'!$A$2:$A$492,$B$524)+1-ROW('Eingabe Meldungen'!A14)))),"",INDEX('Eingabe Meldungen'!$D$2:$D$492,LARGE(('Eingabe Meldungen'!$A$2:$A$492=$B$524)*(ROW('Eingabe Meldungen'!$A$2:$A$492)-1),COUNTIF('Eingabe Meldungen'!$A$2:$A$492,$B$524)+1-ROW('Eingabe Meldungen'!A14))))</f>
        <v/>
      </c>
      <c r="D538" s="11" t="str">
        <f t="array" ref="D538">IF(B538&lt;&gt;"",INDEX('Eingabe Meldungen'!$C$2:$H$492,MATCH(B538&amp;C538,'Eingabe Meldungen'!$C$2:$C$492&amp;'Eingabe Meldungen'!$D$2:$D$492,0),6),"")</f>
        <v/>
      </c>
      <c r="E538" s="11" t="str">
        <f t="array" ref="E538">IF(B538&lt;&gt;"",INDEX('Eingabe Meldungen'!$C$2:$H$492,MATCH(B538&amp;C538,'Eingabe Meldungen'!$C$2:$C$492&amp;'Eingabe Meldungen'!$D$2:$D$492,0),4),"")</f>
        <v/>
      </c>
      <c r="F538" s="15">
        <v>13</v>
      </c>
      <c r="G538" s="75"/>
      <c r="H538" t="e">
        <f t="shared" si="26"/>
        <v>#N/A</v>
      </c>
      <c r="I538" s="21" t="str">
        <f t="array" ref="I538">IF(B538&lt;&gt;"",INDEX('Eingabe Meldungen'!$C$2:$J$492,MATCH(B538&amp;C538,'Eingabe Meldungen'!$C$2:$C$492&amp;'Eingabe Meldungen'!$D$2:$D$492,0),8),"")</f>
        <v/>
      </c>
    </row>
    <row r="539" spans="2:10" hidden="1" x14ac:dyDescent="0.2">
      <c r="B539" s="20" t="str">
        <f t="array" ref="B539">IF(ISERROR(INDEX('Eingabe Meldungen'!$C$2:$C$492,LARGE(('Eingabe Meldungen'!$A$2:$A$492=$B$524)*(ROW('Eingabe Meldungen'!$A$2:$A$492)-1),COUNTIF('Eingabe Meldungen'!$A$2:$A$492,$B$524)+1-ROW('Eingabe Meldungen'!A15)))),"",INDEX('Eingabe Meldungen'!$C$2:$C$492,LARGE(('Eingabe Meldungen'!$A$2:$A$492=$B$524)*(ROW('Eingabe Meldungen'!$A$2:$A$492)-1),COUNTIF('Eingabe Meldungen'!$A$2:$A$492,$B$524)+1-ROW('Eingabe Meldungen'!A15))))</f>
        <v/>
      </c>
      <c r="C539" t="str">
        <f t="array" ref="C539">IF(ISERROR(INDEX('Eingabe Meldungen'!$D$2:$D$492,LARGE(('Eingabe Meldungen'!$A$2:$A$492=$B$524)*(ROW('Eingabe Meldungen'!$A$2:$A$492)-1),COUNTIF('Eingabe Meldungen'!$A$2:$A$492,$B$524)+1-ROW('Eingabe Meldungen'!A15)))),"",INDEX('Eingabe Meldungen'!$D$2:$D$492,LARGE(('Eingabe Meldungen'!$A$2:$A$492=$B$524)*(ROW('Eingabe Meldungen'!$A$2:$A$492)-1),COUNTIF('Eingabe Meldungen'!$A$2:$A$492,$B$524)+1-ROW('Eingabe Meldungen'!A15))))</f>
        <v/>
      </c>
      <c r="D539" s="11" t="str">
        <f t="array" ref="D539">IF(B539&lt;&gt;"",INDEX('Eingabe Meldungen'!$C$2:$H$492,MATCH(B539&amp;C539,'Eingabe Meldungen'!$C$2:$C$492&amp;'Eingabe Meldungen'!$D$2:$D$492,0),6),"")</f>
        <v/>
      </c>
      <c r="E539" s="11" t="str">
        <f t="array" ref="E539">IF(B539&lt;&gt;"",INDEX('Eingabe Meldungen'!$C$2:$H$492,MATCH(B539&amp;C539,'Eingabe Meldungen'!$C$2:$C$492&amp;'Eingabe Meldungen'!$D$2:$D$492,0),4),"")</f>
        <v/>
      </c>
      <c r="F539" s="15">
        <v>14</v>
      </c>
      <c r="G539" s="75"/>
      <c r="H539" t="e">
        <f t="shared" si="26"/>
        <v>#N/A</v>
      </c>
      <c r="I539" s="21" t="str">
        <f t="array" ref="I539">IF(B539&lt;&gt;"",INDEX('Eingabe Meldungen'!$C$2:$J$492,MATCH(B539&amp;C539,'Eingabe Meldungen'!$C$2:$C$492&amp;'Eingabe Meldungen'!$D$2:$D$492,0),8),"")</f>
        <v/>
      </c>
    </row>
    <row r="540" spans="2:10" hidden="1" x14ac:dyDescent="0.2">
      <c r="B540" s="20" t="str">
        <f t="array" ref="B540">IF(ISERROR(INDEX('Eingabe Meldungen'!$C$2:$C$492,LARGE(('Eingabe Meldungen'!$A$2:$A$492=$B$524)*(ROW('Eingabe Meldungen'!$A$2:$A$492)-1),COUNTIF('Eingabe Meldungen'!$A$2:$A$492,$B$524)+1-ROW('Eingabe Meldungen'!A16)))),"",INDEX('Eingabe Meldungen'!$C$2:$C$492,LARGE(('Eingabe Meldungen'!$A$2:$A$492=$B$524)*(ROW('Eingabe Meldungen'!$A$2:$A$492)-1),COUNTIF('Eingabe Meldungen'!$A$2:$A$492,$B$524)+1-ROW('Eingabe Meldungen'!A16))))</f>
        <v/>
      </c>
      <c r="C540" t="str">
        <f t="array" ref="C540">IF(ISERROR(INDEX('Eingabe Meldungen'!$D$2:$D$492,LARGE(('Eingabe Meldungen'!$A$2:$A$492=$B$524)*(ROW('Eingabe Meldungen'!$A$2:$A$492)-1),COUNTIF('Eingabe Meldungen'!$A$2:$A$492,$B$524)+1-ROW('Eingabe Meldungen'!A16)))),"",INDEX('Eingabe Meldungen'!$D$2:$D$492,LARGE(('Eingabe Meldungen'!$A$2:$A$492=$B$524)*(ROW('Eingabe Meldungen'!$A$2:$A$492)-1),COUNTIF('Eingabe Meldungen'!$A$2:$A$492,$B$524)+1-ROW('Eingabe Meldungen'!A16))))</f>
        <v/>
      </c>
      <c r="D540" s="11" t="str">
        <f t="array" ref="D540">IF(B540&lt;&gt;"",INDEX('Eingabe Meldungen'!$C$2:$H$492,MATCH(B540&amp;C540,'Eingabe Meldungen'!$C$2:$C$492&amp;'Eingabe Meldungen'!$D$2:$D$492,0),6),"")</f>
        <v/>
      </c>
      <c r="E540" s="11" t="str">
        <f t="array" ref="E540">IF(B540&lt;&gt;"",INDEX('Eingabe Meldungen'!$C$2:$H$492,MATCH(B540&amp;C540,'Eingabe Meldungen'!$C$2:$C$492&amp;'Eingabe Meldungen'!$D$2:$D$492,0),4),"")</f>
        <v/>
      </c>
      <c r="F540" s="15">
        <v>15</v>
      </c>
      <c r="G540" s="75"/>
      <c r="H540" t="e">
        <f t="shared" si="26"/>
        <v>#N/A</v>
      </c>
      <c r="I540" s="21" t="str">
        <f t="array" ref="I540">IF(B540&lt;&gt;"",INDEX('Eingabe Meldungen'!$C$2:$J$492,MATCH(B540&amp;C540,'Eingabe Meldungen'!$C$2:$C$492&amp;'Eingabe Meldungen'!$D$2:$D$492,0),8),"")</f>
        <v/>
      </c>
    </row>
    <row r="541" spans="2:10" ht="13.2" hidden="1" thickBot="1" x14ac:dyDescent="0.25">
      <c r="B541" s="22" t="str">
        <f t="array" ref="B541">IF(ISERROR(INDEX('Eingabe Meldungen'!$C$2:$C$492,LARGE(('Eingabe Meldungen'!$A$2:$A$492=$B$524)*(ROW('Eingabe Meldungen'!$A$2:$A$492)-1),COUNTIF('Eingabe Meldungen'!$A$2:$A$492,$B$524)+1-ROW('Eingabe Meldungen'!A17)))),"",INDEX('Eingabe Meldungen'!$C$2:$C$492,LARGE(('Eingabe Meldungen'!$A$2:$A$492=$B$524)*(ROW('Eingabe Meldungen'!$A$2:$A$492)-1),COUNTIF('Eingabe Meldungen'!$A$2:$A$492,$B$524)+1-ROW('Eingabe Meldungen'!A17))))</f>
        <v/>
      </c>
      <c r="C541" s="14" t="str">
        <f t="array" ref="C541">IF(ISERROR(INDEX('Eingabe Meldungen'!$D$2:$D$492,LARGE(('Eingabe Meldungen'!$A$2:$A$492=$B$524)*(ROW('Eingabe Meldungen'!$A$2:$A$492)-1),COUNTIF('Eingabe Meldungen'!$A$2:$A$492,$B$524)+1-ROW('Eingabe Meldungen'!A17)))),"",INDEX('Eingabe Meldungen'!$D$2:$D$492,LARGE(('Eingabe Meldungen'!$A$2:$A$492=$B$524)*(ROW('Eingabe Meldungen'!$A$2:$A$492)-1),COUNTIF('Eingabe Meldungen'!$A$2:$A$492,$B$524)+1-ROW('Eingabe Meldungen'!A17))))</f>
        <v/>
      </c>
      <c r="D541" s="12" t="str">
        <f t="array" ref="D541">IF(B541&lt;&gt;"",INDEX('Eingabe Meldungen'!$C$2:$H$492,MATCH(B541&amp;C541,'Eingabe Meldungen'!$C$2:$C$492&amp;'Eingabe Meldungen'!$D$2:$D$492,0),6),"")</f>
        <v/>
      </c>
      <c r="E541" s="12" t="str">
        <f t="array" ref="E541">IF(B541&lt;&gt;"",INDEX('Eingabe Meldungen'!$C$2:$H$492,MATCH(B541&amp;C541,'Eingabe Meldungen'!$C$2:$C$492&amp;'Eingabe Meldungen'!$D$2:$D$492,0),4),"")</f>
        <v/>
      </c>
      <c r="F541" s="84">
        <v>16</v>
      </c>
      <c r="G541" s="76"/>
      <c r="H541" s="14" t="e">
        <f t="shared" si="26"/>
        <v>#N/A</v>
      </c>
      <c r="I541" s="23" t="str">
        <f t="array" ref="I541">IF(B541&lt;&gt;"",INDEX('Eingabe Meldungen'!$C$2:$J$492,MATCH(B541&amp;C541,'Eingabe Meldungen'!$C$2:$C$492&amp;'Eingabe Meldungen'!$D$2:$D$492,0),8),"")</f>
        <v/>
      </c>
      <c r="J541" s="14"/>
    </row>
    <row r="542" spans="2:10" hidden="1" x14ac:dyDescent="0.2"/>
    <row r="543" spans="2:10" ht="27.75" hidden="1" customHeight="1" x14ac:dyDescent="0.2">
      <c r="B543" s="26" t="e">
        <f>B524+1</f>
        <v>#REF!</v>
      </c>
      <c r="C543" s="65" t="e">
        <f>VLOOKUP(B543,Ausschreibung!$B$5:$I$35,2,FALSE)</f>
        <v>#REF!</v>
      </c>
      <c r="D543" s="27" t="e">
        <f>VLOOKUP(B543,Ausschreibung!$B$5:$I$35,3,FALSE)</f>
        <v>#REF!</v>
      </c>
      <c r="E543" s="68" t="e">
        <f>VLOOKUP(B543,Ausschreibung!$B$5:$I$35,4,FALSE)</f>
        <v>#REF!</v>
      </c>
      <c r="F543" s="68" t="e">
        <f>VLOOKUP(B543,Ausschreibung!$B$5:$I$35,5,FALSE)</f>
        <v>#REF!</v>
      </c>
      <c r="G543" s="65" t="e">
        <f>VLOOKUP(B543,Ausschreibung!$B$5:$I$35,6,FALSE)</f>
        <v>#REF!</v>
      </c>
      <c r="H543" s="65" t="e">
        <f>VLOOKUP(B543,Ausschreibung!$B$5:$I$35,8,FALSE)</f>
        <v>#REF!</v>
      </c>
      <c r="I543" s="28" t="s">
        <v>30</v>
      </c>
      <c r="J543" s="65"/>
    </row>
    <row r="544" spans="2:10" hidden="1" x14ac:dyDescent="0.2">
      <c r="B544" s="19" t="s">
        <v>1</v>
      </c>
      <c r="C544" s="18" t="s">
        <v>2</v>
      </c>
      <c r="D544" s="17" t="s">
        <v>49</v>
      </c>
      <c r="E544" s="25" t="s">
        <v>16</v>
      </c>
      <c r="F544" s="17" t="s">
        <v>18</v>
      </c>
      <c r="G544" s="73" t="s">
        <v>50</v>
      </c>
      <c r="H544" s="17" t="s">
        <v>51</v>
      </c>
      <c r="I544" s="30" t="s">
        <v>17</v>
      </c>
      <c r="J544" s="17"/>
    </row>
    <row r="545" spans="2:10" hidden="1" x14ac:dyDescent="0.2">
      <c r="B545" s="20" t="str">
        <f t="array" ref="B545">IF(ISERROR(INDEX('Eingabe Meldungen'!$C$2:$C$492,LARGE(('Eingabe Meldungen'!$A$2:$A$492=$B$543)*(ROW('Eingabe Meldungen'!$A$2:$A$492)-1),COUNTIF('Eingabe Meldungen'!$A$2:$A$492,$B$543)+1-ROW('Eingabe Meldungen'!A1)))),"",INDEX('Eingabe Meldungen'!$C$2:$C$492,LARGE(('Eingabe Meldungen'!$A$2:$A$492=$B$543)*(ROW('Eingabe Meldungen'!$A$2:$A$492)-1),COUNTIF('Eingabe Meldungen'!$A$2:$A$492,$B$543)+1-ROW('Eingabe Meldungen'!A1))))</f>
        <v/>
      </c>
      <c r="C545" t="str">
        <f t="array" ref="C545">IF(ISERROR(INDEX('Eingabe Meldungen'!$D$2:$D$492,LARGE(('Eingabe Meldungen'!$A$2:$A$492=$B$543)*(ROW('Eingabe Meldungen'!$A$2:$A$492)-1),COUNTIF('Eingabe Meldungen'!$A$2:$A$492,$B$543)+1-ROW('Eingabe Meldungen'!A1)))),"",INDEX('Eingabe Meldungen'!$D$2:$D$492,LARGE(('Eingabe Meldungen'!$A$2:$A$492=$B$543)*(ROW('Eingabe Meldungen'!$A$2:$A$492)-1),COUNTIF('Eingabe Meldungen'!$A$2:$A$492,$B$543)+1-ROW('Eingabe Meldungen'!A1))))</f>
        <v/>
      </c>
      <c r="D545" s="11" t="str">
        <f t="array" ref="D545">IF(B545&lt;&gt;"",INDEX('Eingabe Meldungen'!$C$2:$H$492,MATCH(B545&amp;C545,'Eingabe Meldungen'!$C$2:$C$492&amp;'Eingabe Meldungen'!$D$2:$D$492,0),6),"")</f>
        <v/>
      </c>
      <c r="E545" s="11" t="str">
        <f t="array" ref="E545">IF(B545&lt;&gt;"",INDEX('Eingabe Meldungen'!$C$2:$H$492,MATCH(B545&amp;C545,'Eingabe Meldungen'!$C$2:$C$492&amp;'Eingabe Meldungen'!$D$2:$D$492,0),4),"")</f>
        <v/>
      </c>
      <c r="F545" s="66">
        <v>1</v>
      </c>
      <c r="G545" s="74"/>
      <c r="H545" t="e">
        <f>RANK(G545,$G$545:$G$560,1)</f>
        <v>#N/A</v>
      </c>
      <c r="I545" s="21" t="str">
        <f t="array" ref="I545">IF(B545&lt;&gt;"",INDEX('Eingabe Meldungen'!$C$2:$J$492,MATCH(B545&amp;C545,'Eingabe Meldungen'!$C$2:$C$492&amp;'Eingabe Meldungen'!$D$2:$D$492,0),8),"")</f>
        <v/>
      </c>
    </row>
    <row r="546" spans="2:10" hidden="1" x14ac:dyDescent="0.2">
      <c r="B546" s="20" t="str">
        <f t="array" ref="B546">IF(ISERROR(INDEX('Eingabe Meldungen'!$C$2:$C$492,LARGE(('Eingabe Meldungen'!$A$2:$A$492=$B$543)*(ROW('Eingabe Meldungen'!$A$2:$A$492)-1),COUNTIF('Eingabe Meldungen'!$A$2:$A$492,$B$543)+1-ROW('Eingabe Meldungen'!A2)))),"",INDEX('Eingabe Meldungen'!$C$2:$C$492,LARGE(('Eingabe Meldungen'!$A$2:$A$492=$B$543)*(ROW('Eingabe Meldungen'!$A$2:$A$492)-1),COUNTIF('Eingabe Meldungen'!$A$2:$A$492,$B$543)+1-ROW('Eingabe Meldungen'!A2))))</f>
        <v/>
      </c>
      <c r="C546" t="str">
        <f t="array" ref="C546">IF(ISERROR(INDEX('Eingabe Meldungen'!$D$2:$D$492,LARGE(('Eingabe Meldungen'!$A$2:$A$492=$B$543)*(ROW('Eingabe Meldungen'!$A$2:$A$492)-1),COUNTIF('Eingabe Meldungen'!$A$2:$A$492,$B$543)+1-ROW('Eingabe Meldungen'!A2)))),"",INDEX('Eingabe Meldungen'!$D$2:$D$492,LARGE(('Eingabe Meldungen'!$A$2:$A$492=$B$543)*(ROW('Eingabe Meldungen'!$A$2:$A$492)-1),COUNTIF('Eingabe Meldungen'!$A$2:$A$492,$B$543)+1-ROW('Eingabe Meldungen'!A2))))</f>
        <v/>
      </c>
      <c r="D546" s="11" t="str">
        <f t="array" ref="D546">IF(B546&lt;&gt;"",INDEX('Eingabe Meldungen'!$C$2:$H$492,MATCH(B546&amp;C546,'Eingabe Meldungen'!$C$2:$C$492&amp;'Eingabe Meldungen'!$D$2:$D$492,0),6),"")</f>
        <v/>
      </c>
      <c r="E546" s="11" t="str">
        <f t="array" ref="E546">IF(B546&lt;&gt;"",INDEX('Eingabe Meldungen'!$C$2:$H$492,MATCH(B546&amp;C546,'Eingabe Meldungen'!$C$2:$C$492&amp;'Eingabe Meldungen'!$D$2:$D$492,0),4),"")</f>
        <v/>
      </c>
      <c r="F546" s="15">
        <v>2</v>
      </c>
      <c r="G546" s="74"/>
      <c r="H546" t="e">
        <f t="shared" ref="H546:H560" si="27">RANK(G546,$G$545:$G$560,1)</f>
        <v>#N/A</v>
      </c>
      <c r="I546" s="21" t="str">
        <f t="array" ref="I546">IF(B546&lt;&gt;"",INDEX('Eingabe Meldungen'!$C$2:$J$492,MATCH(B546&amp;C546,'Eingabe Meldungen'!$C$2:$C$492&amp;'Eingabe Meldungen'!$D$2:$D$492,0),8),"")</f>
        <v/>
      </c>
    </row>
    <row r="547" spans="2:10" hidden="1" x14ac:dyDescent="0.2">
      <c r="B547" s="20" t="str">
        <f t="array" ref="B547">IF(ISERROR(INDEX('Eingabe Meldungen'!$C$2:$C$492,LARGE(('Eingabe Meldungen'!$A$2:$A$492=$B$543)*(ROW('Eingabe Meldungen'!$A$2:$A$492)-1),COUNTIF('Eingabe Meldungen'!$A$2:$A$492,$B$543)+1-ROW('Eingabe Meldungen'!A3)))),"",INDEX('Eingabe Meldungen'!$C$2:$C$492,LARGE(('Eingabe Meldungen'!$A$2:$A$492=$B$543)*(ROW('Eingabe Meldungen'!$A$2:$A$492)-1),COUNTIF('Eingabe Meldungen'!$A$2:$A$492,$B$543)+1-ROW('Eingabe Meldungen'!A3))))</f>
        <v/>
      </c>
      <c r="C547" t="str">
        <f t="array" ref="C547">IF(ISERROR(INDEX('Eingabe Meldungen'!$D$2:$D$492,LARGE(('Eingabe Meldungen'!$A$2:$A$492=$B$543)*(ROW('Eingabe Meldungen'!$A$2:$A$492)-1),COUNTIF('Eingabe Meldungen'!$A$2:$A$492,$B$543)+1-ROW('Eingabe Meldungen'!A3)))),"",INDEX('Eingabe Meldungen'!$D$2:$D$492,LARGE(('Eingabe Meldungen'!$A$2:$A$492=$B$543)*(ROW('Eingabe Meldungen'!$A$2:$A$492)-1),COUNTIF('Eingabe Meldungen'!$A$2:$A$492,$B$543)+1-ROW('Eingabe Meldungen'!A3))))</f>
        <v/>
      </c>
      <c r="D547" s="11" t="str">
        <f t="array" ref="D547">IF(B547&lt;&gt;"",INDEX('Eingabe Meldungen'!$C$2:$H$492,MATCH(B547&amp;C547,'Eingabe Meldungen'!$C$2:$C$492&amp;'Eingabe Meldungen'!$D$2:$D$492,0),6),"")</f>
        <v/>
      </c>
      <c r="E547" s="11" t="str">
        <f t="array" ref="E547">IF(B547&lt;&gt;"",INDEX('Eingabe Meldungen'!$C$2:$H$492,MATCH(B547&amp;C547,'Eingabe Meldungen'!$C$2:$C$492&amp;'Eingabe Meldungen'!$D$2:$D$492,0),4),"")</f>
        <v/>
      </c>
      <c r="F547" s="15">
        <v>3</v>
      </c>
      <c r="G547" s="75"/>
      <c r="H547" t="e">
        <f t="shared" si="27"/>
        <v>#N/A</v>
      </c>
      <c r="I547" s="21" t="str">
        <f t="array" ref="I547">IF(B547&lt;&gt;"",INDEX('Eingabe Meldungen'!$C$2:$J$492,MATCH(B547&amp;C547,'Eingabe Meldungen'!$C$2:$C$492&amp;'Eingabe Meldungen'!$D$2:$D$492,0),8),"")</f>
        <v/>
      </c>
    </row>
    <row r="548" spans="2:10" hidden="1" x14ac:dyDescent="0.2">
      <c r="B548" s="20" t="str">
        <f t="array" ref="B548">IF(ISERROR(INDEX('Eingabe Meldungen'!$C$2:$C$492,LARGE(('Eingabe Meldungen'!$A$2:$A$492=$B$543)*(ROW('Eingabe Meldungen'!$A$2:$A$492)-1),COUNTIF('Eingabe Meldungen'!$A$2:$A$492,$B$543)+1-ROW('Eingabe Meldungen'!A4)))),"",INDEX('Eingabe Meldungen'!$C$2:$C$492,LARGE(('Eingabe Meldungen'!$A$2:$A$492=$B$543)*(ROW('Eingabe Meldungen'!$A$2:$A$492)-1),COUNTIF('Eingabe Meldungen'!$A$2:$A$492,$B$543)+1-ROW('Eingabe Meldungen'!A4))))</f>
        <v/>
      </c>
      <c r="C548" t="str">
        <f t="array" ref="C548">IF(ISERROR(INDEX('Eingabe Meldungen'!$D$2:$D$492,LARGE(('Eingabe Meldungen'!$A$2:$A$492=$B$543)*(ROW('Eingabe Meldungen'!$A$2:$A$492)-1),COUNTIF('Eingabe Meldungen'!$A$2:$A$492,$B$543)+1-ROW('Eingabe Meldungen'!A4)))),"",INDEX('Eingabe Meldungen'!$D$2:$D$492,LARGE(('Eingabe Meldungen'!$A$2:$A$492=$B$543)*(ROW('Eingabe Meldungen'!$A$2:$A$492)-1),COUNTIF('Eingabe Meldungen'!$A$2:$A$492,$B$543)+1-ROW('Eingabe Meldungen'!A4))))</f>
        <v/>
      </c>
      <c r="D548" s="11" t="str">
        <f t="array" ref="D548">IF(B548&lt;&gt;"",INDEX('Eingabe Meldungen'!$C$2:$H$492,MATCH(B548&amp;C548,'Eingabe Meldungen'!$C$2:$C$492&amp;'Eingabe Meldungen'!$D$2:$D$492,0),6),"")</f>
        <v/>
      </c>
      <c r="E548" s="11" t="str">
        <f t="array" ref="E548">IF(B548&lt;&gt;"",INDEX('Eingabe Meldungen'!$C$2:$H$492,MATCH(B548&amp;C548,'Eingabe Meldungen'!$C$2:$C$492&amp;'Eingabe Meldungen'!$D$2:$D$492,0),4),"")</f>
        <v/>
      </c>
      <c r="F548" s="15">
        <v>4</v>
      </c>
      <c r="G548" s="75"/>
      <c r="H548" t="e">
        <f t="shared" si="27"/>
        <v>#N/A</v>
      </c>
      <c r="I548" s="21" t="str">
        <f t="array" ref="I548">IF(B548&lt;&gt;"",INDEX('Eingabe Meldungen'!$C$2:$J$492,MATCH(B548&amp;C548,'Eingabe Meldungen'!$C$2:$C$492&amp;'Eingabe Meldungen'!$D$2:$D$492,0),8),"")</f>
        <v/>
      </c>
    </row>
    <row r="549" spans="2:10" hidden="1" x14ac:dyDescent="0.2">
      <c r="B549" s="20" t="str">
        <f t="array" ref="B549">IF(ISERROR(INDEX('Eingabe Meldungen'!$C$2:$C$492,LARGE(('Eingabe Meldungen'!$A$2:$A$492=$B$543)*(ROW('Eingabe Meldungen'!$A$2:$A$492)-1),COUNTIF('Eingabe Meldungen'!$A$2:$A$492,$B$543)+1-ROW('Eingabe Meldungen'!A5)))),"",INDEX('Eingabe Meldungen'!$C$2:$C$492,LARGE(('Eingabe Meldungen'!$A$2:$A$492=$B$543)*(ROW('Eingabe Meldungen'!$A$2:$A$492)-1),COUNTIF('Eingabe Meldungen'!$A$2:$A$492,$B$543)+1-ROW('Eingabe Meldungen'!A5))))</f>
        <v/>
      </c>
      <c r="C549" t="str">
        <f t="array" ref="C549">IF(ISERROR(INDEX('Eingabe Meldungen'!$D$2:$D$492,LARGE(('Eingabe Meldungen'!$A$2:$A$492=$B$543)*(ROW('Eingabe Meldungen'!$A$2:$A$492)-1),COUNTIF('Eingabe Meldungen'!$A$2:$A$492,$B$543)+1-ROW('Eingabe Meldungen'!A5)))),"",INDEX('Eingabe Meldungen'!$D$2:$D$492,LARGE(('Eingabe Meldungen'!$A$2:$A$492=$B$543)*(ROW('Eingabe Meldungen'!$A$2:$A$492)-1),COUNTIF('Eingabe Meldungen'!$A$2:$A$492,$B$543)+1-ROW('Eingabe Meldungen'!A5))))</f>
        <v/>
      </c>
      <c r="D549" s="11" t="str">
        <f t="array" ref="D549">IF(B549&lt;&gt;"",INDEX('Eingabe Meldungen'!$C$2:$H$492,MATCH(B549&amp;C549,'Eingabe Meldungen'!$C$2:$C$492&amp;'Eingabe Meldungen'!$D$2:$D$492,0),6),"")</f>
        <v/>
      </c>
      <c r="E549" s="11" t="str">
        <f t="array" ref="E549">IF(B549&lt;&gt;"",INDEX('Eingabe Meldungen'!$C$2:$H$492,MATCH(B549&amp;C549,'Eingabe Meldungen'!$C$2:$C$492&amp;'Eingabe Meldungen'!$D$2:$D$492,0),4),"")</f>
        <v/>
      </c>
      <c r="F549" s="15">
        <v>5</v>
      </c>
      <c r="G549" s="75"/>
      <c r="H549" t="e">
        <f t="shared" si="27"/>
        <v>#N/A</v>
      </c>
      <c r="I549" s="21" t="str">
        <f t="array" ref="I549">IF(B549&lt;&gt;"",INDEX('Eingabe Meldungen'!$C$2:$J$492,MATCH(B549&amp;C549,'Eingabe Meldungen'!$C$2:$C$492&amp;'Eingabe Meldungen'!$D$2:$D$492,0),8),"")</f>
        <v/>
      </c>
    </row>
    <row r="550" spans="2:10" hidden="1" x14ac:dyDescent="0.2">
      <c r="B550" s="20" t="str">
        <f t="array" ref="B550">IF(ISERROR(INDEX('Eingabe Meldungen'!$C$2:$C$492,LARGE(('Eingabe Meldungen'!$A$2:$A$492=$B$543)*(ROW('Eingabe Meldungen'!$A$2:$A$492)-1),COUNTIF('Eingabe Meldungen'!$A$2:$A$492,$B$543)+1-ROW('Eingabe Meldungen'!A6)))),"",INDEX('Eingabe Meldungen'!$C$2:$C$492,LARGE(('Eingabe Meldungen'!$A$2:$A$492=$B$543)*(ROW('Eingabe Meldungen'!$A$2:$A$492)-1),COUNTIF('Eingabe Meldungen'!$A$2:$A$492,$B$543)+1-ROW('Eingabe Meldungen'!A6))))</f>
        <v/>
      </c>
      <c r="C550" t="str">
        <f t="array" ref="C550">IF(ISERROR(INDEX('Eingabe Meldungen'!$D$2:$D$492,LARGE(('Eingabe Meldungen'!$A$2:$A$492=$B$543)*(ROW('Eingabe Meldungen'!$A$2:$A$492)-1),COUNTIF('Eingabe Meldungen'!$A$2:$A$492,$B$543)+1-ROW('Eingabe Meldungen'!A6)))),"",INDEX('Eingabe Meldungen'!$D$2:$D$492,LARGE(('Eingabe Meldungen'!$A$2:$A$492=$B$543)*(ROW('Eingabe Meldungen'!$A$2:$A$492)-1),COUNTIF('Eingabe Meldungen'!$A$2:$A$492,$B$543)+1-ROW('Eingabe Meldungen'!A6))))</f>
        <v/>
      </c>
      <c r="D550" s="11" t="str">
        <f t="array" ref="D550">IF(B550&lt;&gt;"",INDEX('Eingabe Meldungen'!$C$2:$H$492,MATCH(B550&amp;C550,'Eingabe Meldungen'!$C$2:$C$492&amp;'Eingabe Meldungen'!$D$2:$D$492,0),6),"")</f>
        <v/>
      </c>
      <c r="E550" s="11" t="str">
        <f t="array" ref="E550">IF(B550&lt;&gt;"",INDEX('Eingabe Meldungen'!$C$2:$H$492,MATCH(B550&amp;C550,'Eingabe Meldungen'!$C$2:$C$492&amp;'Eingabe Meldungen'!$D$2:$D$492,0),4),"")</f>
        <v/>
      </c>
      <c r="F550" s="15">
        <v>6</v>
      </c>
      <c r="G550" s="75"/>
      <c r="H550" t="e">
        <f t="shared" si="27"/>
        <v>#N/A</v>
      </c>
      <c r="I550" s="21" t="str">
        <f t="array" ref="I550">IF(B550&lt;&gt;"",INDEX('Eingabe Meldungen'!$C$2:$J$492,MATCH(B550&amp;C550,'Eingabe Meldungen'!$C$2:$C$492&amp;'Eingabe Meldungen'!$D$2:$D$492,0),8),"")</f>
        <v/>
      </c>
    </row>
    <row r="551" spans="2:10" hidden="1" x14ac:dyDescent="0.2">
      <c r="B551" s="20" t="str">
        <f t="array" ref="B551">IF(ISERROR(INDEX('Eingabe Meldungen'!$C$2:$C$492,LARGE(('Eingabe Meldungen'!$A$2:$A$492=$B$543)*(ROW('Eingabe Meldungen'!$A$2:$A$492)-1),COUNTIF('Eingabe Meldungen'!$A$2:$A$492,$B$543)+1-ROW('Eingabe Meldungen'!A8)))),"",INDEX('Eingabe Meldungen'!$C$2:$C$492,LARGE(('Eingabe Meldungen'!$A$2:$A$492=$B$543)*(ROW('Eingabe Meldungen'!$A$2:$A$492)-1),COUNTIF('Eingabe Meldungen'!$A$2:$A$492,$B$543)+1-ROW('Eingabe Meldungen'!A8))))</f>
        <v/>
      </c>
      <c r="C551" t="str">
        <f t="array" ref="C551">IF(ISERROR(INDEX('Eingabe Meldungen'!$D$2:$D$492,LARGE(('Eingabe Meldungen'!$A$2:$A$492=$B$543)*(ROW('Eingabe Meldungen'!$A$2:$A$492)-1),COUNTIF('Eingabe Meldungen'!$A$2:$A$492,$B$543)+1-ROW('Eingabe Meldungen'!A8)))),"",INDEX('Eingabe Meldungen'!$D$2:$D$492,LARGE(('Eingabe Meldungen'!$A$2:$A$492=$B$543)*(ROW('Eingabe Meldungen'!$A$2:$A$492)-1),COUNTIF('Eingabe Meldungen'!$A$2:$A$492,$B$543)+1-ROW('Eingabe Meldungen'!A8))))</f>
        <v/>
      </c>
      <c r="D551" s="11" t="str">
        <f t="array" ref="D551">IF(B551&lt;&gt;"",INDEX('Eingabe Meldungen'!$C$2:$H$492,MATCH(B551&amp;C551,'Eingabe Meldungen'!$C$2:$C$492&amp;'Eingabe Meldungen'!$D$2:$D$492,0),6),"")</f>
        <v/>
      </c>
      <c r="E551" s="11" t="str">
        <f t="array" ref="E551">IF(B551&lt;&gt;"",INDEX('Eingabe Meldungen'!$C$2:$H$492,MATCH(B551&amp;C551,'Eingabe Meldungen'!$C$2:$C$492&amp;'Eingabe Meldungen'!$D$2:$D$492,0),4),"")</f>
        <v/>
      </c>
      <c r="F551" s="15">
        <v>7</v>
      </c>
      <c r="G551" s="75"/>
      <c r="H551" t="e">
        <f t="shared" si="27"/>
        <v>#N/A</v>
      </c>
      <c r="I551" s="21" t="str">
        <f t="array" ref="I551">IF(B551&lt;&gt;"",INDEX('Eingabe Meldungen'!$C$2:$J$492,MATCH(B551&amp;C551,'Eingabe Meldungen'!$C$2:$C$492&amp;'Eingabe Meldungen'!$D$2:$D$492,0),8),"")</f>
        <v/>
      </c>
    </row>
    <row r="552" spans="2:10" hidden="1" x14ac:dyDescent="0.2">
      <c r="B552" s="20" t="str">
        <f t="array" ref="B552">IF(ISERROR(INDEX('Eingabe Meldungen'!$C$2:$C$492,LARGE(('Eingabe Meldungen'!$A$2:$A$492=$B$543)*(ROW('Eingabe Meldungen'!$A$2:$A$492)-1),COUNTIF('Eingabe Meldungen'!$A$2:$A$492,$B$543)+1-ROW('Eingabe Meldungen'!A9)))),"",INDEX('Eingabe Meldungen'!$C$2:$C$492,LARGE(('Eingabe Meldungen'!$A$2:$A$492=$B$543)*(ROW('Eingabe Meldungen'!$A$2:$A$492)-1),COUNTIF('Eingabe Meldungen'!$A$2:$A$492,$B$543)+1-ROW('Eingabe Meldungen'!A9))))</f>
        <v/>
      </c>
      <c r="C552" t="str">
        <f t="array" ref="C552">IF(ISERROR(INDEX('Eingabe Meldungen'!$D$2:$D$492,LARGE(('Eingabe Meldungen'!$A$2:$A$492=$B$543)*(ROW('Eingabe Meldungen'!$A$2:$A$492)-1),COUNTIF('Eingabe Meldungen'!$A$2:$A$492,$B$543)+1-ROW('Eingabe Meldungen'!A9)))),"",INDEX('Eingabe Meldungen'!$D$2:$D$492,LARGE(('Eingabe Meldungen'!$A$2:$A$492=$B$543)*(ROW('Eingabe Meldungen'!$A$2:$A$492)-1),COUNTIF('Eingabe Meldungen'!$A$2:$A$492,$B$543)+1-ROW('Eingabe Meldungen'!A9))))</f>
        <v/>
      </c>
      <c r="D552" s="11" t="str">
        <f t="array" ref="D552">IF(B552&lt;&gt;"",INDEX('Eingabe Meldungen'!$C$2:$H$492,MATCH(B552&amp;C552,'Eingabe Meldungen'!$C$2:$C$492&amp;'Eingabe Meldungen'!$D$2:$D$492,0),6),"")</f>
        <v/>
      </c>
      <c r="E552" s="11" t="str">
        <f t="array" ref="E552">IF(B552&lt;&gt;"",INDEX('Eingabe Meldungen'!$C$2:$H$492,MATCH(B552&amp;C552,'Eingabe Meldungen'!$C$2:$C$492&amp;'Eingabe Meldungen'!$D$2:$D$492,0),4),"")</f>
        <v/>
      </c>
      <c r="F552" s="15">
        <v>8</v>
      </c>
      <c r="G552" s="75"/>
      <c r="H552" t="e">
        <f t="shared" si="27"/>
        <v>#N/A</v>
      </c>
      <c r="I552" s="21" t="str">
        <f t="array" ref="I552">IF(B552&lt;&gt;"",INDEX('Eingabe Meldungen'!$C$2:$J$492,MATCH(B552&amp;C552,'Eingabe Meldungen'!$C$2:$C$492&amp;'Eingabe Meldungen'!$D$2:$D$492,0),8),"")</f>
        <v/>
      </c>
    </row>
    <row r="553" spans="2:10" hidden="1" x14ac:dyDescent="0.2">
      <c r="B553" s="20" t="str">
        <f t="array" ref="B553">IF(ISERROR(INDEX('Eingabe Meldungen'!$C$2:$C$492,LARGE(('Eingabe Meldungen'!$A$2:$A$492=$B$543)*(ROW('Eingabe Meldungen'!$A$2:$A$492)-1),COUNTIF('Eingabe Meldungen'!$A$2:$A$492,$B$543)+1-ROW('Eingabe Meldungen'!A10)))),"",INDEX('Eingabe Meldungen'!$C$2:$C$492,LARGE(('Eingabe Meldungen'!$A$2:$A$492=$B$543)*(ROW('Eingabe Meldungen'!$A$2:$A$492)-1),COUNTIF('Eingabe Meldungen'!$A$2:$A$492,$B$543)+1-ROW('Eingabe Meldungen'!A10))))</f>
        <v/>
      </c>
      <c r="C553" t="str">
        <f t="array" ref="C553">IF(ISERROR(INDEX('Eingabe Meldungen'!$D$2:$D$492,LARGE(('Eingabe Meldungen'!$A$2:$A$492=$B$543)*(ROW('Eingabe Meldungen'!$A$2:$A$492)-1),COUNTIF('Eingabe Meldungen'!$A$2:$A$492,$B$543)+1-ROW('Eingabe Meldungen'!A10)))),"",INDEX('Eingabe Meldungen'!$D$2:$D$492,LARGE(('Eingabe Meldungen'!$A$2:$A$492=$B$543)*(ROW('Eingabe Meldungen'!$A$2:$A$492)-1),COUNTIF('Eingabe Meldungen'!$A$2:$A$492,$B$543)+1-ROW('Eingabe Meldungen'!A10))))</f>
        <v/>
      </c>
      <c r="D553" s="11" t="str">
        <f t="array" ref="D553">IF(B553&lt;&gt;"",INDEX('Eingabe Meldungen'!$C$2:$H$492,MATCH(B553&amp;C553,'Eingabe Meldungen'!$C$2:$C$492&amp;'Eingabe Meldungen'!$D$2:$D$492,0),6),"")</f>
        <v/>
      </c>
      <c r="E553" s="11" t="str">
        <f t="array" ref="E553">IF(B553&lt;&gt;"",INDEX('Eingabe Meldungen'!$C$2:$H$492,MATCH(B553&amp;C553,'Eingabe Meldungen'!$C$2:$C$492&amp;'Eingabe Meldungen'!$D$2:$D$492,0),4),"")</f>
        <v/>
      </c>
      <c r="F553" s="15">
        <v>9</v>
      </c>
      <c r="G553" s="75"/>
      <c r="H553" t="e">
        <f t="shared" si="27"/>
        <v>#N/A</v>
      </c>
      <c r="I553" s="21" t="str">
        <f t="array" ref="I553">IF(B553&lt;&gt;"",INDEX('Eingabe Meldungen'!$C$2:$J$492,MATCH(B553&amp;C553,'Eingabe Meldungen'!$C$2:$C$492&amp;'Eingabe Meldungen'!$D$2:$D$492,0),8),"")</f>
        <v/>
      </c>
    </row>
    <row r="554" spans="2:10" hidden="1" x14ac:dyDescent="0.2">
      <c r="B554" s="20" t="str">
        <f t="array" ref="B554">IF(ISERROR(INDEX('Eingabe Meldungen'!$C$2:$C$492,LARGE(('Eingabe Meldungen'!$A$2:$A$492=$B$543)*(ROW('Eingabe Meldungen'!$A$2:$A$492)-1),COUNTIF('Eingabe Meldungen'!$A$2:$A$492,$B$543)+1-ROW('Eingabe Meldungen'!A11)))),"",INDEX('Eingabe Meldungen'!$C$2:$C$492,LARGE(('Eingabe Meldungen'!$A$2:$A$492=$B$543)*(ROW('Eingabe Meldungen'!$A$2:$A$492)-1),COUNTIF('Eingabe Meldungen'!$A$2:$A$492,$B$543)+1-ROW('Eingabe Meldungen'!A11))))</f>
        <v/>
      </c>
      <c r="C554" t="str">
        <f t="array" ref="C554">IF(ISERROR(INDEX('Eingabe Meldungen'!$D$2:$D$492,LARGE(('Eingabe Meldungen'!$A$2:$A$492=$B$543)*(ROW('Eingabe Meldungen'!$A$2:$A$492)-1),COUNTIF('Eingabe Meldungen'!$A$2:$A$492,$B$543)+1-ROW('Eingabe Meldungen'!A11)))),"",INDEX('Eingabe Meldungen'!$D$2:$D$492,LARGE(('Eingabe Meldungen'!$A$2:$A$492=$B$543)*(ROW('Eingabe Meldungen'!$A$2:$A$492)-1),COUNTIF('Eingabe Meldungen'!$A$2:$A$492,$B$543)+1-ROW('Eingabe Meldungen'!A11))))</f>
        <v/>
      </c>
      <c r="D554" s="11" t="str">
        <f t="array" ref="D554">IF(B554&lt;&gt;"",INDEX('Eingabe Meldungen'!$C$2:$H$492,MATCH(B554&amp;C554,'Eingabe Meldungen'!$C$2:$C$492&amp;'Eingabe Meldungen'!$D$2:$D$492,0),6),"")</f>
        <v/>
      </c>
      <c r="E554" s="11" t="str">
        <f t="array" ref="E554">IF(B554&lt;&gt;"",INDEX('Eingabe Meldungen'!$C$2:$H$492,MATCH(B554&amp;C554,'Eingabe Meldungen'!$C$2:$C$492&amp;'Eingabe Meldungen'!$D$2:$D$492,0),4),"")</f>
        <v/>
      </c>
      <c r="F554" s="15">
        <v>10</v>
      </c>
      <c r="G554" s="75"/>
      <c r="H554" t="e">
        <f t="shared" si="27"/>
        <v>#N/A</v>
      </c>
      <c r="I554" s="21" t="str">
        <f t="array" ref="I554">IF(B554&lt;&gt;"",INDEX('Eingabe Meldungen'!$C$2:$J$492,MATCH(B554&amp;C554,'Eingabe Meldungen'!$C$2:$C$492&amp;'Eingabe Meldungen'!$D$2:$D$492,0),8),"")</f>
        <v/>
      </c>
    </row>
    <row r="555" spans="2:10" hidden="1" x14ac:dyDescent="0.2">
      <c r="B555" s="20" t="str">
        <f t="array" ref="B555">IF(ISERROR(INDEX('Eingabe Meldungen'!$C$2:$C$492,LARGE(('Eingabe Meldungen'!$A$2:$A$492=$B$543)*(ROW('Eingabe Meldungen'!$A$2:$A$492)-1),COUNTIF('Eingabe Meldungen'!$A$2:$A$492,$B$543)+1-ROW('Eingabe Meldungen'!A12)))),"",INDEX('Eingabe Meldungen'!$C$2:$C$492,LARGE(('Eingabe Meldungen'!$A$2:$A$492=$B$543)*(ROW('Eingabe Meldungen'!$A$2:$A$492)-1),COUNTIF('Eingabe Meldungen'!$A$2:$A$492,$B$543)+1-ROW('Eingabe Meldungen'!A12))))</f>
        <v/>
      </c>
      <c r="C555" t="str">
        <f t="array" ref="C555">IF(ISERROR(INDEX('Eingabe Meldungen'!$D$2:$D$492,LARGE(('Eingabe Meldungen'!$A$2:$A$492=$B$543)*(ROW('Eingabe Meldungen'!$A$2:$A$492)-1),COUNTIF('Eingabe Meldungen'!$A$2:$A$492,$B$543)+1-ROW('Eingabe Meldungen'!A12)))),"",INDEX('Eingabe Meldungen'!$D$2:$D$492,LARGE(('Eingabe Meldungen'!$A$2:$A$492=$B$543)*(ROW('Eingabe Meldungen'!$A$2:$A$492)-1),COUNTIF('Eingabe Meldungen'!$A$2:$A$492,$B$543)+1-ROW('Eingabe Meldungen'!A12))))</f>
        <v/>
      </c>
      <c r="D555" s="11" t="str">
        <f t="array" ref="D555">IF(B555&lt;&gt;"",INDEX('Eingabe Meldungen'!$C$2:$H$492,MATCH(B555&amp;C555,'Eingabe Meldungen'!$C$2:$C$492&amp;'Eingabe Meldungen'!$D$2:$D$492,0),6),"")</f>
        <v/>
      </c>
      <c r="E555" s="11" t="str">
        <f t="array" ref="E555">IF(B555&lt;&gt;"",INDEX('Eingabe Meldungen'!$C$2:$H$492,MATCH(B555&amp;C555,'Eingabe Meldungen'!$C$2:$C$492&amp;'Eingabe Meldungen'!$D$2:$D$492,0),4),"")</f>
        <v/>
      </c>
      <c r="F555" s="15">
        <v>11</v>
      </c>
      <c r="G555" s="75"/>
      <c r="H555" t="e">
        <f t="shared" si="27"/>
        <v>#N/A</v>
      </c>
      <c r="I555" s="21" t="str">
        <f t="array" ref="I555">IF(B555&lt;&gt;"",INDEX('Eingabe Meldungen'!$C$2:$J$492,MATCH(B555&amp;C555,'Eingabe Meldungen'!$C$2:$C$492&amp;'Eingabe Meldungen'!$D$2:$D$492,0),8),"")</f>
        <v/>
      </c>
    </row>
    <row r="556" spans="2:10" hidden="1" x14ac:dyDescent="0.2">
      <c r="B556" s="20" t="str">
        <f t="array" ref="B556">IF(ISERROR(INDEX('Eingabe Meldungen'!$C$2:$C$492,LARGE(('Eingabe Meldungen'!$A$2:$A$492=$B$543)*(ROW('Eingabe Meldungen'!$A$2:$A$492)-1),COUNTIF('Eingabe Meldungen'!$A$2:$A$492,$B$543)+1-ROW('Eingabe Meldungen'!A13)))),"",INDEX('Eingabe Meldungen'!$C$2:$C$492,LARGE(('Eingabe Meldungen'!$A$2:$A$492=$B$543)*(ROW('Eingabe Meldungen'!$A$2:$A$492)-1),COUNTIF('Eingabe Meldungen'!$A$2:$A$492,$B$543)+1-ROW('Eingabe Meldungen'!A13))))</f>
        <v/>
      </c>
      <c r="C556" t="str">
        <f t="array" ref="C556">IF(ISERROR(INDEX('Eingabe Meldungen'!$D$2:$D$492,LARGE(('Eingabe Meldungen'!$A$2:$A$492=$B$543)*(ROW('Eingabe Meldungen'!$A$2:$A$492)-1),COUNTIF('Eingabe Meldungen'!$A$2:$A$492,$B$543)+1-ROW('Eingabe Meldungen'!A13)))),"",INDEX('Eingabe Meldungen'!$D$2:$D$492,LARGE(('Eingabe Meldungen'!$A$2:$A$492=$B$543)*(ROW('Eingabe Meldungen'!$A$2:$A$492)-1),COUNTIF('Eingabe Meldungen'!$A$2:$A$492,$B$543)+1-ROW('Eingabe Meldungen'!A13))))</f>
        <v/>
      </c>
      <c r="D556" s="11" t="str">
        <f t="array" ref="D556">IF(B556&lt;&gt;"",INDEX('Eingabe Meldungen'!$C$2:$H$492,MATCH(B556&amp;C556,'Eingabe Meldungen'!$C$2:$C$492&amp;'Eingabe Meldungen'!$D$2:$D$492,0),6),"")</f>
        <v/>
      </c>
      <c r="E556" s="11" t="str">
        <f t="array" ref="E556">IF(B556&lt;&gt;"",INDEX('Eingabe Meldungen'!$C$2:$H$492,MATCH(B556&amp;C556,'Eingabe Meldungen'!$C$2:$C$492&amp;'Eingabe Meldungen'!$D$2:$D$492,0),4),"")</f>
        <v/>
      </c>
      <c r="F556" s="15">
        <v>12</v>
      </c>
      <c r="G556" s="75"/>
      <c r="H556" t="e">
        <f t="shared" si="27"/>
        <v>#N/A</v>
      </c>
      <c r="I556" s="21" t="str">
        <f t="array" ref="I556">IF(B556&lt;&gt;"",INDEX('Eingabe Meldungen'!$C$2:$J$492,MATCH(B556&amp;C556,'Eingabe Meldungen'!$C$2:$C$492&amp;'Eingabe Meldungen'!$D$2:$D$492,0),8),"")</f>
        <v/>
      </c>
    </row>
    <row r="557" spans="2:10" hidden="1" x14ac:dyDescent="0.2">
      <c r="B557" s="20" t="str">
        <f t="array" ref="B557">IF(ISERROR(INDEX('Eingabe Meldungen'!$C$2:$C$492,LARGE(('Eingabe Meldungen'!$A$2:$A$492=$B$543)*(ROW('Eingabe Meldungen'!$A$2:$A$492)-1),COUNTIF('Eingabe Meldungen'!$A$2:$A$492,$B$543)+1-ROW('Eingabe Meldungen'!A14)))),"",INDEX('Eingabe Meldungen'!$C$2:$C$492,LARGE(('Eingabe Meldungen'!$A$2:$A$492=$B$543)*(ROW('Eingabe Meldungen'!$A$2:$A$492)-1),COUNTIF('Eingabe Meldungen'!$A$2:$A$492,$B$543)+1-ROW('Eingabe Meldungen'!A14))))</f>
        <v/>
      </c>
      <c r="C557" t="str">
        <f t="array" ref="C557">IF(ISERROR(INDEX('Eingabe Meldungen'!$D$2:$D$492,LARGE(('Eingabe Meldungen'!$A$2:$A$492=$B$543)*(ROW('Eingabe Meldungen'!$A$2:$A$492)-1),COUNTIF('Eingabe Meldungen'!$A$2:$A$492,$B$543)+1-ROW('Eingabe Meldungen'!A14)))),"",INDEX('Eingabe Meldungen'!$D$2:$D$492,LARGE(('Eingabe Meldungen'!$A$2:$A$492=$B$543)*(ROW('Eingabe Meldungen'!$A$2:$A$492)-1),COUNTIF('Eingabe Meldungen'!$A$2:$A$492,$B$543)+1-ROW('Eingabe Meldungen'!A14))))</f>
        <v/>
      </c>
      <c r="D557" s="11" t="str">
        <f t="array" ref="D557">IF(B557&lt;&gt;"",INDEX('Eingabe Meldungen'!$C$2:$H$492,MATCH(B557&amp;C557,'Eingabe Meldungen'!$C$2:$C$492&amp;'Eingabe Meldungen'!$D$2:$D$492,0),6),"")</f>
        <v/>
      </c>
      <c r="E557" s="11" t="str">
        <f t="array" ref="E557">IF(B557&lt;&gt;"",INDEX('Eingabe Meldungen'!$C$2:$H$492,MATCH(B557&amp;C557,'Eingabe Meldungen'!$C$2:$C$492&amp;'Eingabe Meldungen'!$D$2:$D$492,0),4),"")</f>
        <v/>
      </c>
      <c r="F557" s="15">
        <v>13</v>
      </c>
      <c r="G557" s="75"/>
      <c r="H557" t="e">
        <f t="shared" si="27"/>
        <v>#N/A</v>
      </c>
      <c r="I557" s="21" t="str">
        <f t="array" ref="I557">IF(B557&lt;&gt;"",INDEX('Eingabe Meldungen'!$C$2:$J$492,MATCH(B557&amp;C557,'Eingabe Meldungen'!$C$2:$C$492&amp;'Eingabe Meldungen'!$D$2:$D$492,0),8),"")</f>
        <v/>
      </c>
    </row>
    <row r="558" spans="2:10" hidden="1" x14ac:dyDescent="0.2">
      <c r="B558" s="20" t="str">
        <f t="array" ref="B558">IF(ISERROR(INDEX('Eingabe Meldungen'!$C$2:$C$492,LARGE(('Eingabe Meldungen'!$A$2:$A$492=$B$543)*(ROW('Eingabe Meldungen'!$A$2:$A$492)-1),COUNTIF('Eingabe Meldungen'!$A$2:$A$492,$B$543)+1-ROW('Eingabe Meldungen'!A15)))),"",INDEX('Eingabe Meldungen'!$C$2:$C$492,LARGE(('Eingabe Meldungen'!$A$2:$A$492=$B$543)*(ROW('Eingabe Meldungen'!$A$2:$A$492)-1),COUNTIF('Eingabe Meldungen'!$A$2:$A$492,$B$543)+1-ROW('Eingabe Meldungen'!A15))))</f>
        <v/>
      </c>
      <c r="C558" t="str">
        <f t="array" ref="C558">IF(ISERROR(INDEX('Eingabe Meldungen'!$D$2:$D$492,LARGE(('Eingabe Meldungen'!$A$2:$A$492=$B$543)*(ROW('Eingabe Meldungen'!$A$2:$A$492)-1),COUNTIF('Eingabe Meldungen'!$A$2:$A$492,$B$543)+1-ROW('Eingabe Meldungen'!A15)))),"",INDEX('Eingabe Meldungen'!$D$2:$D$492,LARGE(('Eingabe Meldungen'!$A$2:$A$492=$B$543)*(ROW('Eingabe Meldungen'!$A$2:$A$492)-1),COUNTIF('Eingabe Meldungen'!$A$2:$A$492,$B$543)+1-ROW('Eingabe Meldungen'!A15))))</f>
        <v/>
      </c>
      <c r="D558" s="11" t="str">
        <f t="array" ref="D558">IF(B558&lt;&gt;"",INDEX('Eingabe Meldungen'!$C$2:$H$492,MATCH(B558&amp;C558,'Eingabe Meldungen'!$C$2:$C$492&amp;'Eingabe Meldungen'!$D$2:$D$492,0),6),"")</f>
        <v/>
      </c>
      <c r="E558" s="11" t="str">
        <f t="array" ref="E558">IF(B558&lt;&gt;"",INDEX('Eingabe Meldungen'!$C$2:$H$492,MATCH(B558&amp;C558,'Eingabe Meldungen'!$C$2:$C$492&amp;'Eingabe Meldungen'!$D$2:$D$492,0),4),"")</f>
        <v/>
      </c>
      <c r="F558" s="15">
        <v>14</v>
      </c>
      <c r="G558" s="75"/>
      <c r="H558" t="e">
        <f t="shared" si="27"/>
        <v>#N/A</v>
      </c>
      <c r="I558" s="21" t="str">
        <f t="array" ref="I558">IF(B558&lt;&gt;"",INDEX('Eingabe Meldungen'!$C$2:$J$492,MATCH(B558&amp;C558,'Eingabe Meldungen'!$C$2:$C$492&amp;'Eingabe Meldungen'!$D$2:$D$492,0),8),"")</f>
        <v/>
      </c>
    </row>
    <row r="559" spans="2:10" hidden="1" x14ac:dyDescent="0.2">
      <c r="B559" s="20" t="str">
        <f t="array" ref="B559">IF(ISERROR(INDEX('Eingabe Meldungen'!$C$2:$C$492,LARGE(('Eingabe Meldungen'!$A$2:$A$492=$B$543)*(ROW('Eingabe Meldungen'!$A$2:$A$492)-1),COUNTIF('Eingabe Meldungen'!$A$2:$A$492,$B$543)+1-ROW('Eingabe Meldungen'!A16)))),"",INDEX('Eingabe Meldungen'!$C$2:$C$492,LARGE(('Eingabe Meldungen'!$A$2:$A$492=$B$543)*(ROW('Eingabe Meldungen'!$A$2:$A$492)-1),COUNTIF('Eingabe Meldungen'!$A$2:$A$492,$B$543)+1-ROW('Eingabe Meldungen'!A16))))</f>
        <v/>
      </c>
      <c r="C559" t="str">
        <f t="array" ref="C559">IF(ISERROR(INDEX('Eingabe Meldungen'!$D$2:$D$492,LARGE(('Eingabe Meldungen'!$A$2:$A$492=$B$543)*(ROW('Eingabe Meldungen'!$A$2:$A$492)-1),COUNTIF('Eingabe Meldungen'!$A$2:$A$492,$B$543)+1-ROW('Eingabe Meldungen'!A16)))),"",INDEX('Eingabe Meldungen'!$D$2:$D$492,LARGE(('Eingabe Meldungen'!$A$2:$A$492=$B$543)*(ROW('Eingabe Meldungen'!$A$2:$A$492)-1),COUNTIF('Eingabe Meldungen'!$A$2:$A$492,$B$543)+1-ROW('Eingabe Meldungen'!A16))))</f>
        <v/>
      </c>
      <c r="D559" s="11" t="str">
        <f t="array" ref="D559">IF(B559&lt;&gt;"",INDEX('Eingabe Meldungen'!$C$2:$H$492,MATCH(B559&amp;C559,'Eingabe Meldungen'!$C$2:$C$492&amp;'Eingabe Meldungen'!$D$2:$D$492,0),6),"")</f>
        <v/>
      </c>
      <c r="E559" s="11" t="str">
        <f t="array" ref="E559">IF(B559&lt;&gt;"",INDEX('Eingabe Meldungen'!$C$2:$H$492,MATCH(B559&amp;C559,'Eingabe Meldungen'!$C$2:$C$492&amp;'Eingabe Meldungen'!$D$2:$D$492,0),4),"")</f>
        <v/>
      </c>
      <c r="F559" s="15">
        <v>15</v>
      </c>
      <c r="G559" s="75"/>
      <c r="H559" t="e">
        <f t="shared" si="27"/>
        <v>#N/A</v>
      </c>
      <c r="I559" s="21" t="str">
        <f t="array" ref="I559">IF(B559&lt;&gt;"",INDEX('Eingabe Meldungen'!$C$2:$J$492,MATCH(B559&amp;C559,'Eingabe Meldungen'!$C$2:$C$492&amp;'Eingabe Meldungen'!$D$2:$D$492,0),8),"")</f>
        <v/>
      </c>
    </row>
    <row r="560" spans="2:10" ht="13.2" hidden="1" thickBot="1" x14ac:dyDescent="0.25">
      <c r="B560" s="22" t="str">
        <f t="array" ref="B560">IF(ISERROR(INDEX('Eingabe Meldungen'!$C$2:$C$492,LARGE(('Eingabe Meldungen'!$A$2:$A$492=$B$543)*(ROW('Eingabe Meldungen'!$A$2:$A$492)-1),COUNTIF('Eingabe Meldungen'!$A$2:$A$492,$B$543)+1-ROW('Eingabe Meldungen'!A17)))),"",INDEX('Eingabe Meldungen'!$C$2:$C$492,LARGE(('Eingabe Meldungen'!$A$2:$A$492=$B$543)*(ROW('Eingabe Meldungen'!$A$2:$A$492)-1),COUNTIF('Eingabe Meldungen'!$A$2:$A$492,$B$543)+1-ROW('Eingabe Meldungen'!A17))))</f>
        <v/>
      </c>
      <c r="C560" s="14" t="str">
        <f t="array" ref="C560">IF(ISERROR(INDEX('Eingabe Meldungen'!$D$2:$D$492,LARGE(('Eingabe Meldungen'!$A$2:$A$492=$B$543)*(ROW('Eingabe Meldungen'!$A$2:$A$492)-1),COUNTIF('Eingabe Meldungen'!$A$2:$A$492,$B$543)+1-ROW('Eingabe Meldungen'!A17)))),"",INDEX('Eingabe Meldungen'!$D$2:$D$492,LARGE(('Eingabe Meldungen'!$A$2:$A$492=$B$543)*(ROW('Eingabe Meldungen'!$A$2:$A$492)-1),COUNTIF('Eingabe Meldungen'!$A$2:$A$492,$B$543)+1-ROW('Eingabe Meldungen'!A17))))</f>
        <v/>
      </c>
      <c r="D560" s="12" t="str">
        <f t="array" ref="D560">IF(B560&lt;&gt;"",INDEX('Eingabe Meldungen'!$C$2:$H$492,MATCH(B560&amp;C560,'Eingabe Meldungen'!$C$2:$C$492&amp;'Eingabe Meldungen'!$D$2:$D$492,0),6),"")</f>
        <v/>
      </c>
      <c r="E560" s="12" t="str">
        <f t="array" ref="E560">IF(B560&lt;&gt;"",INDEX('Eingabe Meldungen'!$C$2:$H$492,MATCH(B560&amp;C560,'Eingabe Meldungen'!$C$2:$C$492&amp;'Eingabe Meldungen'!$D$2:$D$492,0),4),"")</f>
        <v/>
      </c>
      <c r="F560" s="84">
        <v>16</v>
      </c>
      <c r="G560" s="76"/>
      <c r="H560" s="14" t="e">
        <f t="shared" si="27"/>
        <v>#N/A</v>
      </c>
      <c r="I560" s="23" t="str">
        <f t="array" ref="I560">IF(B560&lt;&gt;"",INDEX('Eingabe Meldungen'!$C$2:$J$492,MATCH(B560&amp;C560,'Eingabe Meldungen'!$C$2:$C$492&amp;'Eingabe Meldungen'!$D$2:$D$492,0),8),"")</f>
        <v/>
      </c>
      <c r="J560" s="14"/>
    </row>
    <row r="561" spans="2:12" hidden="1" x14ac:dyDescent="0.2"/>
    <row r="562" spans="2:12" ht="27.75" hidden="1" customHeight="1" x14ac:dyDescent="0.2">
      <c r="B562" s="26" t="e">
        <f>B543+1</f>
        <v>#REF!</v>
      </c>
      <c r="C562" s="65" t="e">
        <f>VLOOKUP(B562,Ausschreibung!$B$5:$I$35,2,FALSE)</f>
        <v>#REF!</v>
      </c>
      <c r="D562" s="27" t="e">
        <f>VLOOKUP(B562,Ausschreibung!$B$5:$I$35,3,FALSE)</f>
        <v>#REF!</v>
      </c>
      <c r="E562" s="68" t="e">
        <f>VLOOKUP(B562,Ausschreibung!$B$5:$I$35,4,FALSE)</f>
        <v>#REF!</v>
      </c>
      <c r="F562" s="68" t="e">
        <f>VLOOKUP(B562,Ausschreibung!$B$5:$I$35,5,FALSE)</f>
        <v>#REF!</v>
      </c>
      <c r="G562" s="65" t="e">
        <f>VLOOKUP(B562,Ausschreibung!$B$5:$I$35,6,FALSE)</f>
        <v>#REF!</v>
      </c>
      <c r="H562" s="65" t="e">
        <f>VLOOKUP(B562,Ausschreibung!$B$5:$I$35,8,FALSE)</f>
        <v>#REF!</v>
      </c>
      <c r="I562" s="28" t="s">
        <v>30</v>
      </c>
      <c r="J562" s="65"/>
      <c r="K562" s="72">
        <f>SUM(G583:G586)</f>
        <v>0</v>
      </c>
      <c r="L562" s="72"/>
    </row>
    <row r="563" spans="2:12" hidden="1" x14ac:dyDescent="0.2">
      <c r="B563" s="19" t="s">
        <v>1</v>
      </c>
      <c r="C563" s="18" t="s">
        <v>2</v>
      </c>
      <c r="D563" s="17" t="s">
        <v>49</v>
      </c>
      <c r="E563" s="25" t="s">
        <v>16</v>
      </c>
      <c r="F563" s="17" t="s">
        <v>18</v>
      </c>
      <c r="G563" s="73" t="s">
        <v>50</v>
      </c>
      <c r="H563" s="17" t="s">
        <v>51</v>
      </c>
      <c r="I563" s="30" t="s">
        <v>17</v>
      </c>
      <c r="J563" s="17"/>
    </row>
    <row r="564" spans="2:12" hidden="1" x14ac:dyDescent="0.2">
      <c r="B564" s="20" t="str">
        <f t="array" ref="B564">IF(ISERROR(INDEX('Eingabe Meldungen'!$C$2:$C$492,LARGE(('Eingabe Meldungen'!$A$2:$A$492=$B$562)*(ROW('Eingabe Meldungen'!$A$2:$A$492)-1),COUNTIF('Eingabe Meldungen'!$A$2:$A$492,$B$562)+1-ROW('Eingabe Meldungen'!A1)))),"",INDEX('Eingabe Meldungen'!$C$2:$C$492,LARGE(('Eingabe Meldungen'!$A$2:$A$492=$B$562)*(ROW('Eingabe Meldungen'!$A$2:$A$492)-1),COUNTIF('Eingabe Meldungen'!$A$2:$A$492,$B$562)+1-ROW('Eingabe Meldungen'!A1))))</f>
        <v/>
      </c>
      <c r="C564" t="str">
        <f t="array" ref="C564">IF(ISERROR(INDEX('Eingabe Meldungen'!$D$2:$D$492,LARGE(('Eingabe Meldungen'!$A$2:$A$492=$B$562)*(ROW('Eingabe Meldungen'!$A$2:$A$492)-1),COUNTIF('Eingabe Meldungen'!$A$2:$A$492,$B$562)+1-ROW('Eingabe Meldungen'!A1)))),"",INDEX('Eingabe Meldungen'!$D$2:$D$492,LARGE(('Eingabe Meldungen'!$A$2:$A$492=$B$562)*(ROW('Eingabe Meldungen'!$A$2:$A$492)-1),COUNTIF('Eingabe Meldungen'!$A$2:$A$492,$B$562)+1-ROW('Eingabe Meldungen'!A1))))</f>
        <v/>
      </c>
      <c r="D564" s="11" t="str">
        <f t="array" ref="D564">IF(B564&lt;&gt;"",INDEX('Eingabe Meldungen'!$C$2:$H$492,MATCH(B564&amp;C564,'Eingabe Meldungen'!$C$2:$C$492&amp;'Eingabe Meldungen'!$D$2:$D$492,0),6),"")</f>
        <v/>
      </c>
      <c r="E564" s="11" t="str">
        <f t="array" ref="E564">IF(B564&lt;&gt;"",INDEX('Eingabe Meldungen'!$C$2:$H$492,MATCH(B564&amp;C564,'Eingabe Meldungen'!$C$2:$C$492&amp;'Eingabe Meldungen'!$D$2:$D$492,0),4),"")</f>
        <v/>
      </c>
      <c r="F564" s="66">
        <v>1</v>
      </c>
      <c r="G564" s="74"/>
      <c r="H564" t="e">
        <f>RANK(G564,$G$564:$G$579,1)</f>
        <v>#N/A</v>
      </c>
      <c r="I564" s="21" t="str">
        <f t="array" ref="I564">IF(B564&lt;&gt;"",INDEX('Eingabe Meldungen'!$C$2:$J$492,MATCH(B564&amp;C564,'Eingabe Meldungen'!$C$2:$C$492&amp;'Eingabe Meldungen'!$D$2:$D$492,0),8),"")</f>
        <v/>
      </c>
    </row>
    <row r="565" spans="2:12" hidden="1" x14ac:dyDescent="0.2">
      <c r="B565" s="20" t="str">
        <f t="array" ref="B565">IF(ISERROR(INDEX('Eingabe Meldungen'!$C$2:$C$492,LARGE(('Eingabe Meldungen'!$A$2:$A$492=$B$562)*(ROW('Eingabe Meldungen'!$A$2:$A$492)-1),COUNTIF('Eingabe Meldungen'!$A$2:$A$492,$B$562)+1-ROW('Eingabe Meldungen'!A2)))),"",INDEX('Eingabe Meldungen'!$C$2:$C$492,LARGE(('Eingabe Meldungen'!$A$2:$A$492=$B$562)*(ROW('Eingabe Meldungen'!$A$2:$A$492)-1),COUNTIF('Eingabe Meldungen'!$A$2:$A$492,$B$562)+1-ROW('Eingabe Meldungen'!A2))))</f>
        <v/>
      </c>
      <c r="C565" t="str">
        <f t="array" ref="C565">IF(ISERROR(INDEX('Eingabe Meldungen'!$D$2:$D$492,LARGE(('Eingabe Meldungen'!$A$2:$A$492=$B$562)*(ROW('Eingabe Meldungen'!$A$2:$A$492)-1),COUNTIF('Eingabe Meldungen'!$A$2:$A$492,$B$562)+1-ROW('Eingabe Meldungen'!A2)))),"",INDEX('Eingabe Meldungen'!$D$2:$D$492,LARGE(('Eingabe Meldungen'!$A$2:$A$492=$B$562)*(ROW('Eingabe Meldungen'!$A$2:$A$492)-1),COUNTIF('Eingabe Meldungen'!$A$2:$A$492,$B$562)+1-ROW('Eingabe Meldungen'!A2))))</f>
        <v/>
      </c>
      <c r="D565" s="11" t="str">
        <f t="array" ref="D565">IF(B565&lt;&gt;"",INDEX('Eingabe Meldungen'!$C$2:$H$492,MATCH(B565&amp;C565,'Eingabe Meldungen'!$C$2:$C$492&amp;'Eingabe Meldungen'!$D$2:$D$492,0),6),"")</f>
        <v/>
      </c>
      <c r="E565" s="11" t="str">
        <f t="array" ref="E565">IF(B565&lt;&gt;"",INDEX('Eingabe Meldungen'!$C$2:$H$492,MATCH(B565&amp;C565,'Eingabe Meldungen'!$C$2:$C$492&amp;'Eingabe Meldungen'!$D$2:$D$492,0),4),"")</f>
        <v/>
      </c>
      <c r="F565" s="15">
        <v>2</v>
      </c>
      <c r="G565" s="74"/>
      <c r="H565" t="e">
        <f t="shared" ref="H565:H579" si="28">RANK(G565,$G$564:$G$579,1)</f>
        <v>#N/A</v>
      </c>
      <c r="I565" s="21" t="str">
        <f t="array" ref="I565">IF(B565&lt;&gt;"",INDEX('Eingabe Meldungen'!$C$2:$J$492,MATCH(B565&amp;C565,'Eingabe Meldungen'!$C$2:$C$492&amp;'Eingabe Meldungen'!$D$2:$D$492,0),8),"")</f>
        <v/>
      </c>
    </row>
    <row r="566" spans="2:12" hidden="1" x14ac:dyDescent="0.2">
      <c r="B566" s="20" t="str">
        <f t="array" ref="B566">IF(ISERROR(INDEX('Eingabe Meldungen'!$C$2:$C$492,LARGE(('Eingabe Meldungen'!$A$2:$A$492=$B$562)*(ROW('Eingabe Meldungen'!$A$2:$A$492)-1),COUNTIF('Eingabe Meldungen'!$A$2:$A$492,$B$562)+1-ROW('Eingabe Meldungen'!A3)))),"",INDEX('Eingabe Meldungen'!$C$2:$C$492,LARGE(('Eingabe Meldungen'!$A$2:$A$492=$B$562)*(ROW('Eingabe Meldungen'!$A$2:$A$492)-1),COUNTIF('Eingabe Meldungen'!$A$2:$A$492,$B$562)+1-ROW('Eingabe Meldungen'!A3))))</f>
        <v/>
      </c>
      <c r="C566" t="str">
        <f t="array" ref="C566">IF(ISERROR(INDEX('Eingabe Meldungen'!$D$2:$D$492,LARGE(('Eingabe Meldungen'!$A$2:$A$492=$B$562)*(ROW('Eingabe Meldungen'!$A$2:$A$492)-1),COUNTIF('Eingabe Meldungen'!$A$2:$A$492,$B$562)+1-ROW('Eingabe Meldungen'!A3)))),"",INDEX('Eingabe Meldungen'!$D$2:$D$492,LARGE(('Eingabe Meldungen'!$A$2:$A$492=$B$562)*(ROW('Eingabe Meldungen'!$A$2:$A$492)-1),COUNTIF('Eingabe Meldungen'!$A$2:$A$492,$B$562)+1-ROW('Eingabe Meldungen'!A3))))</f>
        <v/>
      </c>
      <c r="D566" s="11" t="str">
        <f t="array" ref="D566">IF(B566&lt;&gt;"",INDEX('Eingabe Meldungen'!$C$2:$H$492,MATCH(B566&amp;C566,'Eingabe Meldungen'!$C$2:$C$492&amp;'Eingabe Meldungen'!$D$2:$D$492,0),6),"")</f>
        <v/>
      </c>
      <c r="E566" s="11" t="str">
        <f t="array" ref="E566">IF(B566&lt;&gt;"",INDEX('Eingabe Meldungen'!$C$2:$H$492,MATCH(B566&amp;C566,'Eingabe Meldungen'!$C$2:$C$492&amp;'Eingabe Meldungen'!$D$2:$D$492,0),4),"")</f>
        <v/>
      </c>
      <c r="F566" s="15">
        <v>3</v>
      </c>
      <c r="G566" s="75"/>
      <c r="H566" t="e">
        <f t="shared" si="28"/>
        <v>#N/A</v>
      </c>
      <c r="I566" s="21" t="str">
        <f t="array" ref="I566">IF(B566&lt;&gt;"",INDEX('Eingabe Meldungen'!$C$2:$J$492,MATCH(B566&amp;C566,'Eingabe Meldungen'!$C$2:$C$492&amp;'Eingabe Meldungen'!$D$2:$D$492,0),8),"")</f>
        <v/>
      </c>
      <c r="K566" s="72">
        <f>SUM(G587:G590)</f>
        <v>0</v>
      </c>
      <c r="L566" s="72"/>
    </row>
    <row r="567" spans="2:12" hidden="1" x14ac:dyDescent="0.2">
      <c r="B567" s="20" t="str">
        <f t="array" ref="B567">IF(ISERROR(INDEX('Eingabe Meldungen'!$C$2:$C$492,LARGE(('Eingabe Meldungen'!$A$2:$A$492=$B$562)*(ROW('Eingabe Meldungen'!$A$2:$A$492)-1),COUNTIF('Eingabe Meldungen'!$A$2:$A$492,$B$562)+1-ROW('Eingabe Meldungen'!A4)))),"",INDEX('Eingabe Meldungen'!$C$2:$C$492,LARGE(('Eingabe Meldungen'!$A$2:$A$492=$B$562)*(ROW('Eingabe Meldungen'!$A$2:$A$492)-1),COUNTIF('Eingabe Meldungen'!$A$2:$A$492,$B$562)+1-ROW('Eingabe Meldungen'!A4))))</f>
        <v/>
      </c>
      <c r="C567" t="str">
        <f t="array" ref="C567">IF(ISERROR(INDEX('Eingabe Meldungen'!$D$2:$D$492,LARGE(('Eingabe Meldungen'!$A$2:$A$492=$B$562)*(ROW('Eingabe Meldungen'!$A$2:$A$492)-1),COUNTIF('Eingabe Meldungen'!$A$2:$A$492,$B$562)+1-ROW('Eingabe Meldungen'!A4)))),"",INDEX('Eingabe Meldungen'!$D$2:$D$492,LARGE(('Eingabe Meldungen'!$A$2:$A$492=$B$562)*(ROW('Eingabe Meldungen'!$A$2:$A$492)-1),COUNTIF('Eingabe Meldungen'!$A$2:$A$492,$B$562)+1-ROW('Eingabe Meldungen'!A4))))</f>
        <v/>
      </c>
      <c r="D567" s="11" t="str">
        <f t="array" ref="D567">IF(B567&lt;&gt;"",INDEX('Eingabe Meldungen'!$C$2:$H$492,MATCH(B567&amp;C567,'Eingabe Meldungen'!$C$2:$C$492&amp;'Eingabe Meldungen'!$D$2:$D$492,0),6),"")</f>
        <v/>
      </c>
      <c r="E567" s="11" t="str">
        <f t="array" ref="E567">IF(B567&lt;&gt;"",INDEX('Eingabe Meldungen'!$C$2:$H$492,MATCH(B567&amp;C567,'Eingabe Meldungen'!$C$2:$C$492&amp;'Eingabe Meldungen'!$D$2:$D$492,0),4),"")</f>
        <v/>
      </c>
      <c r="F567" s="15">
        <v>4</v>
      </c>
      <c r="G567" s="75"/>
      <c r="H567" t="e">
        <f t="shared" si="28"/>
        <v>#N/A</v>
      </c>
      <c r="I567" s="21" t="str">
        <f t="array" ref="I567">IF(B567&lt;&gt;"",INDEX('Eingabe Meldungen'!$C$2:$J$492,MATCH(B567&amp;C567,'Eingabe Meldungen'!$C$2:$C$492&amp;'Eingabe Meldungen'!$D$2:$D$492,0),8),"")</f>
        <v/>
      </c>
    </row>
    <row r="568" spans="2:12" hidden="1" x14ac:dyDescent="0.2">
      <c r="B568" s="20" t="str">
        <f t="array" ref="B568">IF(ISERROR(INDEX('Eingabe Meldungen'!$C$2:$C$492,LARGE(('Eingabe Meldungen'!$A$2:$A$492=$B$562)*(ROW('Eingabe Meldungen'!$A$2:$A$492)-1),COUNTIF('Eingabe Meldungen'!$A$2:$A$492,$B$562)+1-ROW('Eingabe Meldungen'!A5)))),"",INDEX('Eingabe Meldungen'!$C$2:$C$492,LARGE(('Eingabe Meldungen'!$A$2:$A$492=$B$562)*(ROW('Eingabe Meldungen'!$A$2:$A$492)-1),COUNTIF('Eingabe Meldungen'!$A$2:$A$492,$B$562)+1-ROW('Eingabe Meldungen'!A5))))</f>
        <v/>
      </c>
      <c r="C568" t="str">
        <f t="array" ref="C568">IF(ISERROR(INDEX('Eingabe Meldungen'!$D$2:$D$492,LARGE(('Eingabe Meldungen'!$A$2:$A$492=$B$562)*(ROW('Eingabe Meldungen'!$A$2:$A$492)-1),COUNTIF('Eingabe Meldungen'!$A$2:$A$492,$B$562)+1-ROW('Eingabe Meldungen'!A5)))),"",INDEX('Eingabe Meldungen'!$D$2:$D$492,LARGE(('Eingabe Meldungen'!$A$2:$A$492=$B$562)*(ROW('Eingabe Meldungen'!$A$2:$A$492)-1),COUNTIF('Eingabe Meldungen'!$A$2:$A$492,$B$562)+1-ROW('Eingabe Meldungen'!A5))))</f>
        <v/>
      </c>
      <c r="D568" s="11" t="str">
        <f t="array" ref="D568">IF(B568&lt;&gt;"",INDEX('Eingabe Meldungen'!$C$2:$H$492,MATCH(B568&amp;C568,'Eingabe Meldungen'!$C$2:$C$492&amp;'Eingabe Meldungen'!$D$2:$D$492,0),6),"")</f>
        <v/>
      </c>
      <c r="E568" s="11" t="str">
        <f t="array" ref="E568">IF(B568&lt;&gt;"",INDEX('Eingabe Meldungen'!$C$2:$H$492,MATCH(B568&amp;C568,'Eingabe Meldungen'!$C$2:$C$492&amp;'Eingabe Meldungen'!$D$2:$D$492,0),4),"")</f>
        <v/>
      </c>
      <c r="F568" s="15">
        <v>5</v>
      </c>
      <c r="G568" s="75"/>
      <c r="H568" t="e">
        <f t="shared" si="28"/>
        <v>#N/A</v>
      </c>
      <c r="I568" s="21" t="str">
        <f t="array" ref="I568">IF(B568&lt;&gt;"",INDEX('Eingabe Meldungen'!$C$2:$J$492,MATCH(B568&amp;C568,'Eingabe Meldungen'!$C$2:$C$492&amp;'Eingabe Meldungen'!$D$2:$D$492,0),8),"")</f>
        <v/>
      </c>
    </row>
    <row r="569" spans="2:12" hidden="1" x14ac:dyDescent="0.2">
      <c r="B569" s="20" t="str">
        <f t="array" ref="B569">IF(ISERROR(INDEX('Eingabe Meldungen'!$C$2:$C$492,LARGE(('Eingabe Meldungen'!$A$2:$A$492=$B$562)*(ROW('Eingabe Meldungen'!$A$2:$A$492)-1),COUNTIF('Eingabe Meldungen'!$A$2:$A$492,$B$562)+1-ROW('Eingabe Meldungen'!A6)))),"",INDEX('Eingabe Meldungen'!$C$2:$C$492,LARGE(('Eingabe Meldungen'!$A$2:$A$492=$B$562)*(ROW('Eingabe Meldungen'!$A$2:$A$492)-1),COUNTIF('Eingabe Meldungen'!$A$2:$A$492,$B$562)+1-ROW('Eingabe Meldungen'!A6))))</f>
        <v/>
      </c>
      <c r="C569" t="str">
        <f t="array" ref="C569">IF(ISERROR(INDEX('Eingabe Meldungen'!$D$2:$D$492,LARGE(('Eingabe Meldungen'!$A$2:$A$492=$B$562)*(ROW('Eingabe Meldungen'!$A$2:$A$492)-1),COUNTIF('Eingabe Meldungen'!$A$2:$A$492,$B$562)+1-ROW('Eingabe Meldungen'!A6)))),"",INDEX('Eingabe Meldungen'!$D$2:$D$492,LARGE(('Eingabe Meldungen'!$A$2:$A$492=$B$562)*(ROW('Eingabe Meldungen'!$A$2:$A$492)-1),COUNTIF('Eingabe Meldungen'!$A$2:$A$492,$B$562)+1-ROW('Eingabe Meldungen'!A6))))</f>
        <v/>
      </c>
      <c r="D569" s="11" t="str">
        <f t="array" ref="D569">IF(B569&lt;&gt;"",INDEX('Eingabe Meldungen'!$C$2:$H$492,MATCH(B569&amp;C569,'Eingabe Meldungen'!$C$2:$C$492&amp;'Eingabe Meldungen'!$D$2:$D$492,0),6),"")</f>
        <v/>
      </c>
      <c r="E569" s="11" t="str">
        <f t="array" ref="E569">IF(B569&lt;&gt;"",INDEX('Eingabe Meldungen'!$C$2:$H$492,MATCH(B569&amp;C569,'Eingabe Meldungen'!$C$2:$C$492&amp;'Eingabe Meldungen'!$D$2:$D$492,0),4),"")</f>
        <v/>
      </c>
      <c r="F569" s="15">
        <v>6</v>
      </c>
      <c r="G569" s="75"/>
      <c r="H569" t="e">
        <f t="shared" si="28"/>
        <v>#N/A</v>
      </c>
      <c r="I569" s="21" t="str">
        <f t="array" ref="I569">IF(B569&lt;&gt;"",INDEX('Eingabe Meldungen'!$C$2:$J$492,MATCH(B569&amp;C569,'Eingabe Meldungen'!$C$2:$C$492&amp;'Eingabe Meldungen'!$D$2:$D$492,0),8),"")</f>
        <v/>
      </c>
    </row>
    <row r="570" spans="2:12" hidden="1" x14ac:dyDescent="0.2">
      <c r="B570" s="20" t="str">
        <f t="array" ref="B570">IF(ISERROR(INDEX('Eingabe Meldungen'!$C$2:$C$492,LARGE(('Eingabe Meldungen'!$A$2:$A$492=$B$562)*(ROW('Eingabe Meldungen'!$A$2:$A$492)-1),COUNTIF('Eingabe Meldungen'!$A$2:$A$492,$B$562)+1-ROW('Eingabe Meldungen'!A8)))),"",INDEX('Eingabe Meldungen'!$C$2:$C$492,LARGE(('Eingabe Meldungen'!$A$2:$A$492=$B$562)*(ROW('Eingabe Meldungen'!$A$2:$A$492)-1),COUNTIF('Eingabe Meldungen'!$A$2:$A$492,$B$562)+1-ROW('Eingabe Meldungen'!A8))))</f>
        <v/>
      </c>
      <c r="C570" t="str">
        <f t="array" ref="C570">IF(ISERROR(INDEX('Eingabe Meldungen'!$D$2:$D$492,LARGE(('Eingabe Meldungen'!$A$2:$A$492=$B$562)*(ROW('Eingabe Meldungen'!$A$2:$A$492)-1),COUNTIF('Eingabe Meldungen'!$A$2:$A$492,$B$562)+1-ROW('Eingabe Meldungen'!A8)))),"",INDEX('Eingabe Meldungen'!$D$2:$D$492,LARGE(('Eingabe Meldungen'!$A$2:$A$492=$B$562)*(ROW('Eingabe Meldungen'!$A$2:$A$492)-1),COUNTIF('Eingabe Meldungen'!$A$2:$A$492,$B$562)+1-ROW('Eingabe Meldungen'!A8))))</f>
        <v/>
      </c>
      <c r="D570" s="11" t="str">
        <f t="array" ref="D570">IF(B570&lt;&gt;"",INDEX('Eingabe Meldungen'!$C$2:$H$492,MATCH(B570&amp;C570,'Eingabe Meldungen'!$C$2:$C$492&amp;'Eingabe Meldungen'!$D$2:$D$492,0),6),"")</f>
        <v/>
      </c>
      <c r="E570" s="11" t="str">
        <f t="array" ref="E570">IF(B570&lt;&gt;"",INDEX('Eingabe Meldungen'!$C$2:$H$492,MATCH(B570&amp;C570,'Eingabe Meldungen'!$C$2:$C$492&amp;'Eingabe Meldungen'!$D$2:$D$492,0),4),"")</f>
        <v/>
      </c>
      <c r="F570" s="15">
        <v>7</v>
      </c>
      <c r="G570" s="75"/>
      <c r="H570" t="e">
        <f t="shared" si="28"/>
        <v>#N/A</v>
      </c>
      <c r="I570" s="21" t="str">
        <f t="array" ref="I570">IF(B570&lt;&gt;"",INDEX('Eingabe Meldungen'!$C$2:$J$492,MATCH(B570&amp;C570,'Eingabe Meldungen'!$C$2:$C$492&amp;'Eingabe Meldungen'!$D$2:$D$492,0),8),"")</f>
        <v/>
      </c>
      <c r="K570" s="72">
        <f>SUM(G591:G594)</f>
        <v>0</v>
      </c>
      <c r="L570" s="72"/>
    </row>
    <row r="571" spans="2:12" hidden="1" x14ac:dyDescent="0.2">
      <c r="B571" s="20" t="str">
        <f t="array" ref="B571">IF(ISERROR(INDEX('Eingabe Meldungen'!$C$2:$C$492,LARGE(('Eingabe Meldungen'!$A$2:$A$492=$B$562)*(ROW('Eingabe Meldungen'!$A$2:$A$492)-1),COUNTIF('Eingabe Meldungen'!$A$2:$A$492,$B$562)+1-ROW('Eingabe Meldungen'!A9)))),"",INDEX('Eingabe Meldungen'!$C$2:$C$492,LARGE(('Eingabe Meldungen'!$A$2:$A$492=$B$562)*(ROW('Eingabe Meldungen'!$A$2:$A$492)-1),COUNTIF('Eingabe Meldungen'!$A$2:$A$492,$B$562)+1-ROW('Eingabe Meldungen'!A9))))</f>
        <v/>
      </c>
      <c r="C571" t="str">
        <f t="array" ref="C571">IF(ISERROR(INDEX('Eingabe Meldungen'!$D$2:$D$492,LARGE(('Eingabe Meldungen'!$A$2:$A$492=$B$562)*(ROW('Eingabe Meldungen'!$A$2:$A$492)-1),COUNTIF('Eingabe Meldungen'!$A$2:$A$492,$B$562)+1-ROW('Eingabe Meldungen'!A9)))),"",INDEX('Eingabe Meldungen'!$D$2:$D$492,LARGE(('Eingabe Meldungen'!$A$2:$A$492=$B$562)*(ROW('Eingabe Meldungen'!$A$2:$A$492)-1),COUNTIF('Eingabe Meldungen'!$A$2:$A$492,$B$562)+1-ROW('Eingabe Meldungen'!A9))))</f>
        <v/>
      </c>
      <c r="D571" s="11" t="str">
        <f t="array" ref="D571">IF(B571&lt;&gt;"",INDEX('Eingabe Meldungen'!$C$2:$H$492,MATCH(B571&amp;C571,'Eingabe Meldungen'!$C$2:$C$492&amp;'Eingabe Meldungen'!$D$2:$D$492,0),6),"")</f>
        <v/>
      </c>
      <c r="E571" s="11" t="str">
        <f t="array" ref="E571">IF(B571&lt;&gt;"",INDEX('Eingabe Meldungen'!$C$2:$H$492,MATCH(B571&amp;C571,'Eingabe Meldungen'!$C$2:$C$492&amp;'Eingabe Meldungen'!$D$2:$D$492,0),4),"")</f>
        <v/>
      </c>
      <c r="F571" s="15">
        <v>8</v>
      </c>
      <c r="G571" s="75"/>
      <c r="H571" t="e">
        <f t="shared" si="28"/>
        <v>#N/A</v>
      </c>
      <c r="I571" s="21" t="str">
        <f t="array" ref="I571">IF(B571&lt;&gt;"",INDEX('Eingabe Meldungen'!$C$2:$J$492,MATCH(B571&amp;C571,'Eingabe Meldungen'!$C$2:$C$492&amp;'Eingabe Meldungen'!$D$2:$D$492,0),8),"")</f>
        <v/>
      </c>
    </row>
    <row r="572" spans="2:12" hidden="1" x14ac:dyDescent="0.2">
      <c r="B572" s="20" t="str">
        <f t="array" ref="B572">IF(ISERROR(INDEX('Eingabe Meldungen'!$C$2:$C$492,LARGE(('Eingabe Meldungen'!$A$2:$A$492=$B$562)*(ROW('Eingabe Meldungen'!$A$2:$A$492)-1),COUNTIF('Eingabe Meldungen'!$A$2:$A$492,$B$562)+1-ROW('Eingabe Meldungen'!A10)))),"",INDEX('Eingabe Meldungen'!$C$2:$C$492,LARGE(('Eingabe Meldungen'!$A$2:$A$492=$B$562)*(ROW('Eingabe Meldungen'!$A$2:$A$492)-1),COUNTIF('Eingabe Meldungen'!$A$2:$A$492,$B$562)+1-ROW('Eingabe Meldungen'!A10))))</f>
        <v/>
      </c>
      <c r="C572" t="str">
        <f t="array" ref="C572">IF(ISERROR(INDEX('Eingabe Meldungen'!$D$2:$D$492,LARGE(('Eingabe Meldungen'!$A$2:$A$492=$B$562)*(ROW('Eingabe Meldungen'!$A$2:$A$492)-1),COUNTIF('Eingabe Meldungen'!$A$2:$A$492,$B$562)+1-ROW('Eingabe Meldungen'!A10)))),"",INDEX('Eingabe Meldungen'!$D$2:$D$492,LARGE(('Eingabe Meldungen'!$A$2:$A$492=$B$562)*(ROW('Eingabe Meldungen'!$A$2:$A$492)-1),COUNTIF('Eingabe Meldungen'!$A$2:$A$492,$B$562)+1-ROW('Eingabe Meldungen'!A10))))</f>
        <v/>
      </c>
      <c r="D572" s="11" t="str">
        <f t="array" ref="D572">IF(B572&lt;&gt;"",INDEX('Eingabe Meldungen'!$C$2:$H$492,MATCH(B572&amp;C572,'Eingabe Meldungen'!$C$2:$C$492&amp;'Eingabe Meldungen'!$D$2:$D$492,0),6),"")</f>
        <v/>
      </c>
      <c r="E572" s="11" t="str">
        <f t="array" ref="E572">IF(B572&lt;&gt;"",INDEX('Eingabe Meldungen'!$C$2:$H$492,MATCH(B572&amp;C572,'Eingabe Meldungen'!$C$2:$C$492&amp;'Eingabe Meldungen'!$D$2:$D$492,0),4),"")</f>
        <v/>
      </c>
      <c r="F572" s="15">
        <v>9</v>
      </c>
      <c r="G572" s="75"/>
      <c r="H572" t="e">
        <f t="shared" si="28"/>
        <v>#N/A</v>
      </c>
      <c r="I572" s="21" t="str">
        <f t="array" ref="I572">IF(B572&lt;&gt;"",INDEX('Eingabe Meldungen'!$C$2:$J$492,MATCH(B572&amp;C572,'Eingabe Meldungen'!$C$2:$C$492&amp;'Eingabe Meldungen'!$D$2:$D$492,0),8),"")</f>
        <v/>
      </c>
    </row>
    <row r="573" spans="2:12" hidden="1" x14ac:dyDescent="0.2">
      <c r="B573" s="20" t="str">
        <f t="array" ref="B573">IF(ISERROR(INDEX('Eingabe Meldungen'!$C$2:$C$492,LARGE(('Eingabe Meldungen'!$A$2:$A$492=$B$562)*(ROW('Eingabe Meldungen'!$A$2:$A$492)-1),COUNTIF('Eingabe Meldungen'!$A$2:$A$492,$B$562)+1-ROW('Eingabe Meldungen'!A11)))),"",INDEX('Eingabe Meldungen'!$C$2:$C$492,LARGE(('Eingabe Meldungen'!$A$2:$A$492=$B$562)*(ROW('Eingabe Meldungen'!$A$2:$A$492)-1),COUNTIF('Eingabe Meldungen'!$A$2:$A$492,$B$562)+1-ROW('Eingabe Meldungen'!A11))))</f>
        <v/>
      </c>
      <c r="C573" t="str">
        <f t="array" ref="C573">IF(ISERROR(INDEX('Eingabe Meldungen'!$D$2:$D$492,LARGE(('Eingabe Meldungen'!$A$2:$A$492=$B$562)*(ROW('Eingabe Meldungen'!$A$2:$A$492)-1),COUNTIF('Eingabe Meldungen'!$A$2:$A$492,$B$562)+1-ROW('Eingabe Meldungen'!A11)))),"",INDEX('Eingabe Meldungen'!$D$2:$D$492,LARGE(('Eingabe Meldungen'!$A$2:$A$492=$B$562)*(ROW('Eingabe Meldungen'!$A$2:$A$492)-1),COUNTIF('Eingabe Meldungen'!$A$2:$A$492,$B$562)+1-ROW('Eingabe Meldungen'!A11))))</f>
        <v/>
      </c>
      <c r="D573" s="11" t="str">
        <f t="array" ref="D573">IF(B573&lt;&gt;"",INDEX('Eingabe Meldungen'!$C$2:$H$492,MATCH(B573&amp;C573,'Eingabe Meldungen'!$C$2:$C$492&amp;'Eingabe Meldungen'!$D$2:$D$492,0),6),"")</f>
        <v/>
      </c>
      <c r="E573" s="11" t="str">
        <f t="array" ref="E573">IF(B573&lt;&gt;"",INDEX('Eingabe Meldungen'!$C$2:$H$492,MATCH(B573&amp;C573,'Eingabe Meldungen'!$C$2:$C$492&amp;'Eingabe Meldungen'!$D$2:$D$492,0),4),"")</f>
        <v/>
      </c>
      <c r="F573" s="15">
        <v>10</v>
      </c>
      <c r="G573" s="75"/>
      <c r="H573" t="e">
        <f t="shared" si="28"/>
        <v>#N/A</v>
      </c>
      <c r="I573" s="21" t="str">
        <f t="array" ref="I573">IF(B573&lt;&gt;"",INDEX('Eingabe Meldungen'!$C$2:$J$492,MATCH(B573&amp;C573,'Eingabe Meldungen'!$C$2:$C$492&amp;'Eingabe Meldungen'!$D$2:$D$492,0),8),"")</f>
        <v/>
      </c>
    </row>
    <row r="574" spans="2:12" hidden="1" x14ac:dyDescent="0.2">
      <c r="B574" s="20" t="str">
        <f t="array" ref="B574">IF(ISERROR(INDEX('Eingabe Meldungen'!$C$2:$C$492,LARGE(('Eingabe Meldungen'!$A$2:$A$492=$B$562)*(ROW('Eingabe Meldungen'!$A$2:$A$492)-1),COUNTIF('Eingabe Meldungen'!$A$2:$A$492,$B$562)+1-ROW('Eingabe Meldungen'!A12)))),"",INDEX('Eingabe Meldungen'!$C$2:$C$492,LARGE(('Eingabe Meldungen'!$A$2:$A$492=$B$562)*(ROW('Eingabe Meldungen'!$A$2:$A$492)-1),COUNTIF('Eingabe Meldungen'!$A$2:$A$492,$B$562)+1-ROW('Eingabe Meldungen'!A12))))</f>
        <v/>
      </c>
      <c r="C574" t="str">
        <f t="array" ref="C574">IF(ISERROR(INDEX('Eingabe Meldungen'!$D$2:$D$492,LARGE(('Eingabe Meldungen'!$A$2:$A$492=$B$562)*(ROW('Eingabe Meldungen'!$A$2:$A$492)-1),COUNTIF('Eingabe Meldungen'!$A$2:$A$492,$B$562)+1-ROW('Eingabe Meldungen'!A12)))),"",INDEX('Eingabe Meldungen'!$D$2:$D$492,LARGE(('Eingabe Meldungen'!$A$2:$A$492=$B$562)*(ROW('Eingabe Meldungen'!$A$2:$A$492)-1),COUNTIF('Eingabe Meldungen'!$A$2:$A$492,$B$562)+1-ROW('Eingabe Meldungen'!A12))))</f>
        <v/>
      </c>
      <c r="D574" s="11" t="str">
        <f t="array" ref="D574">IF(B574&lt;&gt;"",INDEX('Eingabe Meldungen'!$C$2:$H$492,MATCH(B574&amp;C574,'Eingabe Meldungen'!$C$2:$C$492&amp;'Eingabe Meldungen'!$D$2:$D$492,0),6),"")</f>
        <v/>
      </c>
      <c r="E574" s="11" t="str">
        <f t="array" ref="E574">IF(B574&lt;&gt;"",INDEX('Eingabe Meldungen'!$C$2:$H$492,MATCH(B574&amp;C574,'Eingabe Meldungen'!$C$2:$C$492&amp;'Eingabe Meldungen'!$D$2:$D$492,0),4),"")</f>
        <v/>
      </c>
      <c r="F574" s="15">
        <v>11</v>
      </c>
      <c r="G574" s="75"/>
      <c r="H574" t="e">
        <f t="shared" si="28"/>
        <v>#N/A</v>
      </c>
      <c r="I574" s="21" t="str">
        <f t="array" ref="I574">IF(B574&lt;&gt;"",INDEX('Eingabe Meldungen'!$C$2:$J$492,MATCH(B574&amp;C574,'Eingabe Meldungen'!$C$2:$C$492&amp;'Eingabe Meldungen'!$D$2:$D$492,0),8),"")</f>
        <v/>
      </c>
      <c r="K574" s="72">
        <f>SUM(G595:G598)</f>
        <v>0</v>
      </c>
      <c r="L574" s="72"/>
    </row>
    <row r="575" spans="2:12" hidden="1" x14ac:dyDescent="0.2">
      <c r="B575" s="20" t="str">
        <f t="array" ref="B575">IF(ISERROR(INDEX('Eingabe Meldungen'!$C$2:$C$492,LARGE(('Eingabe Meldungen'!$A$2:$A$492=$B$562)*(ROW('Eingabe Meldungen'!$A$2:$A$492)-1),COUNTIF('Eingabe Meldungen'!$A$2:$A$492,$B$562)+1-ROW('Eingabe Meldungen'!A13)))),"",INDEX('Eingabe Meldungen'!$C$2:$C$492,LARGE(('Eingabe Meldungen'!$A$2:$A$492=$B$562)*(ROW('Eingabe Meldungen'!$A$2:$A$492)-1),COUNTIF('Eingabe Meldungen'!$A$2:$A$492,$B$562)+1-ROW('Eingabe Meldungen'!A13))))</f>
        <v/>
      </c>
      <c r="C575" t="str">
        <f t="array" ref="C575">IF(ISERROR(INDEX('Eingabe Meldungen'!$D$2:$D$492,LARGE(('Eingabe Meldungen'!$A$2:$A$492=$B$562)*(ROW('Eingabe Meldungen'!$A$2:$A$492)-1),COUNTIF('Eingabe Meldungen'!$A$2:$A$492,$B$562)+1-ROW('Eingabe Meldungen'!A13)))),"",INDEX('Eingabe Meldungen'!$D$2:$D$492,LARGE(('Eingabe Meldungen'!$A$2:$A$492=$B$562)*(ROW('Eingabe Meldungen'!$A$2:$A$492)-1),COUNTIF('Eingabe Meldungen'!$A$2:$A$492,$B$562)+1-ROW('Eingabe Meldungen'!A13))))</f>
        <v/>
      </c>
      <c r="D575" s="11" t="str">
        <f t="array" ref="D575">IF(B575&lt;&gt;"",INDEX('Eingabe Meldungen'!$C$2:$H$492,MATCH(B575&amp;C575,'Eingabe Meldungen'!$C$2:$C$492&amp;'Eingabe Meldungen'!$D$2:$D$492,0),6),"")</f>
        <v/>
      </c>
      <c r="E575" s="11" t="str">
        <f t="array" ref="E575">IF(B575&lt;&gt;"",INDEX('Eingabe Meldungen'!$C$2:$H$492,MATCH(B575&amp;C575,'Eingabe Meldungen'!$C$2:$C$492&amp;'Eingabe Meldungen'!$D$2:$D$492,0),4),"")</f>
        <v/>
      </c>
      <c r="F575" s="15">
        <v>12</v>
      </c>
      <c r="G575" s="75"/>
      <c r="H575" t="e">
        <f t="shared" si="28"/>
        <v>#N/A</v>
      </c>
      <c r="I575" s="21" t="str">
        <f t="array" ref="I575">IF(B575&lt;&gt;"",INDEX('Eingabe Meldungen'!$C$2:$J$492,MATCH(B575&amp;C575,'Eingabe Meldungen'!$C$2:$C$492&amp;'Eingabe Meldungen'!$D$2:$D$492,0),8),"")</f>
        <v/>
      </c>
    </row>
    <row r="576" spans="2:12" hidden="1" x14ac:dyDescent="0.2">
      <c r="B576" s="20" t="str">
        <f t="array" ref="B576">IF(ISERROR(INDEX('Eingabe Meldungen'!$C$2:$C$492,LARGE(('Eingabe Meldungen'!$A$2:$A$492=$B$562)*(ROW('Eingabe Meldungen'!$A$2:$A$492)-1),COUNTIF('Eingabe Meldungen'!$A$2:$A$492,$B$562)+1-ROW('Eingabe Meldungen'!A14)))),"",INDEX('Eingabe Meldungen'!$C$2:$C$492,LARGE(('Eingabe Meldungen'!$A$2:$A$492=$B$562)*(ROW('Eingabe Meldungen'!$A$2:$A$492)-1),COUNTIF('Eingabe Meldungen'!$A$2:$A$492,$B$562)+1-ROW('Eingabe Meldungen'!A14))))</f>
        <v/>
      </c>
      <c r="C576" t="str">
        <f t="array" ref="C576">IF(ISERROR(INDEX('Eingabe Meldungen'!$D$2:$D$492,LARGE(('Eingabe Meldungen'!$A$2:$A$492=$B$562)*(ROW('Eingabe Meldungen'!$A$2:$A$492)-1),COUNTIF('Eingabe Meldungen'!$A$2:$A$492,$B$562)+1-ROW('Eingabe Meldungen'!A14)))),"",INDEX('Eingabe Meldungen'!$D$2:$D$492,LARGE(('Eingabe Meldungen'!$A$2:$A$492=$B$562)*(ROW('Eingabe Meldungen'!$A$2:$A$492)-1),COUNTIF('Eingabe Meldungen'!$A$2:$A$492,$B$562)+1-ROW('Eingabe Meldungen'!A14))))</f>
        <v/>
      </c>
      <c r="D576" s="11" t="str">
        <f t="array" ref="D576">IF(B576&lt;&gt;"",INDEX('Eingabe Meldungen'!$C$2:$H$492,MATCH(B576&amp;C576,'Eingabe Meldungen'!$C$2:$C$492&amp;'Eingabe Meldungen'!$D$2:$D$492,0),6),"")</f>
        <v/>
      </c>
      <c r="E576" s="11" t="str">
        <f t="array" ref="E576">IF(B576&lt;&gt;"",INDEX('Eingabe Meldungen'!$C$2:$H$492,MATCH(B576&amp;C576,'Eingabe Meldungen'!$C$2:$C$492&amp;'Eingabe Meldungen'!$D$2:$D$492,0),4),"")</f>
        <v/>
      </c>
      <c r="F576" s="15">
        <v>13</v>
      </c>
      <c r="G576" s="75"/>
      <c r="H576" t="e">
        <f t="shared" si="28"/>
        <v>#N/A</v>
      </c>
      <c r="I576" s="21" t="str">
        <f t="array" ref="I576">IF(B576&lt;&gt;"",INDEX('Eingabe Meldungen'!$C$2:$J$492,MATCH(B576&amp;C576,'Eingabe Meldungen'!$C$2:$C$492&amp;'Eingabe Meldungen'!$D$2:$D$492,0),8),"")</f>
        <v/>
      </c>
    </row>
    <row r="577" spans="2:12" hidden="1" x14ac:dyDescent="0.2">
      <c r="B577" s="20" t="str">
        <f t="array" ref="B577">IF(ISERROR(INDEX('Eingabe Meldungen'!$C$2:$C$492,LARGE(('Eingabe Meldungen'!$A$2:$A$492=$B$562)*(ROW('Eingabe Meldungen'!$A$2:$A$492)-1),COUNTIF('Eingabe Meldungen'!$A$2:$A$492,$B$562)+1-ROW('Eingabe Meldungen'!A15)))),"",INDEX('Eingabe Meldungen'!$C$2:$C$492,LARGE(('Eingabe Meldungen'!$A$2:$A$492=$B$562)*(ROW('Eingabe Meldungen'!$A$2:$A$492)-1),COUNTIF('Eingabe Meldungen'!$A$2:$A$492,$B$562)+1-ROW('Eingabe Meldungen'!A15))))</f>
        <v/>
      </c>
      <c r="C577" t="str">
        <f t="array" ref="C577">IF(ISERROR(INDEX('Eingabe Meldungen'!$D$2:$D$492,LARGE(('Eingabe Meldungen'!$A$2:$A$492=$B$562)*(ROW('Eingabe Meldungen'!$A$2:$A$492)-1),COUNTIF('Eingabe Meldungen'!$A$2:$A$492,$B$562)+1-ROW('Eingabe Meldungen'!A15)))),"",INDEX('Eingabe Meldungen'!$D$2:$D$492,LARGE(('Eingabe Meldungen'!$A$2:$A$492=$B$562)*(ROW('Eingabe Meldungen'!$A$2:$A$492)-1),COUNTIF('Eingabe Meldungen'!$A$2:$A$492,$B$562)+1-ROW('Eingabe Meldungen'!A15))))</f>
        <v/>
      </c>
      <c r="D577" s="11" t="str">
        <f t="array" ref="D577">IF(B577&lt;&gt;"",INDEX('Eingabe Meldungen'!$C$2:$H$492,MATCH(B577&amp;C577,'Eingabe Meldungen'!$C$2:$C$492&amp;'Eingabe Meldungen'!$D$2:$D$492,0),6),"")</f>
        <v/>
      </c>
      <c r="E577" s="11" t="str">
        <f t="array" ref="E577">IF(B577&lt;&gt;"",INDEX('Eingabe Meldungen'!$C$2:$H$492,MATCH(B577&amp;C577,'Eingabe Meldungen'!$C$2:$C$492&amp;'Eingabe Meldungen'!$D$2:$D$492,0),4),"")</f>
        <v/>
      </c>
      <c r="F577" s="15">
        <v>14</v>
      </c>
      <c r="G577" s="75"/>
      <c r="H577" t="e">
        <f t="shared" si="28"/>
        <v>#N/A</v>
      </c>
      <c r="I577" s="21" t="str">
        <f t="array" ref="I577">IF(B577&lt;&gt;"",INDEX('Eingabe Meldungen'!$C$2:$J$492,MATCH(B577&amp;C577,'Eingabe Meldungen'!$C$2:$C$492&amp;'Eingabe Meldungen'!$D$2:$D$492,0),8),"")</f>
        <v/>
      </c>
    </row>
    <row r="578" spans="2:12" hidden="1" x14ac:dyDescent="0.2">
      <c r="B578" s="20" t="str">
        <f t="array" ref="B578">IF(ISERROR(INDEX('Eingabe Meldungen'!$C$2:$C$492,LARGE(('Eingabe Meldungen'!$A$2:$A$492=$B$562)*(ROW('Eingabe Meldungen'!$A$2:$A$492)-1),COUNTIF('Eingabe Meldungen'!$A$2:$A$492,$B$562)+1-ROW('Eingabe Meldungen'!A16)))),"",INDEX('Eingabe Meldungen'!$C$2:$C$492,LARGE(('Eingabe Meldungen'!$A$2:$A$492=$B$562)*(ROW('Eingabe Meldungen'!$A$2:$A$492)-1),COUNTIF('Eingabe Meldungen'!$A$2:$A$492,$B$562)+1-ROW('Eingabe Meldungen'!A16))))</f>
        <v/>
      </c>
      <c r="C578" t="str">
        <f t="array" ref="C578">IF(ISERROR(INDEX('Eingabe Meldungen'!$D$2:$D$492,LARGE(('Eingabe Meldungen'!$A$2:$A$492=$B$562)*(ROW('Eingabe Meldungen'!$A$2:$A$492)-1),COUNTIF('Eingabe Meldungen'!$A$2:$A$492,$B$562)+1-ROW('Eingabe Meldungen'!A16)))),"",INDEX('Eingabe Meldungen'!$D$2:$D$492,LARGE(('Eingabe Meldungen'!$A$2:$A$492=$B$562)*(ROW('Eingabe Meldungen'!$A$2:$A$492)-1),COUNTIF('Eingabe Meldungen'!$A$2:$A$492,$B$562)+1-ROW('Eingabe Meldungen'!A16))))</f>
        <v/>
      </c>
      <c r="D578" s="11" t="str">
        <f t="array" ref="D578">IF(B578&lt;&gt;"",INDEX('Eingabe Meldungen'!$C$2:$H$492,MATCH(B578&amp;C578,'Eingabe Meldungen'!$C$2:$C$492&amp;'Eingabe Meldungen'!$D$2:$D$492,0),6),"")</f>
        <v/>
      </c>
      <c r="E578" s="11" t="str">
        <f t="array" ref="E578">IF(B578&lt;&gt;"",INDEX('Eingabe Meldungen'!$C$2:$H$492,MATCH(B578&amp;C578,'Eingabe Meldungen'!$C$2:$C$492&amp;'Eingabe Meldungen'!$D$2:$D$492,0),4),"")</f>
        <v/>
      </c>
      <c r="F578" s="15">
        <v>15</v>
      </c>
      <c r="G578" s="75"/>
      <c r="H578" t="e">
        <f t="shared" si="28"/>
        <v>#N/A</v>
      </c>
      <c r="I578" s="21" t="str">
        <f t="array" ref="I578">IF(B578&lt;&gt;"",INDEX('Eingabe Meldungen'!$C$2:$J$492,MATCH(B578&amp;C578,'Eingabe Meldungen'!$C$2:$C$492&amp;'Eingabe Meldungen'!$D$2:$D$492,0),8),"")</f>
        <v/>
      </c>
    </row>
    <row r="579" spans="2:12" ht="13.2" hidden="1" thickBot="1" x14ac:dyDescent="0.25">
      <c r="B579" s="22" t="str">
        <f t="array" ref="B579">IF(ISERROR(INDEX('Eingabe Meldungen'!$C$2:$C$492,LARGE(('Eingabe Meldungen'!$A$2:$A$492=$B$562)*(ROW('Eingabe Meldungen'!$A$2:$A$492)-1),COUNTIF('Eingabe Meldungen'!$A$2:$A$492,$B$562)+1-ROW('Eingabe Meldungen'!A17)))),"",INDEX('Eingabe Meldungen'!$C$2:$C$492,LARGE(('Eingabe Meldungen'!$A$2:$A$492=$B$562)*(ROW('Eingabe Meldungen'!$A$2:$A$492)-1),COUNTIF('Eingabe Meldungen'!$A$2:$A$492,$B$562)+1-ROW('Eingabe Meldungen'!A17))))</f>
        <v/>
      </c>
      <c r="C579" s="14" t="str">
        <f t="array" ref="C579">IF(ISERROR(INDEX('Eingabe Meldungen'!$D$2:$D$492,LARGE(('Eingabe Meldungen'!$A$2:$A$492=$B$562)*(ROW('Eingabe Meldungen'!$A$2:$A$492)-1),COUNTIF('Eingabe Meldungen'!$A$2:$A$492,$B$562)+1-ROW('Eingabe Meldungen'!A17)))),"",INDEX('Eingabe Meldungen'!$D$2:$D$492,LARGE(('Eingabe Meldungen'!$A$2:$A$492=$B$562)*(ROW('Eingabe Meldungen'!$A$2:$A$492)-1),COUNTIF('Eingabe Meldungen'!$A$2:$A$492,$B$562)+1-ROW('Eingabe Meldungen'!A17))))</f>
        <v/>
      </c>
      <c r="D579" s="12" t="str">
        <f t="array" ref="D579">IF(B579&lt;&gt;"",INDEX('Eingabe Meldungen'!$C$2:$H$492,MATCH(B579&amp;C579,'Eingabe Meldungen'!$C$2:$C$492&amp;'Eingabe Meldungen'!$D$2:$D$492,0),6),"")</f>
        <v/>
      </c>
      <c r="E579" s="12" t="str">
        <f t="array" ref="E579">IF(B579&lt;&gt;"",INDEX('Eingabe Meldungen'!$C$2:$H$492,MATCH(B579&amp;C579,'Eingabe Meldungen'!$C$2:$C$492&amp;'Eingabe Meldungen'!$D$2:$D$492,0),4),"")</f>
        <v/>
      </c>
      <c r="F579" s="84">
        <v>16</v>
      </c>
      <c r="G579" s="76"/>
      <c r="H579" s="14" t="e">
        <f t="shared" si="28"/>
        <v>#N/A</v>
      </c>
      <c r="I579" s="23" t="str">
        <f t="array" ref="I579">IF(B579&lt;&gt;"",INDEX('Eingabe Meldungen'!$C$2:$J$492,MATCH(B579&amp;C579,'Eingabe Meldungen'!$C$2:$C$492&amp;'Eingabe Meldungen'!$D$2:$D$492,0),8),"")</f>
        <v/>
      </c>
      <c r="J579" s="14"/>
    </row>
    <row r="580" spans="2:12" hidden="1" x14ac:dyDescent="0.2"/>
    <row r="581" spans="2:12" ht="39" hidden="1" customHeight="1" x14ac:dyDescent="0.2">
      <c r="B581" s="94" t="e">
        <f>B562+1</f>
        <v>#REF!</v>
      </c>
      <c r="C581" s="95" t="e">
        <f>VLOOKUP(B581,Ausschreibung!$B$5:$I$35,2,FALSE)</f>
        <v>#REF!</v>
      </c>
      <c r="D581" s="96" t="e">
        <f>VLOOKUP(B581,Ausschreibung!$B$5:$I$35,3,FALSE)</f>
        <v>#REF!</v>
      </c>
      <c r="E581" s="97" t="e">
        <f>VLOOKUP(B581,Ausschreibung!$B$5:$I$35,4,FALSE)</f>
        <v>#REF!</v>
      </c>
      <c r="F581" s="97" t="e">
        <f>VLOOKUP(B581,Ausschreibung!$B$5:$I$35,5,FALSE)</f>
        <v>#REF!</v>
      </c>
      <c r="G581" s="95" t="e">
        <f>VLOOKUP(B581,Ausschreibung!$B$5:$I$35,6,FALSE)</f>
        <v>#REF!</v>
      </c>
      <c r="H581" s="95" t="e">
        <f>VLOOKUP(B581,Ausschreibung!$B$5:$I$35,8,FALSE)</f>
        <v>#REF!</v>
      </c>
      <c r="I581" s="98" t="s">
        <v>30</v>
      </c>
      <c r="J581" s="95"/>
      <c r="K581" s="72" t="e">
        <f>SUM(#REF!)</f>
        <v>#REF!</v>
      </c>
      <c r="L581" s="72"/>
    </row>
    <row r="582" spans="2:12" hidden="1" x14ac:dyDescent="0.2">
      <c r="B582" s="19" t="s">
        <v>1</v>
      </c>
      <c r="C582" s="18" t="s">
        <v>2</v>
      </c>
      <c r="D582" s="17" t="s">
        <v>49</v>
      </c>
      <c r="E582" s="25" t="s">
        <v>16</v>
      </c>
      <c r="F582" s="17" t="s">
        <v>18</v>
      </c>
      <c r="G582" s="73" t="s">
        <v>50</v>
      </c>
      <c r="H582" s="17" t="s">
        <v>51</v>
      </c>
      <c r="I582" s="30" t="s">
        <v>17</v>
      </c>
      <c r="J582" s="17"/>
    </row>
    <row r="583" spans="2:12" hidden="1" x14ac:dyDescent="0.2">
      <c r="B583" s="67" t="str">
        <f t="array" ref="B583">IF(ISERROR(INDEX('Eingabe Meldungen'!$C$2:$C$492,LARGE(('Eingabe Meldungen'!$A$2:$A$492=$B$581)*(ROW('Eingabe Meldungen'!$A$2:$A$492)-1),COUNTIF('Eingabe Meldungen'!$A$2:$A$492,$B$581)+1-ROW('Eingabe Meldungen'!A1)))),"",INDEX('Eingabe Meldungen'!$C$2:$C$492,LARGE(('Eingabe Meldungen'!$A$2:$A$492=$B$581)*(ROW('Eingabe Meldungen'!$A$2:$A$492)-1),COUNTIF('Eingabe Meldungen'!$A$2:$A$492,$B$581)+1-ROW('Eingabe Meldungen'!A1))))</f>
        <v/>
      </c>
      <c r="C583" s="46" t="str">
        <f t="array" ref="C583">IF(ISERROR(INDEX('Eingabe Meldungen'!$D$2:$D$492,LARGE(('Eingabe Meldungen'!$A$2:$A$492=$B$581)*(ROW('Eingabe Meldungen'!$A$2:$A$492)-1),COUNTIF('Eingabe Meldungen'!$A$2:$A$492,$B$581)+1-ROW('Eingabe Meldungen'!A1)))),"",INDEX('Eingabe Meldungen'!$D$2:$D$492,LARGE(('Eingabe Meldungen'!$A$2:$A$492=$B$581)*(ROW('Eingabe Meldungen'!$A$2:$A$492)-1),COUNTIF('Eingabe Meldungen'!$A$2:$A$492,$B$581)+1-ROW('Eingabe Meldungen'!A1))))</f>
        <v/>
      </c>
      <c r="D583" s="77" t="str">
        <f t="array" ref="D583">IF(B583&lt;&gt;"",INDEX('Eingabe Meldungen'!$C$2:$H$492,MATCH(B583&amp;C583,'Eingabe Meldungen'!$C$2:$C$492&amp;'Eingabe Meldungen'!$D$2:$D$492,0),6),"")</f>
        <v/>
      </c>
      <c r="E583" s="77" t="str">
        <f t="array" ref="E583">IF(B583&lt;&gt;"",INDEX('Eingabe Meldungen'!$C$2:$H$492,MATCH(B583&amp;C583,'Eingabe Meldungen'!$C$2:$C$492&amp;'Eingabe Meldungen'!$D$2:$D$492,0),4),"")</f>
        <v/>
      </c>
      <c r="F583" s="78">
        <v>1</v>
      </c>
      <c r="G583" s="80"/>
      <c r="H583" s="433">
        <f>RANK(K562,$K$562:$K$577,1)</f>
        <v>1</v>
      </c>
      <c r="I583" s="79" t="str">
        <f t="array" ref="I583">IF(B583&lt;&gt;"",INDEX('Eingabe Meldungen'!$C$2:$J$492,MATCH(B583&amp;C583,'Eingabe Meldungen'!$C$2:$C$492&amp;'Eingabe Meldungen'!$D$2:$D$492,0),8),"")</f>
        <v/>
      </c>
      <c r="J583" s="86"/>
    </row>
    <row r="584" spans="2:12" hidden="1" x14ac:dyDescent="0.2">
      <c r="B584" s="20" t="str">
        <f t="array" ref="B584">IF(ISERROR(INDEX('Eingabe Meldungen'!$C$2:$C$492,LARGE(('Eingabe Meldungen'!$A$2:$A$492=$B$581)*(ROW('Eingabe Meldungen'!$A$2:$A$492)-1),COUNTIF('Eingabe Meldungen'!$A$2:$A$492,$B$581)+1-ROW('Eingabe Meldungen'!A2)))),"",INDEX('Eingabe Meldungen'!$C$2:$C$492,LARGE(('Eingabe Meldungen'!$A$2:$A$492=$B$581)*(ROW('Eingabe Meldungen'!$A$2:$A$492)-1),COUNTIF('Eingabe Meldungen'!$A$2:$A$492,$B$581)+1-ROW('Eingabe Meldungen'!A2))))</f>
        <v/>
      </c>
      <c r="C584" t="str">
        <f t="array" ref="C584">IF(ISERROR(INDEX('Eingabe Meldungen'!$D$2:$D$492,LARGE(('Eingabe Meldungen'!$A$2:$A$492=$B$581)*(ROW('Eingabe Meldungen'!$A$2:$A$492)-1),COUNTIF('Eingabe Meldungen'!$A$2:$A$492,$B$581)+1-ROW('Eingabe Meldungen'!A2)))),"",INDEX('Eingabe Meldungen'!$D$2:$D$492,LARGE(('Eingabe Meldungen'!$A$2:$A$492=$B$581)*(ROW('Eingabe Meldungen'!$A$2:$A$492)-1),COUNTIF('Eingabe Meldungen'!$A$2:$A$492,$B$581)+1-ROW('Eingabe Meldungen'!A2))))</f>
        <v/>
      </c>
      <c r="D584" s="11" t="str">
        <f t="array" ref="D584">IF(B584&lt;&gt;"",INDEX('Eingabe Meldungen'!$C$2:$H$492,MATCH(B584&amp;C584,'Eingabe Meldungen'!$C$2:$C$492&amp;'Eingabe Meldungen'!$D$2:$D$492,0),6),"")</f>
        <v/>
      </c>
      <c r="E584" s="11" t="str">
        <f t="array" ref="E584">IF(B584&lt;&gt;"",INDEX('Eingabe Meldungen'!$C$2:$H$492,MATCH(B584&amp;C584,'Eingabe Meldungen'!$C$2:$C$492&amp;'Eingabe Meldungen'!$D$2:$D$492,0),4),"")</f>
        <v/>
      </c>
      <c r="F584" s="15">
        <v>2</v>
      </c>
      <c r="G584" s="74"/>
      <c r="H584" s="444"/>
      <c r="I584" s="21" t="str">
        <f t="array" ref="I584">IF(B584&lt;&gt;"",INDEX('Eingabe Meldungen'!$C$2:$J$492,MATCH(B584&amp;C584,'Eingabe Meldungen'!$C$2:$C$492&amp;'Eingabe Meldungen'!$D$2:$D$492,0),8),"")</f>
        <v/>
      </c>
      <c r="J584" s="15"/>
    </row>
    <row r="585" spans="2:12" hidden="1" x14ac:dyDescent="0.2">
      <c r="B585" s="20" t="str">
        <f t="array" ref="B585">IF(ISERROR(INDEX('Eingabe Meldungen'!$C$2:$C$492,LARGE(('Eingabe Meldungen'!$A$2:$A$492=$B$581)*(ROW('Eingabe Meldungen'!$A$2:$A$492)-1),COUNTIF('Eingabe Meldungen'!$A$2:$A$492,$B$581)+1-ROW('Eingabe Meldungen'!A3)))),"",INDEX('Eingabe Meldungen'!$C$2:$C$492,LARGE(('Eingabe Meldungen'!$A$2:$A$492=$B$581)*(ROW('Eingabe Meldungen'!$A$2:$A$492)-1),COUNTIF('Eingabe Meldungen'!$A$2:$A$492,$B$581)+1-ROW('Eingabe Meldungen'!A3))))</f>
        <v/>
      </c>
      <c r="C585" t="str">
        <f t="array" ref="C585">IF(ISERROR(INDEX('Eingabe Meldungen'!$D$2:$D$492,LARGE(('Eingabe Meldungen'!$A$2:$A$492=$B$581)*(ROW('Eingabe Meldungen'!$A$2:$A$492)-1),COUNTIF('Eingabe Meldungen'!$A$2:$A$492,$B$581)+1-ROW('Eingabe Meldungen'!A3)))),"",INDEX('Eingabe Meldungen'!$D$2:$D$492,LARGE(('Eingabe Meldungen'!$A$2:$A$492=$B$581)*(ROW('Eingabe Meldungen'!$A$2:$A$492)-1),COUNTIF('Eingabe Meldungen'!$A$2:$A$492,$B$581)+1-ROW('Eingabe Meldungen'!A3))))</f>
        <v/>
      </c>
      <c r="D585" s="11" t="str">
        <f t="array" ref="D585">IF(B585&lt;&gt;"",INDEX('Eingabe Meldungen'!$C$2:$H$492,MATCH(B585&amp;C585,'Eingabe Meldungen'!$C$2:$C$492&amp;'Eingabe Meldungen'!$D$2:$D$492,0),6),"")</f>
        <v/>
      </c>
      <c r="E585" s="11" t="str">
        <f t="array" ref="E585">IF(B585&lt;&gt;"",INDEX('Eingabe Meldungen'!$C$2:$H$492,MATCH(B585&amp;C585,'Eingabe Meldungen'!$C$2:$C$492&amp;'Eingabe Meldungen'!$D$2:$D$492,0),4),"")</f>
        <v/>
      </c>
      <c r="F585" s="15">
        <v>3</v>
      </c>
      <c r="G585" s="74"/>
      <c r="H585" s="444"/>
      <c r="I585" s="21" t="str">
        <f t="array" ref="I585">IF(B585&lt;&gt;"",INDEX('Eingabe Meldungen'!$C$2:$J$492,MATCH(B585&amp;C585,'Eingabe Meldungen'!$C$2:$C$492&amp;'Eingabe Meldungen'!$D$2:$D$492,0),8),"")</f>
        <v/>
      </c>
      <c r="J585" s="15"/>
      <c r="K585" s="72" t="e">
        <f>SUM(#REF!)</f>
        <v>#REF!</v>
      </c>
      <c r="L585" s="72"/>
    </row>
    <row r="586" spans="2:12" ht="13.2" hidden="1" thickBot="1" x14ac:dyDescent="0.25">
      <c r="B586" s="22" t="str">
        <f t="array" ref="B586">IF(ISERROR(INDEX('Eingabe Meldungen'!$C$2:$C$492,LARGE(('Eingabe Meldungen'!$A$2:$A$492=$B$581)*(ROW('Eingabe Meldungen'!$A$2:$A$492)-1),COUNTIF('Eingabe Meldungen'!$A$2:$A$492,$B$581)+1-ROW('Eingabe Meldungen'!A4)))),"",INDEX('Eingabe Meldungen'!$C$2:$C$492,LARGE(('Eingabe Meldungen'!$A$2:$A$492=$B$581)*(ROW('Eingabe Meldungen'!$A$2:$A$492)-1),COUNTIF('Eingabe Meldungen'!$A$2:$A$492,$B$581)+1-ROW('Eingabe Meldungen'!A4))))</f>
        <v/>
      </c>
      <c r="C586" s="14" t="str">
        <f t="array" ref="C586">IF(ISERROR(INDEX('Eingabe Meldungen'!$D$2:$D$492,LARGE(('Eingabe Meldungen'!$A$2:$A$492=$B$581)*(ROW('Eingabe Meldungen'!$A$2:$A$492)-1),COUNTIF('Eingabe Meldungen'!$A$2:$A$492,$B$581)+1-ROW('Eingabe Meldungen'!A4)))),"",INDEX('Eingabe Meldungen'!$D$2:$D$492,LARGE(('Eingabe Meldungen'!$A$2:$A$492=$B$581)*(ROW('Eingabe Meldungen'!$A$2:$A$492)-1),COUNTIF('Eingabe Meldungen'!$A$2:$A$492,$B$581)+1-ROW('Eingabe Meldungen'!A4))))</f>
        <v/>
      </c>
      <c r="D586" s="12" t="str">
        <f t="array" ref="D586">IF(B586&lt;&gt;"",INDEX('Eingabe Meldungen'!$C$2:$H$492,MATCH(B586&amp;C586,'Eingabe Meldungen'!$C$2:$C$492&amp;'Eingabe Meldungen'!$D$2:$D$492,0),6),"")</f>
        <v/>
      </c>
      <c r="E586" s="12" t="str">
        <f t="array" ref="E586">IF(B586&lt;&gt;"",INDEX('Eingabe Meldungen'!$C$2:$H$492,MATCH(B586&amp;C586,'Eingabe Meldungen'!$C$2:$C$492&amp;'Eingabe Meldungen'!$D$2:$D$492,0),4),"")</f>
        <v/>
      </c>
      <c r="F586" s="84">
        <v>4</v>
      </c>
      <c r="G586" s="83"/>
      <c r="H586" s="434"/>
      <c r="I586" s="23" t="str">
        <f t="array" ref="I586">IF(B586&lt;&gt;"",INDEX('Eingabe Meldungen'!$C$2:$J$492,MATCH(B586&amp;C586,'Eingabe Meldungen'!$C$2:$C$492&amp;'Eingabe Meldungen'!$D$2:$D$492,0),8),"")</f>
        <v/>
      </c>
      <c r="J586" s="84"/>
    </row>
    <row r="587" spans="2:12" hidden="1" x14ac:dyDescent="0.2">
      <c r="B587" s="20" t="str">
        <f t="array" ref="B587">IF(ISERROR(INDEX('Eingabe Meldungen'!$C$2:$C$492,LARGE(('Eingabe Meldungen'!$A$2:$A$492=$B$581)*(ROW('Eingabe Meldungen'!$A$2:$A$492)-1),COUNTIF('Eingabe Meldungen'!$A$2:$A$492,$B$581)+1-ROW('Eingabe Meldungen'!A5)))),"",INDEX('Eingabe Meldungen'!$C$2:$C$492,LARGE(('Eingabe Meldungen'!$A$2:$A$492=$B$581)*(ROW('Eingabe Meldungen'!$A$2:$A$492)-1),COUNTIF('Eingabe Meldungen'!$A$2:$A$492,$B$581)+1-ROW('Eingabe Meldungen'!A5))))</f>
        <v/>
      </c>
      <c r="C587" t="str">
        <f t="array" ref="C587">IF(ISERROR(INDEX('Eingabe Meldungen'!$D$2:$D$492,LARGE(('Eingabe Meldungen'!$A$2:$A$492=$B$581)*(ROW('Eingabe Meldungen'!$A$2:$A$492)-1),COUNTIF('Eingabe Meldungen'!$A$2:$A$492,$B$581)+1-ROW('Eingabe Meldungen'!A5)))),"",INDEX('Eingabe Meldungen'!$D$2:$D$492,LARGE(('Eingabe Meldungen'!$A$2:$A$492=$B$581)*(ROW('Eingabe Meldungen'!$A$2:$A$492)-1),COUNTIF('Eingabe Meldungen'!$A$2:$A$492,$B$581)+1-ROW('Eingabe Meldungen'!A5))))</f>
        <v/>
      </c>
      <c r="D587" s="11" t="str">
        <f t="array" ref="D587">IF(B587&lt;&gt;"",INDEX('Eingabe Meldungen'!$C$2:$H$492,MATCH(B587&amp;C587,'Eingabe Meldungen'!$C$2:$C$492&amp;'Eingabe Meldungen'!$D$2:$D$492,0),6),"")</f>
        <v/>
      </c>
      <c r="E587" s="11" t="str">
        <f t="array" ref="E587">IF(B587&lt;&gt;"",INDEX('Eingabe Meldungen'!$C$2:$H$492,MATCH(B587&amp;C587,'Eingabe Meldungen'!$C$2:$C$492&amp;'Eingabe Meldungen'!$D$2:$D$492,0),4),"")</f>
        <v/>
      </c>
      <c r="F587" s="15">
        <v>5</v>
      </c>
      <c r="G587" s="74"/>
      <c r="H587" s="444">
        <f>RANK(K566,$K$562:$K$577,1)</f>
        <v>1</v>
      </c>
      <c r="I587" s="21" t="str">
        <f t="array" ref="I587">IF(B587&lt;&gt;"",INDEX('Eingabe Meldungen'!$C$2:$J$492,MATCH(B587&amp;C587,'Eingabe Meldungen'!$C$2:$C$492&amp;'Eingabe Meldungen'!$D$2:$D$492,0),8),"")</f>
        <v/>
      </c>
      <c r="J587" s="15"/>
    </row>
    <row r="588" spans="2:12" hidden="1" x14ac:dyDescent="0.2">
      <c r="B588" s="20" t="str">
        <f t="array" ref="B588">IF(ISERROR(INDEX('Eingabe Meldungen'!$C$2:$C$492,LARGE(('Eingabe Meldungen'!$A$2:$A$492=$B$581)*(ROW('Eingabe Meldungen'!$A$2:$A$492)-1),COUNTIF('Eingabe Meldungen'!$A$2:$A$492,$B$581)+1-ROW('Eingabe Meldungen'!A6)))),"",INDEX('Eingabe Meldungen'!$C$2:$C$492,LARGE(('Eingabe Meldungen'!$A$2:$A$492=$B$581)*(ROW('Eingabe Meldungen'!$A$2:$A$492)-1),COUNTIF('Eingabe Meldungen'!$A$2:$A$492,$B$581)+1-ROW('Eingabe Meldungen'!A6))))</f>
        <v/>
      </c>
      <c r="C588" t="str">
        <f t="array" ref="C588">IF(ISERROR(INDEX('Eingabe Meldungen'!$D$2:$D$492,LARGE(('Eingabe Meldungen'!$A$2:$A$492=$B$581)*(ROW('Eingabe Meldungen'!$A$2:$A$492)-1),COUNTIF('Eingabe Meldungen'!$A$2:$A$492,$B$581)+1-ROW('Eingabe Meldungen'!A6)))),"",INDEX('Eingabe Meldungen'!$D$2:$D$492,LARGE(('Eingabe Meldungen'!$A$2:$A$492=$B$581)*(ROW('Eingabe Meldungen'!$A$2:$A$492)-1),COUNTIF('Eingabe Meldungen'!$A$2:$A$492,$B$581)+1-ROW('Eingabe Meldungen'!A6))))</f>
        <v/>
      </c>
      <c r="D588" s="11" t="str">
        <f t="array" ref="D588">IF(B588&lt;&gt;"",INDEX('Eingabe Meldungen'!$C$2:$H$492,MATCH(B588&amp;C588,'Eingabe Meldungen'!$C$2:$C$492&amp;'Eingabe Meldungen'!$D$2:$D$492,0),6),"")</f>
        <v/>
      </c>
      <c r="E588" s="11" t="str">
        <f t="array" ref="E588">IF(B588&lt;&gt;"",INDEX('Eingabe Meldungen'!$C$2:$H$492,MATCH(B588&amp;C588,'Eingabe Meldungen'!$C$2:$C$492&amp;'Eingabe Meldungen'!$D$2:$D$492,0),4),"")</f>
        <v/>
      </c>
      <c r="F588" s="15">
        <v>6</v>
      </c>
      <c r="G588" s="74"/>
      <c r="H588" s="444"/>
      <c r="I588" s="21" t="str">
        <f t="array" ref="I588">IF(B588&lt;&gt;"",INDEX('Eingabe Meldungen'!$C$2:$J$492,MATCH(B588&amp;C588,'Eingabe Meldungen'!$C$2:$C$492&amp;'Eingabe Meldungen'!$D$2:$D$492,0),8),"")</f>
        <v/>
      </c>
      <c r="J588" s="15"/>
    </row>
    <row r="589" spans="2:12" hidden="1" x14ac:dyDescent="0.2">
      <c r="B589" s="20" t="str">
        <f t="array" ref="B589">IF(ISERROR(INDEX('Eingabe Meldungen'!$C$2:$C$492,LARGE(('Eingabe Meldungen'!$A$2:$A$492=$B$581)*(ROW('Eingabe Meldungen'!$A$2:$A$492)-1),COUNTIF('Eingabe Meldungen'!$A$2:$A$492,$B$581)+1-ROW('Eingabe Meldungen'!A8)))),"",INDEX('Eingabe Meldungen'!$C$2:$C$492,LARGE(('Eingabe Meldungen'!$A$2:$A$492=$B$581)*(ROW('Eingabe Meldungen'!$A$2:$A$492)-1),COUNTIF('Eingabe Meldungen'!$A$2:$A$492,$B$581)+1-ROW('Eingabe Meldungen'!A8))))</f>
        <v/>
      </c>
      <c r="C589" t="str">
        <f t="array" ref="C589">IF(ISERROR(INDEX('Eingabe Meldungen'!$D$2:$D$492,LARGE(('Eingabe Meldungen'!$A$2:$A$492=$B$581)*(ROW('Eingabe Meldungen'!$A$2:$A$492)-1),COUNTIF('Eingabe Meldungen'!$A$2:$A$492,$B$581)+1-ROW('Eingabe Meldungen'!A8)))),"",INDEX('Eingabe Meldungen'!$D$2:$D$492,LARGE(('Eingabe Meldungen'!$A$2:$A$492=$B$581)*(ROW('Eingabe Meldungen'!$A$2:$A$492)-1),COUNTIF('Eingabe Meldungen'!$A$2:$A$492,$B$581)+1-ROW('Eingabe Meldungen'!A8))))</f>
        <v/>
      </c>
      <c r="D589" s="11" t="str">
        <f t="array" ref="D589">IF(B589&lt;&gt;"",INDEX('Eingabe Meldungen'!$C$2:$H$492,MATCH(B589&amp;C589,'Eingabe Meldungen'!$C$2:$C$492&amp;'Eingabe Meldungen'!$D$2:$D$492,0),6),"")</f>
        <v/>
      </c>
      <c r="E589" s="11" t="str">
        <f t="array" ref="E589">IF(B589&lt;&gt;"",INDEX('Eingabe Meldungen'!$C$2:$H$492,MATCH(B589&amp;C589,'Eingabe Meldungen'!$C$2:$C$492&amp;'Eingabe Meldungen'!$D$2:$D$492,0),4),"")</f>
        <v/>
      </c>
      <c r="F589" s="15">
        <v>7</v>
      </c>
      <c r="G589" s="74"/>
      <c r="H589" s="444"/>
      <c r="I589" s="21" t="str">
        <f t="array" ref="I589">IF(B589&lt;&gt;"",INDEX('Eingabe Meldungen'!$C$2:$J$492,MATCH(B589&amp;C589,'Eingabe Meldungen'!$C$2:$C$492&amp;'Eingabe Meldungen'!$D$2:$D$492,0),8),"")</f>
        <v/>
      </c>
      <c r="J589" s="15"/>
      <c r="K589" s="72" t="e">
        <f>SUM(#REF!)</f>
        <v>#REF!</v>
      </c>
      <c r="L589" s="72"/>
    </row>
    <row r="590" spans="2:12" hidden="1" x14ac:dyDescent="0.2">
      <c r="B590" s="20" t="str">
        <f t="array" ref="B590">IF(ISERROR(INDEX('Eingabe Meldungen'!$C$2:$C$492,LARGE(('Eingabe Meldungen'!$A$2:$A$492=$B$581)*(ROW('Eingabe Meldungen'!$A$2:$A$492)-1),COUNTIF('Eingabe Meldungen'!$A$2:$A$492,$B$581)+1-ROW('Eingabe Meldungen'!A9)))),"",INDEX('Eingabe Meldungen'!$C$2:$C$492,LARGE(('Eingabe Meldungen'!$A$2:$A$492=$B$581)*(ROW('Eingabe Meldungen'!$A$2:$A$492)-1),COUNTIF('Eingabe Meldungen'!$A$2:$A$492,$B$581)+1-ROW('Eingabe Meldungen'!A9))))</f>
        <v/>
      </c>
      <c r="C590" t="str">
        <f t="array" ref="C590">IF(ISERROR(INDEX('Eingabe Meldungen'!$D$2:$D$492,LARGE(('Eingabe Meldungen'!$A$2:$A$492=$B$581)*(ROW('Eingabe Meldungen'!$A$2:$A$492)-1),COUNTIF('Eingabe Meldungen'!$A$2:$A$492,$B$581)+1-ROW('Eingabe Meldungen'!A9)))),"",INDEX('Eingabe Meldungen'!$D$2:$D$492,LARGE(('Eingabe Meldungen'!$A$2:$A$492=$B$581)*(ROW('Eingabe Meldungen'!$A$2:$A$492)-1),COUNTIF('Eingabe Meldungen'!$A$2:$A$492,$B$581)+1-ROW('Eingabe Meldungen'!A9))))</f>
        <v/>
      </c>
      <c r="D590" s="11" t="str">
        <f t="array" ref="D590">IF(B590&lt;&gt;"",INDEX('Eingabe Meldungen'!$C$2:$H$492,MATCH(B590&amp;C590,'Eingabe Meldungen'!$C$2:$C$492&amp;'Eingabe Meldungen'!$D$2:$D$492,0),6),"")</f>
        <v/>
      </c>
      <c r="E590" s="11" t="str">
        <f t="array" ref="E590">IF(B590&lt;&gt;"",INDEX('Eingabe Meldungen'!$C$2:$H$492,MATCH(B590&amp;C590,'Eingabe Meldungen'!$C$2:$C$492&amp;'Eingabe Meldungen'!$D$2:$D$492,0),4),"")</f>
        <v/>
      </c>
      <c r="F590" s="15">
        <v>8</v>
      </c>
      <c r="G590" s="74"/>
      <c r="H590" s="444"/>
      <c r="I590" s="21" t="str">
        <f t="array" ref="I590">IF(B590&lt;&gt;"",INDEX('Eingabe Meldungen'!$C$2:$J$492,MATCH(B590&amp;C590,'Eingabe Meldungen'!$C$2:$C$492&amp;'Eingabe Meldungen'!$D$2:$D$492,0),8),"")</f>
        <v/>
      </c>
      <c r="J590" s="15"/>
    </row>
    <row r="591" spans="2:12" hidden="1" x14ac:dyDescent="0.2">
      <c r="B591" s="67" t="str">
        <f t="array" ref="B591">IF(ISERROR(INDEX('Eingabe Meldungen'!$C$2:$C$492,LARGE(('Eingabe Meldungen'!$A$2:$A$492=$B$581)*(ROW('Eingabe Meldungen'!$A$2:$A$492)-1),COUNTIF('Eingabe Meldungen'!$A$2:$A$492,$B$581)+1-ROW('Eingabe Meldungen'!A10)))),"",INDEX('Eingabe Meldungen'!$C$2:$C$492,LARGE(('Eingabe Meldungen'!$A$2:$A$492=$B$581)*(ROW('Eingabe Meldungen'!$A$2:$A$492)-1),COUNTIF('Eingabe Meldungen'!$A$2:$A$492,$B$581)+1-ROW('Eingabe Meldungen'!A10))))</f>
        <v/>
      </c>
      <c r="C591" s="46" t="str">
        <f t="array" ref="C591">IF(ISERROR(INDEX('Eingabe Meldungen'!$D$2:$D$492,LARGE(('Eingabe Meldungen'!$A$2:$A$492=$B$581)*(ROW('Eingabe Meldungen'!$A$2:$A$492)-1),COUNTIF('Eingabe Meldungen'!$A$2:$A$492,$B$581)+1-ROW('Eingabe Meldungen'!A10)))),"",INDEX('Eingabe Meldungen'!$D$2:$D$492,LARGE(('Eingabe Meldungen'!$A$2:$A$492=$B$581)*(ROW('Eingabe Meldungen'!$A$2:$A$492)-1),COUNTIF('Eingabe Meldungen'!$A$2:$A$492,$B$581)+1-ROW('Eingabe Meldungen'!A10))))</f>
        <v/>
      </c>
      <c r="D591" s="77" t="str">
        <f t="array" ref="D591">IF(B591&lt;&gt;"",INDEX('Eingabe Meldungen'!$C$2:$H$492,MATCH(B591&amp;C591,'Eingabe Meldungen'!$C$2:$C$492&amp;'Eingabe Meldungen'!$D$2:$D$492,0),6),"")</f>
        <v/>
      </c>
      <c r="E591" s="77" t="str">
        <f t="array" ref="E591">IF(B591&lt;&gt;"",INDEX('Eingabe Meldungen'!$C$2:$H$492,MATCH(B591&amp;C591,'Eingabe Meldungen'!$C$2:$C$492&amp;'Eingabe Meldungen'!$D$2:$D$492,0),4),"")</f>
        <v/>
      </c>
      <c r="F591" s="86">
        <v>9</v>
      </c>
      <c r="G591" s="87"/>
      <c r="H591" s="433">
        <f>RANK(K570,$K$562:$K$577,1)</f>
        <v>1</v>
      </c>
      <c r="I591" s="79" t="str">
        <f t="array" ref="I591">IF(B591&lt;&gt;"",INDEX('Eingabe Meldungen'!$C$2:$J$492,MATCH(B591&amp;C591,'Eingabe Meldungen'!$C$2:$C$492&amp;'Eingabe Meldungen'!$D$2:$D$492,0),8),"")</f>
        <v/>
      </c>
      <c r="J591" s="86"/>
    </row>
    <row r="592" spans="2:12" hidden="1" x14ac:dyDescent="0.2">
      <c r="B592" s="20" t="str">
        <f t="array" ref="B592">IF(ISERROR(INDEX('Eingabe Meldungen'!$C$2:$C$492,LARGE(('Eingabe Meldungen'!$A$2:$A$492=$B$581)*(ROW('Eingabe Meldungen'!$A$2:$A$492)-1),COUNTIF('Eingabe Meldungen'!$A$2:$A$492,$B$581)+1-ROW('Eingabe Meldungen'!A11)))),"",INDEX('Eingabe Meldungen'!$C$2:$C$492,LARGE(('Eingabe Meldungen'!$A$2:$A$492=$B$581)*(ROW('Eingabe Meldungen'!$A$2:$A$492)-1),COUNTIF('Eingabe Meldungen'!$A$2:$A$492,$B$581)+1-ROW('Eingabe Meldungen'!A11))))</f>
        <v/>
      </c>
      <c r="C592" t="str">
        <f t="array" ref="C592">IF(ISERROR(INDEX('Eingabe Meldungen'!$D$2:$D$492,LARGE(('Eingabe Meldungen'!$A$2:$A$492=$B$581)*(ROW('Eingabe Meldungen'!$A$2:$A$492)-1),COUNTIF('Eingabe Meldungen'!$A$2:$A$492,$B$581)+1-ROW('Eingabe Meldungen'!A11)))),"",INDEX('Eingabe Meldungen'!$D$2:$D$492,LARGE(('Eingabe Meldungen'!$A$2:$A$492=$B$581)*(ROW('Eingabe Meldungen'!$A$2:$A$492)-1),COUNTIF('Eingabe Meldungen'!$A$2:$A$492,$B$581)+1-ROW('Eingabe Meldungen'!A11))))</f>
        <v/>
      </c>
      <c r="D592" s="11" t="str">
        <f t="array" ref="D592">IF(B592&lt;&gt;"",INDEX('Eingabe Meldungen'!$C$2:$H$492,MATCH(B592&amp;C592,'Eingabe Meldungen'!$C$2:$C$492&amp;'Eingabe Meldungen'!$D$2:$D$492,0),6),"")</f>
        <v/>
      </c>
      <c r="E592" s="11" t="str">
        <f t="array" ref="E592">IF(B592&lt;&gt;"",INDEX('Eingabe Meldungen'!$C$2:$H$492,MATCH(B592&amp;C592,'Eingabe Meldungen'!$C$2:$C$492&amp;'Eingabe Meldungen'!$D$2:$D$492,0),4),"")</f>
        <v/>
      </c>
      <c r="F592" s="15">
        <v>10</v>
      </c>
      <c r="G592" s="75"/>
      <c r="H592" s="444"/>
      <c r="I592" s="21" t="str">
        <f t="array" ref="I592">IF(B592&lt;&gt;"",INDEX('Eingabe Meldungen'!$C$2:$J$492,MATCH(B592&amp;C592,'Eingabe Meldungen'!$C$2:$C$492&amp;'Eingabe Meldungen'!$D$2:$D$492,0),8),"")</f>
        <v/>
      </c>
      <c r="J592" s="15"/>
    </row>
    <row r="593" spans="2:12" hidden="1" x14ac:dyDescent="0.2">
      <c r="B593" s="20" t="str">
        <f t="array" ref="B593">IF(ISERROR(INDEX('Eingabe Meldungen'!$C$2:$C$492,LARGE(('Eingabe Meldungen'!$A$2:$A$492=$B$581)*(ROW('Eingabe Meldungen'!$A$2:$A$492)-1),COUNTIF('Eingabe Meldungen'!$A$2:$A$492,$B$581)+1-ROW('Eingabe Meldungen'!A12)))),"",INDEX('Eingabe Meldungen'!$C$2:$C$492,LARGE(('Eingabe Meldungen'!$A$2:$A$492=$B$581)*(ROW('Eingabe Meldungen'!$A$2:$A$492)-1),COUNTIF('Eingabe Meldungen'!$A$2:$A$492,$B$581)+1-ROW('Eingabe Meldungen'!A12))))</f>
        <v/>
      </c>
      <c r="C593" t="str">
        <f t="array" ref="C593">IF(ISERROR(INDEX('Eingabe Meldungen'!$D$2:$D$492,LARGE(('Eingabe Meldungen'!$A$2:$A$492=$B$581)*(ROW('Eingabe Meldungen'!$A$2:$A$492)-1),COUNTIF('Eingabe Meldungen'!$A$2:$A$492,$B$581)+1-ROW('Eingabe Meldungen'!A12)))),"",INDEX('Eingabe Meldungen'!$D$2:$D$492,LARGE(('Eingabe Meldungen'!$A$2:$A$492=$B$581)*(ROW('Eingabe Meldungen'!$A$2:$A$492)-1),COUNTIF('Eingabe Meldungen'!$A$2:$A$492,$B$581)+1-ROW('Eingabe Meldungen'!A12))))</f>
        <v/>
      </c>
      <c r="D593" s="11" t="str">
        <f t="array" ref="D593">IF(B593&lt;&gt;"",INDEX('Eingabe Meldungen'!$C$2:$H$492,MATCH(B593&amp;C593,'Eingabe Meldungen'!$C$2:$C$492&amp;'Eingabe Meldungen'!$D$2:$D$492,0),6),"")</f>
        <v/>
      </c>
      <c r="E593" s="11" t="str">
        <f t="array" ref="E593">IF(B593&lt;&gt;"",INDEX('Eingabe Meldungen'!$C$2:$H$492,MATCH(B593&amp;C593,'Eingabe Meldungen'!$C$2:$C$492&amp;'Eingabe Meldungen'!$D$2:$D$492,0),4),"")</f>
        <v/>
      </c>
      <c r="F593" s="15">
        <v>11</v>
      </c>
      <c r="G593" s="75"/>
      <c r="H593" s="444"/>
      <c r="I593" s="21" t="str">
        <f t="array" ref="I593">IF(B593&lt;&gt;"",INDEX('Eingabe Meldungen'!$C$2:$J$492,MATCH(B593&amp;C593,'Eingabe Meldungen'!$C$2:$C$492&amp;'Eingabe Meldungen'!$D$2:$D$492,0),8),"")</f>
        <v/>
      </c>
      <c r="J593" s="15"/>
      <c r="K593" s="72" t="e">
        <f>SUM(#REF!)</f>
        <v>#REF!</v>
      </c>
      <c r="L593" s="72"/>
    </row>
    <row r="594" spans="2:12" ht="13.2" hidden="1" thickBot="1" x14ac:dyDescent="0.25">
      <c r="B594" s="22" t="str">
        <f t="array" ref="B594">IF(ISERROR(INDEX('Eingabe Meldungen'!$C$2:$C$492,LARGE(('Eingabe Meldungen'!$A$2:$A$492=$B$581)*(ROW('Eingabe Meldungen'!$A$2:$A$492)-1),COUNTIF('Eingabe Meldungen'!$A$2:$A$492,$B$581)+1-ROW('Eingabe Meldungen'!A13)))),"",INDEX('Eingabe Meldungen'!$C$2:$C$492,LARGE(('Eingabe Meldungen'!$A$2:$A$492=$B$581)*(ROW('Eingabe Meldungen'!$A$2:$A$492)-1),COUNTIF('Eingabe Meldungen'!$A$2:$A$492,$B$581)+1-ROW('Eingabe Meldungen'!A13))))</f>
        <v/>
      </c>
      <c r="C594" s="14" t="str">
        <f t="array" ref="C594">IF(ISERROR(INDEX('Eingabe Meldungen'!$D$2:$D$492,LARGE(('Eingabe Meldungen'!$A$2:$A$492=$B$581)*(ROW('Eingabe Meldungen'!$A$2:$A$492)-1),COUNTIF('Eingabe Meldungen'!$A$2:$A$492,$B$581)+1-ROW('Eingabe Meldungen'!A13)))),"",INDEX('Eingabe Meldungen'!$D$2:$D$492,LARGE(('Eingabe Meldungen'!$A$2:$A$492=$B$581)*(ROW('Eingabe Meldungen'!$A$2:$A$492)-1),COUNTIF('Eingabe Meldungen'!$A$2:$A$492,$B$581)+1-ROW('Eingabe Meldungen'!A13))))</f>
        <v/>
      </c>
      <c r="D594" s="12" t="str">
        <f t="array" ref="D594">IF(B594&lt;&gt;"",INDEX('Eingabe Meldungen'!$C$2:$H$492,MATCH(B594&amp;C594,'Eingabe Meldungen'!$C$2:$C$492&amp;'Eingabe Meldungen'!$D$2:$D$492,0),6),"")</f>
        <v/>
      </c>
      <c r="E594" s="12" t="str">
        <f t="array" ref="E594">IF(B594&lt;&gt;"",INDEX('Eingabe Meldungen'!$C$2:$H$492,MATCH(B594&amp;C594,'Eingabe Meldungen'!$C$2:$C$492&amp;'Eingabe Meldungen'!$D$2:$D$492,0),4),"")</f>
        <v/>
      </c>
      <c r="F594" s="84">
        <v>12</v>
      </c>
      <c r="G594" s="76"/>
      <c r="H594" s="434"/>
      <c r="I594" s="23" t="str">
        <f t="array" ref="I594">IF(B594&lt;&gt;"",INDEX('Eingabe Meldungen'!$C$2:$J$492,MATCH(B594&amp;C594,'Eingabe Meldungen'!$C$2:$C$492&amp;'Eingabe Meldungen'!$D$2:$D$492,0),8),"")</f>
        <v/>
      </c>
      <c r="J594" s="84"/>
    </row>
    <row r="595" spans="2:12" hidden="1" x14ac:dyDescent="0.2">
      <c r="B595" s="20" t="str">
        <f t="array" ref="B595">IF(ISERROR(INDEX('Eingabe Meldungen'!$C$2:$C$492,LARGE(('Eingabe Meldungen'!$A$2:$A$492=$B$581)*(ROW('Eingabe Meldungen'!$A$2:$A$492)-1),COUNTIF('Eingabe Meldungen'!$A$2:$A$492,$B$581)+1-ROW('Eingabe Meldungen'!A14)))),"",INDEX('Eingabe Meldungen'!$C$2:$C$492,LARGE(('Eingabe Meldungen'!$A$2:$A$492=$B$581)*(ROW('Eingabe Meldungen'!$A$2:$A$492)-1),COUNTIF('Eingabe Meldungen'!$A$2:$A$492,$B$581)+1-ROW('Eingabe Meldungen'!A14))))</f>
        <v/>
      </c>
      <c r="C595" t="str">
        <f t="array" ref="C595">IF(ISERROR(INDEX('Eingabe Meldungen'!$D$2:$D$492,LARGE(('Eingabe Meldungen'!$A$2:$A$492=$B$581)*(ROW('Eingabe Meldungen'!$A$2:$A$492)-1),COUNTIF('Eingabe Meldungen'!$A$2:$A$492,$B$581)+1-ROW('Eingabe Meldungen'!A14)))),"",INDEX('Eingabe Meldungen'!$D$2:$D$492,LARGE(('Eingabe Meldungen'!$A$2:$A$492=$B$581)*(ROW('Eingabe Meldungen'!$A$2:$A$492)-1),COUNTIF('Eingabe Meldungen'!$A$2:$A$492,$B$581)+1-ROW('Eingabe Meldungen'!A14))))</f>
        <v/>
      </c>
      <c r="D595" s="11" t="str">
        <f t="array" ref="D595">IF(B595&lt;&gt;"",INDEX('Eingabe Meldungen'!$C$2:$H$492,MATCH(B595&amp;C595,'Eingabe Meldungen'!$C$2:$C$492&amp;'Eingabe Meldungen'!$D$2:$D$492,0),6),"")</f>
        <v/>
      </c>
      <c r="E595" s="11" t="str">
        <f t="array" ref="E595">IF(B595&lt;&gt;"",INDEX('Eingabe Meldungen'!$C$2:$H$492,MATCH(B595&amp;C595,'Eingabe Meldungen'!$C$2:$C$492&amp;'Eingabe Meldungen'!$D$2:$D$492,0),4),"")</f>
        <v/>
      </c>
      <c r="F595" s="15">
        <v>13</v>
      </c>
      <c r="G595" s="75"/>
      <c r="H595" s="444">
        <f>RANK(K574,$K$562:$K$577,1)</f>
        <v>1</v>
      </c>
      <c r="I595" s="21" t="str">
        <f t="array" ref="I595">IF(B595&lt;&gt;"",INDEX('Eingabe Meldungen'!$C$2:$J$492,MATCH(B595&amp;C595,'Eingabe Meldungen'!$C$2:$C$492&amp;'Eingabe Meldungen'!$D$2:$D$492,0),8),"")</f>
        <v/>
      </c>
      <c r="J595" s="15"/>
    </row>
    <row r="596" spans="2:12" hidden="1" x14ac:dyDescent="0.2">
      <c r="B596" s="20" t="str">
        <f t="array" ref="B596">IF(ISERROR(INDEX('Eingabe Meldungen'!$C$2:$C$492,LARGE(('Eingabe Meldungen'!$A$2:$A$492=$B$581)*(ROW('Eingabe Meldungen'!$A$2:$A$492)-1),COUNTIF('Eingabe Meldungen'!$A$2:$A$492,$B$581)+1-ROW('Eingabe Meldungen'!A15)))),"",INDEX('Eingabe Meldungen'!$C$2:$C$492,LARGE(('Eingabe Meldungen'!$A$2:$A$492=$B$581)*(ROW('Eingabe Meldungen'!$A$2:$A$492)-1),COUNTIF('Eingabe Meldungen'!$A$2:$A$492,$B$581)+1-ROW('Eingabe Meldungen'!A15))))</f>
        <v/>
      </c>
      <c r="C596" t="str">
        <f t="array" ref="C596">IF(ISERROR(INDEX('Eingabe Meldungen'!$D$2:$D$492,LARGE(('Eingabe Meldungen'!$A$2:$A$492=$B$581)*(ROW('Eingabe Meldungen'!$A$2:$A$492)-1),COUNTIF('Eingabe Meldungen'!$A$2:$A$492,$B$581)+1-ROW('Eingabe Meldungen'!A15)))),"",INDEX('Eingabe Meldungen'!$D$2:$D$492,LARGE(('Eingabe Meldungen'!$A$2:$A$492=$B$581)*(ROW('Eingabe Meldungen'!$A$2:$A$492)-1),COUNTIF('Eingabe Meldungen'!$A$2:$A$492,$B$581)+1-ROW('Eingabe Meldungen'!A15))))</f>
        <v/>
      </c>
      <c r="D596" s="11" t="str">
        <f t="array" ref="D596">IF(B596&lt;&gt;"",INDEX('Eingabe Meldungen'!$C$2:$H$492,MATCH(B596&amp;C596,'Eingabe Meldungen'!$C$2:$C$492&amp;'Eingabe Meldungen'!$D$2:$D$492,0),6),"")</f>
        <v/>
      </c>
      <c r="E596" s="11" t="str">
        <f t="array" ref="E596">IF(B596&lt;&gt;"",INDEX('Eingabe Meldungen'!$C$2:$H$492,MATCH(B596&amp;C596,'Eingabe Meldungen'!$C$2:$C$492&amp;'Eingabe Meldungen'!$D$2:$D$492,0),4),"")</f>
        <v/>
      </c>
      <c r="F596" s="15">
        <v>14</v>
      </c>
      <c r="G596" s="75"/>
      <c r="H596" s="444"/>
      <c r="I596" s="21" t="str">
        <f t="array" ref="I596">IF(B596&lt;&gt;"",INDEX('Eingabe Meldungen'!$C$2:$J$492,MATCH(B596&amp;C596,'Eingabe Meldungen'!$C$2:$C$492&amp;'Eingabe Meldungen'!$D$2:$D$492,0),8),"")</f>
        <v/>
      </c>
      <c r="J596" s="15"/>
    </row>
    <row r="597" spans="2:12" hidden="1" x14ac:dyDescent="0.2">
      <c r="B597" s="20" t="str">
        <f t="array" ref="B597">IF(ISERROR(INDEX('Eingabe Meldungen'!$C$2:$C$492,LARGE(('Eingabe Meldungen'!$A$2:$A$492=$B$581)*(ROW('Eingabe Meldungen'!$A$2:$A$492)-1),COUNTIF('Eingabe Meldungen'!$A$2:$A$492,$B$581)+1-ROW('Eingabe Meldungen'!A16)))),"",INDEX('Eingabe Meldungen'!$C$2:$C$492,LARGE(('Eingabe Meldungen'!$A$2:$A$492=$B$581)*(ROW('Eingabe Meldungen'!$A$2:$A$492)-1),COUNTIF('Eingabe Meldungen'!$A$2:$A$492,$B$581)+1-ROW('Eingabe Meldungen'!A16))))</f>
        <v/>
      </c>
      <c r="C597" t="str">
        <f t="array" ref="C597">IF(ISERROR(INDEX('Eingabe Meldungen'!$D$2:$D$492,LARGE(('Eingabe Meldungen'!$A$2:$A$492=$B$581)*(ROW('Eingabe Meldungen'!$A$2:$A$492)-1),COUNTIF('Eingabe Meldungen'!$A$2:$A$492,$B$581)+1-ROW('Eingabe Meldungen'!A16)))),"",INDEX('Eingabe Meldungen'!$D$2:$D$492,LARGE(('Eingabe Meldungen'!$A$2:$A$492=$B$581)*(ROW('Eingabe Meldungen'!$A$2:$A$492)-1),COUNTIF('Eingabe Meldungen'!$A$2:$A$492,$B$581)+1-ROW('Eingabe Meldungen'!A16))))</f>
        <v/>
      </c>
      <c r="D597" s="11" t="str">
        <f t="array" ref="D597">IF(B597&lt;&gt;"",INDEX('Eingabe Meldungen'!$C$2:$H$492,MATCH(B597&amp;C597,'Eingabe Meldungen'!$C$2:$C$492&amp;'Eingabe Meldungen'!$D$2:$D$492,0),6),"")</f>
        <v/>
      </c>
      <c r="E597" s="11" t="str">
        <f t="array" ref="E597">IF(B597&lt;&gt;"",INDEX('Eingabe Meldungen'!$C$2:$H$492,MATCH(B597&amp;C597,'Eingabe Meldungen'!$C$2:$C$492&amp;'Eingabe Meldungen'!$D$2:$D$492,0),4),"")</f>
        <v/>
      </c>
      <c r="F597" s="15">
        <v>15</v>
      </c>
      <c r="G597" s="75"/>
      <c r="H597" s="444"/>
      <c r="I597" s="21" t="str">
        <f t="array" ref="I597">IF(B597&lt;&gt;"",INDEX('Eingabe Meldungen'!$C$2:$J$492,MATCH(B597&amp;C597,'Eingabe Meldungen'!$C$2:$C$492&amp;'Eingabe Meldungen'!$D$2:$D$492,0),8),"")</f>
        <v/>
      </c>
      <c r="J597" s="15"/>
    </row>
    <row r="598" spans="2:12" ht="13.2" hidden="1" thickBot="1" x14ac:dyDescent="0.25">
      <c r="B598" s="22" t="str">
        <f t="array" ref="B598">IF(ISERROR(INDEX('Eingabe Meldungen'!$C$2:$C$492,LARGE(('Eingabe Meldungen'!$A$2:$A$492=$B$581)*(ROW('Eingabe Meldungen'!$A$2:$A$492)-1),COUNTIF('Eingabe Meldungen'!$A$2:$A$492,$B$581)+1-ROW('Eingabe Meldungen'!A17)))),"",INDEX('Eingabe Meldungen'!$C$2:$C$492,LARGE(('Eingabe Meldungen'!$A$2:$A$492=$B$581)*(ROW('Eingabe Meldungen'!$A$2:$A$492)-1),COUNTIF('Eingabe Meldungen'!$A$2:$A$492,$B$581)+1-ROW('Eingabe Meldungen'!A17))))</f>
        <v/>
      </c>
      <c r="C598" s="14" t="str">
        <f t="array" ref="C598">IF(ISERROR(INDEX('Eingabe Meldungen'!$D$2:$D$492,LARGE(('Eingabe Meldungen'!$A$2:$A$492=$B$581)*(ROW('Eingabe Meldungen'!$A$2:$A$492)-1),COUNTIF('Eingabe Meldungen'!$A$2:$A$492,$B$581)+1-ROW('Eingabe Meldungen'!A17)))),"",INDEX('Eingabe Meldungen'!$D$2:$D$492,LARGE(('Eingabe Meldungen'!$A$2:$A$492=$B$581)*(ROW('Eingabe Meldungen'!$A$2:$A$492)-1),COUNTIF('Eingabe Meldungen'!$A$2:$A$492,$B$581)+1-ROW('Eingabe Meldungen'!A17))))</f>
        <v/>
      </c>
      <c r="D598" s="12" t="str">
        <f t="array" ref="D598">IF(B598&lt;&gt;"",INDEX('Eingabe Meldungen'!$C$2:$H$492,MATCH(B598&amp;C598,'Eingabe Meldungen'!$C$2:$C$492&amp;'Eingabe Meldungen'!$D$2:$D$492,0),6),"")</f>
        <v/>
      </c>
      <c r="E598" s="12" t="str">
        <f t="array" ref="E598">IF(B598&lt;&gt;"",INDEX('Eingabe Meldungen'!$C$2:$H$492,MATCH(B598&amp;C598,'Eingabe Meldungen'!$C$2:$C$492&amp;'Eingabe Meldungen'!$D$2:$D$492,0),4),"")</f>
        <v/>
      </c>
      <c r="F598" s="84">
        <v>16</v>
      </c>
      <c r="G598" s="76"/>
      <c r="H598" s="434"/>
      <c r="I598" s="23" t="str">
        <f t="array" ref="I598">IF(B598&lt;&gt;"",INDEX('Eingabe Meldungen'!$C$2:$J$492,MATCH(B598&amp;C598,'Eingabe Meldungen'!$C$2:$C$492&amp;'Eingabe Meldungen'!$D$2:$D$492,0),8),"")</f>
        <v/>
      </c>
      <c r="J598" s="84"/>
    </row>
    <row r="599" spans="2:12" hidden="1" x14ac:dyDescent="0.2"/>
    <row r="600" spans="2:12" hidden="1" x14ac:dyDescent="0.2"/>
    <row r="601" spans="2:12" ht="36.75" hidden="1" customHeight="1" x14ac:dyDescent="0.2">
      <c r="B601" s="94">
        <v>34</v>
      </c>
      <c r="C601" s="95" t="e">
        <f>VLOOKUP(B601,Ausschreibung!$B$5:$I$35,2,FALSE)</f>
        <v>#N/A</v>
      </c>
      <c r="D601" s="96" t="e">
        <f>VLOOKUP(B601,Ausschreibung!$B$5:$I$35,3,FALSE)</f>
        <v>#N/A</v>
      </c>
      <c r="E601" s="97" t="e">
        <f>VLOOKUP(B601,Ausschreibung!$B$5:$I$35,4,FALSE)</f>
        <v>#N/A</v>
      </c>
      <c r="F601" s="97" t="e">
        <f>VLOOKUP(B601,Ausschreibung!$B$5:$I$35,5,FALSE)</f>
        <v>#N/A</v>
      </c>
      <c r="G601" s="95" t="e">
        <f>VLOOKUP(B601,Ausschreibung!$B$5:$I$35,6,FALSE)</f>
        <v>#N/A</v>
      </c>
      <c r="H601" s="95" t="e">
        <f>VLOOKUP(B601,Ausschreibung!$B$5:$I$35,8,FALSE)</f>
        <v>#N/A</v>
      </c>
      <c r="I601" s="98" t="s">
        <v>30</v>
      </c>
      <c r="J601" s="95"/>
      <c r="K601" s="72" t="e">
        <f>SUM(#REF!)</f>
        <v>#REF!</v>
      </c>
      <c r="L601" s="72"/>
    </row>
    <row r="602" spans="2:12" hidden="1" x14ac:dyDescent="0.2">
      <c r="B602" s="19" t="s">
        <v>1</v>
      </c>
      <c r="C602" s="18" t="s">
        <v>2</v>
      </c>
      <c r="D602" s="17" t="s">
        <v>49</v>
      </c>
      <c r="E602" s="25" t="s">
        <v>16</v>
      </c>
      <c r="F602" s="17" t="s">
        <v>18</v>
      </c>
      <c r="G602" s="73" t="s">
        <v>50</v>
      </c>
      <c r="H602" s="17" t="s">
        <v>51</v>
      </c>
      <c r="I602" s="30" t="s">
        <v>17</v>
      </c>
      <c r="J602" s="17"/>
    </row>
    <row r="603" spans="2:12" hidden="1" x14ac:dyDescent="0.2">
      <c r="B603" s="67" t="str">
        <f t="array" ref="B603">IF(ISERROR(INDEX('Eingabe Meldungen'!$C$2:$C$492,LARGE(('Eingabe Meldungen'!$A$2:$A$492=$B$601)*(ROW('Eingabe Meldungen'!$A$2:$A$492)-1),COUNTIF('Eingabe Meldungen'!$A$2:$A$492,$B$601)+1-ROW('Eingabe Meldungen'!A1)))),"",INDEX('Eingabe Meldungen'!$C$2:$C$492,LARGE(('Eingabe Meldungen'!$A$2:$A$492=$B$601)*(ROW('Eingabe Meldungen'!$A$2:$A$492)-1),COUNTIF('Eingabe Meldungen'!$A$2:$A$492,$B$601)+1-ROW('Eingabe Meldungen'!A1))))</f>
        <v/>
      </c>
      <c r="C603" s="46" t="str">
        <f t="array" ref="C603">IF(ISERROR(INDEX('Eingabe Meldungen'!$D$2:$D$492,LARGE(('Eingabe Meldungen'!$A$2:$A$492=$B$601)*(ROW('Eingabe Meldungen'!$A$2:$A$492)-1),COUNTIF('Eingabe Meldungen'!$A$2:$A$492,$B$601)+1-ROW('Eingabe Meldungen'!A1)))),"",INDEX('Eingabe Meldungen'!$D$2:$D$492,LARGE(('Eingabe Meldungen'!$A$2:$A$492=$B$601)*(ROW('Eingabe Meldungen'!$A$2:$A$492)-1),COUNTIF('Eingabe Meldungen'!$A$2:$A$492,$B$601)+1-ROW('Eingabe Meldungen'!A1))))</f>
        <v/>
      </c>
      <c r="D603" s="77" t="str">
        <f t="array" ref="D603">IF(B603&lt;&gt;"",INDEX('Eingabe Meldungen'!$C$2:$H$492,MATCH(B603&amp;C603,'Eingabe Meldungen'!$C$2:$C$492&amp;'Eingabe Meldungen'!$D$2:$D$492,0),6),"")</f>
        <v/>
      </c>
      <c r="E603" s="77" t="str">
        <f t="array" ref="E603">IF(B603&lt;&gt;"",INDEX('Eingabe Meldungen'!$C$2:$H$492,MATCH(B603&amp;C603,'Eingabe Meldungen'!$C$2:$C$492&amp;'Eingabe Meldungen'!$D$2:$D$492,0),4),"")</f>
        <v/>
      </c>
      <c r="F603" s="78">
        <v>1</v>
      </c>
      <c r="G603" s="80"/>
      <c r="H603" s="433" t="e">
        <f>RANK(#REF!,#REF!,1)</f>
        <v>#REF!</v>
      </c>
      <c r="I603" s="79" t="str">
        <f t="array" ref="I603">IF(B603&lt;&gt;"",INDEX('Eingabe Meldungen'!$C$2:$J$492,MATCH(B603&amp;C603,'Eingabe Meldungen'!$C$2:$C$492&amp;'Eingabe Meldungen'!$D$2:$D$492,0),8),"")</f>
        <v/>
      </c>
      <c r="J603" s="86"/>
    </row>
    <row r="604" spans="2:12" hidden="1" x14ac:dyDescent="0.2">
      <c r="B604" s="20" t="str">
        <f t="array" ref="B604">IF(ISERROR(INDEX('Eingabe Meldungen'!$C$2:$C$492,LARGE(('Eingabe Meldungen'!$A$2:$A$492=$B$601)*(ROW('Eingabe Meldungen'!$A$2:$A$492)-1),COUNTIF('Eingabe Meldungen'!$A$2:$A$492,$B$601)+1-ROW('Eingabe Meldungen'!A2)))),"",INDEX('Eingabe Meldungen'!$C$2:$C$492,LARGE(('Eingabe Meldungen'!$A$2:$A$492=$B$601)*(ROW('Eingabe Meldungen'!$A$2:$A$492)-1),COUNTIF('Eingabe Meldungen'!$A$2:$A$492,$B$601)+1-ROW('Eingabe Meldungen'!A2))))</f>
        <v/>
      </c>
      <c r="C604" t="str">
        <f t="array" ref="C604">IF(ISERROR(INDEX('Eingabe Meldungen'!$D$2:$D$492,LARGE(('Eingabe Meldungen'!$A$2:$A$492=$B$601)*(ROW('Eingabe Meldungen'!$A$2:$A$492)-1),COUNTIF('Eingabe Meldungen'!$A$2:$A$492,$B$601)+1-ROW('Eingabe Meldungen'!A2)))),"",INDEX('Eingabe Meldungen'!$D$2:$D$492,LARGE(('Eingabe Meldungen'!$A$2:$A$492=$B$601)*(ROW('Eingabe Meldungen'!$A$2:$A$492)-1),COUNTIF('Eingabe Meldungen'!$A$2:$A$492,$B$601)+1-ROW('Eingabe Meldungen'!A2))))</f>
        <v/>
      </c>
      <c r="D604" s="11" t="str">
        <f t="array" ref="D604">IF(B604&lt;&gt;"",INDEX('Eingabe Meldungen'!$C$2:$H$492,MATCH(B604&amp;C604,'Eingabe Meldungen'!$C$2:$C$492&amp;'Eingabe Meldungen'!$D$2:$D$492,0),6),"")</f>
        <v/>
      </c>
      <c r="E604" s="11" t="str">
        <f t="array" ref="E604">IF(B604&lt;&gt;"",INDEX('Eingabe Meldungen'!$C$2:$H$492,MATCH(B604&amp;C604,'Eingabe Meldungen'!$C$2:$C$492&amp;'Eingabe Meldungen'!$D$2:$D$492,0),4),"")</f>
        <v/>
      </c>
      <c r="F604" s="15">
        <v>2</v>
      </c>
      <c r="G604" s="74"/>
      <c r="H604" s="444"/>
      <c r="I604" s="21" t="str">
        <f t="array" ref="I604">IF(B604&lt;&gt;"",INDEX('Eingabe Meldungen'!$C$2:$J$492,MATCH(B604&amp;C604,'Eingabe Meldungen'!$C$2:$C$492&amp;'Eingabe Meldungen'!$D$2:$D$492,0),8),"")</f>
        <v/>
      </c>
      <c r="J604" s="15"/>
    </row>
    <row r="605" spans="2:12" hidden="1" x14ac:dyDescent="0.2">
      <c r="B605" s="20" t="str">
        <f t="array" ref="B605">IF(ISERROR(INDEX('Eingabe Meldungen'!$C$2:$C$492,LARGE(('Eingabe Meldungen'!$A$2:$A$492=$B$601)*(ROW('Eingabe Meldungen'!$A$2:$A$492)-1),COUNTIF('Eingabe Meldungen'!$A$2:$A$492,$B$601)+1-ROW('Eingabe Meldungen'!A3)))),"",INDEX('Eingabe Meldungen'!$C$2:$C$492,LARGE(('Eingabe Meldungen'!$A$2:$A$492=$B$601)*(ROW('Eingabe Meldungen'!$A$2:$A$492)-1),COUNTIF('Eingabe Meldungen'!$A$2:$A$492,$B$601)+1-ROW('Eingabe Meldungen'!A3))))</f>
        <v/>
      </c>
      <c r="C605" t="str">
        <f t="array" ref="C605">IF(ISERROR(INDEX('Eingabe Meldungen'!$D$2:$D$492,LARGE(('Eingabe Meldungen'!$A$2:$A$492=$B$601)*(ROW('Eingabe Meldungen'!$A$2:$A$492)-1),COUNTIF('Eingabe Meldungen'!$A$2:$A$492,$B$601)+1-ROW('Eingabe Meldungen'!A3)))),"",INDEX('Eingabe Meldungen'!$D$2:$D$492,LARGE(('Eingabe Meldungen'!$A$2:$A$492=$B$601)*(ROW('Eingabe Meldungen'!$A$2:$A$492)-1),COUNTIF('Eingabe Meldungen'!$A$2:$A$492,$B$601)+1-ROW('Eingabe Meldungen'!A3))))</f>
        <v/>
      </c>
      <c r="D605" s="11" t="str">
        <f t="array" ref="D605">IF(B605&lt;&gt;"",INDEX('Eingabe Meldungen'!$C$2:$H$492,MATCH(B605&amp;C605,'Eingabe Meldungen'!$C$2:$C$492&amp;'Eingabe Meldungen'!$D$2:$D$492,0),6),"")</f>
        <v/>
      </c>
      <c r="E605" s="11" t="str">
        <f t="array" ref="E605">IF(B605&lt;&gt;"",INDEX('Eingabe Meldungen'!$C$2:$H$492,MATCH(B605&amp;C605,'Eingabe Meldungen'!$C$2:$C$492&amp;'Eingabe Meldungen'!$D$2:$D$492,0),4),"")</f>
        <v/>
      </c>
      <c r="F605" s="15">
        <v>3</v>
      </c>
      <c r="G605" s="74"/>
      <c r="H605" s="444"/>
      <c r="I605" s="21" t="str">
        <f t="array" ref="I605">IF(B605&lt;&gt;"",INDEX('Eingabe Meldungen'!$C$2:$J$492,MATCH(B605&amp;C605,'Eingabe Meldungen'!$C$2:$C$492&amp;'Eingabe Meldungen'!$D$2:$D$492,0),8),"")</f>
        <v/>
      </c>
      <c r="J605" s="15"/>
      <c r="K605" s="72" t="e">
        <f>SUM(#REF!)</f>
        <v>#REF!</v>
      </c>
      <c r="L605" s="72"/>
    </row>
    <row r="606" spans="2:12" ht="13.2" hidden="1" thickBot="1" x14ac:dyDescent="0.25">
      <c r="B606" s="22" t="str">
        <f t="array" ref="B606">IF(ISERROR(INDEX('Eingabe Meldungen'!$C$2:$C$492,LARGE(('Eingabe Meldungen'!$A$2:$A$492=$B$601)*(ROW('Eingabe Meldungen'!$A$2:$A$492)-1),COUNTIF('Eingabe Meldungen'!$A$2:$A$492,$B$601)+1-ROW('Eingabe Meldungen'!A4)))),"",INDEX('Eingabe Meldungen'!$C$2:$C$492,LARGE(('Eingabe Meldungen'!$A$2:$A$492=$B$601)*(ROW('Eingabe Meldungen'!$A$2:$A$492)-1),COUNTIF('Eingabe Meldungen'!$A$2:$A$492,$B$601)+1-ROW('Eingabe Meldungen'!A4))))</f>
        <v/>
      </c>
      <c r="C606" s="14" t="str">
        <f t="array" ref="C606">IF(ISERROR(INDEX('Eingabe Meldungen'!$D$2:$D$492,LARGE(('Eingabe Meldungen'!$A$2:$A$492=$B$601)*(ROW('Eingabe Meldungen'!$A$2:$A$492)-1),COUNTIF('Eingabe Meldungen'!$A$2:$A$492,$B$601)+1-ROW('Eingabe Meldungen'!A4)))),"",INDEX('Eingabe Meldungen'!$D$2:$D$492,LARGE(('Eingabe Meldungen'!$A$2:$A$492=$B$601)*(ROW('Eingabe Meldungen'!$A$2:$A$492)-1),COUNTIF('Eingabe Meldungen'!$A$2:$A$492,$B$601)+1-ROW('Eingabe Meldungen'!A4))))</f>
        <v/>
      </c>
      <c r="D606" s="12" t="str">
        <f t="array" ref="D606">IF(B606&lt;&gt;"",INDEX('Eingabe Meldungen'!$C$2:$H$492,MATCH(B606&amp;C606,'Eingabe Meldungen'!$C$2:$C$492&amp;'Eingabe Meldungen'!$D$2:$D$492,0),6),"")</f>
        <v/>
      </c>
      <c r="E606" s="12" t="str">
        <f t="array" ref="E606">IF(B606&lt;&gt;"",INDEX('Eingabe Meldungen'!$C$2:$H$492,MATCH(B606&amp;C606,'Eingabe Meldungen'!$C$2:$C$492&amp;'Eingabe Meldungen'!$D$2:$D$492,0),4),"")</f>
        <v/>
      </c>
      <c r="F606" s="84">
        <v>4</v>
      </c>
      <c r="G606" s="83"/>
      <c r="H606" s="434"/>
      <c r="I606" s="23" t="str">
        <f t="array" ref="I606">IF(B606&lt;&gt;"",INDEX('Eingabe Meldungen'!$C$2:$J$492,MATCH(B606&amp;C606,'Eingabe Meldungen'!$C$2:$C$492&amp;'Eingabe Meldungen'!$D$2:$D$492,0),8),"")</f>
        <v/>
      </c>
      <c r="J606" s="84"/>
    </row>
    <row r="607" spans="2:12" hidden="1" x14ac:dyDescent="0.2">
      <c r="B607" s="20" t="str">
        <f t="array" ref="B607">IF(ISERROR(INDEX('Eingabe Meldungen'!$C$2:$C$492,LARGE(('Eingabe Meldungen'!$A$2:$A$492=$B$601)*(ROW('Eingabe Meldungen'!$A$2:$A$492)-1),COUNTIF('Eingabe Meldungen'!$A$2:$A$492,$B$601)+1-ROW('Eingabe Meldungen'!A5)))),"",INDEX('Eingabe Meldungen'!$C$2:$C$492,LARGE(('Eingabe Meldungen'!$A$2:$A$492=$B$601)*(ROW('Eingabe Meldungen'!$A$2:$A$492)-1),COUNTIF('Eingabe Meldungen'!$A$2:$A$492,$B$601)+1-ROW('Eingabe Meldungen'!A5))))</f>
        <v/>
      </c>
      <c r="C607" t="str">
        <f t="array" ref="C607">IF(ISERROR(INDEX('Eingabe Meldungen'!$D$2:$D$492,LARGE(('Eingabe Meldungen'!$A$2:$A$492=$B$601)*(ROW('Eingabe Meldungen'!$A$2:$A$492)-1),COUNTIF('Eingabe Meldungen'!$A$2:$A$492,$B$601)+1-ROW('Eingabe Meldungen'!A5)))),"",INDEX('Eingabe Meldungen'!$D$2:$D$492,LARGE(('Eingabe Meldungen'!$A$2:$A$492=$B$601)*(ROW('Eingabe Meldungen'!$A$2:$A$492)-1),COUNTIF('Eingabe Meldungen'!$A$2:$A$492,$B$601)+1-ROW('Eingabe Meldungen'!A5))))</f>
        <v/>
      </c>
      <c r="D607" s="11" t="str">
        <f t="array" ref="D607">IF(B607&lt;&gt;"",INDEX('Eingabe Meldungen'!$C$2:$H$492,MATCH(B607&amp;C607,'Eingabe Meldungen'!$C$2:$C$492&amp;'Eingabe Meldungen'!$D$2:$D$492,0),6),"")</f>
        <v/>
      </c>
      <c r="E607" s="11" t="str">
        <f t="array" ref="E607">IF(B607&lt;&gt;"",INDEX('Eingabe Meldungen'!$C$2:$H$492,MATCH(B607&amp;C607,'Eingabe Meldungen'!$C$2:$C$492&amp;'Eingabe Meldungen'!$D$2:$D$492,0),4),"")</f>
        <v/>
      </c>
      <c r="F607" s="15">
        <v>5</v>
      </c>
      <c r="G607" s="74"/>
      <c r="H607" s="444" t="e">
        <f>RANK(#REF!,#REF!,1)</f>
        <v>#REF!</v>
      </c>
      <c r="I607" s="21" t="str">
        <f t="array" ref="I607">IF(B607&lt;&gt;"",INDEX('Eingabe Meldungen'!$C$2:$J$492,MATCH(B607&amp;C607,'Eingabe Meldungen'!$C$2:$C$492&amp;'Eingabe Meldungen'!$D$2:$D$492,0),8),"")</f>
        <v/>
      </c>
      <c r="J607" s="15"/>
    </row>
    <row r="608" spans="2:12" hidden="1" x14ac:dyDescent="0.2">
      <c r="B608" s="20" t="str">
        <f t="array" ref="B608">IF(ISERROR(INDEX('Eingabe Meldungen'!$C$2:$C$492,LARGE(('Eingabe Meldungen'!$A$2:$A$492=$B$601)*(ROW('Eingabe Meldungen'!$A$2:$A$492)-1),COUNTIF('Eingabe Meldungen'!$A$2:$A$492,$B$601)+1-ROW('Eingabe Meldungen'!A6)))),"",INDEX('Eingabe Meldungen'!$C$2:$C$492,LARGE(('Eingabe Meldungen'!$A$2:$A$492=$B$601)*(ROW('Eingabe Meldungen'!$A$2:$A$492)-1),COUNTIF('Eingabe Meldungen'!$A$2:$A$492,$B$601)+1-ROW('Eingabe Meldungen'!A6))))</f>
        <v/>
      </c>
      <c r="C608" t="str">
        <f t="array" ref="C608">IF(ISERROR(INDEX('Eingabe Meldungen'!$D$2:$D$492,LARGE(('Eingabe Meldungen'!$A$2:$A$492=$B$601)*(ROW('Eingabe Meldungen'!$A$2:$A$492)-1),COUNTIF('Eingabe Meldungen'!$A$2:$A$492,$B$601)+1-ROW('Eingabe Meldungen'!A6)))),"",INDEX('Eingabe Meldungen'!$D$2:$D$492,LARGE(('Eingabe Meldungen'!$A$2:$A$492=$B$601)*(ROW('Eingabe Meldungen'!$A$2:$A$492)-1),COUNTIF('Eingabe Meldungen'!$A$2:$A$492,$B$601)+1-ROW('Eingabe Meldungen'!A6))))</f>
        <v/>
      </c>
      <c r="D608" s="11" t="str">
        <f t="array" ref="D608">IF(B608&lt;&gt;"",INDEX('Eingabe Meldungen'!$C$2:$H$492,MATCH(B608&amp;C608,'Eingabe Meldungen'!$C$2:$C$492&amp;'Eingabe Meldungen'!$D$2:$D$492,0),6),"")</f>
        <v/>
      </c>
      <c r="E608" s="11" t="str">
        <f t="array" ref="E608">IF(B608&lt;&gt;"",INDEX('Eingabe Meldungen'!$C$2:$H$492,MATCH(B608&amp;C608,'Eingabe Meldungen'!$C$2:$C$492&amp;'Eingabe Meldungen'!$D$2:$D$492,0),4),"")</f>
        <v/>
      </c>
      <c r="F608" s="15">
        <v>6</v>
      </c>
      <c r="G608" s="74"/>
      <c r="H608" s="444"/>
      <c r="I608" s="21" t="str">
        <f t="array" ref="I608">IF(B608&lt;&gt;"",INDEX('Eingabe Meldungen'!$C$2:$J$492,MATCH(B608&amp;C608,'Eingabe Meldungen'!$C$2:$C$492&amp;'Eingabe Meldungen'!$D$2:$D$492,0),8),"")</f>
        <v/>
      </c>
      <c r="J608" s="15"/>
    </row>
    <row r="609" spans="2:12" hidden="1" x14ac:dyDescent="0.2">
      <c r="B609" s="20" t="str">
        <f t="array" ref="B609">IF(ISERROR(INDEX('Eingabe Meldungen'!$C$2:$C$492,LARGE(('Eingabe Meldungen'!$A$2:$A$492=$B$601)*(ROW('Eingabe Meldungen'!$A$2:$A$492)-1),COUNTIF('Eingabe Meldungen'!$A$2:$A$492,$B$601)+1-ROW('Eingabe Meldungen'!A8)))),"",INDEX('Eingabe Meldungen'!$C$2:$C$492,LARGE(('Eingabe Meldungen'!$A$2:$A$492=$B$601)*(ROW('Eingabe Meldungen'!$A$2:$A$492)-1),COUNTIF('Eingabe Meldungen'!$A$2:$A$492,$B$601)+1-ROW('Eingabe Meldungen'!A8))))</f>
        <v/>
      </c>
      <c r="C609" t="str">
        <f t="array" ref="C609">IF(ISERROR(INDEX('Eingabe Meldungen'!$D$2:$D$492,LARGE(('Eingabe Meldungen'!$A$2:$A$492=$B$601)*(ROW('Eingabe Meldungen'!$A$2:$A$492)-1),COUNTIF('Eingabe Meldungen'!$A$2:$A$492,$B$601)+1-ROW('Eingabe Meldungen'!A8)))),"",INDEX('Eingabe Meldungen'!$D$2:$D$492,LARGE(('Eingabe Meldungen'!$A$2:$A$492=$B$601)*(ROW('Eingabe Meldungen'!$A$2:$A$492)-1),COUNTIF('Eingabe Meldungen'!$A$2:$A$492,$B$601)+1-ROW('Eingabe Meldungen'!A8))))</f>
        <v/>
      </c>
      <c r="D609" s="11" t="str">
        <f t="array" ref="D609">IF(B609&lt;&gt;"",INDEX('Eingabe Meldungen'!$C$2:$H$492,MATCH(B609&amp;C609,'Eingabe Meldungen'!$C$2:$C$492&amp;'Eingabe Meldungen'!$D$2:$D$492,0),6),"")</f>
        <v/>
      </c>
      <c r="E609" s="11" t="str">
        <f t="array" ref="E609">IF(B609&lt;&gt;"",INDEX('Eingabe Meldungen'!$C$2:$H$492,MATCH(B609&amp;C609,'Eingabe Meldungen'!$C$2:$C$492&amp;'Eingabe Meldungen'!$D$2:$D$492,0),4),"")</f>
        <v/>
      </c>
      <c r="F609" s="15">
        <v>7</v>
      </c>
      <c r="G609" s="74"/>
      <c r="H609" s="444"/>
      <c r="I609" s="21" t="str">
        <f t="array" ref="I609">IF(B609&lt;&gt;"",INDEX('Eingabe Meldungen'!$C$2:$J$492,MATCH(B609&amp;C609,'Eingabe Meldungen'!$C$2:$C$492&amp;'Eingabe Meldungen'!$D$2:$D$492,0),8),"")</f>
        <v/>
      </c>
      <c r="J609" s="15"/>
      <c r="K609" s="72" t="e">
        <f>SUM(#REF!)</f>
        <v>#REF!</v>
      </c>
      <c r="L609" s="72"/>
    </row>
    <row r="610" spans="2:12" hidden="1" x14ac:dyDescent="0.2">
      <c r="B610" s="20" t="str">
        <f t="array" ref="B610">IF(ISERROR(INDEX('Eingabe Meldungen'!$C$2:$C$492,LARGE(('Eingabe Meldungen'!$A$2:$A$492=$B$601)*(ROW('Eingabe Meldungen'!$A$2:$A$492)-1),COUNTIF('Eingabe Meldungen'!$A$2:$A$492,$B$601)+1-ROW('Eingabe Meldungen'!A9)))),"",INDEX('Eingabe Meldungen'!$C$2:$C$492,LARGE(('Eingabe Meldungen'!$A$2:$A$492=$B$601)*(ROW('Eingabe Meldungen'!$A$2:$A$492)-1),COUNTIF('Eingabe Meldungen'!$A$2:$A$492,$B$601)+1-ROW('Eingabe Meldungen'!A9))))</f>
        <v/>
      </c>
      <c r="C610" t="str">
        <f t="array" ref="C610">IF(ISERROR(INDEX('Eingabe Meldungen'!$D$2:$D$492,LARGE(('Eingabe Meldungen'!$A$2:$A$492=$B$601)*(ROW('Eingabe Meldungen'!$A$2:$A$492)-1),COUNTIF('Eingabe Meldungen'!$A$2:$A$492,$B$601)+1-ROW('Eingabe Meldungen'!A9)))),"",INDEX('Eingabe Meldungen'!$D$2:$D$492,LARGE(('Eingabe Meldungen'!$A$2:$A$492=$B$601)*(ROW('Eingabe Meldungen'!$A$2:$A$492)-1),COUNTIF('Eingabe Meldungen'!$A$2:$A$492,$B$601)+1-ROW('Eingabe Meldungen'!A9))))</f>
        <v/>
      </c>
      <c r="D610" s="11" t="str">
        <f t="array" ref="D610">IF(B610&lt;&gt;"",INDEX('Eingabe Meldungen'!$C$2:$H$492,MATCH(B610&amp;C610,'Eingabe Meldungen'!$C$2:$C$492&amp;'Eingabe Meldungen'!$D$2:$D$492,0),6),"")</f>
        <v/>
      </c>
      <c r="E610" s="11" t="str">
        <f t="array" ref="E610">IF(B610&lt;&gt;"",INDEX('Eingabe Meldungen'!$C$2:$H$492,MATCH(B610&amp;C610,'Eingabe Meldungen'!$C$2:$C$492&amp;'Eingabe Meldungen'!$D$2:$D$492,0),4),"")</f>
        <v/>
      </c>
      <c r="F610" s="15">
        <v>8</v>
      </c>
      <c r="G610" s="74"/>
      <c r="H610" s="444"/>
      <c r="I610" s="21" t="str">
        <f t="array" ref="I610">IF(B610&lt;&gt;"",INDEX('Eingabe Meldungen'!$C$2:$J$492,MATCH(B610&amp;C610,'Eingabe Meldungen'!$C$2:$C$492&amp;'Eingabe Meldungen'!$D$2:$D$492,0),8),"")</f>
        <v/>
      </c>
      <c r="J610" s="15"/>
    </row>
    <row r="611" spans="2:12" hidden="1" x14ac:dyDescent="0.2">
      <c r="B611" s="67" t="str">
        <f t="array" ref="B611">IF(ISERROR(INDEX('Eingabe Meldungen'!$C$2:$C$492,LARGE(('Eingabe Meldungen'!$A$2:$A$492=$B$601)*(ROW('Eingabe Meldungen'!$A$2:$A$492)-1),COUNTIF('Eingabe Meldungen'!$A$2:$A$492,$B$601)+1-ROW('Eingabe Meldungen'!A10)))),"",INDEX('Eingabe Meldungen'!$C$2:$C$492,LARGE(('Eingabe Meldungen'!$A$2:$A$492=$B$601)*(ROW('Eingabe Meldungen'!$A$2:$A$492)-1),COUNTIF('Eingabe Meldungen'!$A$2:$A$492,$B$601)+1-ROW('Eingabe Meldungen'!A10))))</f>
        <v/>
      </c>
      <c r="C611" s="46" t="str">
        <f t="array" ref="C611">IF(ISERROR(INDEX('Eingabe Meldungen'!$D$2:$D$492,LARGE(('Eingabe Meldungen'!$A$2:$A$492=$B$601)*(ROW('Eingabe Meldungen'!$A$2:$A$492)-1),COUNTIF('Eingabe Meldungen'!$A$2:$A$492,$B$601)+1-ROW('Eingabe Meldungen'!A10)))),"",INDEX('Eingabe Meldungen'!$D$2:$D$492,LARGE(('Eingabe Meldungen'!$A$2:$A$492=$B$601)*(ROW('Eingabe Meldungen'!$A$2:$A$492)-1),COUNTIF('Eingabe Meldungen'!$A$2:$A$492,$B$601)+1-ROW('Eingabe Meldungen'!A10))))</f>
        <v/>
      </c>
      <c r="D611" s="77" t="str">
        <f t="array" ref="D611">IF(B611&lt;&gt;"",INDEX('Eingabe Meldungen'!$C$2:$H$492,MATCH(B611&amp;C611,'Eingabe Meldungen'!$C$2:$C$492&amp;'Eingabe Meldungen'!$D$2:$D$492,0),6),"")</f>
        <v/>
      </c>
      <c r="E611" s="77" t="str">
        <f t="array" ref="E611">IF(B611&lt;&gt;"",INDEX('Eingabe Meldungen'!$C$2:$H$492,MATCH(B611&amp;C611,'Eingabe Meldungen'!$C$2:$C$492&amp;'Eingabe Meldungen'!$D$2:$D$492,0),4),"")</f>
        <v/>
      </c>
      <c r="F611" s="86">
        <v>9</v>
      </c>
      <c r="G611" s="80"/>
      <c r="H611" s="433" t="e">
        <f>RANK(#REF!,#REF!,1)</f>
        <v>#REF!</v>
      </c>
      <c r="I611" s="79" t="str">
        <f t="array" ref="I611">IF(B611&lt;&gt;"",INDEX('Eingabe Meldungen'!$C$2:$J$492,MATCH(B611&amp;C611,'Eingabe Meldungen'!$C$2:$C$492&amp;'Eingabe Meldungen'!$D$2:$D$492,0),8),"")</f>
        <v/>
      </c>
      <c r="J611" s="86"/>
    </row>
    <row r="612" spans="2:12" hidden="1" x14ac:dyDescent="0.2">
      <c r="B612" s="20" t="str">
        <f t="array" ref="B612">IF(ISERROR(INDEX('Eingabe Meldungen'!$C$2:$C$492,LARGE(('Eingabe Meldungen'!$A$2:$A$492=$B$601)*(ROW('Eingabe Meldungen'!$A$2:$A$492)-1),COUNTIF('Eingabe Meldungen'!$A$2:$A$492,$B$601)+1-ROW('Eingabe Meldungen'!A11)))),"",INDEX('Eingabe Meldungen'!$C$2:$C$492,LARGE(('Eingabe Meldungen'!$A$2:$A$492=$B$601)*(ROW('Eingabe Meldungen'!$A$2:$A$492)-1),COUNTIF('Eingabe Meldungen'!$A$2:$A$492,$B$601)+1-ROW('Eingabe Meldungen'!A11))))</f>
        <v/>
      </c>
      <c r="C612" t="str">
        <f t="array" ref="C612">IF(ISERROR(INDEX('Eingabe Meldungen'!$D$2:$D$492,LARGE(('Eingabe Meldungen'!$A$2:$A$492=$B$601)*(ROW('Eingabe Meldungen'!$A$2:$A$492)-1),COUNTIF('Eingabe Meldungen'!$A$2:$A$492,$B$601)+1-ROW('Eingabe Meldungen'!A11)))),"",INDEX('Eingabe Meldungen'!$D$2:$D$492,LARGE(('Eingabe Meldungen'!$A$2:$A$492=$B$601)*(ROW('Eingabe Meldungen'!$A$2:$A$492)-1),COUNTIF('Eingabe Meldungen'!$A$2:$A$492,$B$601)+1-ROW('Eingabe Meldungen'!A11))))</f>
        <v/>
      </c>
      <c r="D612" s="11" t="str">
        <f t="array" ref="D612">IF(B612&lt;&gt;"",INDEX('Eingabe Meldungen'!$C$2:$H$492,MATCH(B612&amp;C612,'Eingabe Meldungen'!$C$2:$C$492&amp;'Eingabe Meldungen'!$D$2:$D$492,0),6),"")</f>
        <v/>
      </c>
      <c r="E612" s="11" t="str">
        <f t="array" ref="E612">IF(B612&lt;&gt;"",INDEX('Eingabe Meldungen'!$C$2:$H$492,MATCH(B612&amp;C612,'Eingabe Meldungen'!$C$2:$C$492&amp;'Eingabe Meldungen'!$D$2:$D$492,0),4),"")</f>
        <v/>
      </c>
      <c r="F612" s="15">
        <v>10</v>
      </c>
      <c r="G612" s="74"/>
      <c r="H612" s="444"/>
      <c r="I612" s="21" t="str">
        <f t="array" ref="I612">IF(B612&lt;&gt;"",INDEX('Eingabe Meldungen'!$C$2:$J$492,MATCH(B612&amp;C612,'Eingabe Meldungen'!$C$2:$C$492&amp;'Eingabe Meldungen'!$D$2:$D$492,0),8),"")</f>
        <v/>
      </c>
      <c r="J612" s="15"/>
    </row>
    <row r="613" spans="2:12" hidden="1" x14ac:dyDescent="0.2">
      <c r="B613" s="20" t="str">
        <f t="array" ref="B613">IF(ISERROR(INDEX('Eingabe Meldungen'!$C$2:$C$492,LARGE(('Eingabe Meldungen'!$A$2:$A$492=$B$601)*(ROW('Eingabe Meldungen'!$A$2:$A$492)-1),COUNTIF('Eingabe Meldungen'!$A$2:$A$492,$B$601)+1-ROW('Eingabe Meldungen'!A12)))),"",INDEX('Eingabe Meldungen'!$C$2:$C$492,LARGE(('Eingabe Meldungen'!$A$2:$A$492=$B$601)*(ROW('Eingabe Meldungen'!$A$2:$A$492)-1),COUNTIF('Eingabe Meldungen'!$A$2:$A$492,$B$601)+1-ROW('Eingabe Meldungen'!A12))))</f>
        <v/>
      </c>
      <c r="C613" t="str">
        <f t="array" ref="C613">IF(ISERROR(INDEX('Eingabe Meldungen'!$D$2:$D$492,LARGE(('Eingabe Meldungen'!$A$2:$A$492=$B$601)*(ROW('Eingabe Meldungen'!$A$2:$A$492)-1),COUNTIF('Eingabe Meldungen'!$A$2:$A$492,$B$601)+1-ROW('Eingabe Meldungen'!A12)))),"",INDEX('Eingabe Meldungen'!$D$2:$D$492,LARGE(('Eingabe Meldungen'!$A$2:$A$492=$B$601)*(ROW('Eingabe Meldungen'!$A$2:$A$492)-1),COUNTIF('Eingabe Meldungen'!$A$2:$A$492,$B$601)+1-ROW('Eingabe Meldungen'!A12))))</f>
        <v/>
      </c>
      <c r="D613" s="11" t="str">
        <f t="array" ref="D613">IF(B613&lt;&gt;"",INDEX('Eingabe Meldungen'!$C$2:$H$492,MATCH(B613&amp;C613,'Eingabe Meldungen'!$C$2:$C$492&amp;'Eingabe Meldungen'!$D$2:$D$492,0),6),"")</f>
        <v/>
      </c>
      <c r="E613" s="11" t="str">
        <f t="array" ref="E613">IF(B613&lt;&gt;"",INDEX('Eingabe Meldungen'!$C$2:$H$492,MATCH(B613&amp;C613,'Eingabe Meldungen'!$C$2:$C$492&amp;'Eingabe Meldungen'!$D$2:$D$492,0),4),"")</f>
        <v/>
      </c>
      <c r="F613" s="15">
        <v>11</v>
      </c>
      <c r="G613" s="74"/>
      <c r="H613" s="444"/>
      <c r="I613" s="21" t="str">
        <f t="array" ref="I613">IF(B613&lt;&gt;"",INDEX('Eingabe Meldungen'!$C$2:$J$492,MATCH(B613&amp;C613,'Eingabe Meldungen'!$C$2:$C$492&amp;'Eingabe Meldungen'!$D$2:$D$492,0),8),"")</f>
        <v/>
      </c>
      <c r="J613" s="15"/>
      <c r="K613" s="72" t="e">
        <f>SUM(#REF!)</f>
        <v>#REF!</v>
      </c>
      <c r="L613" s="72"/>
    </row>
    <row r="614" spans="2:12" ht="13.2" hidden="1" thickBot="1" x14ac:dyDescent="0.25">
      <c r="B614" s="22" t="str">
        <f t="array" ref="B614">IF(ISERROR(INDEX('Eingabe Meldungen'!$C$2:$C$492,LARGE(('Eingabe Meldungen'!$A$2:$A$492=$B$601)*(ROW('Eingabe Meldungen'!$A$2:$A$492)-1),COUNTIF('Eingabe Meldungen'!$A$2:$A$492,$B$601)+1-ROW('Eingabe Meldungen'!A13)))),"",INDEX('Eingabe Meldungen'!$C$2:$C$492,LARGE(('Eingabe Meldungen'!$A$2:$A$492=$B$601)*(ROW('Eingabe Meldungen'!$A$2:$A$492)-1),COUNTIF('Eingabe Meldungen'!$A$2:$A$492,$B$601)+1-ROW('Eingabe Meldungen'!A13))))</f>
        <v/>
      </c>
      <c r="C614" s="14" t="str">
        <f t="array" ref="C614">IF(ISERROR(INDEX('Eingabe Meldungen'!$D$2:$D$492,LARGE(('Eingabe Meldungen'!$A$2:$A$492=$B$601)*(ROW('Eingabe Meldungen'!$A$2:$A$492)-1),COUNTIF('Eingabe Meldungen'!$A$2:$A$492,$B$601)+1-ROW('Eingabe Meldungen'!A13)))),"",INDEX('Eingabe Meldungen'!$D$2:$D$492,LARGE(('Eingabe Meldungen'!$A$2:$A$492=$B$601)*(ROW('Eingabe Meldungen'!$A$2:$A$492)-1),COUNTIF('Eingabe Meldungen'!$A$2:$A$492,$B$601)+1-ROW('Eingabe Meldungen'!A13))))</f>
        <v/>
      </c>
      <c r="D614" s="12" t="str">
        <f t="array" ref="D614">IF(B614&lt;&gt;"",INDEX('Eingabe Meldungen'!$C$2:$H$492,MATCH(B614&amp;C614,'Eingabe Meldungen'!$C$2:$C$492&amp;'Eingabe Meldungen'!$D$2:$D$492,0),6),"")</f>
        <v/>
      </c>
      <c r="E614" s="12" t="str">
        <f t="array" ref="E614">IF(B614&lt;&gt;"",INDEX('Eingabe Meldungen'!$C$2:$H$492,MATCH(B614&amp;C614,'Eingabe Meldungen'!$C$2:$C$492&amp;'Eingabe Meldungen'!$D$2:$D$492,0),4),"")</f>
        <v/>
      </c>
      <c r="F614" s="84">
        <v>12</v>
      </c>
      <c r="G614" s="83"/>
      <c r="H614" s="434"/>
      <c r="I614" s="23" t="str">
        <f t="array" ref="I614">IF(B614&lt;&gt;"",INDEX('Eingabe Meldungen'!$C$2:$J$492,MATCH(B614&amp;C614,'Eingabe Meldungen'!$C$2:$C$492&amp;'Eingabe Meldungen'!$D$2:$D$492,0),8),"")</f>
        <v/>
      </c>
      <c r="J614" s="84"/>
    </row>
    <row r="615" spans="2:12" hidden="1" x14ac:dyDescent="0.2">
      <c r="B615" s="20" t="str">
        <f t="array" ref="B615">IF(ISERROR(INDEX('Eingabe Meldungen'!$C$2:$C$492,LARGE(('Eingabe Meldungen'!$A$2:$A$492=$B$601)*(ROW('Eingabe Meldungen'!$A$2:$A$492)-1),COUNTIF('Eingabe Meldungen'!$A$2:$A$492,$B$601)+1-ROW('Eingabe Meldungen'!A14)))),"",INDEX('Eingabe Meldungen'!$C$2:$C$492,LARGE(('Eingabe Meldungen'!$A$2:$A$492=$B$601)*(ROW('Eingabe Meldungen'!$A$2:$A$492)-1),COUNTIF('Eingabe Meldungen'!$A$2:$A$492,$B$601)+1-ROW('Eingabe Meldungen'!A14))))</f>
        <v/>
      </c>
      <c r="C615" t="str">
        <f t="array" ref="C615">IF(ISERROR(INDEX('Eingabe Meldungen'!$D$2:$D$492,LARGE(('Eingabe Meldungen'!$A$2:$A$492=$B$601)*(ROW('Eingabe Meldungen'!$A$2:$A$492)-1),COUNTIF('Eingabe Meldungen'!$A$2:$A$492,$B$601)+1-ROW('Eingabe Meldungen'!A14)))),"",INDEX('Eingabe Meldungen'!$D$2:$D$492,LARGE(('Eingabe Meldungen'!$A$2:$A$492=$B$601)*(ROW('Eingabe Meldungen'!$A$2:$A$492)-1),COUNTIF('Eingabe Meldungen'!$A$2:$A$492,$B$601)+1-ROW('Eingabe Meldungen'!A14))))</f>
        <v/>
      </c>
      <c r="D615" s="11" t="str">
        <f t="array" ref="D615">IF(B615&lt;&gt;"",INDEX('Eingabe Meldungen'!$C$2:$H$492,MATCH(B615&amp;C615,'Eingabe Meldungen'!$C$2:$C$492&amp;'Eingabe Meldungen'!$D$2:$D$492,0),6),"")</f>
        <v/>
      </c>
      <c r="E615" s="11" t="str">
        <f t="array" ref="E615">IF(B615&lt;&gt;"",INDEX('Eingabe Meldungen'!$C$2:$H$492,MATCH(B615&amp;C615,'Eingabe Meldungen'!$C$2:$C$492&amp;'Eingabe Meldungen'!$D$2:$D$492,0),4),"")</f>
        <v/>
      </c>
      <c r="F615" s="15">
        <v>13</v>
      </c>
      <c r="G615" s="74"/>
      <c r="H615" s="444" t="e">
        <f>RANK(#REF!,#REF!,1)</f>
        <v>#REF!</v>
      </c>
      <c r="I615" s="21" t="str">
        <f t="array" ref="I615">IF(B615&lt;&gt;"",INDEX('Eingabe Meldungen'!$C$2:$J$492,MATCH(B615&amp;C615,'Eingabe Meldungen'!$C$2:$C$492&amp;'Eingabe Meldungen'!$D$2:$D$492,0),8),"")</f>
        <v/>
      </c>
      <c r="J615" s="15"/>
    </row>
    <row r="616" spans="2:12" hidden="1" x14ac:dyDescent="0.2">
      <c r="B616" s="20" t="str">
        <f t="array" ref="B616">IF(ISERROR(INDEX('Eingabe Meldungen'!$C$2:$C$492,LARGE(('Eingabe Meldungen'!$A$2:$A$492=$B$601)*(ROW('Eingabe Meldungen'!$A$2:$A$492)-1),COUNTIF('Eingabe Meldungen'!$A$2:$A$492,$B$601)+1-ROW('Eingabe Meldungen'!A15)))),"",INDEX('Eingabe Meldungen'!$C$2:$C$492,LARGE(('Eingabe Meldungen'!$A$2:$A$492=$B$601)*(ROW('Eingabe Meldungen'!$A$2:$A$492)-1),COUNTIF('Eingabe Meldungen'!$A$2:$A$492,$B$601)+1-ROW('Eingabe Meldungen'!A15))))</f>
        <v/>
      </c>
      <c r="C616" t="str">
        <f t="array" ref="C616">IF(ISERROR(INDEX('Eingabe Meldungen'!$D$2:$D$492,LARGE(('Eingabe Meldungen'!$A$2:$A$492=$B$601)*(ROW('Eingabe Meldungen'!$A$2:$A$492)-1),COUNTIF('Eingabe Meldungen'!$A$2:$A$492,$B$601)+1-ROW('Eingabe Meldungen'!A15)))),"",INDEX('Eingabe Meldungen'!$D$2:$D$492,LARGE(('Eingabe Meldungen'!$A$2:$A$492=$B$601)*(ROW('Eingabe Meldungen'!$A$2:$A$492)-1),COUNTIF('Eingabe Meldungen'!$A$2:$A$492,$B$601)+1-ROW('Eingabe Meldungen'!A15))))</f>
        <v/>
      </c>
      <c r="D616" s="11" t="str">
        <f t="array" ref="D616">IF(B616&lt;&gt;"",INDEX('Eingabe Meldungen'!$C$2:$H$492,MATCH(B616&amp;C616,'Eingabe Meldungen'!$C$2:$C$492&amp;'Eingabe Meldungen'!$D$2:$D$492,0),6),"")</f>
        <v/>
      </c>
      <c r="E616" s="11" t="str">
        <f t="array" ref="E616">IF(B616&lt;&gt;"",INDEX('Eingabe Meldungen'!$C$2:$H$492,MATCH(B616&amp;C616,'Eingabe Meldungen'!$C$2:$C$492&amp;'Eingabe Meldungen'!$D$2:$D$492,0),4),"")</f>
        <v/>
      </c>
      <c r="F616" s="15">
        <v>14</v>
      </c>
      <c r="G616" s="74"/>
      <c r="H616" s="444"/>
      <c r="I616" s="21" t="str">
        <f t="array" ref="I616">IF(B616&lt;&gt;"",INDEX('Eingabe Meldungen'!$C$2:$J$492,MATCH(B616&amp;C616,'Eingabe Meldungen'!$C$2:$C$492&amp;'Eingabe Meldungen'!$D$2:$D$492,0),8),"")</f>
        <v/>
      </c>
      <c r="J616" s="15"/>
    </row>
    <row r="617" spans="2:12" hidden="1" x14ac:dyDescent="0.2">
      <c r="B617" s="20" t="str">
        <f t="array" ref="B617">IF(ISERROR(INDEX('Eingabe Meldungen'!$C$2:$C$492,LARGE(('Eingabe Meldungen'!$A$2:$A$492=$B$601)*(ROW('Eingabe Meldungen'!$A$2:$A$492)-1),COUNTIF('Eingabe Meldungen'!$A$2:$A$492,$B$601)+1-ROW('Eingabe Meldungen'!A16)))),"",INDEX('Eingabe Meldungen'!$C$2:$C$492,LARGE(('Eingabe Meldungen'!$A$2:$A$492=$B$601)*(ROW('Eingabe Meldungen'!$A$2:$A$492)-1),COUNTIF('Eingabe Meldungen'!$A$2:$A$492,$B$601)+1-ROW('Eingabe Meldungen'!A16))))</f>
        <v/>
      </c>
      <c r="C617" t="str">
        <f t="array" ref="C617">IF(ISERROR(INDEX('Eingabe Meldungen'!$D$2:$D$492,LARGE(('Eingabe Meldungen'!$A$2:$A$492=$B$601)*(ROW('Eingabe Meldungen'!$A$2:$A$492)-1),COUNTIF('Eingabe Meldungen'!$A$2:$A$492,$B$601)+1-ROW('Eingabe Meldungen'!A16)))),"",INDEX('Eingabe Meldungen'!$D$2:$D$492,LARGE(('Eingabe Meldungen'!$A$2:$A$492=$B$601)*(ROW('Eingabe Meldungen'!$A$2:$A$492)-1),COUNTIF('Eingabe Meldungen'!$A$2:$A$492,$B$601)+1-ROW('Eingabe Meldungen'!A16))))</f>
        <v/>
      </c>
      <c r="D617" s="11" t="str">
        <f t="array" ref="D617">IF(B617&lt;&gt;"",INDEX('Eingabe Meldungen'!$C$2:$H$492,MATCH(B617&amp;C617,'Eingabe Meldungen'!$C$2:$C$492&amp;'Eingabe Meldungen'!$D$2:$D$492,0),6),"")</f>
        <v/>
      </c>
      <c r="E617" s="11" t="str">
        <f t="array" ref="E617">IF(B617&lt;&gt;"",INDEX('Eingabe Meldungen'!$C$2:$H$492,MATCH(B617&amp;C617,'Eingabe Meldungen'!$C$2:$C$492&amp;'Eingabe Meldungen'!$D$2:$D$492,0),4),"")</f>
        <v/>
      </c>
      <c r="F617" s="15">
        <v>15</v>
      </c>
      <c r="G617" s="74"/>
      <c r="H617" s="444"/>
      <c r="I617" s="21" t="str">
        <f t="array" ref="I617">IF(B617&lt;&gt;"",INDEX('Eingabe Meldungen'!$C$2:$J$492,MATCH(B617&amp;C617,'Eingabe Meldungen'!$C$2:$C$492&amp;'Eingabe Meldungen'!$D$2:$D$492,0),8),"")</f>
        <v/>
      </c>
      <c r="J617" s="15"/>
    </row>
    <row r="618" spans="2:12" ht="13.2" hidden="1" thickBot="1" x14ac:dyDescent="0.25">
      <c r="B618" s="22" t="str">
        <f t="array" ref="B618">IF(ISERROR(INDEX('Eingabe Meldungen'!$C$2:$C$492,LARGE(('Eingabe Meldungen'!$A$2:$A$492=$B$601)*(ROW('Eingabe Meldungen'!$A$2:$A$492)-1),COUNTIF('Eingabe Meldungen'!$A$2:$A$492,$B$601)+1-ROW('Eingabe Meldungen'!A17)))),"",INDEX('Eingabe Meldungen'!$C$2:$C$492,LARGE(('Eingabe Meldungen'!$A$2:$A$492=$B$601)*(ROW('Eingabe Meldungen'!$A$2:$A$492)-1),COUNTIF('Eingabe Meldungen'!$A$2:$A$492,$B$601)+1-ROW('Eingabe Meldungen'!A17))))</f>
        <v/>
      </c>
      <c r="C618" s="14" t="str">
        <f t="array" ref="C618">IF(ISERROR(INDEX('Eingabe Meldungen'!$D$2:$D$492,LARGE(('Eingabe Meldungen'!$A$2:$A$492=$B$601)*(ROW('Eingabe Meldungen'!$A$2:$A$492)-1),COUNTIF('Eingabe Meldungen'!$A$2:$A$492,$B$601)+1-ROW('Eingabe Meldungen'!A17)))),"",INDEX('Eingabe Meldungen'!$D$2:$D$492,LARGE(('Eingabe Meldungen'!$A$2:$A$492=$B$601)*(ROW('Eingabe Meldungen'!$A$2:$A$492)-1),COUNTIF('Eingabe Meldungen'!$A$2:$A$492,$B$601)+1-ROW('Eingabe Meldungen'!A17))))</f>
        <v/>
      </c>
      <c r="D618" s="12" t="str">
        <f t="array" ref="D618">IF(B618&lt;&gt;"",INDEX('Eingabe Meldungen'!$C$2:$H$492,MATCH(B618&amp;C618,'Eingabe Meldungen'!$C$2:$C$492&amp;'Eingabe Meldungen'!$D$2:$D$492,0),6),"")</f>
        <v/>
      </c>
      <c r="E618" s="12" t="str">
        <f t="array" ref="E618">IF(B618&lt;&gt;"",INDEX('Eingabe Meldungen'!$C$2:$H$492,MATCH(B618&amp;C618,'Eingabe Meldungen'!$C$2:$C$492&amp;'Eingabe Meldungen'!$D$2:$D$492,0),4),"")</f>
        <v/>
      </c>
      <c r="F618" s="84">
        <v>16</v>
      </c>
      <c r="G618" s="83"/>
      <c r="H618" s="434"/>
      <c r="I618" s="23" t="str">
        <f t="array" ref="I618">IF(B618&lt;&gt;"",INDEX('Eingabe Meldungen'!$C$2:$J$492,MATCH(B618&amp;C618,'Eingabe Meldungen'!$C$2:$C$492&amp;'Eingabe Meldungen'!$D$2:$D$492,0),8),"")</f>
        <v/>
      </c>
      <c r="J618" s="84"/>
    </row>
    <row r="619" spans="2:12" hidden="1" x14ac:dyDescent="0.2"/>
    <row r="620" spans="2:12" hidden="1" x14ac:dyDescent="0.2"/>
    <row r="621" spans="2:12" ht="28.5" hidden="1" customHeight="1" x14ac:dyDescent="0.2">
      <c r="B621" s="26">
        <v>35</v>
      </c>
      <c r="C621" s="65" t="e">
        <f>VLOOKUP(B621,Ausschreibung!$B$5:$I$35,2,FALSE)</f>
        <v>#N/A</v>
      </c>
      <c r="D621" s="27" t="e">
        <f>VLOOKUP(B621,Ausschreibung!$B$5:$I$35,3,FALSE)</f>
        <v>#N/A</v>
      </c>
      <c r="E621" s="68" t="e">
        <f>VLOOKUP(B621,Ausschreibung!$B$5:$I$35,4,FALSE)</f>
        <v>#N/A</v>
      </c>
      <c r="F621" s="68" t="e">
        <f>VLOOKUP(B621,Ausschreibung!$B$5:$I$35,5,FALSE)</f>
        <v>#N/A</v>
      </c>
      <c r="G621" s="65" t="e">
        <f>VLOOKUP(B621,Ausschreibung!$B$5:$I$35,6,FALSE)</f>
        <v>#N/A</v>
      </c>
      <c r="H621" s="65" t="e">
        <f>VLOOKUP(B621,Ausschreibung!$B$5:$I$35,8,FALSE)</f>
        <v>#N/A</v>
      </c>
      <c r="I621" s="28" t="s">
        <v>30</v>
      </c>
      <c r="J621" s="65"/>
    </row>
    <row r="622" spans="2:12" ht="13.2" hidden="1" thickBot="1" x14ac:dyDescent="0.25">
      <c r="B622" s="88" t="s">
        <v>1</v>
      </c>
      <c r="C622" s="89" t="s">
        <v>2</v>
      </c>
      <c r="D622" s="90" t="s">
        <v>49</v>
      </c>
      <c r="E622" s="91" t="s">
        <v>16</v>
      </c>
      <c r="F622" s="90" t="s">
        <v>18</v>
      </c>
      <c r="G622" s="92" t="s">
        <v>50</v>
      </c>
      <c r="H622" s="90" t="s">
        <v>51</v>
      </c>
      <c r="I622" s="93" t="s">
        <v>17</v>
      </c>
      <c r="J622" s="90"/>
    </row>
    <row r="623" spans="2:12" hidden="1" x14ac:dyDescent="0.2">
      <c r="B623" s="20" t="str">
        <f t="array" ref="B623">IF(ISERROR(INDEX('Eingabe Meldungen'!$C$2:$C$492,LARGE(('Eingabe Meldungen'!$A$2:$A$492=$B$621)*(ROW('Eingabe Meldungen'!$A$2:$A$492)-1),COUNTIF('Eingabe Meldungen'!$A$2:$A$492,$B$621)+1-ROW('Eingabe Meldungen'!A1)))),"",INDEX('Eingabe Meldungen'!$C$2:$C$492,LARGE(('Eingabe Meldungen'!$A$2:$A$492=$B$621)*(ROW('Eingabe Meldungen'!$A$2:$A$492)-1),COUNTIF('Eingabe Meldungen'!$A$2:$A$492,$B$621)+1-ROW('Eingabe Meldungen'!A1))))</f>
        <v/>
      </c>
      <c r="C623" t="str">
        <f t="array" ref="C623">IF(ISERROR(INDEX('Eingabe Meldungen'!$D$2:$D$492,LARGE(('Eingabe Meldungen'!$A$2:$A$492=$B$621)*(ROW('Eingabe Meldungen'!$A$2:$A$492)-1),COUNTIF('Eingabe Meldungen'!$A$2:$A$492,$B$621)+1-ROW('Eingabe Meldungen'!A1)))),"",INDEX('Eingabe Meldungen'!$D$2:$D$492,LARGE(('Eingabe Meldungen'!$A$2:$A$492=$B$621)*(ROW('Eingabe Meldungen'!$A$2:$A$492)-1),COUNTIF('Eingabe Meldungen'!$A$2:$A$492,$B$621)+1-ROW('Eingabe Meldungen'!A1))))</f>
        <v/>
      </c>
      <c r="D623" s="11" t="str">
        <f t="array" ref="D623">IF(B623&lt;&gt;"",INDEX('Eingabe Meldungen'!$C$2:$H$492,MATCH(B623&amp;C623,'Eingabe Meldungen'!$C$2:$C$492&amp;'Eingabe Meldungen'!$D$2:$D$492,0),6),"")</f>
        <v/>
      </c>
      <c r="E623" s="11" t="str">
        <f t="array" ref="E623">IF(B623&lt;&gt;"",INDEX('Eingabe Meldungen'!$C$2:$H$492,MATCH(B623&amp;C623,'Eingabe Meldungen'!$C$2:$C$492&amp;'Eingabe Meldungen'!$D$2:$D$492,0),4),"")</f>
        <v/>
      </c>
      <c r="F623" s="435">
        <v>1</v>
      </c>
      <c r="G623" s="74"/>
      <c r="H623" t="e">
        <f>RANK(G623,$G$623:$G$654,1)</f>
        <v>#N/A</v>
      </c>
      <c r="I623" s="21" t="str">
        <f t="array" ref="I623">IF(B623&lt;&gt;"",INDEX('Eingabe Meldungen'!$C$2:$J$492,MATCH(B623&amp;C623,'Eingabe Meldungen'!$C$2:$C$492&amp;'Eingabe Meldungen'!$D$2:$D$492,0),8),"")</f>
        <v/>
      </c>
    </row>
    <row r="624" spans="2:12" hidden="1" x14ac:dyDescent="0.2">
      <c r="B624" s="20" t="str">
        <f t="array" ref="B624">IF(ISERROR(INDEX('Eingabe Meldungen'!$C$2:$C$492,LARGE(('Eingabe Meldungen'!$A$2:$A$492=$B$621)*(ROW('Eingabe Meldungen'!$A$2:$A$492)-1),COUNTIF('Eingabe Meldungen'!$A$2:$A$492,$B$621)+1-ROW('Eingabe Meldungen'!A2)))),"",INDEX('Eingabe Meldungen'!$C$2:$C$492,LARGE(('Eingabe Meldungen'!$A$2:$A$492=$B$621)*(ROW('Eingabe Meldungen'!$A$2:$A$492)-1),COUNTIF('Eingabe Meldungen'!$A$2:$A$492,$B$621)+1-ROW('Eingabe Meldungen'!A2))))</f>
        <v/>
      </c>
      <c r="C624" t="str">
        <f t="array" ref="C624">IF(ISERROR(INDEX('Eingabe Meldungen'!$D$2:$D$492,LARGE(('Eingabe Meldungen'!$A$2:$A$492=$B$621)*(ROW('Eingabe Meldungen'!$A$2:$A$492)-1),COUNTIF('Eingabe Meldungen'!$A$2:$A$492,$B$621)+1-ROW('Eingabe Meldungen'!A2)))),"",INDEX('Eingabe Meldungen'!$D$2:$D$492,LARGE(('Eingabe Meldungen'!$A$2:$A$492=$B$621)*(ROW('Eingabe Meldungen'!$A$2:$A$492)-1),COUNTIF('Eingabe Meldungen'!$A$2:$A$492,$B$621)+1-ROW('Eingabe Meldungen'!A2))))</f>
        <v/>
      </c>
      <c r="D624" s="11" t="str">
        <f t="array" ref="D624">IF(B624&lt;&gt;"",INDEX('Eingabe Meldungen'!$C$2:$H$492,MATCH(B624&amp;C624,'Eingabe Meldungen'!$C$2:$C$492&amp;'Eingabe Meldungen'!$D$2:$D$492,0),6),"")</f>
        <v/>
      </c>
      <c r="E624" s="11"/>
      <c r="F624" s="435"/>
      <c r="G624" s="74"/>
      <c r="I624" s="21" t="str">
        <f t="array" ref="I624">IF(B624&lt;&gt;"",INDEX('Eingabe Meldungen'!$C$2:$J$492,MATCH(B624&amp;C624,'Eingabe Meldungen'!$C$2:$C$492&amp;'Eingabe Meldungen'!$D$2:$D$492,0),8),"")</f>
        <v/>
      </c>
    </row>
    <row r="625" spans="2:12" hidden="1" x14ac:dyDescent="0.2">
      <c r="B625" s="67" t="str">
        <f t="array" ref="B625">IF(ISERROR(INDEX('Eingabe Meldungen'!$C$2:$C$492,LARGE(('Eingabe Meldungen'!$A$2:$A$492=$B$621)*(ROW('Eingabe Meldungen'!$A$2:$A$492)-1),COUNTIF('Eingabe Meldungen'!$A$2:$A$492,$B$621)+1-ROW('Eingabe Meldungen'!A3)))),"",INDEX('Eingabe Meldungen'!$C$2:$C$492,LARGE(('Eingabe Meldungen'!$A$2:$A$492=$B$621)*(ROW('Eingabe Meldungen'!$A$2:$A$492)-1),COUNTIF('Eingabe Meldungen'!$A$2:$A$492,$B$621)+1-ROW('Eingabe Meldungen'!A3))))</f>
        <v/>
      </c>
      <c r="C625" s="46" t="str">
        <f t="array" ref="C625">IF(ISERROR(INDEX('Eingabe Meldungen'!$D$2:$D$492,LARGE(('Eingabe Meldungen'!$A$2:$A$492=$B$621)*(ROW('Eingabe Meldungen'!$A$2:$A$492)-1),COUNTIF('Eingabe Meldungen'!$A$2:$A$492,$B$621)+1-ROW('Eingabe Meldungen'!A3)))),"",INDEX('Eingabe Meldungen'!$D$2:$D$492,LARGE(('Eingabe Meldungen'!$A$2:$A$492=$B$621)*(ROW('Eingabe Meldungen'!$A$2:$A$492)-1),COUNTIF('Eingabe Meldungen'!$A$2:$A$492,$B$621)+1-ROW('Eingabe Meldungen'!A3))))</f>
        <v/>
      </c>
      <c r="D625" s="77" t="str">
        <f t="array" ref="D625">IF(B625&lt;&gt;"",INDEX('Eingabe Meldungen'!$C$2:$H$492,MATCH(B625&amp;C625,'Eingabe Meldungen'!$C$2:$C$492&amp;'Eingabe Meldungen'!$D$2:$D$492,0),6),"")</f>
        <v/>
      </c>
      <c r="E625" s="77" t="str">
        <f t="array" ref="E625">IF(B625&lt;&gt;"",INDEX('Eingabe Meldungen'!$C$2:$H$492,MATCH(B625&amp;C625,'Eingabe Meldungen'!$C$2:$C$492&amp;'Eingabe Meldungen'!$D$2:$D$492,0),4),"")</f>
        <v/>
      </c>
      <c r="F625" s="433">
        <v>2</v>
      </c>
      <c r="G625" s="80"/>
      <c r="H625" s="46" t="e">
        <f>RANK(G625,$G$623:$G$654,1)</f>
        <v>#N/A</v>
      </c>
      <c r="I625" s="79" t="str">
        <f t="array" ref="I625">IF(B625&lt;&gt;"",INDEX('Eingabe Meldungen'!$C$2:$J$492,MATCH(B625&amp;C625,'Eingabe Meldungen'!$C$2:$C$492&amp;'Eingabe Meldungen'!$D$2:$D$492,0),8),"")</f>
        <v/>
      </c>
      <c r="J625" s="46"/>
    </row>
    <row r="626" spans="2:12" ht="13.2" hidden="1" thickBot="1" x14ac:dyDescent="0.25">
      <c r="B626" s="22" t="str">
        <f t="array" ref="B626">IF(ISERROR(INDEX('Eingabe Meldungen'!$C$2:$C$492,LARGE(('Eingabe Meldungen'!$A$2:$A$492=$B$621)*(ROW('Eingabe Meldungen'!$A$2:$A$492)-1),COUNTIF('Eingabe Meldungen'!$A$2:$A$492,$B$621)+1-ROW('Eingabe Meldungen'!A4)))),"",INDEX('Eingabe Meldungen'!$C$2:$C$492,LARGE(('Eingabe Meldungen'!$A$2:$A$492=$B$621)*(ROW('Eingabe Meldungen'!$A$2:$A$492)-1),COUNTIF('Eingabe Meldungen'!$A$2:$A$492,$B$621)+1-ROW('Eingabe Meldungen'!A4))))</f>
        <v/>
      </c>
      <c r="C626" s="14" t="str">
        <f t="array" ref="C626">IF(ISERROR(INDEX('Eingabe Meldungen'!$D$2:$D$492,LARGE(('Eingabe Meldungen'!$A$2:$A$492=$B$621)*(ROW('Eingabe Meldungen'!$A$2:$A$492)-1),COUNTIF('Eingabe Meldungen'!$A$2:$A$492,$B$621)+1-ROW('Eingabe Meldungen'!A4)))),"",INDEX('Eingabe Meldungen'!$D$2:$D$492,LARGE(('Eingabe Meldungen'!$A$2:$A$492=$B$621)*(ROW('Eingabe Meldungen'!$A$2:$A$492)-1),COUNTIF('Eingabe Meldungen'!$A$2:$A$492,$B$621)+1-ROW('Eingabe Meldungen'!A4))))</f>
        <v/>
      </c>
      <c r="D626" s="12" t="str">
        <f t="array" ref="D626">IF(B626&lt;&gt;"",INDEX('Eingabe Meldungen'!$C$2:$H$492,MATCH(B626&amp;C626,'Eingabe Meldungen'!$C$2:$C$492&amp;'Eingabe Meldungen'!$D$2:$D$492,0),6),"")</f>
        <v/>
      </c>
      <c r="E626" s="12"/>
      <c r="F626" s="434"/>
      <c r="G626" s="83"/>
      <c r="H626" s="14"/>
      <c r="I626" s="23" t="str">
        <f t="array" ref="I626">IF(B626&lt;&gt;"",INDEX('Eingabe Meldungen'!$C$2:$J$492,MATCH(B626&amp;C626,'Eingabe Meldungen'!$C$2:$C$492&amp;'Eingabe Meldungen'!$D$2:$D$492,0),8),"")</f>
        <v/>
      </c>
      <c r="J626" s="14"/>
    </row>
    <row r="627" spans="2:12" hidden="1" x14ac:dyDescent="0.2">
      <c r="B627" s="20" t="str">
        <f t="array" ref="B627">IF(ISERROR(INDEX('Eingabe Meldungen'!$C$2:$C$492,LARGE(('Eingabe Meldungen'!$A$2:$A$492=$B$621)*(ROW('Eingabe Meldungen'!$A$2:$A$492)-1),COUNTIF('Eingabe Meldungen'!$A$2:$A$492,$B$621)+1-ROW('Eingabe Meldungen'!A5)))),"",INDEX('Eingabe Meldungen'!$C$2:$C$492,LARGE(('Eingabe Meldungen'!$A$2:$A$492=$B$621)*(ROW('Eingabe Meldungen'!$A$2:$A$492)-1),COUNTIF('Eingabe Meldungen'!$A$2:$A$492,$B$621)+1-ROW('Eingabe Meldungen'!A5))))</f>
        <v/>
      </c>
      <c r="C627" t="str">
        <f t="array" ref="C627">IF(ISERROR(INDEX('Eingabe Meldungen'!$D$2:$D$492,LARGE(('Eingabe Meldungen'!$A$2:$A$492=$B$621)*(ROW('Eingabe Meldungen'!$A$2:$A$492)-1),COUNTIF('Eingabe Meldungen'!$A$2:$A$492,$B$621)+1-ROW('Eingabe Meldungen'!A5)))),"",INDEX('Eingabe Meldungen'!$D$2:$D$492,LARGE(('Eingabe Meldungen'!$A$2:$A$492=$B$621)*(ROW('Eingabe Meldungen'!$A$2:$A$492)-1),COUNTIF('Eingabe Meldungen'!$A$2:$A$492,$B$621)+1-ROW('Eingabe Meldungen'!A5))))</f>
        <v/>
      </c>
      <c r="D627" s="11" t="str">
        <f t="array" ref="D627">IF(B627&lt;&gt;"",INDEX('Eingabe Meldungen'!$C$2:$H$492,MATCH(B627&amp;C627,'Eingabe Meldungen'!$C$2:$C$492&amp;'Eingabe Meldungen'!$D$2:$D$492,0),6),"")</f>
        <v/>
      </c>
      <c r="E627" s="11" t="str">
        <f t="array" ref="E627">IF(B627&lt;&gt;"",INDEX('Eingabe Meldungen'!$C$2:$H$492,MATCH(B627&amp;C627,'Eingabe Meldungen'!$C$2:$C$492&amp;'Eingabe Meldungen'!$D$2:$D$492,0),4),"")</f>
        <v/>
      </c>
      <c r="F627" s="444">
        <v>3</v>
      </c>
      <c r="G627" s="75"/>
      <c r="H627" t="e">
        <f>RANK(G627,$G$623:$G$654,1)</f>
        <v>#N/A</v>
      </c>
      <c r="I627" s="21" t="str">
        <f t="array" ref="I627">IF(B627&lt;&gt;"",INDEX('Eingabe Meldungen'!$C$2:$J$492,MATCH(B627&amp;C627,'Eingabe Meldungen'!$C$2:$C$492&amp;'Eingabe Meldungen'!$D$2:$D$492,0),8),"")</f>
        <v/>
      </c>
    </row>
    <row r="628" spans="2:12" hidden="1" x14ac:dyDescent="0.2">
      <c r="B628" s="20" t="str">
        <f t="array" ref="B628">IF(ISERROR(INDEX('Eingabe Meldungen'!$C$2:$C$492,LARGE(('Eingabe Meldungen'!$A$2:$A$492=$B$621)*(ROW('Eingabe Meldungen'!$A$2:$A$492)-1),COUNTIF('Eingabe Meldungen'!$A$2:$A$492,$B$621)+1-ROW('Eingabe Meldungen'!A6)))),"",INDEX('Eingabe Meldungen'!$C$2:$C$492,LARGE(('Eingabe Meldungen'!$A$2:$A$492=$B$621)*(ROW('Eingabe Meldungen'!$A$2:$A$492)-1),COUNTIF('Eingabe Meldungen'!$A$2:$A$492,$B$621)+1-ROW('Eingabe Meldungen'!A6))))</f>
        <v/>
      </c>
      <c r="C628" t="str">
        <f t="array" ref="C628">IF(ISERROR(INDEX('Eingabe Meldungen'!$D$2:$D$492,LARGE(('Eingabe Meldungen'!$A$2:$A$492=$B$621)*(ROW('Eingabe Meldungen'!$A$2:$A$492)-1),COUNTIF('Eingabe Meldungen'!$A$2:$A$492,$B$621)+1-ROW('Eingabe Meldungen'!A6)))),"",INDEX('Eingabe Meldungen'!$D$2:$D$492,LARGE(('Eingabe Meldungen'!$A$2:$A$492=$B$621)*(ROW('Eingabe Meldungen'!$A$2:$A$492)-1),COUNTIF('Eingabe Meldungen'!$A$2:$A$492,$B$621)+1-ROW('Eingabe Meldungen'!A6))))</f>
        <v/>
      </c>
      <c r="D628" s="11"/>
      <c r="E628" s="11"/>
      <c r="F628" s="444"/>
      <c r="G628" s="75"/>
      <c r="I628" s="21" t="str">
        <f t="array" ref="I628">IF(B628&lt;&gt;"",INDEX('Eingabe Meldungen'!$C$2:$J$492,MATCH(B628&amp;C628,'Eingabe Meldungen'!$C$2:$C$492&amp;'Eingabe Meldungen'!$D$2:$D$492,0),8),"")</f>
        <v/>
      </c>
    </row>
    <row r="629" spans="2:12" hidden="1" x14ac:dyDescent="0.2">
      <c r="B629" s="67" t="str">
        <f t="array" ref="B629">IF(ISERROR(INDEX('Eingabe Meldungen'!$C$2:$C$492,LARGE(('Eingabe Meldungen'!$A$2:$A$492=$B$621)*(ROW('Eingabe Meldungen'!$A$2:$A$492)-1),COUNTIF('Eingabe Meldungen'!$A$2:$A$492,$B$621)+1-ROW('Eingabe Meldungen'!A8)))),"",INDEX('Eingabe Meldungen'!$C$2:$C$492,LARGE(('Eingabe Meldungen'!$A$2:$A$492=$B$621)*(ROW('Eingabe Meldungen'!$A$2:$A$492)-1),COUNTIF('Eingabe Meldungen'!$A$2:$A$492,$B$621)+1-ROW('Eingabe Meldungen'!A8))))</f>
        <v/>
      </c>
      <c r="C629" s="46" t="str">
        <f t="array" ref="C629">IF(ISERROR(INDEX('Eingabe Meldungen'!$D$2:$D$492,LARGE(('Eingabe Meldungen'!$A$2:$A$492=$B$621)*(ROW('Eingabe Meldungen'!$A$2:$A$492)-1),COUNTIF('Eingabe Meldungen'!$A$2:$A$492,$B$621)+1-ROW('Eingabe Meldungen'!A8)))),"",INDEX('Eingabe Meldungen'!$D$2:$D$492,LARGE(('Eingabe Meldungen'!$A$2:$A$492=$B$621)*(ROW('Eingabe Meldungen'!$A$2:$A$492)-1),COUNTIF('Eingabe Meldungen'!$A$2:$A$492,$B$621)+1-ROW('Eingabe Meldungen'!A8))))</f>
        <v/>
      </c>
      <c r="D629" s="77" t="str">
        <f t="array" ref="D629">IF(B629&lt;&gt;"",INDEX('Eingabe Meldungen'!$C$2:$H$492,MATCH(B629&amp;C629,'Eingabe Meldungen'!$C$2:$C$492&amp;'Eingabe Meldungen'!$D$2:$D$492,0),6),"")</f>
        <v/>
      </c>
      <c r="E629" s="77" t="str">
        <f t="array" ref="E629">IF(B629&lt;&gt;"",INDEX('Eingabe Meldungen'!$C$2:$H$492,MATCH(B629&amp;C629,'Eingabe Meldungen'!$C$2:$C$492&amp;'Eingabe Meldungen'!$D$2:$D$492,0),4),"")</f>
        <v/>
      </c>
      <c r="F629" s="433">
        <v>4</v>
      </c>
      <c r="G629" s="87"/>
      <c r="H629" s="46" t="e">
        <f>RANK(G629,$G$623:$G$654,1)</f>
        <v>#N/A</v>
      </c>
      <c r="I629" s="79" t="str">
        <f t="array" ref="I629">IF(B629&lt;&gt;"",INDEX('Eingabe Meldungen'!$C$2:$J$492,MATCH(B629&amp;C629,'Eingabe Meldungen'!$C$2:$C$492&amp;'Eingabe Meldungen'!$D$2:$D$492,0),8),"")</f>
        <v/>
      </c>
      <c r="J629" s="46"/>
    </row>
    <row r="630" spans="2:12" ht="13.2" hidden="1" thickBot="1" x14ac:dyDescent="0.25">
      <c r="B630" s="22" t="str">
        <f t="array" ref="B630">IF(ISERROR(INDEX('Eingabe Meldungen'!$C$2:$C$492,LARGE(('Eingabe Meldungen'!$A$2:$A$492=$B$621)*(ROW('Eingabe Meldungen'!$A$2:$A$492)-1),COUNTIF('Eingabe Meldungen'!$A$2:$A$492,$B$621)+1-ROW('Eingabe Meldungen'!A9)))),"",INDEX('Eingabe Meldungen'!$C$2:$C$492,LARGE(('Eingabe Meldungen'!$A$2:$A$492=$B$621)*(ROW('Eingabe Meldungen'!$A$2:$A$492)-1),COUNTIF('Eingabe Meldungen'!$A$2:$A$492,$B$621)+1-ROW('Eingabe Meldungen'!A9))))</f>
        <v/>
      </c>
      <c r="C630" s="14" t="str">
        <f t="array" ref="C630">IF(ISERROR(INDEX('Eingabe Meldungen'!$D$2:$D$492,LARGE(('Eingabe Meldungen'!$A$2:$A$492=$B$621)*(ROW('Eingabe Meldungen'!$A$2:$A$492)-1),COUNTIF('Eingabe Meldungen'!$A$2:$A$492,$B$621)+1-ROW('Eingabe Meldungen'!A9)))),"",INDEX('Eingabe Meldungen'!$D$2:$D$492,LARGE(('Eingabe Meldungen'!$A$2:$A$492=$B$621)*(ROW('Eingabe Meldungen'!$A$2:$A$492)-1),COUNTIF('Eingabe Meldungen'!$A$2:$A$492,$B$621)+1-ROW('Eingabe Meldungen'!A9))))</f>
        <v/>
      </c>
      <c r="D630" s="12"/>
      <c r="E630" s="12"/>
      <c r="F630" s="434"/>
      <c r="G630" s="76"/>
      <c r="H630" s="14"/>
      <c r="I630" s="23" t="str">
        <f t="array" ref="I630">IF(B630&lt;&gt;"",INDEX('Eingabe Meldungen'!$C$2:$J$492,MATCH(B630&amp;C630,'Eingabe Meldungen'!$C$2:$C$492&amp;'Eingabe Meldungen'!$D$2:$D$492,0),8),"")</f>
        <v/>
      </c>
      <c r="J630" s="14"/>
    </row>
    <row r="631" spans="2:12" hidden="1" x14ac:dyDescent="0.2">
      <c r="B631" s="20" t="str">
        <f t="array" ref="B631">IF(ISERROR(INDEX('Eingabe Meldungen'!$C$2:$C$492,LARGE(('Eingabe Meldungen'!$A$2:$A$492=$B$621)*(ROW('Eingabe Meldungen'!$A$2:$A$492)-1),COUNTIF('Eingabe Meldungen'!$A$2:$A$492,$B$621)+1-ROW('Eingabe Meldungen'!A10)))),"",INDEX('Eingabe Meldungen'!$C$2:$C$492,LARGE(('Eingabe Meldungen'!$A$2:$A$492=$B$621)*(ROW('Eingabe Meldungen'!$A$2:$A$492)-1),COUNTIF('Eingabe Meldungen'!$A$2:$A$492,$B$621)+1-ROW('Eingabe Meldungen'!A10))))</f>
        <v/>
      </c>
      <c r="C631" t="str">
        <f t="array" ref="C631">IF(ISERROR(INDEX('Eingabe Meldungen'!$D$2:$D$492,LARGE(('Eingabe Meldungen'!$A$2:$A$492=$B$621)*(ROW('Eingabe Meldungen'!$A$2:$A$492)-1),COUNTIF('Eingabe Meldungen'!$A$2:$A$492,$B$621)+1-ROW('Eingabe Meldungen'!A10)))),"",INDEX('Eingabe Meldungen'!$D$2:$D$492,LARGE(('Eingabe Meldungen'!$A$2:$A$492=$B$621)*(ROW('Eingabe Meldungen'!$A$2:$A$492)-1),COUNTIF('Eingabe Meldungen'!$A$2:$A$492,$B$621)+1-ROW('Eingabe Meldungen'!A10))))</f>
        <v/>
      </c>
      <c r="D631" s="11" t="str">
        <f t="array" ref="D631">IF(B631&lt;&gt;"",INDEX('Eingabe Meldungen'!$C$2:$H$492,MATCH(B631&amp;C631,'Eingabe Meldungen'!$C$2:$C$492&amp;'Eingabe Meldungen'!$D$2:$D$492,0),6),"")</f>
        <v/>
      </c>
      <c r="E631" s="11" t="str">
        <f t="array" ref="E631">IF(B631&lt;&gt;"",INDEX('Eingabe Meldungen'!$C$2:$H$492,MATCH(B631&amp;C631,'Eingabe Meldungen'!$C$2:$C$492&amp;'Eingabe Meldungen'!$D$2:$D$492,0),4),"")</f>
        <v/>
      </c>
      <c r="F631" s="444">
        <v>5</v>
      </c>
      <c r="G631" s="75"/>
      <c r="H631" t="e">
        <f>RANK(G631,$G$623:$G$654,1)</f>
        <v>#N/A</v>
      </c>
      <c r="I631" s="21" t="str">
        <f t="array" ref="I631">IF(B631&lt;&gt;"",INDEX('Eingabe Meldungen'!$C$2:$J$492,MATCH(B631&amp;C631,'Eingabe Meldungen'!$C$2:$C$492&amp;'Eingabe Meldungen'!$D$2:$D$492,0),8),"")</f>
        <v/>
      </c>
    </row>
    <row r="632" spans="2:12" hidden="1" x14ac:dyDescent="0.2">
      <c r="B632" s="20" t="str">
        <f t="array" ref="B632">IF(ISERROR(INDEX('Eingabe Meldungen'!$C$2:$C$492,LARGE(('Eingabe Meldungen'!$A$2:$A$492=$B$621)*(ROW('Eingabe Meldungen'!$A$2:$A$492)-1),COUNTIF('Eingabe Meldungen'!$A$2:$A$492,$B$621)+1-ROW('Eingabe Meldungen'!A11)))),"",INDEX('Eingabe Meldungen'!$C$2:$C$492,LARGE(('Eingabe Meldungen'!$A$2:$A$492=$B$621)*(ROW('Eingabe Meldungen'!$A$2:$A$492)-1),COUNTIF('Eingabe Meldungen'!$A$2:$A$492,$B$621)+1-ROW('Eingabe Meldungen'!A11))))</f>
        <v/>
      </c>
      <c r="C632" t="str">
        <f t="array" ref="C632">IF(ISERROR(INDEX('Eingabe Meldungen'!$D$2:$D$492,LARGE(('Eingabe Meldungen'!$A$2:$A$492=$B$621)*(ROW('Eingabe Meldungen'!$A$2:$A$492)-1),COUNTIF('Eingabe Meldungen'!$A$2:$A$492,$B$621)+1-ROW('Eingabe Meldungen'!A11)))),"",INDEX('Eingabe Meldungen'!$D$2:$D$492,LARGE(('Eingabe Meldungen'!$A$2:$A$492=$B$621)*(ROW('Eingabe Meldungen'!$A$2:$A$492)-1),COUNTIF('Eingabe Meldungen'!$A$2:$A$492,$B$621)+1-ROW('Eingabe Meldungen'!A11))))</f>
        <v/>
      </c>
      <c r="D632" s="11"/>
      <c r="E632" s="11"/>
      <c r="F632" s="444"/>
      <c r="G632" s="75"/>
      <c r="I632" s="21" t="str">
        <f t="array" ref="I632">IF(B632&lt;&gt;"",INDEX('Eingabe Meldungen'!$C$2:$J$492,MATCH(B632&amp;C632,'Eingabe Meldungen'!$C$2:$C$492&amp;'Eingabe Meldungen'!$D$2:$D$492,0),8),"")</f>
        <v/>
      </c>
    </row>
    <row r="633" spans="2:12" hidden="1" x14ac:dyDescent="0.2">
      <c r="B633" s="67" t="str">
        <f t="array" ref="B633">IF(ISERROR(INDEX('Eingabe Meldungen'!$C$2:$C$492,LARGE(('Eingabe Meldungen'!$A$2:$A$492=$B$621)*(ROW('Eingabe Meldungen'!$A$2:$A$492)-1),COUNTIF('Eingabe Meldungen'!$A$2:$A$492,$B$621)+1-ROW('Eingabe Meldungen'!A12)))),"",INDEX('Eingabe Meldungen'!$C$2:$C$492,LARGE(('Eingabe Meldungen'!$A$2:$A$492=$B$621)*(ROW('Eingabe Meldungen'!$A$2:$A$492)-1),COUNTIF('Eingabe Meldungen'!$A$2:$A$492,$B$621)+1-ROW('Eingabe Meldungen'!A12))))</f>
        <v/>
      </c>
      <c r="C633" s="46" t="str">
        <f t="array" ref="C633">IF(ISERROR(INDEX('Eingabe Meldungen'!$D$2:$D$492,LARGE(('Eingabe Meldungen'!$A$2:$A$492=$B$621)*(ROW('Eingabe Meldungen'!$A$2:$A$492)-1),COUNTIF('Eingabe Meldungen'!$A$2:$A$492,$B$621)+1-ROW('Eingabe Meldungen'!A12)))),"",INDEX('Eingabe Meldungen'!$D$2:$D$492,LARGE(('Eingabe Meldungen'!$A$2:$A$492=$B$621)*(ROW('Eingabe Meldungen'!$A$2:$A$492)-1),COUNTIF('Eingabe Meldungen'!$A$2:$A$492,$B$621)+1-ROW('Eingabe Meldungen'!A12))))</f>
        <v/>
      </c>
      <c r="D633" s="77" t="str">
        <f t="array" ref="D633">IF(B633&lt;&gt;"",INDEX('Eingabe Meldungen'!$C$2:$H$492,MATCH(B633&amp;C633,'Eingabe Meldungen'!$C$2:$C$492&amp;'Eingabe Meldungen'!$D$2:$D$492,0),6),"")</f>
        <v/>
      </c>
      <c r="E633" s="77" t="str">
        <f t="array" ref="E633">IF(B633&lt;&gt;"",INDEX('Eingabe Meldungen'!$C$2:$H$492,MATCH(B633&amp;C633,'Eingabe Meldungen'!$C$2:$C$492&amp;'Eingabe Meldungen'!$D$2:$D$492,0),4),"")</f>
        <v/>
      </c>
      <c r="F633" s="433">
        <v>6</v>
      </c>
      <c r="G633" s="87"/>
      <c r="H633" s="46" t="e">
        <f>RANK(G633,$G$623:$G$654,1)</f>
        <v>#N/A</v>
      </c>
      <c r="I633" s="79" t="str">
        <f t="array" ref="I633">IF(B633&lt;&gt;"",INDEX('Eingabe Meldungen'!$C$2:$J$492,MATCH(B633&amp;C633,'Eingabe Meldungen'!$C$2:$C$492&amp;'Eingabe Meldungen'!$D$2:$D$492,0),8),"")</f>
        <v/>
      </c>
      <c r="J633" s="46"/>
    </row>
    <row r="634" spans="2:12" ht="13.2" hidden="1" thickBot="1" x14ac:dyDescent="0.25">
      <c r="B634" s="22" t="str">
        <f t="array" ref="B634">IF(ISERROR(INDEX('Eingabe Meldungen'!$C$2:$C$492,LARGE(('Eingabe Meldungen'!$A$2:$A$492=$B$621)*(ROW('Eingabe Meldungen'!$A$2:$A$492)-1),COUNTIF('Eingabe Meldungen'!$A$2:$A$492,$B$621)+1-ROW('Eingabe Meldungen'!A13)))),"",INDEX('Eingabe Meldungen'!$C$2:$C$492,LARGE(('Eingabe Meldungen'!$A$2:$A$492=$B$621)*(ROW('Eingabe Meldungen'!$A$2:$A$492)-1),COUNTIF('Eingabe Meldungen'!$A$2:$A$492,$B$621)+1-ROW('Eingabe Meldungen'!A13))))</f>
        <v/>
      </c>
      <c r="C634" s="14" t="str">
        <f t="array" ref="C634">IF(ISERROR(INDEX('Eingabe Meldungen'!$D$2:$D$492,LARGE(('Eingabe Meldungen'!$A$2:$A$492=$B$621)*(ROW('Eingabe Meldungen'!$A$2:$A$492)-1),COUNTIF('Eingabe Meldungen'!$A$2:$A$492,$B$621)+1-ROW('Eingabe Meldungen'!A13)))),"",INDEX('Eingabe Meldungen'!$D$2:$D$492,LARGE(('Eingabe Meldungen'!$A$2:$A$492=$B$621)*(ROW('Eingabe Meldungen'!$A$2:$A$492)-1),COUNTIF('Eingabe Meldungen'!$A$2:$A$492,$B$621)+1-ROW('Eingabe Meldungen'!A13))))</f>
        <v/>
      </c>
      <c r="D634" s="12"/>
      <c r="E634" s="12"/>
      <c r="F634" s="434"/>
      <c r="G634" s="76"/>
      <c r="H634" s="14"/>
      <c r="I634" s="23" t="str">
        <f t="array" ref="I634">IF(B634&lt;&gt;"",INDEX('Eingabe Meldungen'!$C$2:$J$492,MATCH(B634&amp;C634,'Eingabe Meldungen'!$C$2:$C$492&amp;'Eingabe Meldungen'!$D$2:$D$492,0),8),"")</f>
        <v/>
      </c>
      <c r="J634" s="14"/>
    </row>
    <row r="635" spans="2:12" hidden="1" x14ac:dyDescent="0.2">
      <c r="B635" s="20" t="str">
        <f t="array" ref="B635">IF(ISERROR(INDEX('Eingabe Meldungen'!$C$2:$C$492,LARGE(('Eingabe Meldungen'!$A$2:$A$492=$B$621)*(ROW('Eingabe Meldungen'!$A$2:$A$492)-1),COUNTIF('Eingabe Meldungen'!$A$2:$A$492,$B$621)+1-ROW('Eingabe Meldungen'!A14)))),"",INDEX('Eingabe Meldungen'!$C$2:$C$492,LARGE(('Eingabe Meldungen'!$A$2:$A$492=$B$621)*(ROW('Eingabe Meldungen'!$A$2:$A$492)-1),COUNTIF('Eingabe Meldungen'!$A$2:$A$492,$B$621)+1-ROW('Eingabe Meldungen'!A14))))</f>
        <v/>
      </c>
      <c r="C635" t="str">
        <f t="array" ref="C635">IF(ISERROR(INDEX('Eingabe Meldungen'!$D$2:$D$492,LARGE(('Eingabe Meldungen'!$A$2:$A$492=$B$621)*(ROW('Eingabe Meldungen'!$A$2:$A$492)-1),COUNTIF('Eingabe Meldungen'!$A$2:$A$492,$B$621)+1-ROW('Eingabe Meldungen'!A14)))),"",INDEX('Eingabe Meldungen'!$D$2:$D$492,LARGE(('Eingabe Meldungen'!$A$2:$A$492=$B$621)*(ROW('Eingabe Meldungen'!$A$2:$A$492)-1),COUNTIF('Eingabe Meldungen'!$A$2:$A$492,$B$621)+1-ROW('Eingabe Meldungen'!A14))))</f>
        <v/>
      </c>
      <c r="D635" s="11" t="str">
        <f t="array" ref="D635">IF(B635&lt;&gt;"",INDEX('Eingabe Meldungen'!$C$2:$H$492,MATCH(B635&amp;C635,'Eingabe Meldungen'!$C$2:$C$492&amp;'Eingabe Meldungen'!$D$2:$D$492,0),6),"")</f>
        <v/>
      </c>
      <c r="E635" s="11" t="str">
        <f t="array" ref="E635">IF(B635&lt;&gt;"",INDEX('Eingabe Meldungen'!$C$2:$H$492,MATCH(B635&amp;C635,'Eingabe Meldungen'!$C$2:$C$492&amp;'Eingabe Meldungen'!$D$2:$D$492,0),4),"")</f>
        <v/>
      </c>
      <c r="F635" s="444">
        <v>7</v>
      </c>
      <c r="G635" s="75"/>
      <c r="H635" t="e">
        <f>RANK(G635,$G$623:$G$654,1)</f>
        <v>#N/A</v>
      </c>
      <c r="I635" s="21" t="str">
        <f t="array" ref="I635">IF(B635&lt;&gt;"",INDEX('Eingabe Meldungen'!$C$2:$J$492,MATCH(B635&amp;C635,'Eingabe Meldungen'!$C$2:$C$492&amp;'Eingabe Meldungen'!$D$2:$D$492,0),8),"")</f>
        <v/>
      </c>
    </row>
    <row r="636" spans="2:12" hidden="1" x14ac:dyDescent="0.2">
      <c r="B636" s="20" t="str">
        <f t="array" ref="B636">IF(ISERROR(INDEX('Eingabe Meldungen'!$C$2:$C$492,LARGE(('Eingabe Meldungen'!$A$2:$A$492=$B$621)*(ROW('Eingabe Meldungen'!$A$2:$A$492)-1),COUNTIF('Eingabe Meldungen'!$A$2:$A$492,$B$621)+1-ROW('Eingabe Meldungen'!A15)))),"",INDEX('Eingabe Meldungen'!$C$2:$C$492,LARGE(('Eingabe Meldungen'!$A$2:$A$492=$B$621)*(ROW('Eingabe Meldungen'!$A$2:$A$492)-1),COUNTIF('Eingabe Meldungen'!$A$2:$A$492,$B$621)+1-ROW('Eingabe Meldungen'!A15))))</f>
        <v/>
      </c>
      <c r="C636" t="str">
        <f t="array" ref="C636">IF(ISERROR(INDEX('Eingabe Meldungen'!$D$2:$D$492,LARGE(('Eingabe Meldungen'!$A$2:$A$492=$B$621)*(ROW('Eingabe Meldungen'!$A$2:$A$492)-1),COUNTIF('Eingabe Meldungen'!$A$2:$A$492,$B$621)+1-ROW('Eingabe Meldungen'!A15)))),"",INDEX('Eingabe Meldungen'!$D$2:$D$492,LARGE(('Eingabe Meldungen'!$A$2:$A$492=$B$621)*(ROW('Eingabe Meldungen'!$A$2:$A$492)-1),COUNTIF('Eingabe Meldungen'!$A$2:$A$492,$B$621)+1-ROW('Eingabe Meldungen'!A15))))</f>
        <v/>
      </c>
      <c r="D636" s="11"/>
      <c r="E636" s="11"/>
      <c r="F636" s="444"/>
      <c r="G636" s="75"/>
      <c r="I636" s="21" t="str">
        <f t="array" ref="I636">IF(B636&lt;&gt;"",INDEX('Eingabe Meldungen'!$C$2:$J$492,MATCH(B636&amp;C636,'Eingabe Meldungen'!$C$2:$C$492&amp;'Eingabe Meldungen'!$D$2:$D$492,0),8),"")</f>
        <v/>
      </c>
    </row>
    <row r="637" spans="2:12" hidden="1" x14ac:dyDescent="0.2">
      <c r="B637" s="67" t="str">
        <f t="array" ref="B637">IF(ISERROR(INDEX('Eingabe Meldungen'!$C$2:$C$492,LARGE(('Eingabe Meldungen'!$A$2:$A$492=$B$621)*(ROW('Eingabe Meldungen'!$A$2:$A$492)-1),COUNTIF('Eingabe Meldungen'!$A$2:$A$492,$B$621)+1-ROW('Eingabe Meldungen'!A16)))),"",INDEX('Eingabe Meldungen'!$C$2:$C$492,LARGE(('Eingabe Meldungen'!$A$2:$A$492=$B$621)*(ROW('Eingabe Meldungen'!$A$2:$A$492)-1),COUNTIF('Eingabe Meldungen'!$A$2:$A$492,$B$621)+1-ROW('Eingabe Meldungen'!A16))))</f>
        <v/>
      </c>
      <c r="C637" s="46" t="str">
        <f t="array" ref="C637">IF(ISERROR(INDEX('Eingabe Meldungen'!$D$2:$D$492,LARGE(('Eingabe Meldungen'!$A$2:$A$492=$B$621)*(ROW('Eingabe Meldungen'!$A$2:$A$492)-1),COUNTIF('Eingabe Meldungen'!$A$2:$A$492,$B$621)+1-ROW('Eingabe Meldungen'!A16)))),"",INDEX('Eingabe Meldungen'!$D$2:$D$492,LARGE(('Eingabe Meldungen'!$A$2:$A$492=$B$621)*(ROW('Eingabe Meldungen'!$A$2:$A$492)-1),COUNTIF('Eingabe Meldungen'!$A$2:$A$492,$B$621)+1-ROW('Eingabe Meldungen'!A16))))</f>
        <v/>
      </c>
      <c r="D637" s="77" t="str">
        <f t="array" ref="D637">IF(B637&lt;&gt;"",INDEX('Eingabe Meldungen'!$C$2:$H$492,MATCH(B637&amp;C637,'Eingabe Meldungen'!$C$2:$C$492&amp;'Eingabe Meldungen'!$D$2:$D$492,0),6),"")</f>
        <v/>
      </c>
      <c r="E637" s="77" t="str">
        <f t="array" ref="E637">IF(B637&lt;&gt;"",INDEX('Eingabe Meldungen'!$C$2:$H$492,MATCH(B637&amp;C637,'Eingabe Meldungen'!$C$2:$C$492&amp;'Eingabe Meldungen'!$D$2:$D$492,0),4),"")</f>
        <v/>
      </c>
      <c r="F637" s="433">
        <v>8</v>
      </c>
      <c r="G637" s="87"/>
      <c r="H637" s="46" t="e">
        <f>RANK(G637,$G$623:$G$654,1)</f>
        <v>#N/A</v>
      </c>
      <c r="I637" s="79" t="str">
        <f t="array" ref="I637">IF(B637&lt;&gt;"",INDEX('Eingabe Meldungen'!$C$2:$J$492,MATCH(B637&amp;C637,'Eingabe Meldungen'!$C$2:$C$492&amp;'Eingabe Meldungen'!$D$2:$D$492,0),8),"")</f>
        <v/>
      </c>
      <c r="J637" s="46"/>
      <c r="K637" s="72">
        <f>SUM(G658:G665)</f>
        <v>0</v>
      </c>
      <c r="L637" s="72"/>
    </row>
    <row r="638" spans="2:12" ht="13.2" hidden="1" thickBot="1" x14ac:dyDescent="0.25">
      <c r="B638" s="22" t="str">
        <f t="array" ref="B638">IF(ISERROR(INDEX('Eingabe Meldungen'!$C$2:$C$492,LARGE(('Eingabe Meldungen'!$A$2:$A$492=$B$621)*(ROW('Eingabe Meldungen'!$A$2:$A$492)-1),COUNTIF('Eingabe Meldungen'!$A$2:$A$492,$B$621)+1-ROW('Eingabe Meldungen'!A17)))),"",INDEX('Eingabe Meldungen'!$C$2:$C$492,LARGE(('Eingabe Meldungen'!$A$2:$A$492=$B$621)*(ROW('Eingabe Meldungen'!$A$2:$A$492)-1),COUNTIF('Eingabe Meldungen'!$A$2:$A$492,$B$621)+1-ROW('Eingabe Meldungen'!A17))))</f>
        <v/>
      </c>
      <c r="C638" s="14" t="str">
        <f t="array" ref="C638">IF(ISERROR(INDEX('Eingabe Meldungen'!$D$2:$D$492,LARGE(('Eingabe Meldungen'!$A$2:$A$492=$B$621)*(ROW('Eingabe Meldungen'!$A$2:$A$492)-1),COUNTIF('Eingabe Meldungen'!$A$2:$A$492,$B$621)+1-ROW('Eingabe Meldungen'!A17)))),"",INDEX('Eingabe Meldungen'!$D$2:$D$492,LARGE(('Eingabe Meldungen'!$A$2:$A$492=$B$621)*(ROW('Eingabe Meldungen'!$A$2:$A$492)-1),COUNTIF('Eingabe Meldungen'!$A$2:$A$492,$B$621)+1-ROW('Eingabe Meldungen'!A17))))</f>
        <v/>
      </c>
      <c r="D638" s="12"/>
      <c r="E638" s="12"/>
      <c r="F638" s="434"/>
      <c r="G638" s="76"/>
      <c r="H638" s="14"/>
      <c r="I638" s="23" t="str">
        <f t="array" ref="I638">IF(B638&lt;&gt;"",INDEX('Eingabe Meldungen'!$C$2:$J$492,MATCH(B638&amp;C638,'Eingabe Meldungen'!$C$2:$C$492&amp;'Eingabe Meldungen'!$D$2:$D$492,0),8),"")</f>
        <v/>
      </c>
      <c r="J638" s="14"/>
    </row>
    <row r="639" spans="2:12" hidden="1" x14ac:dyDescent="0.2">
      <c r="B639" s="20" t="str">
        <f t="array" ref="B639">IF(ISERROR(INDEX('Eingabe Meldungen'!$C$2:$C$492,LARGE(('Eingabe Meldungen'!$A$2:$A$492=$B$621)*(ROW('Eingabe Meldungen'!$A$2:$A$492)-1),COUNTIF('Eingabe Meldungen'!$A$2:$A$492,$B$621)+1-ROW('Eingabe Meldungen'!A18)))),"",INDEX('Eingabe Meldungen'!$C$2:$C$492,LARGE(('Eingabe Meldungen'!$A$2:$A$492=$B$621)*(ROW('Eingabe Meldungen'!$A$2:$A$492)-1),COUNTIF('Eingabe Meldungen'!$A$2:$A$492,$B$621)+1-ROW('Eingabe Meldungen'!A18))))</f>
        <v/>
      </c>
      <c r="C639" t="str">
        <f t="array" ref="C639">IF(ISERROR(INDEX('Eingabe Meldungen'!$D$2:$D$492,LARGE(('Eingabe Meldungen'!$A$2:$A$492=$B$621)*(ROW('Eingabe Meldungen'!$A$2:$A$492)-1),COUNTIF('Eingabe Meldungen'!$A$2:$A$492,$B$621)+1-ROW('Eingabe Meldungen'!A18)))),"",INDEX('Eingabe Meldungen'!$D$2:$D$492,LARGE(('Eingabe Meldungen'!$A$2:$A$492=$B$621)*(ROW('Eingabe Meldungen'!$A$2:$A$492)-1),COUNTIF('Eingabe Meldungen'!$A$2:$A$492,$B$621)+1-ROW('Eingabe Meldungen'!A18))))</f>
        <v/>
      </c>
      <c r="D639" s="11" t="str">
        <f t="array" ref="D639">IF(B639&lt;&gt;"",INDEX('Eingabe Meldungen'!$C$2:$H$492,MATCH(B639&amp;C639,'Eingabe Meldungen'!$C$2:$C$492&amp;'Eingabe Meldungen'!$D$2:$D$492,0),6),"")</f>
        <v/>
      </c>
      <c r="E639" s="11" t="str">
        <f t="array" ref="E639">IF(B639&lt;&gt;"",INDEX('Eingabe Meldungen'!$C$2:$H$492,MATCH(B639&amp;C639,'Eingabe Meldungen'!$C$2:$C$492&amp;'Eingabe Meldungen'!$D$2:$D$492,0),4),"")</f>
        <v/>
      </c>
      <c r="F639" s="444">
        <v>9</v>
      </c>
      <c r="G639" s="75"/>
      <c r="H639" t="e">
        <f>RANK(G639,$G$623:$G$654,1)</f>
        <v>#N/A</v>
      </c>
      <c r="I639" s="21" t="str">
        <f t="array" ref="I639">IF(B639&lt;&gt;"",INDEX('Eingabe Meldungen'!$C$2:$J$492,MATCH(B639&amp;C639,'Eingabe Meldungen'!$C$2:$C$492&amp;'Eingabe Meldungen'!$D$2:$D$492,0),8),"")</f>
        <v/>
      </c>
    </row>
    <row r="640" spans="2:12" hidden="1" x14ac:dyDescent="0.2">
      <c r="B640" s="20" t="str">
        <f t="array" ref="B640">IF(ISERROR(INDEX('Eingabe Meldungen'!$C$2:$C$492,LARGE(('Eingabe Meldungen'!$A$2:$A$492=$B$621)*(ROW('Eingabe Meldungen'!$A$2:$A$492)-1),COUNTIF('Eingabe Meldungen'!$A$2:$A$492,$B$621)+1-ROW('Eingabe Meldungen'!A19)))),"",INDEX('Eingabe Meldungen'!$C$2:$C$492,LARGE(('Eingabe Meldungen'!$A$2:$A$492=$B$621)*(ROW('Eingabe Meldungen'!$A$2:$A$492)-1),COUNTIF('Eingabe Meldungen'!$A$2:$A$492,$B$621)+1-ROW('Eingabe Meldungen'!A19))))</f>
        <v/>
      </c>
      <c r="C640" t="str">
        <f t="array" ref="C640">IF(ISERROR(INDEX('Eingabe Meldungen'!$D$2:$D$492,LARGE(('Eingabe Meldungen'!$A$2:$A$492=$B$621)*(ROW('Eingabe Meldungen'!$A$2:$A$492)-1),COUNTIF('Eingabe Meldungen'!$A$2:$A$492,$B$621)+1-ROW('Eingabe Meldungen'!A19)))),"",INDEX('Eingabe Meldungen'!$D$2:$D$492,LARGE(('Eingabe Meldungen'!$A$2:$A$492=$B$621)*(ROW('Eingabe Meldungen'!$A$2:$A$492)-1),COUNTIF('Eingabe Meldungen'!$A$2:$A$492,$B$621)+1-ROW('Eingabe Meldungen'!A19))))</f>
        <v/>
      </c>
      <c r="D640" s="11"/>
      <c r="E640" s="11"/>
      <c r="F640" s="444"/>
      <c r="G640" s="75"/>
      <c r="I640" s="21" t="str">
        <f t="array" ref="I640">IF(B640&lt;&gt;"",INDEX('Eingabe Meldungen'!$C$2:$J$492,MATCH(B640&amp;C640,'Eingabe Meldungen'!$C$2:$C$492&amp;'Eingabe Meldungen'!$D$2:$D$492,0),8),"")</f>
        <v/>
      </c>
    </row>
    <row r="641" spans="2:12" hidden="1" x14ac:dyDescent="0.2">
      <c r="B641" s="67" t="str">
        <f t="array" ref="B641">IF(ISERROR(INDEX('Eingabe Meldungen'!$C$2:$C$492,LARGE(('Eingabe Meldungen'!$A$2:$A$492=$B$621)*(ROW('Eingabe Meldungen'!$A$2:$A$492)-1),COUNTIF('Eingabe Meldungen'!$A$2:$A$492,$B$621)+1-ROW('Eingabe Meldungen'!A20)))),"",INDEX('Eingabe Meldungen'!$C$2:$C$492,LARGE(('Eingabe Meldungen'!$A$2:$A$492=$B$621)*(ROW('Eingabe Meldungen'!$A$2:$A$492)-1),COUNTIF('Eingabe Meldungen'!$A$2:$A$492,$B$621)+1-ROW('Eingabe Meldungen'!A20))))</f>
        <v/>
      </c>
      <c r="C641" s="46" t="str">
        <f t="array" ref="C641">IF(ISERROR(INDEX('Eingabe Meldungen'!$D$2:$D$492,LARGE(('Eingabe Meldungen'!$A$2:$A$492=$B$621)*(ROW('Eingabe Meldungen'!$A$2:$A$492)-1),COUNTIF('Eingabe Meldungen'!$A$2:$A$492,$B$621)+1-ROW('Eingabe Meldungen'!A20)))),"",INDEX('Eingabe Meldungen'!$D$2:$D$492,LARGE(('Eingabe Meldungen'!$A$2:$A$492=$B$621)*(ROW('Eingabe Meldungen'!$A$2:$A$492)-1),COUNTIF('Eingabe Meldungen'!$A$2:$A$492,$B$621)+1-ROW('Eingabe Meldungen'!A20))))</f>
        <v/>
      </c>
      <c r="D641" s="77" t="str">
        <f t="array" ref="D641">IF(B641&lt;&gt;"",INDEX('Eingabe Meldungen'!$C$2:$H$492,MATCH(B641&amp;C641,'Eingabe Meldungen'!$C$2:$C$492&amp;'Eingabe Meldungen'!$D$2:$D$492,0),6),"")</f>
        <v/>
      </c>
      <c r="E641" s="77" t="str">
        <f t="array" ref="E641">IF(B641&lt;&gt;"",INDEX('Eingabe Meldungen'!$C$2:$H$492,MATCH(B641&amp;C641,'Eingabe Meldungen'!$C$2:$C$492&amp;'Eingabe Meldungen'!$D$2:$D$492,0),4),"")</f>
        <v/>
      </c>
      <c r="F641" s="433">
        <v>10</v>
      </c>
      <c r="G641" s="87"/>
      <c r="H641" s="46" t="e">
        <f>RANK(G641,$G$623:$G$654,1)</f>
        <v>#N/A</v>
      </c>
      <c r="I641" s="79" t="str">
        <f t="array" ref="I641">IF(B641&lt;&gt;"",INDEX('Eingabe Meldungen'!$C$2:$J$492,MATCH(B641&amp;C641,'Eingabe Meldungen'!$C$2:$C$492&amp;'Eingabe Meldungen'!$D$2:$D$492,0),8),"")</f>
        <v/>
      </c>
      <c r="J641" s="46"/>
    </row>
    <row r="642" spans="2:12" ht="13.2" hidden="1" thickBot="1" x14ac:dyDescent="0.25">
      <c r="B642" s="22" t="str">
        <f t="array" ref="B642">IF(ISERROR(INDEX('Eingabe Meldungen'!$C$2:$C$492,LARGE(('Eingabe Meldungen'!$A$2:$A$492=$B$621)*(ROW('Eingabe Meldungen'!$A$2:$A$492)-1),COUNTIF('Eingabe Meldungen'!$A$2:$A$492,$B$621)+1-ROW('Eingabe Meldungen'!A21)))),"",INDEX('Eingabe Meldungen'!$C$2:$C$492,LARGE(('Eingabe Meldungen'!$A$2:$A$492=$B$621)*(ROW('Eingabe Meldungen'!$A$2:$A$492)-1),COUNTIF('Eingabe Meldungen'!$A$2:$A$492,$B$621)+1-ROW('Eingabe Meldungen'!A21))))</f>
        <v/>
      </c>
      <c r="C642" s="14" t="str">
        <f t="array" ref="C642">IF(ISERROR(INDEX('Eingabe Meldungen'!$D$2:$D$492,LARGE(('Eingabe Meldungen'!$A$2:$A$492=$B$621)*(ROW('Eingabe Meldungen'!$A$2:$A$492)-1),COUNTIF('Eingabe Meldungen'!$A$2:$A$492,$B$621)+1-ROW('Eingabe Meldungen'!A21)))),"",INDEX('Eingabe Meldungen'!$D$2:$D$492,LARGE(('Eingabe Meldungen'!$A$2:$A$492=$B$621)*(ROW('Eingabe Meldungen'!$A$2:$A$492)-1),COUNTIF('Eingabe Meldungen'!$A$2:$A$492,$B$621)+1-ROW('Eingabe Meldungen'!A21))))</f>
        <v/>
      </c>
      <c r="D642" s="12"/>
      <c r="E642" s="12"/>
      <c r="F642" s="434"/>
      <c r="G642" s="76"/>
      <c r="H642" s="14"/>
      <c r="I642" s="23" t="str">
        <f t="array" ref="I642">IF(B642&lt;&gt;"",INDEX('Eingabe Meldungen'!$C$2:$J$492,MATCH(B642&amp;C642,'Eingabe Meldungen'!$C$2:$C$492&amp;'Eingabe Meldungen'!$D$2:$D$492,0),8),"")</f>
        <v/>
      </c>
      <c r="J642" s="14"/>
    </row>
    <row r="643" spans="2:12" hidden="1" x14ac:dyDescent="0.2">
      <c r="B643" s="20" t="str">
        <f t="array" ref="B643">IF(ISERROR(INDEX('Eingabe Meldungen'!$C$2:$C$492,LARGE(('Eingabe Meldungen'!$A$2:$A$492=$B$621)*(ROW('Eingabe Meldungen'!$A$2:$A$492)-1),COUNTIF('Eingabe Meldungen'!$A$2:$A$492,$B$621)+1-ROW('Eingabe Meldungen'!A22)))),"",INDEX('Eingabe Meldungen'!$C$2:$C$492,LARGE(('Eingabe Meldungen'!$A$2:$A$492=$B$621)*(ROW('Eingabe Meldungen'!$A$2:$A$492)-1),COUNTIF('Eingabe Meldungen'!$A$2:$A$492,$B$621)+1-ROW('Eingabe Meldungen'!A22))))</f>
        <v/>
      </c>
      <c r="C643" t="str">
        <f t="array" ref="C643">IF(ISERROR(INDEX('Eingabe Meldungen'!$D$2:$D$492,LARGE(('Eingabe Meldungen'!$A$2:$A$492=$B$621)*(ROW('Eingabe Meldungen'!$A$2:$A$492)-1),COUNTIF('Eingabe Meldungen'!$A$2:$A$492,$B$621)+1-ROW('Eingabe Meldungen'!A22)))),"",INDEX('Eingabe Meldungen'!$D$2:$D$492,LARGE(('Eingabe Meldungen'!$A$2:$A$492=$B$621)*(ROW('Eingabe Meldungen'!$A$2:$A$492)-1),COUNTIF('Eingabe Meldungen'!$A$2:$A$492,$B$621)+1-ROW('Eingabe Meldungen'!A22))))</f>
        <v/>
      </c>
      <c r="D643" s="11" t="str">
        <f t="array" ref="D643">IF(B643&lt;&gt;"",INDEX('Eingabe Meldungen'!$C$2:$H$492,MATCH(B643&amp;C643,'Eingabe Meldungen'!$C$2:$C$492&amp;'Eingabe Meldungen'!$D$2:$D$492,0),6),"")</f>
        <v/>
      </c>
      <c r="E643" s="11" t="str">
        <f t="array" ref="E643">IF(B643&lt;&gt;"",INDEX('Eingabe Meldungen'!$C$2:$H$492,MATCH(B643&amp;C643,'Eingabe Meldungen'!$C$2:$C$492&amp;'Eingabe Meldungen'!$D$2:$D$492,0),4),"")</f>
        <v/>
      </c>
      <c r="F643" s="444">
        <v>11</v>
      </c>
      <c r="G643" s="75"/>
      <c r="H643" t="e">
        <f>RANK(G643,$G$623:$G$654,1)</f>
        <v>#N/A</v>
      </c>
      <c r="I643" s="21" t="str">
        <f t="array" ref="I643">IF(B643&lt;&gt;"",INDEX('Eingabe Meldungen'!$C$2:$J$492,MATCH(B643&amp;C643,'Eingabe Meldungen'!$C$2:$C$492&amp;'Eingabe Meldungen'!$D$2:$D$492,0),8),"")</f>
        <v/>
      </c>
    </row>
    <row r="644" spans="2:12" hidden="1" x14ac:dyDescent="0.2">
      <c r="B644" s="20" t="str">
        <f t="array" ref="B644">IF(ISERROR(INDEX('Eingabe Meldungen'!$C$2:$C$492,LARGE(('Eingabe Meldungen'!$A$2:$A$492=$B$621)*(ROW('Eingabe Meldungen'!$A$2:$A$492)-1),COUNTIF('Eingabe Meldungen'!$A$2:$A$492,$B$621)+1-ROW('Eingabe Meldungen'!A23)))),"",INDEX('Eingabe Meldungen'!$C$2:$C$492,LARGE(('Eingabe Meldungen'!$A$2:$A$492=$B$621)*(ROW('Eingabe Meldungen'!$A$2:$A$492)-1),COUNTIF('Eingabe Meldungen'!$A$2:$A$492,$B$621)+1-ROW('Eingabe Meldungen'!A23))))</f>
        <v/>
      </c>
      <c r="C644" t="str">
        <f t="array" ref="C644">IF(ISERROR(INDEX('Eingabe Meldungen'!$D$2:$D$492,LARGE(('Eingabe Meldungen'!$A$2:$A$492=$B$621)*(ROW('Eingabe Meldungen'!$A$2:$A$492)-1),COUNTIF('Eingabe Meldungen'!$A$2:$A$492,$B$621)+1-ROW('Eingabe Meldungen'!A23)))),"",INDEX('Eingabe Meldungen'!$D$2:$D$492,LARGE(('Eingabe Meldungen'!$A$2:$A$492=$B$621)*(ROW('Eingabe Meldungen'!$A$2:$A$492)-1),COUNTIF('Eingabe Meldungen'!$A$2:$A$492,$B$621)+1-ROW('Eingabe Meldungen'!A23))))</f>
        <v/>
      </c>
      <c r="D644" s="11"/>
      <c r="E644" s="11"/>
      <c r="F644" s="444"/>
      <c r="G644" s="75"/>
      <c r="I644" s="21" t="str">
        <f t="array" ref="I644">IF(B644&lt;&gt;"",INDEX('Eingabe Meldungen'!$C$2:$J$492,MATCH(B644&amp;C644,'Eingabe Meldungen'!$C$2:$C$492&amp;'Eingabe Meldungen'!$D$2:$D$492,0),8),"")</f>
        <v/>
      </c>
    </row>
    <row r="645" spans="2:12" hidden="1" x14ac:dyDescent="0.2">
      <c r="B645" s="67" t="str">
        <f t="array" ref="B645">IF(ISERROR(INDEX('Eingabe Meldungen'!$C$2:$C$492,LARGE(('Eingabe Meldungen'!$A$2:$A$492=$B$621)*(ROW('Eingabe Meldungen'!$A$2:$A$492)-1),COUNTIF('Eingabe Meldungen'!$A$2:$A$492,$B$621)+1-ROW('Eingabe Meldungen'!A24)))),"",INDEX('Eingabe Meldungen'!$C$2:$C$492,LARGE(('Eingabe Meldungen'!$A$2:$A$492=$B$621)*(ROW('Eingabe Meldungen'!$A$2:$A$492)-1),COUNTIF('Eingabe Meldungen'!$A$2:$A$492,$B$621)+1-ROW('Eingabe Meldungen'!A24))))</f>
        <v/>
      </c>
      <c r="C645" s="46" t="str">
        <f t="array" ref="C645">IF(ISERROR(INDEX('Eingabe Meldungen'!$D$2:$D$492,LARGE(('Eingabe Meldungen'!$A$2:$A$492=$B$621)*(ROW('Eingabe Meldungen'!$A$2:$A$492)-1),COUNTIF('Eingabe Meldungen'!$A$2:$A$492,$B$621)+1-ROW('Eingabe Meldungen'!A24)))),"",INDEX('Eingabe Meldungen'!$D$2:$D$492,LARGE(('Eingabe Meldungen'!$A$2:$A$492=$B$621)*(ROW('Eingabe Meldungen'!$A$2:$A$492)-1),COUNTIF('Eingabe Meldungen'!$A$2:$A$492,$B$621)+1-ROW('Eingabe Meldungen'!A24))))</f>
        <v/>
      </c>
      <c r="D645" s="77" t="str">
        <f t="array" ref="D645">IF(B645&lt;&gt;"",INDEX('Eingabe Meldungen'!$C$2:$H$492,MATCH(B645&amp;C645,'Eingabe Meldungen'!$C$2:$C$492&amp;'Eingabe Meldungen'!$D$2:$D$492,0),6),"")</f>
        <v/>
      </c>
      <c r="E645" s="77" t="str">
        <f t="array" ref="E645">IF(B645&lt;&gt;"",INDEX('Eingabe Meldungen'!$C$2:$H$492,MATCH(B645&amp;C645,'Eingabe Meldungen'!$C$2:$C$492&amp;'Eingabe Meldungen'!$D$2:$D$492,0),4),"")</f>
        <v/>
      </c>
      <c r="F645" s="433">
        <v>12</v>
      </c>
      <c r="G645" s="87"/>
      <c r="H645" s="46" t="e">
        <f>RANK(G645,$G$623:$G$654,1)</f>
        <v>#N/A</v>
      </c>
      <c r="I645" s="79" t="str">
        <f t="array" ref="I645">IF(B645&lt;&gt;"",INDEX('Eingabe Meldungen'!$C$2:$J$492,MATCH(B645&amp;C645,'Eingabe Meldungen'!$C$2:$C$492&amp;'Eingabe Meldungen'!$D$2:$D$492,0),8),"")</f>
        <v/>
      </c>
      <c r="J645" s="46"/>
      <c r="K645" s="72">
        <f>SUM(G666:G673)</f>
        <v>0</v>
      </c>
      <c r="L645" s="72"/>
    </row>
    <row r="646" spans="2:12" ht="13.2" hidden="1" thickBot="1" x14ac:dyDescent="0.25">
      <c r="B646" s="22" t="str">
        <f t="array" ref="B646">IF(ISERROR(INDEX('Eingabe Meldungen'!$C$2:$C$492,LARGE(('Eingabe Meldungen'!$A$2:$A$492=$B$621)*(ROW('Eingabe Meldungen'!$A$2:$A$492)-1),COUNTIF('Eingabe Meldungen'!$A$2:$A$492,$B$621)+1-ROW('Eingabe Meldungen'!A25)))),"",INDEX('Eingabe Meldungen'!$C$2:$C$492,LARGE(('Eingabe Meldungen'!$A$2:$A$492=$B$621)*(ROW('Eingabe Meldungen'!$A$2:$A$492)-1),COUNTIF('Eingabe Meldungen'!$A$2:$A$492,$B$621)+1-ROW('Eingabe Meldungen'!A25))))</f>
        <v/>
      </c>
      <c r="C646" s="14" t="str">
        <f t="array" ref="C646">IF(ISERROR(INDEX('Eingabe Meldungen'!$D$2:$D$492,LARGE(('Eingabe Meldungen'!$A$2:$A$492=$B$621)*(ROW('Eingabe Meldungen'!$A$2:$A$492)-1),COUNTIF('Eingabe Meldungen'!$A$2:$A$492,$B$621)+1-ROW('Eingabe Meldungen'!A25)))),"",INDEX('Eingabe Meldungen'!$D$2:$D$492,LARGE(('Eingabe Meldungen'!$A$2:$A$492=$B$621)*(ROW('Eingabe Meldungen'!$A$2:$A$492)-1),COUNTIF('Eingabe Meldungen'!$A$2:$A$492,$B$621)+1-ROW('Eingabe Meldungen'!A25))))</f>
        <v/>
      </c>
      <c r="D646" s="12"/>
      <c r="E646" s="12"/>
      <c r="F646" s="434"/>
      <c r="G646" s="76"/>
      <c r="H646" s="14"/>
      <c r="I646" s="23" t="str">
        <f t="array" ref="I646">IF(B646&lt;&gt;"",INDEX('Eingabe Meldungen'!$C$2:$J$492,MATCH(B646&amp;C646,'Eingabe Meldungen'!$C$2:$C$492&amp;'Eingabe Meldungen'!$D$2:$D$492,0),8),"")</f>
        <v/>
      </c>
      <c r="J646" s="14"/>
    </row>
    <row r="647" spans="2:12" hidden="1" x14ac:dyDescent="0.2">
      <c r="B647" s="20" t="str">
        <f t="array" ref="B647">IF(ISERROR(INDEX('Eingabe Meldungen'!$C$2:$C$492,LARGE(('Eingabe Meldungen'!$A$2:$A$492=$B$621)*(ROW('Eingabe Meldungen'!$A$2:$A$492)-1),COUNTIF('Eingabe Meldungen'!$A$2:$A$492,$B$621)+1-ROW('Eingabe Meldungen'!A26)))),"",INDEX('Eingabe Meldungen'!$C$2:$C$492,LARGE(('Eingabe Meldungen'!$A$2:$A$492=$B$621)*(ROW('Eingabe Meldungen'!$A$2:$A$492)-1),COUNTIF('Eingabe Meldungen'!$A$2:$A$492,$B$621)+1-ROW('Eingabe Meldungen'!A26))))</f>
        <v/>
      </c>
      <c r="C647" t="str">
        <f t="array" ref="C647">IF(ISERROR(INDEX('Eingabe Meldungen'!$D$2:$D$492,LARGE(('Eingabe Meldungen'!$A$2:$A$492=$B$621)*(ROW('Eingabe Meldungen'!$A$2:$A$492)-1),COUNTIF('Eingabe Meldungen'!$A$2:$A$492,$B$621)+1-ROW('Eingabe Meldungen'!A26)))),"",INDEX('Eingabe Meldungen'!$D$2:$D$492,LARGE(('Eingabe Meldungen'!$A$2:$A$492=$B$621)*(ROW('Eingabe Meldungen'!$A$2:$A$492)-1),COUNTIF('Eingabe Meldungen'!$A$2:$A$492,$B$621)+1-ROW('Eingabe Meldungen'!A26))))</f>
        <v/>
      </c>
      <c r="D647" s="11" t="str">
        <f t="array" ref="D647">IF(B647&lt;&gt;"",INDEX('Eingabe Meldungen'!$C$2:$H$492,MATCH(B647&amp;C647,'Eingabe Meldungen'!$C$2:$C$492&amp;'Eingabe Meldungen'!$D$2:$D$492,0),6),"")</f>
        <v/>
      </c>
      <c r="E647" s="11" t="str">
        <f t="array" ref="E647">IF(B647&lt;&gt;"",INDEX('Eingabe Meldungen'!$C$2:$H$492,MATCH(B647&amp;C647,'Eingabe Meldungen'!$C$2:$C$492&amp;'Eingabe Meldungen'!$D$2:$D$492,0),4),"")</f>
        <v/>
      </c>
      <c r="F647" s="444">
        <v>13</v>
      </c>
      <c r="G647" s="75"/>
      <c r="H647" t="e">
        <f>RANK(G647,$G$623:$G$654,1)</f>
        <v>#N/A</v>
      </c>
      <c r="I647" s="21" t="str">
        <f t="array" ref="I647">IF(B647&lt;&gt;"",INDEX('Eingabe Meldungen'!$C$2:$J$492,MATCH(B647&amp;C647,'Eingabe Meldungen'!$C$2:$C$492&amp;'Eingabe Meldungen'!$D$2:$D$492,0),8),"")</f>
        <v/>
      </c>
    </row>
    <row r="648" spans="2:12" hidden="1" x14ac:dyDescent="0.2">
      <c r="B648" s="20" t="str">
        <f t="array" ref="B648">IF(ISERROR(INDEX('Eingabe Meldungen'!$C$2:$C$492,LARGE(('Eingabe Meldungen'!$A$2:$A$492=$B$621)*(ROW('Eingabe Meldungen'!$A$2:$A$492)-1),COUNTIF('Eingabe Meldungen'!$A$2:$A$492,$B$621)+1-ROW('Eingabe Meldungen'!A27)))),"",INDEX('Eingabe Meldungen'!$C$2:$C$492,LARGE(('Eingabe Meldungen'!$A$2:$A$492=$B$621)*(ROW('Eingabe Meldungen'!$A$2:$A$492)-1),COUNTIF('Eingabe Meldungen'!$A$2:$A$492,$B$621)+1-ROW('Eingabe Meldungen'!A27))))</f>
        <v/>
      </c>
      <c r="C648" t="str">
        <f t="array" ref="C648">IF(ISERROR(INDEX('Eingabe Meldungen'!$D$2:$D$492,LARGE(('Eingabe Meldungen'!$A$2:$A$492=$B$621)*(ROW('Eingabe Meldungen'!$A$2:$A$492)-1),COUNTIF('Eingabe Meldungen'!$A$2:$A$492,$B$621)+1-ROW('Eingabe Meldungen'!A27)))),"",INDEX('Eingabe Meldungen'!$D$2:$D$492,LARGE(('Eingabe Meldungen'!$A$2:$A$492=$B$621)*(ROW('Eingabe Meldungen'!$A$2:$A$492)-1),COUNTIF('Eingabe Meldungen'!$A$2:$A$492,$B$621)+1-ROW('Eingabe Meldungen'!A27))))</f>
        <v/>
      </c>
      <c r="D648" s="11"/>
      <c r="E648" s="11"/>
      <c r="F648" s="444"/>
      <c r="G648" s="75"/>
      <c r="I648" s="21" t="str">
        <f t="array" ref="I648">IF(B648&lt;&gt;"",INDEX('Eingabe Meldungen'!$C$2:$J$492,MATCH(B648&amp;C648,'Eingabe Meldungen'!$C$2:$C$492&amp;'Eingabe Meldungen'!$D$2:$D$492,0),8),"")</f>
        <v/>
      </c>
    </row>
    <row r="649" spans="2:12" hidden="1" x14ac:dyDescent="0.2">
      <c r="B649" s="67" t="str">
        <f t="array" ref="B649">IF(ISERROR(INDEX('Eingabe Meldungen'!$C$2:$C$492,LARGE(('Eingabe Meldungen'!$A$2:$A$492=$B$621)*(ROW('Eingabe Meldungen'!$A$2:$A$492)-1),COUNTIF('Eingabe Meldungen'!$A$2:$A$492,$B$621)+1-ROW('Eingabe Meldungen'!A28)))),"",INDEX('Eingabe Meldungen'!$C$2:$C$492,LARGE(('Eingabe Meldungen'!$A$2:$A$492=$B$621)*(ROW('Eingabe Meldungen'!$A$2:$A$492)-1),COUNTIF('Eingabe Meldungen'!$A$2:$A$492,$B$621)+1-ROW('Eingabe Meldungen'!A28))))</f>
        <v/>
      </c>
      <c r="C649" s="46" t="str">
        <f t="array" ref="C649">IF(ISERROR(INDEX('Eingabe Meldungen'!$D$2:$D$492,LARGE(('Eingabe Meldungen'!$A$2:$A$492=$B$621)*(ROW('Eingabe Meldungen'!$A$2:$A$492)-1),COUNTIF('Eingabe Meldungen'!$A$2:$A$492,$B$621)+1-ROW('Eingabe Meldungen'!A28)))),"",INDEX('Eingabe Meldungen'!$D$2:$D$492,LARGE(('Eingabe Meldungen'!$A$2:$A$492=$B$621)*(ROW('Eingabe Meldungen'!$A$2:$A$492)-1),COUNTIF('Eingabe Meldungen'!$A$2:$A$492,$B$621)+1-ROW('Eingabe Meldungen'!A28))))</f>
        <v/>
      </c>
      <c r="D649" s="77"/>
      <c r="E649" s="77"/>
      <c r="F649" s="433">
        <v>14</v>
      </c>
      <c r="G649" s="87"/>
      <c r="H649" s="46" t="e">
        <f>RANK(G649,$G$623:$G$654,1)</f>
        <v>#N/A</v>
      </c>
      <c r="I649" s="79" t="str">
        <f t="array" ref="I649">IF(B649&lt;&gt;"",INDEX('Eingabe Meldungen'!$C$2:$J$492,MATCH(B649&amp;C649,'Eingabe Meldungen'!$C$2:$C$492&amp;'Eingabe Meldungen'!$D$2:$D$492,0),8),"")</f>
        <v/>
      </c>
      <c r="J649" s="46"/>
    </row>
    <row r="650" spans="2:12" ht="13.2" hidden="1" thickBot="1" x14ac:dyDescent="0.25">
      <c r="B650" s="22" t="str">
        <f t="array" ref="B650">IF(ISERROR(INDEX('Eingabe Meldungen'!$C$2:$C$492,LARGE(('Eingabe Meldungen'!$A$2:$A$492=$B$621)*(ROW('Eingabe Meldungen'!$A$2:$A$492)-1),COUNTIF('Eingabe Meldungen'!$A$2:$A$492,$B$621)+1-ROW('Eingabe Meldungen'!A29)))),"",INDEX('Eingabe Meldungen'!$C$2:$C$492,LARGE(('Eingabe Meldungen'!$A$2:$A$492=$B$621)*(ROW('Eingabe Meldungen'!$A$2:$A$492)-1),COUNTIF('Eingabe Meldungen'!$A$2:$A$492,$B$621)+1-ROW('Eingabe Meldungen'!A29))))</f>
        <v/>
      </c>
      <c r="C650" s="14" t="str">
        <f t="array" ref="C650">IF(ISERROR(INDEX('Eingabe Meldungen'!$D$2:$D$492,LARGE(('Eingabe Meldungen'!$A$2:$A$492=$B$621)*(ROW('Eingabe Meldungen'!$A$2:$A$492)-1),COUNTIF('Eingabe Meldungen'!$A$2:$A$492,$B$621)+1-ROW('Eingabe Meldungen'!A29)))),"",INDEX('Eingabe Meldungen'!$D$2:$D$492,LARGE(('Eingabe Meldungen'!$A$2:$A$492=$B$621)*(ROW('Eingabe Meldungen'!$A$2:$A$492)-1),COUNTIF('Eingabe Meldungen'!$A$2:$A$492,$B$621)+1-ROW('Eingabe Meldungen'!A29))))</f>
        <v/>
      </c>
      <c r="D650" s="12" t="str">
        <f t="array" ref="D650">IF(B650&lt;&gt;"",INDEX('Eingabe Meldungen'!$C$2:$H$492,MATCH(B650&amp;C650,'Eingabe Meldungen'!$C$2:$C$492&amp;'Eingabe Meldungen'!$D$2:$D$492,0),6),"")</f>
        <v/>
      </c>
      <c r="E650" s="12" t="str">
        <f t="array" ref="E650">IF(B650&lt;&gt;"",INDEX('Eingabe Meldungen'!$C$2:$H$492,MATCH(B650&amp;C650,'Eingabe Meldungen'!$C$2:$C$492&amp;'Eingabe Meldungen'!$D$2:$D$492,0),4),"")</f>
        <v/>
      </c>
      <c r="F650" s="434"/>
      <c r="G650" s="76"/>
      <c r="H650" s="14"/>
      <c r="I650" s="23" t="str">
        <f t="array" ref="I650">IF(B650&lt;&gt;"",INDEX('Eingabe Meldungen'!$C$2:$J$492,MATCH(B650&amp;C650,'Eingabe Meldungen'!$C$2:$C$492&amp;'Eingabe Meldungen'!$D$2:$D$492,0),8),"")</f>
        <v/>
      </c>
      <c r="J650" s="14"/>
    </row>
    <row r="651" spans="2:12" hidden="1" x14ac:dyDescent="0.2">
      <c r="B651" s="20" t="str">
        <f t="array" ref="B651">IF(ISERROR(INDEX('Eingabe Meldungen'!$C$2:$C$492,LARGE(('Eingabe Meldungen'!$A$2:$A$492=$B$621)*(ROW('Eingabe Meldungen'!$A$2:$A$492)-1),COUNTIF('Eingabe Meldungen'!$A$2:$A$492,$B$621)+1-ROW('Eingabe Meldungen'!#REF!)))),"",INDEX('Eingabe Meldungen'!$C$2:$C$492,LARGE(('Eingabe Meldungen'!$A$2:$A$492=$B$621)*(ROW('Eingabe Meldungen'!$A$2:$A$492)-1),COUNTIF('Eingabe Meldungen'!$A$2:$A$492,$B$621)+1-ROW('Eingabe Meldungen'!#REF!))))</f>
        <v/>
      </c>
      <c r="C651" t="str">
        <f t="array" ref="C651">IF(ISERROR(INDEX('Eingabe Meldungen'!$D$2:$D$492,LARGE(('Eingabe Meldungen'!$A$2:$A$492=$B$621)*(ROW('Eingabe Meldungen'!$A$2:$A$492)-1),COUNTIF('Eingabe Meldungen'!$A$2:$A$492,$B$621)+1-ROW('Eingabe Meldungen'!#REF!)))),"",INDEX('Eingabe Meldungen'!$D$2:$D$492,LARGE(('Eingabe Meldungen'!$A$2:$A$492=$B$621)*(ROW('Eingabe Meldungen'!$A$2:$A$492)-1),COUNTIF('Eingabe Meldungen'!$A$2:$A$492,$B$621)+1-ROW('Eingabe Meldungen'!#REF!))))</f>
        <v/>
      </c>
      <c r="D651" s="11"/>
      <c r="E651" s="11"/>
      <c r="F651" s="444">
        <v>15</v>
      </c>
      <c r="G651" s="75"/>
      <c r="H651" t="e">
        <f>RANK(G651,$G$623:$G$654,1)</f>
        <v>#N/A</v>
      </c>
      <c r="I651" s="21" t="str">
        <f t="array" ref="I651">IF(B651&lt;&gt;"",INDEX('Eingabe Meldungen'!$C$2:$J$492,MATCH(B651&amp;C651,'Eingabe Meldungen'!$C$2:$C$492&amp;'Eingabe Meldungen'!$D$2:$D$492,0),8),"")</f>
        <v/>
      </c>
    </row>
    <row r="652" spans="2:12" hidden="1" x14ac:dyDescent="0.2">
      <c r="B652" s="20" t="str">
        <f t="array" ref="B652">IF(ISERROR(INDEX('Eingabe Meldungen'!$C$2:$C$492,LARGE(('Eingabe Meldungen'!$A$2:$A$492=$B$621)*(ROW('Eingabe Meldungen'!$A$2:$A$492)-1),COUNTIF('Eingabe Meldungen'!$A$2:$A$492,$B$621)+1-ROW('Eingabe Meldungen'!A30)))),"",INDEX('Eingabe Meldungen'!$C$2:$C$492,LARGE(('Eingabe Meldungen'!$A$2:$A$492=$B$621)*(ROW('Eingabe Meldungen'!$A$2:$A$492)-1),COUNTIF('Eingabe Meldungen'!$A$2:$A$492,$B$621)+1-ROW('Eingabe Meldungen'!A30))))</f>
        <v/>
      </c>
      <c r="C652" t="str">
        <f t="array" ref="C652">IF(ISERROR(INDEX('Eingabe Meldungen'!$D$2:$D$492,LARGE(('Eingabe Meldungen'!$A$2:$A$492=$B$621)*(ROW('Eingabe Meldungen'!$A$2:$A$492)-1),COUNTIF('Eingabe Meldungen'!$A$2:$A$492,$B$621)+1-ROW('Eingabe Meldungen'!A30)))),"",INDEX('Eingabe Meldungen'!$D$2:$D$492,LARGE(('Eingabe Meldungen'!$A$2:$A$492=$B$621)*(ROW('Eingabe Meldungen'!$A$2:$A$492)-1),COUNTIF('Eingabe Meldungen'!$A$2:$A$492,$B$621)+1-ROW('Eingabe Meldungen'!A30))))</f>
        <v/>
      </c>
      <c r="D652" s="11" t="str">
        <f t="array" ref="D652">IF(B652&lt;&gt;"",INDEX('Eingabe Meldungen'!$C$2:$H$492,MATCH(B652&amp;C652,'Eingabe Meldungen'!$C$2:$C$492&amp;'Eingabe Meldungen'!$D$2:$D$492,0),6),"")</f>
        <v/>
      </c>
      <c r="E652" s="11" t="str">
        <f t="array" ref="E652">IF(B652&lt;&gt;"",INDEX('Eingabe Meldungen'!$C$2:$H$492,MATCH(B652&amp;C652,'Eingabe Meldungen'!$C$2:$C$492&amp;'Eingabe Meldungen'!$D$2:$D$492,0),4),"")</f>
        <v/>
      </c>
      <c r="F652" s="444"/>
      <c r="G652" s="75"/>
      <c r="I652" s="21" t="str">
        <f t="array" ref="I652">IF(B652&lt;&gt;"",INDEX('Eingabe Meldungen'!$C$2:$J$492,MATCH(B652&amp;C652,'Eingabe Meldungen'!$C$2:$C$492&amp;'Eingabe Meldungen'!$D$2:$D$492,0),8),"")</f>
        <v/>
      </c>
    </row>
    <row r="653" spans="2:12" hidden="1" x14ac:dyDescent="0.2">
      <c r="B653" s="67" t="str">
        <f t="array" ref="B653">IF(ISERROR(INDEX('Eingabe Meldungen'!$C$2:$C$492,LARGE(('Eingabe Meldungen'!$A$2:$A$492=$B$621)*(ROW('Eingabe Meldungen'!$A$2:$A$492)-1),COUNTIF('Eingabe Meldungen'!$A$2:$A$492,$B$621)+1-ROW('Eingabe Meldungen'!#REF!)))),"",INDEX('Eingabe Meldungen'!$C$2:$C$492,LARGE(('Eingabe Meldungen'!$A$2:$A$492=$B$621)*(ROW('Eingabe Meldungen'!$A$2:$A$492)-1),COUNTIF('Eingabe Meldungen'!$A$2:$A$492,$B$621)+1-ROW('Eingabe Meldungen'!#REF!))))</f>
        <v/>
      </c>
      <c r="C653" s="46" t="str">
        <f t="array" ref="C653">IF(ISERROR(INDEX('Eingabe Meldungen'!$D$2:$D$492,LARGE(('Eingabe Meldungen'!$A$2:$A$492=$B$621)*(ROW('Eingabe Meldungen'!$A$2:$A$492)-1),COUNTIF('Eingabe Meldungen'!$A$2:$A$492,$B$621)+1-ROW('Eingabe Meldungen'!#REF!)))),"",INDEX('Eingabe Meldungen'!$D$2:$D$492,LARGE(('Eingabe Meldungen'!$A$2:$A$492=$B$621)*(ROW('Eingabe Meldungen'!$A$2:$A$492)-1),COUNTIF('Eingabe Meldungen'!$A$2:$A$492,$B$621)+1-ROW('Eingabe Meldungen'!#REF!))))</f>
        <v/>
      </c>
      <c r="D653" s="77"/>
      <c r="E653" s="77"/>
      <c r="F653" s="433">
        <v>16</v>
      </c>
      <c r="G653" s="87"/>
      <c r="H653" s="46" t="e">
        <f>RANK(G653,$G$623:$G$654,1)</f>
        <v>#N/A</v>
      </c>
      <c r="I653" s="79" t="str">
        <f t="array" ref="I653">IF(B653&lt;&gt;"",INDEX('Eingabe Meldungen'!$C$2:$J$492,MATCH(B653&amp;C653,'Eingabe Meldungen'!$C$2:$C$492&amp;'Eingabe Meldungen'!$D$2:$D$492,0),8),"")</f>
        <v/>
      </c>
      <c r="J653" s="46"/>
    </row>
    <row r="654" spans="2:12" ht="13.2" hidden="1" thickBot="1" x14ac:dyDescent="0.25">
      <c r="B654" s="22" t="str">
        <f t="array" ref="B654">IF(ISERROR(INDEX('Eingabe Meldungen'!$C$2:$C$492,LARGE(('Eingabe Meldungen'!$A$2:$A$492=$B$621)*(ROW('Eingabe Meldungen'!$A$2:$A$492)-1),COUNTIF('Eingabe Meldungen'!$A$2:$A$492,$B$621)+1-ROW('Eingabe Meldungen'!#REF!)))),"",INDEX('Eingabe Meldungen'!$C$2:$C$492,LARGE(('Eingabe Meldungen'!$A$2:$A$492=$B$621)*(ROW('Eingabe Meldungen'!$A$2:$A$492)-1),COUNTIF('Eingabe Meldungen'!$A$2:$A$492,$B$621)+1-ROW('Eingabe Meldungen'!#REF!))))</f>
        <v/>
      </c>
      <c r="C654" s="14" t="str">
        <f t="array" ref="C654">IF(ISERROR(INDEX('Eingabe Meldungen'!$D$2:$D$492,LARGE(('Eingabe Meldungen'!$A$2:$A$492=$B$621)*(ROW('Eingabe Meldungen'!$A$2:$A$492)-1),COUNTIF('Eingabe Meldungen'!$A$2:$A$492,$B$621)+1-ROW('Eingabe Meldungen'!#REF!)))),"",INDEX('Eingabe Meldungen'!$D$2:$D$492,LARGE(('Eingabe Meldungen'!$A$2:$A$492=$B$621)*(ROW('Eingabe Meldungen'!$A$2:$A$492)-1),COUNTIF('Eingabe Meldungen'!$A$2:$A$492,$B$621)+1-ROW('Eingabe Meldungen'!#REF!))))</f>
        <v/>
      </c>
      <c r="D654" s="12" t="str">
        <f t="array" ref="D654">IF(B654&lt;&gt;"",INDEX('Eingabe Meldungen'!$C$2:$H$492,MATCH(B654&amp;C654,'Eingabe Meldungen'!$C$2:$C$492&amp;'Eingabe Meldungen'!$D$2:$D$492,0),6),"")</f>
        <v/>
      </c>
      <c r="E654" s="12" t="str">
        <f t="array" ref="E654">IF(B654&lt;&gt;"",INDEX('Eingabe Meldungen'!$C$2:$H$492,MATCH(B654&amp;C654,'Eingabe Meldungen'!$C$2:$C$492&amp;'Eingabe Meldungen'!$D$2:$D$492,0),4),"")</f>
        <v/>
      </c>
      <c r="F654" s="434"/>
      <c r="G654" s="76"/>
      <c r="H654" s="14"/>
      <c r="I654" s="23" t="str">
        <f t="array" ref="I654">IF(B654&lt;&gt;"",INDEX('Eingabe Meldungen'!$C$2:$J$492,MATCH(B654&amp;C654,'Eingabe Meldungen'!$C$2:$C$492&amp;'Eingabe Meldungen'!$D$2:$D$492,0),8),"")</f>
        <v/>
      </c>
      <c r="J654" s="14"/>
    </row>
    <row r="655" spans="2:12" hidden="1" x14ac:dyDescent="0.2"/>
    <row r="656" spans="2:12" ht="27.75" hidden="1" customHeight="1" x14ac:dyDescent="0.2">
      <c r="B656" s="94">
        <f>B621+1</f>
        <v>36</v>
      </c>
      <c r="C656" s="95" t="e">
        <f>VLOOKUP(B656,Ausschreibung!$B$5:$I$35,2,FALSE)</f>
        <v>#N/A</v>
      </c>
      <c r="D656" s="96" t="e">
        <f>VLOOKUP(B656,Ausschreibung!$B$5:$I$35,3,FALSE)</f>
        <v>#N/A</v>
      </c>
      <c r="E656" s="97" t="e">
        <f>VLOOKUP(B656,Ausschreibung!$B$5:$I$35,4,FALSE)</f>
        <v>#N/A</v>
      </c>
      <c r="F656" s="97" t="e">
        <f>VLOOKUP(B656,Ausschreibung!$B$5:$I$35,5,FALSE)</f>
        <v>#N/A</v>
      </c>
      <c r="G656" s="95" t="e">
        <f>VLOOKUP(B656,Ausschreibung!$B$5:$I$35,6,FALSE)</f>
        <v>#N/A</v>
      </c>
      <c r="H656" s="95" t="e">
        <f>VLOOKUP(B656,Ausschreibung!$B$5:$I$35,8,FALSE)</f>
        <v>#N/A</v>
      </c>
      <c r="I656" s="98" t="s">
        <v>30</v>
      </c>
      <c r="J656" s="95"/>
      <c r="K656" s="72">
        <f>SUM(G677:G684)</f>
        <v>0</v>
      </c>
      <c r="L656" s="72"/>
    </row>
    <row r="657" spans="2:12" hidden="1" x14ac:dyDescent="0.2">
      <c r="B657" s="19" t="s">
        <v>1</v>
      </c>
      <c r="C657" s="18" t="s">
        <v>2</v>
      </c>
      <c r="D657" s="17" t="s">
        <v>49</v>
      </c>
      <c r="E657" s="25" t="s">
        <v>16</v>
      </c>
      <c r="F657" s="17" t="s">
        <v>18</v>
      </c>
      <c r="G657" s="73" t="s">
        <v>50</v>
      </c>
      <c r="H657" s="17" t="s">
        <v>51</v>
      </c>
      <c r="I657" s="30" t="s">
        <v>17</v>
      </c>
      <c r="J657" s="17"/>
    </row>
    <row r="658" spans="2:12" hidden="1" x14ac:dyDescent="0.2">
      <c r="B658" s="67" t="str">
        <f t="array" ref="B658">IF(ISERROR(INDEX('Eingabe Meldungen'!$C$2:$C$492,LARGE(('Eingabe Meldungen'!$A$2:$A$492=$B$656)*(ROW('Eingabe Meldungen'!$A$2:$A$492)-1),COUNTIF('Eingabe Meldungen'!$A$2:$A$492,$B$656)+1-ROW('Eingabe Meldungen'!A1)))),"",INDEX('Eingabe Meldungen'!$C$2:$C$492,LARGE(('Eingabe Meldungen'!$A$2:$A$492=$B$656)*(ROW('Eingabe Meldungen'!$A$2:$A$492)-1),COUNTIF('Eingabe Meldungen'!$A$2:$A$492,$B$656)+1-ROW('Eingabe Meldungen'!A1))))</f>
        <v/>
      </c>
      <c r="C658" s="46" t="str">
        <f t="array" ref="C658">IF(ISERROR(INDEX('Eingabe Meldungen'!$D$2:$D$492,LARGE(('Eingabe Meldungen'!$A$2:$A$492=$B$656)*(ROW('Eingabe Meldungen'!$A$2:$A$492)-1),COUNTIF('Eingabe Meldungen'!$A$2:$A$492,$B$656)+1-ROW('Eingabe Meldungen'!A1)))),"",INDEX('Eingabe Meldungen'!$D$2:$D$492,LARGE(('Eingabe Meldungen'!$A$2:$A$492=$B$656)*(ROW('Eingabe Meldungen'!$A$2:$A$492)-1),COUNTIF('Eingabe Meldungen'!$A$2:$A$492,$B$656)+1-ROW('Eingabe Meldungen'!A1))))</f>
        <v/>
      </c>
      <c r="D658" s="77" t="str">
        <f t="array" ref="D658">IF(B658&lt;&gt;"",INDEX('Eingabe Meldungen'!$C$2:$H$492,MATCH(B658&amp;C658,'Eingabe Meldungen'!$C$2:$C$492&amp;'Eingabe Meldungen'!$D$2:$D$492,0),6),"")</f>
        <v/>
      </c>
      <c r="E658" s="77" t="str">
        <f t="array" ref="E658">IF(B658&lt;&gt;"",INDEX('Eingabe Meldungen'!$C$2:$H$492,MATCH(B658&amp;C658,'Eingabe Meldungen'!$C$2:$C$492&amp;'Eingabe Meldungen'!$D$2:$D$492,0),4),"")</f>
        <v/>
      </c>
      <c r="F658" s="78">
        <v>1</v>
      </c>
      <c r="G658" s="80"/>
      <c r="H658" s="433">
        <f>RANK(K637,K637:K652,1)</f>
        <v>1</v>
      </c>
      <c r="I658" s="79" t="str">
        <f t="array" ref="I658">IF(B658&lt;&gt;"",INDEX('Eingabe Meldungen'!$C$2:$J$492,MATCH(B658&amp;C658,'Eingabe Meldungen'!$C$2:$C$492&amp;'Eingabe Meldungen'!$D$2:$D$492,0),8),"")</f>
        <v/>
      </c>
      <c r="J658" s="86"/>
    </row>
    <row r="659" spans="2:12" hidden="1" x14ac:dyDescent="0.2">
      <c r="B659" s="20" t="str">
        <f t="array" ref="B659">IF(ISERROR(INDEX('Eingabe Meldungen'!$C$2:$C$492,LARGE(('Eingabe Meldungen'!$A$2:$A$492=$B$656)*(ROW('Eingabe Meldungen'!$A$2:$A$492)-1),COUNTIF('Eingabe Meldungen'!$A$2:$A$492,$B$656)+1-ROW('Eingabe Meldungen'!A2)))),"",INDEX('Eingabe Meldungen'!$C$2:$C$492,LARGE(('Eingabe Meldungen'!$A$2:$A$492=$B$656)*(ROW('Eingabe Meldungen'!$A$2:$A$492)-1),COUNTIF('Eingabe Meldungen'!$A$2:$A$492,$B$656)+1-ROW('Eingabe Meldungen'!A2))))</f>
        <v/>
      </c>
      <c r="C659" t="str">
        <f t="array" ref="C659">IF(ISERROR(INDEX('Eingabe Meldungen'!$D$2:$D$492,LARGE(('Eingabe Meldungen'!$A$2:$A$492=$B$656)*(ROW('Eingabe Meldungen'!$A$2:$A$492)-1),COUNTIF('Eingabe Meldungen'!$A$2:$A$492,$B$656)+1-ROW('Eingabe Meldungen'!A2)))),"",INDEX('Eingabe Meldungen'!$D$2:$D$492,LARGE(('Eingabe Meldungen'!$A$2:$A$492=$B$656)*(ROW('Eingabe Meldungen'!$A$2:$A$492)-1),COUNTIF('Eingabe Meldungen'!$A$2:$A$492,$B$656)+1-ROW('Eingabe Meldungen'!A2))))</f>
        <v/>
      </c>
      <c r="D659" s="11" t="str">
        <f t="array" ref="D659">IF(B659&lt;&gt;"",INDEX('Eingabe Meldungen'!$C$2:$H$492,MATCH(B659&amp;C659,'Eingabe Meldungen'!$C$2:$C$492&amp;'Eingabe Meldungen'!$D$2:$D$492,0),6),"")</f>
        <v/>
      </c>
      <c r="E659" s="11" t="str">
        <f t="array" ref="E659">IF(B659&lt;&gt;"",INDEX('Eingabe Meldungen'!$C$2:$H$492,MATCH(B659&amp;C659,'Eingabe Meldungen'!$C$2:$C$492&amp;'Eingabe Meldungen'!$D$2:$D$492,0),4),"")</f>
        <v/>
      </c>
      <c r="F659" s="15">
        <v>2</v>
      </c>
      <c r="G659" s="74"/>
      <c r="H659" s="444"/>
      <c r="I659" s="21" t="str">
        <f t="array" ref="I659">IF(B659&lt;&gt;"",INDEX('Eingabe Meldungen'!$C$2:$J$492,MATCH(B659&amp;C659,'Eingabe Meldungen'!$C$2:$C$492&amp;'Eingabe Meldungen'!$D$2:$D$492,0),8),"")</f>
        <v/>
      </c>
      <c r="J659" s="15"/>
    </row>
    <row r="660" spans="2:12" hidden="1" x14ac:dyDescent="0.2">
      <c r="B660" s="20" t="str">
        <f t="array" ref="B660">IF(ISERROR(INDEX('Eingabe Meldungen'!$C$2:$C$492,LARGE(('Eingabe Meldungen'!$A$2:$A$492=$B$656)*(ROW('Eingabe Meldungen'!$A$2:$A$492)-1),COUNTIF('Eingabe Meldungen'!$A$2:$A$492,$B$656)+1-ROW('Eingabe Meldungen'!A3)))),"",INDEX('Eingabe Meldungen'!$C$2:$C$492,LARGE(('Eingabe Meldungen'!$A$2:$A$492=$B$656)*(ROW('Eingabe Meldungen'!$A$2:$A$492)-1),COUNTIF('Eingabe Meldungen'!$A$2:$A$492,$B$656)+1-ROW('Eingabe Meldungen'!A3))))</f>
        <v/>
      </c>
      <c r="C660" t="str">
        <f t="array" ref="C660">IF(ISERROR(INDEX('Eingabe Meldungen'!$D$2:$D$492,LARGE(('Eingabe Meldungen'!$A$2:$A$492=$B$656)*(ROW('Eingabe Meldungen'!$A$2:$A$492)-1),COUNTIF('Eingabe Meldungen'!$A$2:$A$492,$B$656)+1-ROW('Eingabe Meldungen'!A3)))),"",INDEX('Eingabe Meldungen'!$D$2:$D$492,LARGE(('Eingabe Meldungen'!$A$2:$A$492=$B$656)*(ROW('Eingabe Meldungen'!$A$2:$A$492)-1),COUNTIF('Eingabe Meldungen'!$A$2:$A$492,$B$656)+1-ROW('Eingabe Meldungen'!A3))))</f>
        <v/>
      </c>
      <c r="D660" s="11" t="str">
        <f t="array" ref="D660">IF(B660&lt;&gt;"",INDEX('Eingabe Meldungen'!$C$2:$H$492,MATCH(B660&amp;C660,'Eingabe Meldungen'!$C$2:$C$492&amp;'Eingabe Meldungen'!$D$2:$D$492,0),6),"")</f>
        <v/>
      </c>
      <c r="E660" s="11" t="str">
        <f t="array" ref="E660">IF(B660&lt;&gt;"",INDEX('Eingabe Meldungen'!$C$2:$H$492,MATCH(B660&amp;C660,'Eingabe Meldungen'!$C$2:$C$492&amp;'Eingabe Meldungen'!$D$2:$D$492,0),4),"")</f>
        <v/>
      </c>
      <c r="F660" s="15">
        <v>3</v>
      </c>
      <c r="G660" s="74"/>
      <c r="H660" s="444"/>
      <c r="I660" s="21" t="str">
        <f t="array" ref="I660">IF(B660&lt;&gt;"",INDEX('Eingabe Meldungen'!$C$2:$J$492,MATCH(B660&amp;C660,'Eingabe Meldungen'!$C$2:$C$492&amp;'Eingabe Meldungen'!$D$2:$D$492,0),8),"")</f>
        <v/>
      </c>
      <c r="J660" s="15"/>
    </row>
    <row r="661" spans="2:12" hidden="1" x14ac:dyDescent="0.2">
      <c r="B661" s="20" t="str">
        <f t="array" ref="B661">IF(ISERROR(INDEX('Eingabe Meldungen'!$C$2:$C$492,LARGE(('Eingabe Meldungen'!$A$2:$A$492=$B$656)*(ROW('Eingabe Meldungen'!$A$2:$A$492)-1),COUNTIF('Eingabe Meldungen'!$A$2:$A$492,$B$656)+1-ROW('Eingabe Meldungen'!A4)))),"",INDEX('Eingabe Meldungen'!$C$2:$C$492,LARGE(('Eingabe Meldungen'!$A$2:$A$492=$B$656)*(ROW('Eingabe Meldungen'!$A$2:$A$492)-1),COUNTIF('Eingabe Meldungen'!$A$2:$A$492,$B$656)+1-ROW('Eingabe Meldungen'!A4))))</f>
        <v/>
      </c>
      <c r="C661" t="str">
        <f t="array" ref="C661">IF(ISERROR(INDEX('Eingabe Meldungen'!$D$2:$D$492,LARGE(('Eingabe Meldungen'!$A$2:$A$492=$B$656)*(ROW('Eingabe Meldungen'!$A$2:$A$492)-1),COUNTIF('Eingabe Meldungen'!$A$2:$A$492,$B$656)+1-ROW('Eingabe Meldungen'!A4)))),"",INDEX('Eingabe Meldungen'!$D$2:$D$492,LARGE(('Eingabe Meldungen'!$A$2:$A$492=$B$656)*(ROW('Eingabe Meldungen'!$A$2:$A$492)-1),COUNTIF('Eingabe Meldungen'!$A$2:$A$492,$B$656)+1-ROW('Eingabe Meldungen'!A4))))</f>
        <v/>
      </c>
      <c r="D661" s="11" t="str">
        <f t="array" ref="D661">IF(B661&lt;&gt;"",INDEX('Eingabe Meldungen'!$C$2:$H$492,MATCH(B661&amp;C661,'Eingabe Meldungen'!$C$2:$C$492&amp;'Eingabe Meldungen'!$D$2:$D$492,0),6),"")</f>
        <v/>
      </c>
      <c r="E661" s="11" t="str">
        <f t="array" ref="E661">IF(B661&lt;&gt;"",INDEX('Eingabe Meldungen'!$C$2:$H$492,MATCH(B661&amp;C661,'Eingabe Meldungen'!$C$2:$C$492&amp;'Eingabe Meldungen'!$D$2:$D$492,0),4),"")</f>
        <v/>
      </c>
      <c r="F661" s="15">
        <v>4</v>
      </c>
      <c r="G661" s="74"/>
      <c r="H661" s="444"/>
      <c r="I661" s="21" t="str">
        <f t="array" ref="I661">IF(B661&lt;&gt;"",INDEX('Eingabe Meldungen'!$C$2:$J$492,MATCH(B661&amp;C661,'Eingabe Meldungen'!$C$2:$C$492&amp;'Eingabe Meldungen'!$D$2:$D$492,0),8),"")</f>
        <v/>
      </c>
      <c r="J661" s="15"/>
    </row>
    <row r="662" spans="2:12" hidden="1" x14ac:dyDescent="0.2">
      <c r="B662" s="20" t="str">
        <f t="array" ref="B662">IF(ISERROR(INDEX('Eingabe Meldungen'!$C$2:$C$492,LARGE(('Eingabe Meldungen'!$A$2:$A$492=$B$656)*(ROW('Eingabe Meldungen'!$A$2:$A$492)-1),COUNTIF('Eingabe Meldungen'!$A$2:$A$492,$B$656)+1-ROW('Eingabe Meldungen'!A5)))),"",INDEX('Eingabe Meldungen'!$C$2:$C$492,LARGE(('Eingabe Meldungen'!$A$2:$A$492=$B$656)*(ROW('Eingabe Meldungen'!$A$2:$A$492)-1),COUNTIF('Eingabe Meldungen'!$A$2:$A$492,$B$656)+1-ROW('Eingabe Meldungen'!A5))))</f>
        <v/>
      </c>
      <c r="C662" t="str">
        <f t="array" ref="C662">IF(ISERROR(INDEX('Eingabe Meldungen'!$D$2:$D$492,LARGE(('Eingabe Meldungen'!$A$2:$A$492=$B$656)*(ROW('Eingabe Meldungen'!$A$2:$A$492)-1),COUNTIF('Eingabe Meldungen'!$A$2:$A$492,$B$656)+1-ROW('Eingabe Meldungen'!A5)))),"",INDEX('Eingabe Meldungen'!$D$2:$D$492,LARGE(('Eingabe Meldungen'!$A$2:$A$492=$B$656)*(ROW('Eingabe Meldungen'!$A$2:$A$492)-1),COUNTIF('Eingabe Meldungen'!$A$2:$A$492,$B$656)+1-ROW('Eingabe Meldungen'!A5))))</f>
        <v/>
      </c>
      <c r="D662" s="11" t="str">
        <f t="array" ref="D662">IF(B662&lt;&gt;"",INDEX('Eingabe Meldungen'!$C$2:$H$492,MATCH(B662&amp;C662,'Eingabe Meldungen'!$C$2:$C$492&amp;'Eingabe Meldungen'!$D$2:$D$492,0),6),"")</f>
        <v/>
      </c>
      <c r="E662" s="11" t="str">
        <f t="array" ref="E662">IF(B662&lt;&gt;"",INDEX('Eingabe Meldungen'!$C$2:$H$492,MATCH(B662&amp;C662,'Eingabe Meldungen'!$C$2:$C$492&amp;'Eingabe Meldungen'!$D$2:$D$492,0),4),"")</f>
        <v/>
      </c>
      <c r="F662" s="15">
        <v>5</v>
      </c>
      <c r="G662" s="74"/>
      <c r="H662" s="444"/>
      <c r="I662" s="21" t="str">
        <f t="array" ref="I662">IF(B662&lt;&gt;"",INDEX('Eingabe Meldungen'!$C$2:$J$492,MATCH(B662&amp;C662,'Eingabe Meldungen'!$C$2:$C$492&amp;'Eingabe Meldungen'!$D$2:$D$492,0),8),"")</f>
        <v/>
      </c>
      <c r="J662" s="15"/>
    </row>
    <row r="663" spans="2:12" hidden="1" x14ac:dyDescent="0.2">
      <c r="B663" s="20" t="str">
        <f t="array" ref="B663">IF(ISERROR(INDEX('Eingabe Meldungen'!$C$2:$C$492,LARGE(('Eingabe Meldungen'!$A$2:$A$492=$B$656)*(ROW('Eingabe Meldungen'!$A$2:$A$492)-1),COUNTIF('Eingabe Meldungen'!$A$2:$A$492,$B$656)+1-ROW('Eingabe Meldungen'!A6)))),"",INDEX('Eingabe Meldungen'!$C$2:$C$492,LARGE(('Eingabe Meldungen'!$A$2:$A$492=$B$656)*(ROW('Eingabe Meldungen'!$A$2:$A$492)-1),COUNTIF('Eingabe Meldungen'!$A$2:$A$492,$B$656)+1-ROW('Eingabe Meldungen'!A6))))</f>
        <v/>
      </c>
      <c r="C663" t="str">
        <f t="array" ref="C663">IF(ISERROR(INDEX('Eingabe Meldungen'!$D$2:$D$492,LARGE(('Eingabe Meldungen'!$A$2:$A$492=$B$656)*(ROW('Eingabe Meldungen'!$A$2:$A$492)-1),COUNTIF('Eingabe Meldungen'!$A$2:$A$492,$B$656)+1-ROW('Eingabe Meldungen'!A6)))),"",INDEX('Eingabe Meldungen'!$D$2:$D$492,LARGE(('Eingabe Meldungen'!$A$2:$A$492=$B$656)*(ROW('Eingabe Meldungen'!$A$2:$A$492)-1),COUNTIF('Eingabe Meldungen'!$A$2:$A$492,$B$656)+1-ROW('Eingabe Meldungen'!A6))))</f>
        <v/>
      </c>
      <c r="D663" s="11" t="str">
        <f t="array" ref="D663">IF(B663&lt;&gt;"",INDEX('Eingabe Meldungen'!$C$2:$H$492,MATCH(B663&amp;C663,'Eingabe Meldungen'!$C$2:$C$492&amp;'Eingabe Meldungen'!$D$2:$D$492,0),6),"")</f>
        <v/>
      </c>
      <c r="E663" s="11" t="str">
        <f t="array" ref="E663">IF(B663&lt;&gt;"",INDEX('Eingabe Meldungen'!$C$2:$H$492,MATCH(B663&amp;C663,'Eingabe Meldungen'!$C$2:$C$492&amp;'Eingabe Meldungen'!$D$2:$D$492,0),4),"")</f>
        <v/>
      </c>
      <c r="F663" s="15">
        <v>6</v>
      </c>
      <c r="G663" s="74"/>
      <c r="H663" s="444"/>
      <c r="I663" s="21" t="str">
        <f t="array" ref="I663">IF(B663&lt;&gt;"",INDEX('Eingabe Meldungen'!$C$2:$J$492,MATCH(B663&amp;C663,'Eingabe Meldungen'!$C$2:$C$492&amp;'Eingabe Meldungen'!$D$2:$D$492,0),8),"")</f>
        <v/>
      </c>
      <c r="J663" s="15"/>
    </row>
    <row r="664" spans="2:12" hidden="1" x14ac:dyDescent="0.2">
      <c r="B664" s="20" t="str">
        <f t="array" ref="B664">IF(ISERROR(INDEX('Eingabe Meldungen'!$C$2:$C$492,LARGE(('Eingabe Meldungen'!$A$2:$A$492=$B$656)*(ROW('Eingabe Meldungen'!$A$2:$A$492)-1),COUNTIF('Eingabe Meldungen'!$A$2:$A$492,$B$656)+1-ROW('Eingabe Meldungen'!A8)))),"",INDEX('Eingabe Meldungen'!$C$2:$C$492,LARGE(('Eingabe Meldungen'!$A$2:$A$492=$B$656)*(ROW('Eingabe Meldungen'!$A$2:$A$492)-1),COUNTIF('Eingabe Meldungen'!$A$2:$A$492,$B$656)+1-ROW('Eingabe Meldungen'!A8))))</f>
        <v/>
      </c>
      <c r="C664" t="str">
        <f t="array" ref="C664">IF(ISERROR(INDEX('Eingabe Meldungen'!$D$2:$D$492,LARGE(('Eingabe Meldungen'!$A$2:$A$492=$B$656)*(ROW('Eingabe Meldungen'!$A$2:$A$492)-1),COUNTIF('Eingabe Meldungen'!$A$2:$A$492,$B$656)+1-ROW('Eingabe Meldungen'!A8)))),"",INDEX('Eingabe Meldungen'!$D$2:$D$492,LARGE(('Eingabe Meldungen'!$A$2:$A$492=$B$656)*(ROW('Eingabe Meldungen'!$A$2:$A$492)-1),COUNTIF('Eingabe Meldungen'!$A$2:$A$492,$B$656)+1-ROW('Eingabe Meldungen'!A8))))</f>
        <v/>
      </c>
      <c r="D664" s="11" t="str">
        <f t="array" ref="D664">IF(B664&lt;&gt;"",INDEX('Eingabe Meldungen'!$C$2:$H$492,MATCH(B664&amp;C664,'Eingabe Meldungen'!$C$2:$C$492&amp;'Eingabe Meldungen'!$D$2:$D$492,0),6),"")</f>
        <v/>
      </c>
      <c r="E664" s="11" t="str">
        <f t="array" ref="E664">IF(B664&lt;&gt;"",INDEX('Eingabe Meldungen'!$C$2:$H$492,MATCH(B664&amp;C664,'Eingabe Meldungen'!$C$2:$C$492&amp;'Eingabe Meldungen'!$D$2:$D$492,0),4),"")</f>
        <v/>
      </c>
      <c r="F664" s="15">
        <v>7</v>
      </c>
      <c r="G664" s="74"/>
      <c r="H664" s="444"/>
      <c r="I664" s="21" t="str">
        <f t="array" ref="I664">IF(B664&lt;&gt;"",INDEX('Eingabe Meldungen'!$C$2:$J$492,MATCH(B664&amp;C664,'Eingabe Meldungen'!$C$2:$C$492&amp;'Eingabe Meldungen'!$D$2:$D$492,0),8),"")</f>
        <v/>
      </c>
      <c r="J664" s="15"/>
      <c r="K664" s="72">
        <f>SUM(G685:G692)</f>
        <v>0</v>
      </c>
      <c r="L664" s="72"/>
    </row>
    <row r="665" spans="2:12" ht="13.2" hidden="1" thickBot="1" x14ac:dyDescent="0.25">
      <c r="B665" s="22" t="str">
        <f t="array" ref="B665">IF(ISERROR(INDEX('Eingabe Meldungen'!$C$2:$C$492,LARGE(('Eingabe Meldungen'!$A$2:$A$492=$B$656)*(ROW('Eingabe Meldungen'!$A$2:$A$492)-1),COUNTIF('Eingabe Meldungen'!$A$2:$A$492,$B$656)+1-ROW('Eingabe Meldungen'!A9)))),"",INDEX('Eingabe Meldungen'!$C$2:$C$492,LARGE(('Eingabe Meldungen'!$A$2:$A$492=$B$656)*(ROW('Eingabe Meldungen'!$A$2:$A$492)-1),COUNTIF('Eingabe Meldungen'!$A$2:$A$492,$B$656)+1-ROW('Eingabe Meldungen'!A9))))</f>
        <v/>
      </c>
      <c r="C665" s="14" t="str">
        <f t="array" ref="C665">IF(ISERROR(INDEX('Eingabe Meldungen'!$D$2:$D$492,LARGE(('Eingabe Meldungen'!$A$2:$A$492=$B$656)*(ROW('Eingabe Meldungen'!$A$2:$A$492)-1),COUNTIF('Eingabe Meldungen'!$A$2:$A$492,$B$656)+1-ROW('Eingabe Meldungen'!A9)))),"",INDEX('Eingabe Meldungen'!$D$2:$D$492,LARGE(('Eingabe Meldungen'!$A$2:$A$492=$B$656)*(ROW('Eingabe Meldungen'!$A$2:$A$492)-1),COUNTIF('Eingabe Meldungen'!$A$2:$A$492,$B$656)+1-ROW('Eingabe Meldungen'!A9))))</f>
        <v/>
      </c>
      <c r="D665" s="12" t="str">
        <f t="array" ref="D665">IF(B665&lt;&gt;"",INDEX('Eingabe Meldungen'!$C$2:$H$492,MATCH(B665&amp;C665,'Eingabe Meldungen'!$C$2:$C$492&amp;'Eingabe Meldungen'!$D$2:$D$492,0),6),"")</f>
        <v/>
      </c>
      <c r="E665" s="12" t="str">
        <f t="array" ref="E665">IF(B665&lt;&gt;"",INDEX('Eingabe Meldungen'!$C$2:$H$492,MATCH(B665&amp;C665,'Eingabe Meldungen'!$C$2:$C$492&amp;'Eingabe Meldungen'!$D$2:$D$492,0),4),"")</f>
        <v/>
      </c>
      <c r="F665" s="84">
        <v>8</v>
      </c>
      <c r="G665" s="83"/>
      <c r="H665" s="434"/>
      <c r="I665" s="23" t="str">
        <f t="array" ref="I665">IF(B665&lt;&gt;"",INDEX('Eingabe Meldungen'!$C$2:$J$492,MATCH(B665&amp;C665,'Eingabe Meldungen'!$C$2:$C$492&amp;'Eingabe Meldungen'!$D$2:$D$492,0),8),"")</f>
        <v/>
      </c>
      <c r="J665" s="84"/>
    </row>
    <row r="666" spans="2:12" hidden="1" x14ac:dyDescent="0.2">
      <c r="B666" s="20" t="str">
        <f t="array" ref="B666">IF(ISERROR(INDEX('Eingabe Meldungen'!$C$2:$C$492,LARGE(('Eingabe Meldungen'!$A$2:$A$492=$B$656)*(ROW('Eingabe Meldungen'!$A$2:$A$492)-1),COUNTIF('Eingabe Meldungen'!$A$2:$A$492,$B$656)+1-ROW('Eingabe Meldungen'!A10)))),"",INDEX('Eingabe Meldungen'!$C$2:$C$492,LARGE(('Eingabe Meldungen'!$A$2:$A$492=$B$656)*(ROW('Eingabe Meldungen'!$A$2:$A$492)-1),COUNTIF('Eingabe Meldungen'!$A$2:$A$492,$B$656)+1-ROW('Eingabe Meldungen'!A10))))</f>
        <v/>
      </c>
      <c r="C666" t="str">
        <f t="array" ref="C666">IF(ISERROR(INDEX('Eingabe Meldungen'!$D$2:$D$492,LARGE(('Eingabe Meldungen'!$A$2:$A$492=$B$656)*(ROW('Eingabe Meldungen'!$A$2:$A$492)-1),COUNTIF('Eingabe Meldungen'!$A$2:$A$492,$B$656)+1-ROW('Eingabe Meldungen'!A10)))),"",INDEX('Eingabe Meldungen'!$D$2:$D$492,LARGE(('Eingabe Meldungen'!$A$2:$A$492=$B$656)*(ROW('Eingabe Meldungen'!$A$2:$A$492)-1),COUNTIF('Eingabe Meldungen'!$A$2:$A$492,$B$656)+1-ROW('Eingabe Meldungen'!A10))))</f>
        <v/>
      </c>
      <c r="D666" s="11" t="str">
        <f t="array" ref="D666">IF(B666&lt;&gt;"",INDEX('Eingabe Meldungen'!$C$2:$H$492,MATCH(B666&amp;C666,'Eingabe Meldungen'!$C$2:$C$492&amp;'Eingabe Meldungen'!$D$2:$D$492,0),6),"")</f>
        <v/>
      </c>
      <c r="E666" s="11" t="str">
        <f t="array" ref="E666">IF(B666&lt;&gt;"",INDEX('Eingabe Meldungen'!$C$2:$H$492,MATCH(B666&amp;C666,'Eingabe Meldungen'!$C$2:$C$492&amp;'Eingabe Meldungen'!$D$2:$D$492,0),4),"")</f>
        <v/>
      </c>
      <c r="F666" s="15">
        <v>9</v>
      </c>
      <c r="G666" s="74"/>
      <c r="H666" s="444">
        <f>RANK(K645,K637:K652,1)</f>
        <v>1</v>
      </c>
      <c r="I666" s="21" t="str">
        <f t="array" ref="I666">IF(B666&lt;&gt;"",INDEX('Eingabe Meldungen'!$C$2:$J$492,MATCH(B666&amp;C666,'Eingabe Meldungen'!$C$2:$C$492&amp;'Eingabe Meldungen'!$D$2:$D$492,0),8),"")</f>
        <v/>
      </c>
      <c r="J666" s="15"/>
    </row>
    <row r="667" spans="2:12" hidden="1" x14ac:dyDescent="0.2">
      <c r="B667" s="20" t="str">
        <f t="array" ref="B667">IF(ISERROR(INDEX('Eingabe Meldungen'!$C$2:$C$492,LARGE(('Eingabe Meldungen'!$A$2:$A$492=$B$656)*(ROW('Eingabe Meldungen'!$A$2:$A$492)-1),COUNTIF('Eingabe Meldungen'!$A$2:$A$492,$B$656)+1-ROW('Eingabe Meldungen'!A11)))),"",INDEX('Eingabe Meldungen'!$C$2:$C$492,LARGE(('Eingabe Meldungen'!$A$2:$A$492=$B$656)*(ROW('Eingabe Meldungen'!$A$2:$A$492)-1),COUNTIF('Eingabe Meldungen'!$A$2:$A$492,$B$656)+1-ROW('Eingabe Meldungen'!A11))))</f>
        <v/>
      </c>
      <c r="C667" t="str">
        <f t="array" ref="C667">IF(ISERROR(INDEX('Eingabe Meldungen'!$D$2:$D$492,LARGE(('Eingabe Meldungen'!$A$2:$A$492=$B$656)*(ROW('Eingabe Meldungen'!$A$2:$A$492)-1),COUNTIF('Eingabe Meldungen'!$A$2:$A$492,$B$656)+1-ROW('Eingabe Meldungen'!A11)))),"",INDEX('Eingabe Meldungen'!$D$2:$D$492,LARGE(('Eingabe Meldungen'!$A$2:$A$492=$B$656)*(ROW('Eingabe Meldungen'!$A$2:$A$492)-1),COUNTIF('Eingabe Meldungen'!$A$2:$A$492,$B$656)+1-ROW('Eingabe Meldungen'!A11))))</f>
        <v/>
      </c>
      <c r="D667" s="11" t="str">
        <f t="array" ref="D667">IF(B667&lt;&gt;"",INDEX('Eingabe Meldungen'!$C$2:$H$492,MATCH(B667&amp;C667,'Eingabe Meldungen'!$C$2:$C$492&amp;'Eingabe Meldungen'!$D$2:$D$492,0),6),"")</f>
        <v/>
      </c>
      <c r="E667" s="11" t="str">
        <f t="array" ref="E667">IF(B667&lt;&gt;"",INDEX('Eingabe Meldungen'!$C$2:$H$492,MATCH(B667&amp;C667,'Eingabe Meldungen'!$C$2:$C$492&amp;'Eingabe Meldungen'!$D$2:$D$492,0),4),"")</f>
        <v/>
      </c>
      <c r="F667" s="15">
        <v>10</v>
      </c>
      <c r="G667" s="74"/>
      <c r="H667" s="444"/>
      <c r="I667" s="21" t="str">
        <f t="array" ref="I667">IF(B667&lt;&gt;"",INDEX('Eingabe Meldungen'!$C$2:$J$492,MATCH(B667&amp;C667,'Eingabe Meldungen'!$C$2:$C$492&amp;'Eingabe Meldungen'!$D$2:$D$492,0),8),"")</f>
        <v/>
      </c>
      <c r="J667" s="15"/>
    </row>
    <row r="668" spans="2:12" hidden="1" x14ac:dyDescent="0.2">
      <c r="B668" s="20" t="str">
        <f t="array" ref="B668">IF(ISERROR(INDEX('Eingabe Meldungen'!$C$2:$C$492,LARGE(('Eingabe Meldungen'!$A$2:$A$492=$B$656)*(ROW('Eingabe Meldungen'!$A$2:$A$492)-1),COUNTIF('Eingabe Meldungen'!$A$2:$A$492,$B$656)+1-ROW('Eingabe Meldungen'!A12)))),"",INDEX('Eingabe Meldungen'!$C$2:$C$492,LARGE(('Eingabe Meldungen'!$A$2:$A$492=$B$656)*(ROW('Eingabe Meldungen'!$A$2:$A$492)-1),COUNTIF('Eingabe Meldungen'!$A$2:$A$492,$B$656)+1-ROW('Eingabe Meldungen'!A12))))</f>
        <v/>
      </c>
      <c r="C668" t="str">
        <f t="array" ref="C668">IF(ISERROR(INDEX('Eingabe Meldungen'!$D$2:$D$492,LARGE(('Eingabe Meldungen'!$A$2:$A$492=$B$656)*(ROW('Eingabe Meldungen'!$A$2:$A$492)-1),COUNTIF('Eingabe Meldungen'!$A$2:$A$492,$B$656)+1-ROW('Eingabe Meldungen'!A12)))),"",INDEX('Eingabe Meldungen'!$D$2:$D$492,LARGE(('Eingabe Meldungen'!$A$2:$A$492=$B$656)*(ROW('Eingabe Meldungen'!$A$2:$A$492)-1),COUNTIF('Eingabe Meldungen'!$A$2:$A$492,$B$656)+1-ROW('Eingabe Meldungen'!A12))))</f>
        <v/>
      </c>
      <c r="D668" s="11" t="str">
        <f t="array" ref="D668">IF(B668&lt;&gt;"",INDEX('Eingabe Meldungen'!$C$2:$H$492,MATCH(B668&amp;C668,'Eingabe Meldungen'!$C$2:$C$492&amp;'Eingabe Meldungen'!$D$2:$D$492,0),6),"")</f>
        <v/>
      </c>
      <c r="E668" s="11" t="str">
        <f t="array" ref="E668">IF(B668&lt;&gt;"",INDEX('Eingabe Meldungen'!$C$2:$H$492,MATCH(B668&amp;C668,'Eingabe Meldungen'!$C$2:$C$492&amp;'Eingabe Meldungen'!$D$2:$D$492,0),4),"")</f>
        <v/>
      </c>
      <c r="F668" s="15">
        <v>11</v>
      </c>
      <c r="G668" s="74"/>
      <c r="H668" s="444"/>
      <c r="I668" s="21" t="str">
        <f t="array" ref="I668">IF(B668&lt;&gt;"",INDEX('Eingabe Meldungen'!$C$2:$J$492,MATCH(B668&amp;C668,'Eingabe Meldungen'!$C$2:$C$492&amp;'Eingabe Meldungen'!$D$2:$D$492,0),8),"")</f>
        <v/>
      </c>
      <c r="J668" s="15"/>
    </row>
    <row r="669" spans="2:12" hidden="1" x14ac:dyDescent="0.2">
      <c r="B669" s="20" t="str">
        <f t="array" ref="B669">IF(ISERROR(INDEX('Eingabe Meldungen'!$C$2:$C$492,LARGE(('Eingabe Meldungen'!$A$2:$A$492=$B$656)*(ROW('Eingabe Meldungen'!$A$2:$A$492)-1),COUNTIF('Eingabe Meldungen'!$A$2:$A$492,$B$656)+1-ROW('Eingabe Meldungen'!A13)))),"",INDEX('Eingabe Meldungen'!$C$2:$C$492,LARGE(('Eingabe Meldungen'!$A$2:$A$492=$B$656)*(ROW('Eingabe Meldungen'!$A$2:$A$492)-1),COUNTIF('Eingabe Meldungen'!$A$2:$A$492,$B$656)+1-ROW('Eingabe Meldungen'!A13))))</f>
        <v/>
      </c>
      <c r="C669" t="str">
        <f t="array" ref="C669">IF(ISERROR(INDEX('Eingabe Meldungen'!$D$2:$D$492,LARGE(('Eingabe Meldungen'!$A$2:$A$492=$B$656)*(ROW('Eingabe Meldungen'!$A$2:$A$492)-1),COUNTIF('Eingabe Meldungen'!$A$2:$A$492,$B$656)+1-ROW('Eingabe Meldungen'!A13)))),"",INDEX('Eingabe Meldungen'!$D$2:$D$492,LARGE(('Eingabe Meldungen'!$A$2:$A$492=$B$656)*(ROW('Eingabe Meldungen'!$A$2:$A$492)-1),COUNTIF('Eingabe Meldungen'!$A$2:$A$492,$B$656)+1-ROW('Eingabe Meldungen'!A13))))</f>
        <v/>
      </c>
      <c r="D669" s="11" t="str">
        <f t="array" ref="D669">IF(B669&lt;&gt;"",INDEX('Eingabe Meldungen'!$C$2:$H$492,MATCH(B669&amp;C669,'Eingabe Meldungen'!$C$2:$C$492&amp;'Eingabe Meldungen'!$D$2:$D$492,0),6),"")</f>
        <v/>
      </c>
      <c r="E669" s="11" t="str">
        <f t="array" ref="E669">IF(B669&lt;&gt;"",INDEX('Eingabe Meldungen'!$C$2:$H$492,MATCH(B669&amp;C669,'Eingabe Meldungen'!$C$2:$C$492&amp;'Eingabe Meldungen'!$D$2:$D$492,0),4),"")</f>
        <v/>
      </c>
      <c r="F669" s="15">
        <v>12</v>
      </c>
      <c r="G669" s="74"/>
      <c r="H669" s="444"/>
      <c r="I669" s="21" t="str">
        <f t="array" ref="I669">IF(B669&lt;&gt;"",INDEX('Eingabe Meldungen'!$C$2:$J$492,MATCH(B669&amp;C669,'Eingabe Meldungen'!$C$2:$C$492&amp;'Eingabe Meldungen'!$D$2:$D$492,0),8),"")</f>
        <v/>
      </c>
      <c r="J669" s="15"/>
    </row>
    <row r="670" spans="2:12" hidden="1" x14ac:dyDescent="0.2">
      <c r="B670" s="20" t="str">
        <f t="array" ref="B670">IF(ISERROR(INDEX('Eingabe Meldungen'!$C$2:$C$492,LARGE(('Eingabe Meldungen'!$A$2:$A$492=$B$656)*(ROW('Eingabe Meldungen'!$A$2:$A$492)-1),COUNTIF('Eingabe Meldungen'!$A$2:$A$492,$B$656)+1-ROW('Eingabe Meldungen'!A14)))),"",INDEX('Eingabe Meldungen'!$C$2:$C$492,LARGE(('Eingabe Meldungen'!$A$2:$A$492=$B$656)*(ROW('Eingabe Meldungen'!$A$2:$A$492)-1),COUNTIF('Eingabe Meldungen'!$A$2:$A$492,$B$656)+1-ROW('Eingabe Meldungen'!A14))))</f>
        <v/>
      </c>
      <c r="C670" t="str">
        <f t="array" ref="C670">IF(ISERROR(INDEX('Eingabe Meldungen'!$D$2:$D$492,LARGE(('Eingabe Meldungen'!$A$2:$A$492=$B$656)*(ROW('Eingabe Meldungen'!$A$2:$A$492)-1),COUNTIF('Eingabe Meldungen'!$A$2:$A$492,$B$656)+1-ROW('Eingabe Meldungen'!A14)))),"",INDEX('Eingabe Meldungen'!$D$2:$D$492,LARGE(('Eingabe Meldungen'!$A$2:$A$492=$B$656)*(ROW('Eingabe Meldungen'!$A$2:$A$492)-1),COUNTIF('Eingabe Meldungen'!$A$2:$A$492,$B$656)+1-ROW('Eingabe Meldungen'!A14))))</f>
        <v/>
      </c>
      <c r="D670" s="11" t="str">
        <f t="array" ref="D670">IF(B670&lt;&gt;"",INDEX('Eingabe Meldungen'!$C$2:$H$492,MATCH(B670&amp;C670,'Eingabe Meldungen'!$C$2:$C$492&amp;'Eingabe Meldungen'!$D$2:$D$492,0),6),"")</f>
        <v/>
      </c>
      <c r="E670" s="11" t="str">
        <f t="array" ref="E670">IF(B670&lt;&gt;"",INDEX('Eingabe Meldungen'!$C$2:$H$492,MATCH(B670&amp;C670,'Eingabe Meldungen'!$C$2:$C$492&amp;'Eingabe Meldungen'!$D$2:$D$492,0),4),"")</f>
        <v/>
      </c>
      <c r="F670" s="15">
        <v>13</v>
      </c>
      <c r="G670" s="74"/>
      <c r="H670" s="444"/>
      <c r="I670" s="21" t="str">
        <f t="array" ref="I670">IF(B670&lt;&gt;"",INDEX('Eingabe Meldungen'!$C$2:$J$492,MATCH(B670&amp;C670,'Eingabe Meldungen'!$C$2:$C$492&amp;'Eingabe Meldungen'!$D$2:$D$492,0),8),"")</f>
        <v/>
      </c>
      <c r="J670" s="15"/>
    </row>
    <row r="671" spans="2:12" hidden="1" x14ac:dyDescent="0.2">
      <c r="B671" s="20" t="str">
        <f t="array" ref="B671">IF(ISERROR(INDEX('Eingabe Meldungen'!$C$2:$C$492,LARGE(('Eingabe Meldungen'!$A$2:$A$492=$B$656)*(ROW('Eingabe Meldungen'!$A$2:$A$492)-1),COUNTIF('Eingabe Meldungen'!$A$2:$A$492,$B$656)+1-ROW('Eingabe Meldungen'!A15)))),"",INDEX('Eingabe Meldungen'!$C$2:$C$492,LARGE(('Eingabe Meldungen'!$A$2:$A$492=$B$656)*(ROW('Eingabe Meldungen'!$A$2:$A$492)-1),COUNTIF('Eingabe Meldungen'!$A$2:$A$492,$B$656)+1-ROW('Eingabe Meldungen'!A15))))</f>
        <v/>
      </c>
      <c r="C671" t="str">
        <f t="array" ref="C671">IF(ISERROR(INDEX('Eingabe Meldungen'!$D$2:$D$492,LARGE(('Eingabe Meldungen'!$A$2:$A$492=$B$656)*(ROW('Eingabe Meldungen'!$A$2:$A$492)-1),COUNTIF('Eingabe Meldungen'!$A$2:$A$492,$B$656)+1-ROW('Eingabe Meldungen'!A15)))),"",INDEX('Eingabe Meldungen'!$D$2:$D$492,LARGE(('Eingabe Meldungen'!$A$2:$A$492=$B$656)*(ROW('Eingabe Meldungen'!$A$2:$A$492)-1),COUNTIF('Eingabe Meldungen'!$A$2:$A$492,$B$656)+1-ROW('Eingabe Meldungen'!A15))))</f>
        <v/>
      </c>
      <c r="D671" s="11" t="str">
        <f t="array" ref="D671">IF(B671&lt;&gt;"",INDEX('Eingabe Meldungen'!$C$2:$H$492,MATCH(B671&amp;C671,'Eingabe Meldungen'!$C$2:$C$492&amp;'Eingabe Meldungen'!$D$2:$D$492,0),6),"")</f>
        <v/>
      </c>
      <c r="E671" s="11" t="str">
        <f t="array" ref="E671">IF(B671&lt;&gt;"",INDEX('Eingabe Meldungen'!$C$2:$H$492,MATCH(B671&amp;C671,'Eingabe Meldungen'!$C$2:$C$492&amp;'Eingabe Meldungen'!$D$2:$D$492,0),4),"")</f>
        <v/>
      </c>
      <c r="F671" s="15">
        <v>14</v>
      </c>
      <c r="G671" s="74"/>
      <c r="H671" s="444"/>
      <c r="I671" s="21" t="str">
        <f t="array" ref="I671">IF(B671&lt;&gt;"",INDEX('Eingabe Meldungen'!$C$2:$J$492,MATCH(B671&amp;C671,'Eingabe Meldungen'!$C$2:$C$492&amp;'Eingabe Meldungen'!$D$2:$D$492,0),8),"")</f>
        <v/>
      </c>
      <c r="J671" s="15"/>
    </row>
    <row r="672" spans="2:12" hidden="1" x14ac:dyDescent="0.2">
      <c r="B672" s="20" t="str">
        <f t="array" ref="B672">IF(ISERROR(INDEX('Eingabe Meldungen'!$C$2:$C$492,LARGE(('Eingabe Meldungen'!$A$2:$A$492=$B$656)*(ROW('Eingabe Meldungen'!$A$2:$A$492)-1),COUNTIF('Eingabe Meldungen'!$A$2:$A$492,$B$656)+1-ROW('Eingabe Meldungen'!A16)))),"",INDEX('Eingabe Meldungen'!$C$2:$C$492,LARGE(('Eingabe Meldungen'!$A$2:$A$492=$B$656)*(ROW('Eingabe Meldungen'!$A$2:$A$492)-1),COUNTIF('Eingabe Meldungen'!$A$2:$A$492,$B$656)+1-ROW('Eingabe Meldungen'!A16))))</f>
        <v/>
      </c>
      <c r="C672" t="str">
        <f t="array" ref="C672">IF(ISERROR(INDEX('Eingabe Meldungen'!$D$2:$D$492,LARGE(('Eingabe Meldungen'!$A$2:$A$492=$B$656)*(ROW('Eingabe Meldungen'!$A$2:$A$492)-1),COUNTIF('Eingabe Meldungen'!$A$2:$A$492,$B$656)+1-ROW('Eingabe Meldungen'!A16)))),"",INDEX('Eingabe Meldungen'!$D$2:$D$492,LARGE(('Eingabe Meldungen'!$A$2:$A$492=$B$656)*(ROW('Eingabe Meldungen'!$A$2:$A$492)-1),COUNTIF('Eingabe Meldungen'!$A$2:$A$492,$B$656)+1-ROW('Eingabe Meldungen'!A16))))</f>
        <v/>
      </c>
      <c r="D672" s="11" t="str">
        <f t="array" ref="D672">IF(B672&lt;&gt;"",INDEX('Eingabe Meldungen'!$C$2:$H$492,MATCH(B672&amp;C672,'Eingabe Meldungen'!$C$2:$C$492&amp;'Eingabe Meldungen'!$D$2:$D$492,0),6),"")</f>
        <v/>
      </c>
      <c r="E672" s="11" t="str">
        <f t="array" ref="E672">IF(B672&lt;&gt;"",INDEX('Eingabe Meldungen'!$C$2:$H$492,MATCH(B672&amp;C672,'Eingabe Meldungen'!$C$2:$C$492&amp;'Eingabe Meldungen'!$D$2:$D$492,0),4),"")</f>
        <v/>
      </c>
      <c r="F672" s="15">
        <v>15</v>
      </c>
      <c r="G672" s="74"/>
      <c r="H672" s="444"/>
      <c r="I672" s="21" t="str">
        <f t="array" ref="I672">IF(B672&lt;&gt;"",INDEX('Eingabe Meldungen'!$C$2:$J$492,MATCH(B672&amp;C672,'Eingabe Meldungen'!$C$2:$C$492&amp;'Eingabe Meldungen'!$D$2:$D$492,0),8),"")</f>
        <v/>
      </c>
      <c r="J672" s="15"/>
    </row>
    <row r="673" spans="2:12" ht="13.2" hidden="1" thickBot="1" x14ac:dyDescent="0.25">
      <c r="B673" s="22" t="str">
        <f t="array" ref="B673">IF(ISERROR(INDEX('Eingabe Meldungen'!$C$2:$C$492,LARGE(('Eingabe Meldungen'!$A$2:$A$492=$B$656)*(ROW('Eingabe Meldungen'!$A$2:$A$492)-1),COUNTIF('Eingabe Meldungen'!$A$2:$A$492,$B$656)+1-ROW('Eingabe Meldungen'!A17)))),"",INDEX('Eingabe Meldungen'!$C$2:$C$492,LARGE(('Eingabe Meldungen'!$A$2:$A$492=$B$656)*(ROW('Eingabe Meldungen'!$A$2:$A$492)-1),COUNTIF('Eingabe Meldungen'!$A$2:$A$492,$B$656)+1-ROW('Eingabe Meldungen'!A17))))</f>
        <v/>
      </c>
      <c r="C673" s="14" t="str">
        <f t="array" ref="C673">IF(ISERROR(INDEX('Eingabe Meldungen'!$D$2:$D$492,LARGE(('Eingabe Meldungen'!$A$2:$A$492=$B$656)*(ROW('Eingabe Meldungen'!$A$2:$A$492)-1),COUNTIF('Eingabe Meldungen'!$A$2:$A$492,$B$656)+1-ROW('Eingabe Meldungen'!A17)))),"",INDEX('Eingabe Meldungen'!$D$2:$D$492,LARGE(('Eingabe Meldungen'!$A$2:$A$492=$B$656)*(ROW('Eingabe Meldungen'!$A$2:$A$492)-1),COUNTIF('Eingabe Meldungen'!$A$2:$A$492,$B$656)+1-ROW('Eingabe Meldungen'!A17))))</f>
        <v/>
      </c>
      <c r="D673" s="12" t="str">
        <f t="array" ref="D673">IF(B673&lt;&gt;"",INDEX('Eingabe Meldungen'!$C$2:$H$492,MATCH(B673&amp;C673,'Eingabe Meldungen'!$C$2:$C$492&amp;'Eingabe Meldungen'!$D$2:$D$492,0),6),"")</f>
        <v/>
      </c>
      <c r="E673" s="12" t="str">
        <f t="array" ref="E673">IF(B673&lt;&gt;"",INDEX('Eingabe Meldungen'!$C$2:$H$492,MATCH(B673&amp;C673,'Eingabe Meldungen'!$C$2:$C$492&amp;'Eingabe Meldungen'!$D$2:$D$492,0),4),"")</f>
        <v/>
      </c>
      <c r="F673" s="84">
        <v>16</v>
      </c>
      <c r="G673" s="83"/>
      <c r="H673" s="434"/>
      <c r="I673" s="23" t="str">
        <f t="array" ref="I673">IF(B673&lt;&gt;"",INDEX('Eingabe Meldungen'!$C$2:$J$492,MATCH(B673&amp;C673,'Eingabe Meldungen'!$C$2:$C$492&amp;'Eingabe Meldungen'!$D$2:$D$492,0),8),"")</f>
        <v/>
      </c>
      <c r="J673" s="84"/>
    </row>
    <row r="674" spans="2:12" hidden="1" x14ac:dyDescent="0.2"/>
    <row r="675" spans="2:12" ht="33" hidden="1" customHeight="1" x14ac:dyDescent="0.2">
      <c r="B675" s="94">
        <v>36</v>
      </c>
      <c r="C675" s="95" t="e">
        <f>VLOOKUP(B675,Ausschreibung!$B$5:$I$35,2,FALSE)</f>
        <v>#N/A</v>
      </c>
      <c r="D675" s="96" t="e">
        <f>VLOOKUP(B675,Ausschreibung!$B$5:$I$35,3,FALSE)</f>
        <v>#N/A</v>
      </c>
      <c r="E675" s="97" t="e">
        <f>VLOOKUP(B675,Ausschreibung!$B$5:$I$35,4,FALSE)</f>
        <v>#N/A</v>
      </c>
      <c r="F675" s="97" t="e">
        <f>VLOOKUP(B675,Ausschreibung!$B$5:$I$35,5,FALSE)</f>
        <v>#N/A</v>
      </c>
      <c r="G675" s="95" t="e">
        <f>VLOOKUP(B675,Ausschreibung!$B$5:$I$35,6,FALSE)</f>
        <v>#N/A</v>
      </c>
      <c r="H675" s="95" t="e">
        <f>VLOOKUP(B675,Ausschreibung!$B$5:$I$35,8,FALSE)</f>
        <v>#N/A</v>
      </c>
      <c r="I675" s="98" t="s">
        <v>31</v>
      </c>
      <c r="J675" s="95"/>
      <c r="K675" s="72">
        <f>SUM(G696:G703)</f>
        <v>0</v>
      </c>
      <c r="L675" s="72"/>
    </row>
    <row r="676" spans="2:12" hidden="1" x14ac:dyDescent="0.2">
      <c r="B676" s="19" t="s">
        <v>1</v>
      </c>
      <c r="C676" s="18" t="s">
        <v>2</v>
      </c>
      <c r="D676" s="17" t="s">
        <v>49</v>
      </c>
      <c r="E676" s="25" t="s">
        <v>16</v>
      </c>
      <c r="F676" s="17" t="s">
        <v>18</v>
      </c>
      <c r="G676" s="73" t="s">
        <v>50</v>
      </c>
      <c r="H676" s="17" t="s">
        <v>51</v>
      </c>
      <c r="I676" s="30" t="s">
        <v>17</v>
      </c>
      <c r="J676" s="17"/>
    </row>
    <row r="677" spans="2:12" hidden="1" x14ac:dyDescent="0.2">
      <c r="B677" s="67" t="str">
        <f t="array" ref="B677">IF(ISERROR(INDEX('Eingabe Meldungen'!$C$2:$C$492,LARGE(('Eingabe Meldungen'!$A$2:$A$492=$B$656)*(ROW('Eingabe Meldungen'!$A$2:$A$492)-1),COUNTIF('Eingabe Meldungen'!$A$2:$A$492,$B$656)+1-ROW('Eingabe Meldungen'!A18)))),"",INDEX('Eingabe Meldungen'!$C$2:$C$492,LARGE(('Eingabe Meldungen'!$A$2:$A$492=$B$656)*(ROW('Eingabe Meldungen'!$A$2:$A$492)-1),COUNTIF('Eingabe Meldungen'!$A$2:$A$492,$B$656)+1-ROW('Eingabe Meldungen'!A18))))</f>
        <v/>
      </c>
      <c r="C677" s="46" t="str">
        <f t="array" ref="C677">IF(ISERROR(INDEX('Eingabe Meldungen'!$D$2:$D$492,LARGE(('Eingabe Meldungen'!$A$2:$A$492=$B$656)*(ROW('Eingabe Meldungen'!$A$2:$A$492)-1),COUNTIF('Eingabe Meldungen'!$A$2:$A$492,$B$656)+1-ROW('Eingabe Meldungen'!A18)))),"",INDEX('Eingabe Meldungen'!$D$2:$D$492,LARGE(('Eingabe Meldungen'!$A$2:$A$492=$B$656)*(ROW('Eingabe Meldungen'!$A$2:$A$492)-1),COUNTIF('Eingabe Meldungen'!$A$2:$A$492,$B$656)+1-ROW('Eingabe Meldungen'!A18))))</f>
        <v/>
      </c>
      <c r="D677" s="77" t="str">
        <f t="array" ref="D677">IF(B677&lt;&gt;"",INDEX('Eingabe Meldungen'!$C$2:$H$492,MATCH(B677&amp;C677,'Eingabe Meldungen'!$C$2:$C$492&amp;'Eingabe Meldungen'!$D$2:$D$492,0),6),"")</f>
        <v/>
      </c>
      <c r="E677" s="77" t="str">
        <f t="array" ref="E677">IF(B677&lt;&gt;"",INDEX('Eingabe Meldungen'!$C$2:$H$492,MATCH(B677&amp;C677,'Eingabe Meldungen'!$C$2:$C$492&amp;'Eingabe Meldungen'!$D$2:$D$492,0),4),"")</f>
        <v/>
      </c>
      <c r="F677" s="78">
        <v>1</v>
      </c>
      <c r="G677" s="80"/>
      <c r="H677" s="433">
        <f>RANK(K656,K656:K671,1)</f>
        <v>1</v>
      </c>
      <c r="I677" s="79" t="str">
        <f t="array" ref="I677">IF(B677&lt;&gt;"",INDEX('Eingabe Meldungen'!$C$2:$J$492,MATCH(B677&amp;C677,'Eingabe Meldungen'!$C$2:$C$492&amp;'Eingabe Meldungen'!$D$2:$D$492,0),8),"")</f>
        <v/>
      </c>
      <c r="J677" s="86"/>
    </row>
    <row r="678" spans="2:12" hidden="1" x14ac:dyDescent="0.2">
      <c r="B678" s="20" t="str">
        <f t="array" ref="B678">IF(ISERROR(INDEX('Eingabe Meldungen'!$C$2:$C$492,LARGE(('Eingabe Meldungen'!$A$2:$A$492=$B$656)*(ROW('Eingabe Meldungen'!$A$2:$A$492)-1),COUNTIF('Eingabe Meldungen'!$A$2:$A$492,$B$656)+1-ROW('Eingabe Meldungen'!A19)))),"",INDEX('Eingabe Meldungen'!$C$2:$C$492,LARGE(('Eingabe Meldungen'!$A$2:$A$492=$B$656)*(ROW('Eingabe Meldungen'!$A$2:$A$492)-1),COUNTIF('Eingabe Meldungen'!$A$2:$A$492,$B$656)+1-ROW('Eingabe Meldungen'!A19))))</f>
        <v/>
      </c>
      <c r="C678" t="str">
        <f t="array" ref="C678">IF(ISERROR(INDEX('Eingabe Meldungen'!$D$2:$D$492,LARGE(('Eingabe Meldungen'!$A$2:$A$492=$B$656)*(ROW('Eingabe Meldungen'!$A$2:$A$492)-1),COUNTIF('Eingabe Meldungen'!$A$2:$A$492,$B$656)+1-ROW('Eingabe Meldungen'!A19)))),"",INDEX('Eingabe Meldungen'!$D$2:$D$492,LARGE(('Eingabe Meldungen'!$A$2:$A$492=$B$656)*(ROW('Eingabe Meldungen'!$A$2:$A$492)-1),COUNTIF('Eingabe Meldungen'!$A$2:$A$492,$B$656)+1-ROW('Eingabe Meldungen'!A19))))</f>
        <v/>
      </c>
      <c r="D678" s="11" t="str">
        <f t="array" ref="D678">IF(B678&lt;&gt;"",INDEX('Eingabe Meldungen'!$C$2:$H$492,MATCH(B678&amp;C678,'Eingabe Meldungen'!$C$2:$C$492&amp;'Eingabe Meldungen'!$D$2:$D$492,0),6),"")</f>
        <v/>
      </c>
      <c r="E678" s="11" t="str">
        <f t="array" ref="E678">IF(B678&lt;&gt;"",INDEX('Eingabe Meldungen'!$C$2:$H$492,MATCH(B678&amp;C678,'Eingabe Meldungen'!$C$2:$C$492&amp;'Eingabe Meldungen'!$D$2:$D$492,0),4),"")</f>
        <v/>
      </c>
      <c r="F678" s="15">
        <v>2</v>
      </c>
      <c r="G678" s="74"/>
      <c r="H678" s="444"/>
      <c r="I678" s="21" t="str">
        <f t="array" ref="I678">IF(B678&lt;&gt;"",INDEX('Eingabe Meldungen'!$C$2:$J$492,MATCH(B678&amp;C678,'Eingabe Meldungen'!$C$2:$C$492&amp;'Eingabe Meldungen'!$D$2:$D$492,0),8),"")</f>
        <v/>
      </c>
      <c r="J678" s="15"/>
    </row>
    <row r="679" spans="2:12" hidden="1" x14ac:dyDescent="0.2">
      <c r="B679" s="20" t="str">
        <f t="array" ref="B679">IF(ISERROR(INDEX('Eingabe Meldungen'!$C$2:$C$492,LARGE(('Eingabe Meldungen'!$A$2:$A$492=$B$656)*(ROW('Eingabe Meldungen'!$A$2:$A$492)-1),COUNTIF('Eingabe Meldungen'!$A$2:$A$492,$B$656)+1-ROW('Eingabe Meldungen'!A20)))),"",INDEX('Eingabe Meldungen'!$C$2:$C$492,LARGE(('Eingabe Meldungen'!$A$2:$A$492=$B$656)*(ROW('Eingabe Meldungen'!$A$2:$A$492)-1),COUNTIF('Eingabe Meldungen'!$A$2:$A$492,$B$656)+1-ROW('Eingabe Meldungen'!A20))))</f>
        <v/>
      </c>
      <c r="C679" t="str">
        <f t="array" ref="C679">IF(ISERROR(INDEX('Eingabe Meldungen'!$D$2:$D$492,LARGE(('Eingabe Meldungen'!$A$2:$A$492=$B$656)*(ROW('Eingabe Meldungen'!$A$2:$A$492)-1),COUNTIF('Eingabe Meldungen'!$A$2:$A$492,$B$656)+1-ROW('Eingabe Meldungen'!A20)))),"",INDEX('Eingabe Meldungen'!$D$2:$D$492,LARGE(('Eingabe Meldungen'!$A$2:$A$492=$B$656)*(ROW('Eingabe Meldungen'!$A$2:$A$492)-1),COUNTIF('Eingabe Meldungen'!$A$2:$A$492,$B$656)+1-ROW('Eingabe Meldungen'!A20))))</f>
        <v/>
      </c>
      <c r="D679" s="11" t="str">
        <f t="array" ref="D679">IF(B679&lt;&gt;"",INDEX('Eingabe Meldungen'!$C$2:$H$492,MATCH(B679&amp;C679,'Eingabe Meldungen'!$C$2:$C$492&amp;'Eingabe Meldungen'!$D$2:$D$492,0),6),"")</f>
        <v/>
      </c>
      <c r="E679" s="11" t="str">
        <f t="array" ref="E679">IF(B679&lt;&gt;"",INDEX('Eingabe Meldungen'!$C$2:$H$492,MATCH(B679&amp;C679,'Eingabe Meldungen'!$C$2:$C$492&amp;'Eingabe Meldungen'!$D$2:$D$492,0),4),"")</f>
        <v/>
      </c>
      <c r="F679" s="15">
        <v>3</v>
      </c>
      <c r="G679" s="74"/>
      <c r="H679" s="444"/>
      <c r="I679" s="21" t="str">
        <f t="array" ref="I679">IF(B679&lt;&gt;"",INDEX('Eingabe Meldungen'!$C$2:$J$492,MATCH(B679&amp;C679,'Eingabe Meldungen'!$C$2:$C$492&amp;'Eingabe Meldungen'!$D$2:$D$492,0),8),"")</f>
        <v/>
      </c>
      <c r="J679" s="15"/>
    </row>
    <row r="680" spans="2:12" hidden="1" x14ac:dyDescent="0.2">
      <c r="B680" s="20" t="str">
        <f t="array" ref="B680">IF(ISERROR(INDEX('Eingabe Meldungen'!$C$2:$C$492,LARGE(('Eingabe Meldungen'!$A$2:$A$492=$B$656)*(ROW('Eingabe Meldungen'!$A$2:$A$492)-1),COUNTIF('Eingabe Meldungen'!$A$2:$A$492,$B$656)+1-ROW('Eingabe Meldungen'!A21)))),"",INDEX('Eingabe Meldungen'!$C$2:$C$492,LARGE(('Eingabe Meldungen'!$A$2:$A$492=$B$656)*(ROW('Eingabe Meldungen'!$A$2:$A$492)-1),COUNTIF('Eingabe Meldungen'!$A$2:$A$492,$B$656)+1-ROW('Eingabe Meldungen'!A21))))</f>
        <v/>
      </c>
      <c r="C680" t="str">
        <f t="array" ref="C680">IF(ISERROR(INDEX('Eingabe Meldungen'!$D$2:$D$492,LARGE(('Eingabe Meldungen'!$A$2:$A$492=$B$656)*(ROW('Eingabe Meldungen'!$A$2:$A$492)-1),COUNTIF('Eingabe Meldungen'!$A$2:$A$492,$B$656)+1-ROW('Eingabe Meldungen'!A21)))),"",INDEX('Eingabe Meldungen'!$D$2:$D$492,LARGE(('Eingabe Meldungen'!$A$2:$A$492=$B$656)*(ROW('Eingabe Meldungen'!$A$2:$A$492)-1),COUNTIF('Eingabe Meldungen'!$A$2:$A$492,$B$656)+1-ROW('Eingabe Meldungen'!A21))))</f>
        <v/>
      </c>
      <c r="D680" s="11" t="str">
        <f t="array" ref="D680">IF(B680&lt;&gt;"",INDEX('Eingabe Meldungen'!$C$2:$H$492,MATCH(B680&amp;C680,'Eingabe Meldungen'!$C$2:$C$492&amp;'Eingabe Meldungen'!$D$2:$D$492,0),6),"")</f>
        <v/>
      </c>
      <c r="E680" s="11" t="str">
        <f t="array" ref="E680">IF(B680&lt;&gt;"",INDEX('Eingabe Meldungen'!$C$2:$H$492,MATCH(B680&amp;C680,'Eingabe Meldungen'!$C$2:$C$492&amp;'Eingabe Meldungen'!$D$2:$D$492,0),4),"")</f>
        <v/>
      </c>
      <c r="F680" s="15">
        <v>4</v>
      </c>
      <c r="G680" s="74"/>
      <c r="H680" s="444"/>
      <c r="I680" s="21" t="str">
        <f t="array" ref="I680">IF(B680&lt;&gt;"",INDEX('Eingabe Meldungen'!$C$2:$J$492,MATCH(B680&amp;C680,'Eingabe Meldungen'!$C$2:$C$492&amp;'Eingabe Meldungen'!$D$2:$D$492,0),8),"")</f>
        <v/>
      </c>
      <c r="J680" s="15"/>
    </row>
    <row r="681" spans="2:12" hidden="1" x14ac:dyDescent="0.2">
      <c r="B681" s="20" t="str">
        <f t="array" ref="B681">IF(ISERROR(INDEX('Eingabe Meldungen'!$C$2:$C$492,LARGE(('Eingabe Meldungen'!$A$2:$A$492=$B$656)*(ROW('Eingabe Meldungen'!$A$2:$A$492)-1),COUNTIF('Eingabe Meldungen'!$A$2:$A$492,$B$656)+1-ROW('Eingabe Meldungen'!A22)))),"",INDEX('Eingabe Meldungen'!$C$2:$C$492,LARGE(('Eingabe Meldungen'!$A$2:$A$492=$B$656)*(ROW('Eingabe Meldungen'!$A$2:$A$492)-1),COUNTIF('Eingabe Meldungen'!$A$2:$A$492,$B$656)+1-ROW('Eingabe Meldungen'!A22))))</f>
        <v/>
      </c>
      <c r="C681" t="str">
        <f t="array" ref="C681">IF(ISERROR(INDEX('Eingabe Meldungen'!$D$2:$D$492,LARGE(('Eingabe Meldungen'!$A$2:$A$492=$B$656)*(ROW('Eingabe Meldungen'!$A$2:$A$492)-1),COUNTIF('Eingabe Meldungen'!$A$2:$A$492,$B$656)+1-ROW('Eingabe Meldungen'!A22)))),"",INDEX('Eingabe Meldungen'!$D$2:$D$492,LARGE(('Eingabe Meldungen'!$A$2:$A$492=$B$656)*(ROW('Eingabe Meldungen'!$A$2:$A$492)-1),COUNTIF('Eingabe Meldungen'!$A$2:$A$492,$B$656)+1-ROW('Eingabe Meldungen'!A22))))</f>
        <v/>
      </c>
      <c r="D681" s="11" t="str">
        <f t="array" ref="D681">IF(B681&lt;&gt;"",INDEX('Eingabe Meldungen'!$C$2:$H$492,MATCH(B681&amp;C681,'Eingabe Meldungen'!$C$2:$C$492&amp;'Eingabe Meldungen'!$D$2:$D$492,0),6),"")</f>
        <v/>
      </c>
      <c r="E681" s="11" t="str">
        <f t="array" ref="E681">IF(B681&lt;&gt;"",INDEX('Eingabe Meldungen'!$C$2:$H$492,MATCH(B681&amp;C681,'Eingabe Meldungen'!$C$2:$C$492&amp;'Eingabe Meldungen'!$D$2:$D$492,0),4),"")</f>
        <v/>
      </c>
      <c r="F681" s="15">
        <v>5</v>
      </c>
      <c r="G681" s="74"/>
      <c r="H681" s="444"/>
      <c r="I681" s="21" t="str">
        <f t="array" ref="I681">IF(B681&lt;&gt;"",INDEX('Eingabe Meldungen'!$C$2:$J$492,MATCH(B681&amp;C681,'Eingabe Meldungen'!$C$2:$C$492&amp;'Eingabe Meldungen'!$D$2:$D$492,0),8),"")</f>
        <v/>
      </c>
      <c r="J681" s="15"/>
    </row>
    <row r="682" spans="2:12" hidden="1" x14ac:dyDescent="0.2">
      <c r="B682" s="20" t="str">
        <f t="array" ref="B682">IF(ISERROR(INDEX('Eingabe Meldungen'!$C$2:$C$492,LARGE(('Eingabe Meldungen'!$A$2:$A$492=$B$656)*(ROW('Eingabe Meldungen'!$A$2:$A$492)-1),COUNTIF('Eingabe Meldungen'!$A$2:$A$492,$B$656)+1-ROW('Eingabe Meldungen'!A23)))),"",INDEX('Eingabe Meldungen'!$C$2:$C$492,LARGE(('Eingabe Meldungen'!$A$2:$A$492=$B$656)*(ROW('Eingabe Meldungen'!$A$2:$A$492)-1),COUNTIF('Eingabe Meldungen'!$A$2:$A$492,$B$656)+1-ROW('Eingabe Meldungen'!A23))))</f>
        <v/>
      </c>
      <c r="C682" t="str">
        <f t="array" ref="C682">IF(ISERROR(INDEX('Eingabe Meldungen'!$D$2:$D$492,LARGE(('Eingabe Meldungen'!$A$2:$A$492=$B$656)*(ROW('Eingabe Meldungen'!$A$2:$A$492)-1),COUNTIF('Eingabe Meldungen'!$A$2:$A$492,$B$656)+1-ROW('Eingabe Meldungen'!A23)))),"",INDEX('Eingabe Meldungen'!$D$2:$D$492,LARGE(('Eingabe Meldungen'!$A$2:$A$492=$B$656)*(ROW('Eingabe Meldungen'!$A$2:$A$492)-1),COUNTIF('Eingabe Meldungen'!$A$2:$A$492,$B$656)+1-ROW('Eingabe Meldungen'!A23))))</f>
        <v/>
      </c>
      <c r="D682" s="11" t="str">
        <f t="array" ref="D682">IF(B682&lt;&gt;"",INDEX('Eingabe Meldungen'!$C$2:$H$492,MATCH(B682&amp;C682,'Eingabe Meldungen'!$C$2:$C$492&amp;'Eingabe Meldungen'!$D$2:$D$492,0),6),"")</f>
        <v/>
      </c>
      <c r="E682" s="11" t="str">
        <f t="array" ref="E682">IF(B682&lt;&gt;"",INDEX('Eingabe Meldungen'!$C$2:$H$492,MATCH(B682&amp;C682,'Eingabe Meldungen'!$C$2:$C$492&amp;'Eingabe Meldungen'!$D$2:$D$492,0),4),"")</f>
        <v/>
      </c>
      <c r="F682" s="15">
        <v>6</v>
      </c>
      <c r="G682" s="74"/>
      <c r="H682" s="444"/>
      <c r="I682" s="21" t="str">
        <f t="array" ref="I682">IF(B682&lt;&gt;"",INDEX('Eingabe Meldungen'!$C$2:$J$492,MATCH(B682&amp;C682,'Eingabe Meldungen'!$C$2:$C$492&amp;'Eingabe Meldungen'!$D$2:$D$492,0),8),"")</f>
        <v/>
      </c>
      <c r="J682" s="15"/>
    </row>
    <row r="683" spans="2:12" hidden="1" x14ac:dyDescent="0.2">
      <c r="B683" s="20" t="str">
        <f t="array" ref="B683">IF(ISERROR(INDEX('Eingabe Meldungen'!$C$2:$C$492,LARGE(('Eingabe Meldungen'!$A$2:$A$492=$B$656)*(ROW('Eingabe Meldungen'!$A$2:$A$492)-1),COUNTIF('Eingabe Meldungen'!$A$2:$A$492,$B$656)+1-ROW('Eingabe Meldungen'!A24)))),"",INDEX('Eingabe Meldungen'!$C$2:$C$492,LARGE(('Eingabe Meldungen'!$A$2:$A$492=$B$656)*(ROW('Eingabe Meldungen'!$A$2:$A$492)-1),COUNTIF('Eingabe Meldungen'!$A$2:$A$492,$B$656)+1-ROW('Eingabe Meldungen'!A24))))</f>
        <v/>
      </c>
      <c r="C683" t="str">
        <f t="array" ref="C683">IF(ISERROR(INDEX('Eingabe Meldungen'!$D$2:$D$492,LARGE(('Eingabe Meldungen'!$A$2:$A$492=$B$656)*(ROW('Eingabe Meldungen'!$A$2:$A$492)-1),COUNTIF('Eingabe Meldungen'!$A$2:$A$492,$B$656)+1-ROW('Eingabe Meldungen'!A24)))),"",INDEX('Eingabe Meldungen'!$D$2:$D$492,LARGE(('Eingabe Meldungen'!$A$2:$A$492=$B$656)*(ROW('Eingabe Meldungen'!$A$2:$A$492)-1),COUNTIF('Eingabe Meldungen'!$A$2:$A$492,$B$656)+1-ROW('Eingabe Meldungen'!A24))))</f>
        <v/>
      </c>
      <c r="D683" s="11" t="str">
        <f t="array" ref="D683">IF(B683&lt;&gt;"",INDEX('Eingabe Meldungen'!$C$2:$H$492,MATCH(B683&amp;C683,'Eingabe Meldungen'!$C$2:$C$492&amp;'Eingabe Meldungen'!$D$2:$D$492,0),6),"")</f>
        <v/>
      </c>
      <c r="E683" s="11" t="str">
        <f t="array" ref="E683">IF(B683&lt;&gt;"",INDEX('Eingabe Meldungen'!$C$2:$H$492,MATCH(B683&amp;C683,'Eingabe Meldungen'!$C$2:$C$492&amp;'Eingabe Meldungen'!$D$2:$D$492,0),4),"")</f>
        <v/>
      </c>
      <c r="F683" s="15">
        <v>7</v>
      </c>
      <c r="G683" s="74"/>
      <c r="H683" s="444"/>
      <c r="I683" s="21" t="str">
        <f t="array" ref="I683">IF(B683&lt;&gt;"",INDEX('Eingabe Meldungen'!$C$2:$J$492,MATCH(B683&amp;C683,'Eingabe Meldungen'!$C$2:$C$492&amp;'Eingabe Meldungen'!$D$2:$D$492,0),8),"")</f>
        <v/>
      </c>
      <c r="J683" s="15"/>
      <c r="K683" s="72">
        <f>SUM(G704:G711)</f>
        <v>0</v>
      </c>
      <c r="L683" s="72"/>
    </row>
    <row r="684" spans="2:12" ht="13.2" hidden="1" thickBot="1" x14ac:dyDescent="0.25">
      <c r="B684" s="22" t="str">
        <f t="array" ref="B684">IF(ISERROR(INDEX('Eingabe Meldungen'!$C$2:$C$492,LARGE(('Eingabe Meldungen'!$A$2:$A$492=$B$656)*(ROW('Eingabe Meldungen'!$A$2:$A$492)-1),COUNTIF('Eingabe Meldungen'!$A$2:$A$492,$B$656)+1-ROW('Eingabe Meldungen'!A25)))),"",INDEX('Eingabe Meldungen'!$C$2:$C$492,LARGE(('Eingabe Meldungen'!$A$2:$A$492=$B$656)*(ROW('Eingabe Meldungen'!$A$2:$A$492)-1),COUNTIF('Eingabe Meldungen'!$A$2:$A$492,$B$656)+1-ROW('Eingabe Meldungen'!A25))))</f>
        <v/>
      </c>
      <c r="C684" s="14" t="str">
        <f t="array" ref="C684">IF(ISERROR(INDEX('Eingabe Meldungen'!$D$2:$D$492,LARGE(('Eingabe Meldungen'!$A$2:$A$492=$B$656)*(ROW('Eingabe Meldungen'!$A$2:$A$492)-1),COUNTIF('Eingabe Meldungen'!$A$2:$A$492,$B$656)+1-ROW('Eingabe Meldungen'!A25)))),"",INDEX('Eingabe Meldungen'!$D$2:$D$492,LARGE(('Eingabe Meldungen'!$A$2:$A$492=$B$656)*(ROW('Eingabe Meldungen'!$A$2:$A$492)-1),COUNTIF('Eingabe Meldungen'!$A$2:$A$492,$B$656)+1-ROW('Eingabe Meldungen'!A25))))</f>
        <v/>
      </c>
      <c r="D684" s="12" t="str">
        <f t="array" ref="D684">IF(B684&lt;&gt;"",INDEX('Eingabe Meldungen'!$C$2:$H$492,MATCH(B684&amp;C684,'Eingabe Meldungen'!$C$2:$C$492&amp;'Eingabe Meldungen'!$D$2:$D$492,0),6),"")</f>
        <v/>
      </c>
      <c r="E684" s="12" t="str">
        <f t="array" ref="E684">IF(B684&lt;&gt;"",INDEX('Eingabe Meldungen'!$C$2:$H$492,MATCH(B684&amp;C684,'Eingabe Meldungen'!$C$2:$C$492&amp;'Eingabe Meldungen'!$D$2:$D$492,0),4),"")</f>
        <v/>
      </c>
      <c r="F684" s="84">
        <v>8</v>
      </c>
      <c r="G684" s="83"/>
      <c r="H684" s="434"/>
      <c r="I684" s="23" t="str">
        <f t="array" ref="I684">IF(B684&lt;&gt;"",INDEX('Eingabe Meldungen'!$C$2:$J$492,MATCH(B684&amp;C684,'Eingabe Meldungen'!$C$2:$C$492&amp;'Eingabe Meldungen'!$D$2:$D$492,0),8),"")</f>
        <v/>
      </c>
      <c r="J684" s="84"/>
    </row>
    <row r="685" spans="2:12" hidden="1" x14ac:dyDescent="0.2">
      <c r="B685" s="20" t="str">
        <f t="array" ref="B685">IF(ISERROR(INDEX('Eingabe Meldungen'!$C$2:$C$492,LARGE(('Eingabe Meldungen'!$A$2:$A$492=$B$656)*(ROW('Eingabe Meldungen'!$A$2:$A$492)-1),COUNTIF('Eingabe Meldungen'!$A$2:$A$492,$B$656)+1-ROW('Eingabe Meldungen'!A26)))),"",INDEX('Eingabe Meldungen'!$C$2:$C$492,LARGE(('Eingabe Meldungen'!$A$2:$A$492=$B$656)*(ROW('Eingabe Meldungen'!$A$2:$A$492)-1),COUNTIF('Eingabe Meldungen'!$A$2:$A$492,$B$656)+1-ROW('Eingabe Meldungen'!A26))))</f>
        <v/>
      </c>
      <c r="C685" t="str">
        <f t="array" ref="C685">IF(ISERROR(INDEX('Eingabe Meldungen'!$D$2:$D$492,LARGE(('Eingabe Meldungen'!$A$2:$A$492=$B$656)*(ROW('Eingabe Meldungen'!$A$2:$A$492)-1),COUNTIF('Eingabe Meldungen'!$A$2:$A$492,$B$656)+1-ROW('Eingabe Meldungen'!A26)))),"",INDEX('Eingabe Meldungen'!$D$2:$D$492,LARGE(('Eingabe Meldungen'!$A$2:$A$492=$B$656)*(ROW('Eingabe Meldungen'!$A$2:$A$492)-1),COUNTIF('Eingabe Meldungen'!$A$2:$A$492,$B$656)+1-ROW('Eingabe Meldungen'!A26))))</f>
        <v/>
      </c>
      <c r="D685" s="11" t="str">
        <f t="array" ref="D685">IF(B685&lt;&gt;"",INDEX('Eingabe Meldungen'!$C$2:$H$492,MATCH(B685&amp;C685,'Eingabe Meldungen'!$C$2:$C$492&amp;'Eingabe Meldungen'!$D$2:$D$492,0),6),"")</f>
        <v/>
      </c>
      <c r="E685" s="11" t="str">
        <f t="array" ref="E685">IF(B685&lt;&gt;"",INDEX('Eingabe Meldungen'!$C$2:$H$492,MATCH(B685&amp;C685,'Eingabe Meldungen'!$C$2:$C$492&amp;'Eingabe Meldungen'!$D$2:$D$492,0),4),"")</f>
        <v/>
      </c>
      <c r="F685" s="15">
        <v>9</v>
      </c>
      <c r="G685" s="74"/>
      <c r="H685" s="444">
        <f>RANK(K664,K656:K671,1)</f>
        <v>1</v>
      </c>
      <c r="I685" s="21" t="str">
        <f t="array" ref="I685">IF(B685&lt;&gt;"",INDEX('Eingabe Meldungen'!$C$2:$J$492,MATCH(B685&amp;C685,'Eingabe Meldungen'!$C$2:$C$492&amp;'Eingabe Meldungen'!$D$2:$D$492,0),8),"")</f>
        <v/>
      </c>
      <c r="J685" s="15"/>
    </row>
    <row r="686" spans="2:12" hidden="1" x14ac:dyDescent="0.2">
      <c r="B686" s="20" t="str">
        <f t="array" ref="B686">IF(ISERROR(INDEX('Eingabe Meldungen'!$C$2:$C$492,LARGE(('Eingabe Meldungen'!$A$2:$A$492=$B$656)*(ROW('Eingabe Meldungen'!$A$2:$A$492)-1),COUNTIF('Eingabe Meldungen'!$A$2:$A$492,$B$656)+1-ROW('Eingabe Meldungen'!A27)))),"",INDEX('Eingabe Meldungen'!$C$2:$C$492,LARGE(('Eingabe Meldungen'!$A$2:$A$492=$B$656)*(ROW('Eingabe Meldungen'!$A$2:$A$492)-1),COUNTIF('Eingabe Meldungen'!$A$2:$A$492,$B$656)+1-ROW('Eingabe Meldungen'!A27))))</f>
        <v/>
      </c>
      <c r="C686" t="str">
        <f t="array" ref="C686">IF(ISERROR(INDEX('Eingabe Meldungen'!$D$2:$D$492,LARGE(('Eingabe Meldungen'!$A$2:$A$492=$B$656)*(ROW('Eingabe Meldungen'!$A$2:$A$492)-1),COUNTIF('Eingabe Meldungen'!$A$2:$A$492,$B$656)+1-ROW('Eingabe Meldungen'!A27)))),"",INDEX('Eingabe Meldungen'!$D$2:$D$492,LARGE(('Eingabe Meldungen'!$A$2:$A$492=$B$656)*(ROW('Eingabe Meldungen'!$A$2:$A$492)-1),COUNTIF('Eingabe Meldungen'!$A$2:$A$492,$B$656)+1-ROW('Eingabe Meldungen'!A27))))</f>
        <v/>
      </c>
      <c r="D686" s="11" t="str">
        <f t="array" ref="D686">IF(B686&lt;&gt;"",INDEX('Eingabe Meldungen'!$C$2:$H$492,MATCH(B686&amp;C686,'Eingabe Meldungen'!$C$2:$C$492&amp;'Eingabe Meldungen'!$D$2:$D$492,0),6),"")</f>
        <v/>
      </c>
      <c r="E686" s="11" t="str">
        <f t="array" ref="E686">IF(B686&lt;&gt;"",INDEX('Eingabe Meldungen'!$C$2:$H$492,MATCH(B686&amp;C686,'Eingabe Meldungen'!$C$2:$C$492&amp;'Eingabe Meldungen'!$D$2:$D$492,0),4),"")</f>
        <v/>
      </c>
      <c r="F686" s="15">
        <v>10</v>
      </c>
      <c r="G686" s="74"/>
      <c r="H686" s="444"/>
      <c r="I686" s="21" t="str">
        <f t="array" ref="I686">IF(B686&lt;&gt;"",INDEX('Eingabe Meldungen'!$C$2:$J$492,MATCH(B686&amp;C686,'Eingabe Meldungen'!$C$2:$C$492&amp;'Eingabe Meldungen'!$D$2:$D$492,0),8),"")</f>
        <v/>
      </c>
      <c r="J686" s="15"/>
    </row>
    <row r="687" spans="2:12" hidden="1" x14ac:dyDescent="0.2">
      <c r="B687" s="20" t="str">
        <f t="array" ref="B687">IF(ISERROR(INDEX('Eingabe Meldungen'!$C$2:$C$492,LARGE(('Eingabe Meldungen'!$A$2:$A$492=$B$656)*(ROW('Eingabe Meldungen'!$A$2:$A$492)-1),COUNTIF('Eingabe Meldungen'!$A$2:$A$492,$B$656)+1-ROW('Eingabe Meldungen'!A28)))),"",INDEX('Eingabe Meldungen'!$C$2:$C$492,LARGE(('Eingabe Meldungen'!$A$2:$A$492=$B$656)*(ROW('Eingabe Meldungen'!$A$2:$A$492)-1),COUNTIF('Eingabe Meldungen'!$A$2:$A$492,$B$656)+1-ROW('Eingabe Meldungen'!A28))))</f>
        <v/>
      </c>
      <c r="C687" t="str">
        <f t="array" ref="C687">IF(ISERROR(INDEX('Eingabe Meldungen'!$D$2:$D$492,LARGE(('Eingabe Meldungen'!$A$2:$A$492=$B$656)*(ROW('Eingabe Meldungen'!$A$2:$A$492)-1),COUNTIF('Eingabe Meldungen'!$A$2:$A$492,$B$656)+1-ROW('Eingabe Meldungen'!A28)))),"",INDEX('Eingabe Meldungen'!$D$2:$D$492,LARGE(('Eingabe Meldungen'!$A$2:$A$492=$B$656)*(ROW('Eingabe Meldungen'!$A$2:$A$492)-1),COUNTIF('Eingabe Meldungen'!$A$2:$A$492,$B$656)+1-ROW('Eingabe Meldungen'!A28))))</f>
        <v/>
      </c>
      <c r="D687" s="11" t="str">
        <f t="array" ref="D687">IF(B687&lt;&gt;"",INDEX('Eingabe Meldungen'!$C$2:$H$492,MATCH(B687&amp;C687,'Eingabe Meldungen'!$C$2:$C$492&amp;'Eingabe Meldungen'!$D$2:$D$492,0),6),"")</f>
        <v/>
      </c>
      <c r="E687" s="11" t="str">
        <f t="array" ref="E687">IF(B687&lt;&gt;"",INDEX('Eingabe Meldungen'!$C$2:$H$492,MATCH(B687&amp;C687,'Eingabe Meldungen'!$C$2:$C$492&amp;'Eingabe Meldungen'!$D$2:$D$492,0),4),"")</f>
        <v/>
      </c>
      <c r="F687" s="15">
        <v>11</v>
      </c>
      <c r="G687" s="74"/>
      <c r="H687" s="444"/>
      <c r="I687" s="21" t="str">
        <f t="array" ref="I687">IF(B687&lt;&gt;"",INDEX('Eingabe Meldungen'!$C$2:$J$492,MATCH(B687&amp;C687,'Eingabe Meldungen'!$C$2:$C$492&amp;'Eingabe Meldungen'!$D$2:$D$492,0),8),"")</f>
        <v/>
      </c>
      <c r="J687" s="15"/>
    </row>
    <row r="688" spans="2:12" hidden="1" x14ac:dyDescent="0.2">
      <c r="B688" s="20" t="str">
        <f t="array" ref="B688">IF(ISERROR(INDEX('Eingabe Meldungen'!$C$2:$C$492,LARGE(('Eingabe Meldungen'!$A$2:$A$492=$B$656)*(ROW('Eingabe Meldungen'!$A$2:$A$492)-1),COUNTIF('Eingabe Meldungen'!$A$2:$A$492,$B$656)+1-ROW('Eingabe Meldungen'!A29)))),"",INDEX('Eingabe Meldungen'!$C$2:$C$492,LARGE(('Eingabe Meldungen'!$A$2:$A$492=$B$656)*(ROW('Eingabe Meldungen'!$A$2:$A$492)-1),COUNTIF('Eingabe Meldungen'!$A$2:$A$492,$B$656)+1-ROW('Eingabe Meldungen'!A29))))</f>
        <v/>
      </c>
      <c r="C688" t="str">
        <f t="array" ref="C688">IF(ISERROR(INDEX('Eingabe Meldungen'!$D$2:$D$492,LARGE(('Eingabe Meldungen'!$A$2:$A$492=$B$656)*(ROW('Eingabe Meldungen'!$A$2:$A$492)-1),COUNTIF('Eingabe Meldungen'!$A$2:$A$492,$B$656)+1-ROW('Eingabe Meldungen'!A29)))),"",INDEX('Eingabe Meldungen'!$D$2:$D$492,LARGE(('Eingabe Meldungen'!$A$2:$A$492=$B$656)*(ROW('Eingabe Meldungen'!$A$2:$A$492)-1),COUNTIF('Eingabe Meldungen'!$A$2:$A$492,$B$656)+1-ROW('Eingabe Meldungen'!A29))))</f>
        <v/>
      </c>
      <c r="D688" s="11" t="str">
        <f t="array" ref="D688">IF(B688&lt;&gt;"",INDEX('Eingabe Meldungen'!$C$2:$H$492,MATCH(B688&amp;C688,'Eingabe Meldungen'!$C$2:$C$492&amp;'Eingabe Meldungen'!$D$2:$D$492,0),6),"")</f>
        <v/>
      </c>
      <c r="E688" s="11" t="str">
        <f t="array" ref="E688">IF(B688&lt;&gt;"",INDEX('Eingabe Meldungen'!$C$2:$H$492,MATCH(B688&amp;C688,'Eingabe Meldungen'!$C$2:$C$492&amp;'Eingabe Meldungen'!$D$2:$D$492,0),4),"")</f>
        <v/>
      </c>
      <c r="F688" s="15">
        <v>12</v>
      </c>
      <c r="G688" s="74"/>
      <c r="H688" s="444"/>
      <c r="I688" s="21" t="str">
        <f t="array" ref="I688">IF(B688&lt;&gt;"",INDEX('Eingabe Meldungen'!$C$2:$J$492,MATCH(B688&amp;C688,'Eingabe Meldungen'!$C$2:$C$492&amp;'Eingabe Meldungen'!$D$2:$D$492,0),8),"")</f>
        <v/>
      </c>
      <c r="J688" s="15"/>
    </row>
    <row r="689" spans="2:12" hidden="1" x14ac:dyDescent="0.2">
      <c r="B689" s="20" t="str">
        <f t="array" ref="B689">IF(ISERROR(INDEX('Eingabe Meldungen'!$C$2:$C$492,LARGE(('Eingabe Meldungen'!$A$2:$A$492=$B$656)*(ROW('Eingabe Meldungen'!$A$2:$A$492)-1),COUNTIF('Eingabe Meldungen'!$A$2:$A$492,$B$656)+1-ROW('Eingabe Meldungen'!#REF!)))),"",INDEX('Eingabe Meldungen'!$C$2:$C$492,LARGE(('Eingabe Meldungen'!$A$2:$A$492=$B$656)*(ROW('Eingabe Meldungen'!$A$2:$A$492)-1),COUNTIF('Eingabe Meldungen'!$A$2:$A$492,$B$656)+1-ROW('Eingabe Meldungen'!#REF!))))</f>
        <v/>
      </c>
      <c r="C689" t="str">
        <f t="array" ref="C689">IF(ISERROR(INDEX('Eingabe Meldungen'!$D$2:$D$492,LARGE(('Eingabe Meldungen'!$A$2:$A$492=$B$656)*(ROW('Eingabe Meldungen'!$A$2:$A$492)-1),COUNTIF('Eingabe Meldungen'!$A$2:$A$492,$B$656)+1-ROW('Eingabe Meldungen'!#REF!)))),"",INDEX('Eingabe Meldungen'!$D$2:$D$492,LARGE(('Eingabe Meldungen'!$A$2:$A$492=$B$656)*(ROW('Eingabe Meldungen'!$A$2:$A$492)-1),COUNTIF('Eingabe Meldungen'!$A$2:$A$492,$B$656)+1-ROW('Eingabe Meldungen'!#REF!))))</f>
        <v/>
      </c>
      <c r="D689" s="11" t="str">
        <f t="array" ref="D689">IF(B689&lt;&gt;"",INDEX('Eingabe Meldungen'!$C$2:$H$492,MATCH(B689&amp;C689,'Eingabe Meldungen'!$C$2:$C$492&amp;'Eingabe Meldungen'!$D$2:$D$492,0),6),"")</f>
        <v/>
      </c>
      <c r="E689" s="11" t="str">
        <f t="array" ref="E689">IF(B689&lt;&gt;"",INDEX('Eingabe Meldungen'!$C$2:$H$492,MATCH(B689&amp;C689,'Eingabe Meldungen'!$C$2:$C$492&amp;'Eingabe Meldungen'!$D$2:$D$492,0),4),"")</f>
        <v/>
      </c>
      <c r="F689" s="15">
        <v>13</v>
      </c>
      <c r="G689" s="74"/>
      <c r="H689" s="444"/>
      <c r="I689" s="21" t="str">
        <f t="array" ref="I689">IF(B689&lt;&gt;"",INDEX('Eingabe Meldungen'!$C$2:$J$492,MATCH(B689&amp;C689,'Eingabe Meldungen'!$C$2:$C$492&amp;'Eingabe Meldungen'!$D$2:$D$492,0),8),"")</f>
        <v/>
      </c>
      <c r="J689" s="15"/>
    </row>
    <row r="690" spans="2:12" hidden="1" x14ac:dyDescent="0.2">
      <c r="B690" s="20" t="str">
        <f t="array" ref="B690">IF(ISERROR(INDEX('Eingabe Meldungen'!$C$2:$C$492,LARGE(('Eingabe Meldungen'!$A$2:$A$492=$B$656)*(ROW('Eingabe Meldungen'!$A$2:$A$492)-1),COUNTIF('Eingabe Meldungen'!$A$2:$A$492,$B$656)+1-ROW('Eingabe Meldungen'!A30)))),"",INDEX('Eingabe Meldungen'!$C$2:$C$492,LARGE(('Eingabe Meldungen'!$A$2:$A$492=$B$656)*(ROW('Eingabe Meldungen'!$A$2:$A$492)-1),COUNTIF('Eingabe Meldungen'!$A$2:$A$492,$B$656)+1-ROW('Eingabe Meldungen'!A30))))</f>
        <v/>
      </c>
      <c r="C690" t="str">
        <f t="array" ref="C690">IF(ISERROR(INDEX('Eingabe Meldungen'!$D$2:$D$492,LARGE(('Eingabe Meldungen'!$A$2:$A$492=$B$656)*(ROW('Eingabe Meldungen'!$A$2:$A$492)-1),COUNTIF('Eingabe Meldungen'!$A$2:$A$492,$B$656)+1-ROW('Eingabe Meldungen'!A30)))),"",INDEX('Eingabe Meldungen'!$D$2:$D$492,LARGE(('Eingabe Meldungen'!$A$2:$A$492=$B$656)*(ROW('Eingabe Meldungen'!$A$2:$A$492)-1),COUNTIF('Eingabe Meldungen'!$A$2:$A$492,$B$656)+1-ROW('Eingabe Meldungen'!A30))))</f>
        <v/>
      </c>
      <c r="D690" s="11" t="str">
        <f t="array" ref="D690">IF(B690&lt;&gt;"",INDEX('Eingabe Meldungen'!$C$2:$H$492,MATCH(B690&amp;C690,'Eingabe Meldungen'!$C$2:$C$492&amp;'Eingabe Meldungen'!$D$2:$D$492,0),6),"")</f>
        <v/>
      </c>
      <c r="E690" s="11" t="str">
        <f t="array" ref="E690">IF(B690&lt;&gt;"",INDEX('Eingabe Meldungen'!$C$2:$H$492,MATCH(B690&amp;C690,'Eingabe Meldungen'!$C$2:$C$492&amp;'Eingabe Meldungen'!$D$2:$D$492,0),4),"")</f>
        <v/>
      </c>
      <c r="F690" s="15">
        <v>14</v>
      </c>
      <c r="G690" s="74"/>
      <c r="H690" s="444"/>
      <c r="I690" s="21" t="str">
        <f t="array" ref="I690">IF(B690&lt;&gt;"",INDEX('Eingabe Meldungen'!$C$2:$J$492,MATCH(B690&amp;C690,'Eingabe Meldungen'!$C$2:$C$492&amp;'Eingabe Meldungen'!$D$2:$D$492,0),8),"")</f>
        <v/>
      </c>
      <c r="J690" s="15"/>
    </row>
    <row r="691" spans="2:12" hidden="1" x14ac:dyDescent="0.2">
      <c r="B691" s="20" t="str">
        <f t="array" ref="B691">IF(ISERROR(INDEX('Eingabe Meldungen'!$C$2:$C$492,LARGE(('Eingabe Meldungen'!$A$2:$A$492=$B$656)*(ROW('Eingabe Meldungen'!$A$2:$A$492)-1),COUNTIF('Eingabe Meldungen'!$A$2:$A$492,$B$656)+1-ROW('Eingabe Meldungen'!#REF!)))),"",INDEX('Eingabe Meldungen'!$C$2:$C$492,LARGE(('Eingabe Meldungen'!$A$2:$A$492=$B$656)*(ROW('Eingabe Meldungen'!$A$2:$A$492)-1),COUNTIF('Eingabe Meldungen'!$A$2:$A$492,$B$656)+1-ROW('Eingabe Meldungen'!#REF!))))</f>
        <v/>
      </c>
      <c r="C691" t="str">
        <f t="array" ref="C691">IF(ISERROR(INDEX('Eingabe Meldungen'!$D$2:$D$492,LARGE(('Eingabe Meldungen'!$A$2:$A$492=$B$656)*(ROW('Eingabe Meldungen'!$A$2:$A$492)-1),COUNTIF('Eingabe Meldungen'!$A$2:$A$492,$B$656)+1-ROW('Eingabe Meldungen'!#REF!)))),"",INDEX('Eingabe Meldungen'!$D$2:$D$492,LARGE(('Eingabe Meldungen'!$A$2:$A$492=$B$656)*(ROW('Eingabe Meldungen'!$A$2:$A$492)-1),COUNTIF('Eingabe Meldungen'!$A$2:$A$492,$B$656)+1-ROW('Eingabe Meldungen'!#REF!))))</f>
        <v/>
      </c>
      <c r="D691" s="11" t="str">
        <f t="array" ref="D691">IF(B691&lt;&gt;"",INDEX('Eingabe Meldungen'!$C$2:$H$492,MATCH(B691&amp;C691,'Eingabe Meldungen'!$C$2:$C$492&amp;'Eingabe Meldungen'!$D$2:$D$492,0),6),"")</f>
        <v/>
      </c>
      <c r="E691" s="11" t="str">
        <f t="array" ref="E691">IF(B691&lt;&gt;"",INDEX('Eingabe Meldungen'!$C$2:$H$492,MATCH(B691&amp;C691,'Eingabe Meldungen'!$C$2:$C$492&amp;'Eingabe Meldungen'!$D$2:$D$492,0),4),"")</f>
        <v/>
      </c>
      <c r="F691" s="15">
        <v>15</v>
      </c>
      <c r="G691" s="74"/>
      <c r="H691" s="444"/>
      <c r="I691" s="21" t="str">
        <f t="array" ref="I691">IF(B691&lt;&gt;"",INDEX('Eingabe Meldungen'!$C$2:$J$492,MATCH(B691&amp;C691,'Eingabe Meldungen'!$C$2:$C$492&amp;'Eingabe Meldungen'!$D$2:$D$492,0),8),"")</f>
        <v/>
      </c>
      <c r="J691" s="15"/>
    </row>
    <row r="692" spans="2:12" ht="13.2" hidden="1" thickBot="1" x14ac:dyDescent="0.25">
      <c r="B692" s="22" t="str">
        <f t="array" ref="B692">IF(ISERROR(INDEX('Eingabe Meldungen'!$C$2:$C$492,LARGE(('Eingabe Meldungen'!$A$2:$A$492=$B$656)*(ROW('Eingabe Meldungen'!$A$2:$A$492)-1),COUNTIF('Eingabe Meldungen'!$A$2:$A$492,$B$656)+1-ROW('Eingabe Meldungen'!#REF!)))),"",INDEX('Eingabe Meldungen'!$C$2:$C$492,LARGE(('Eingabe Meldungen'!$A$2:$A$492=$B$656)*(ROW('Eingabe Meldungen'!$A$2:$A$492)-1),COUNTIF('Eingabe Meldungen'!$A$2:$A$492,$B$656)+1-ROW('Eingabe Meldungen'!#REF!))))</f>
        <v/>
      </c>
      <c r="C692" s="14" t="str">
        <f t="array" ref="C692">IF(ISERROR(INDEX('Eingabe Meldungen'!$D$2:$D$492,LARGE(('Eingabe Meldungen'!$A$2:$A$492=$B$656)*(ROW('Eingabe Meldungen'!$A$2:$A$492)-1),COUNTIF('Eingabe Meldungen'!$A$2:$A$492,$B$656)+1-ROW('Eingabe Meldungen'!#REF!)))),"",INDEX('Eingabe Meldungen'!$D$2:$D$492,LARGE(('Eingabe Meldungen'!$A$2:$A$492=$B$656)*(ROW('Eingabe Meldungen'!$A$2:$A$492)-1),COUNTIF('Eingabe Meldungen'!$A$2:$A$492,$B$656)+1-ROW('Eingabe Meldungen'!#REF!))))</f>
        <v/>
      </c>
      <c r="D692" s="12" t="str">
        <f t="array" ref="D692">IF(B692&lt;&gt;"",INDEX('Eingabe Meldungen'!$C$2:$H$492,MATCH(B692&amp;C692,'Eingabe Meldungen'!$C$2:$C$492&amp;'Eingabe Meldungen'!$D$2:$D$492,0),6),"")</f>
        <v/>
      </c>
      <c r="E692" s="12" t="str">
        <f t="array" ref="E692">IF(B692&lt;&gt;"",INDEX('Eingabe Meldungen'!$C$2:$H$492,MATCH(B692&amp;C692,'Eingabe Meldungen'!$C$2:$C$492&amp;'Eingabe Meldungen'!$D$2:$D$492,0),4),"")</f>
        <v/>
      </c>
      <c r="F692" s="84">
        <v>16</v>
      </c>
      <c r="G692" s="83"/>
      <c r="H692" s="434"/>
      <c r="I692" s="23" t="str">
        <f t="array" ref="I692">IF(B692&lt;&gt;"",INDEX('Eingabe Meldungen'!$C$2:$J$492,MATCH(B692&amp;C692,'Eingabe Meldungen'!$C$2:$C$492&amp;'Eingabe Meldungen'!$D$2:$D$492,0),8),"")</f>
        <v/>
      </c>
      <c r="J692" s="84"/>
    </row>
    <row r="693" spans="2:12" hidden="1" x14ac:dyDescent="0.2"/>
    <row r="694" spans="2:12" hidden="1" x14ac:dyDescent="0.2">
      <c r="B694" s="94">
        <v>36</v>
      </c>
      <c r="C694" s="95" t="e">
        <f>VLOOKUP(B694,Ausschreibung!$B$5:$I$35,2,FALSE)</f>
        <v>#N/A</v>
      </c>
      <c r="D694" s="96" t="e">
        <f>VLOOKUP(B694,Ausschreibung!$B$5:$I$35,3,FALSE)</f>
        <v>#N/A</v>
      </c>
      <c r="E694" s="97" t="e">
        <f>VLOOKUP(B694,Ausschreibung!$B$5:$I$35,4,FALSE)</f>
        <v>#N/A</v>
      </c>
      <c r="F694" s="97" t="e">
        <f>VLOOKUP(B694,Ausschreibung!$B$5:$I$35,5,FALSE)</f>
        <v>#N/A</v>
      </c>
      <c r="G694" s="95" t="e">
        <f>VLOOKUP(B694,Ausschreibung!$B$5:$I$35,6,FALSE)</f>
        <v>#N/A</v>
      </c>
      <c r="H694" s="95" t="e">
        <f>VLOOKUP(B694,Ausschreibung!$B$5:$I$35,8,FALSE)</f>
        <v>#N/A</v>
      </c>
      <c r="I694" s="98" t="s">
        <v>52</v>
      </c>
      <c r="J694" s="95"/>
      <c r="K694" s="72">
        <f>SUM(G715:G722)</f>
        <v>0</v>
      </c>
      <c r="L694" s="72"/>
    </row>
    <row r="695" spans="2:12" hidden="1" x14ac:dyDescent="0.2">
      <c r="B695" s="19" t="s">
        <v>1</v>
      </c>
      <c r="C695" s="18" t="s">
        <v>2</v>
      </c>
      <c r="D695" s="17" t="s">
        <v>49</v>
      </c>
      <c r="E695" s="25" t="s">
        <v>16</v>
      </c>
      <c r="F695" s="17" t="s">
        <v>18</v>
      </c>
      <c r="G695" s="73" t="s">
        <v>50</v>
      </c>
      <c r="H695" s="17" t="s">
        <v>51</v>
      </c>
      <c r="I695" s="30" t="s">
        <v>17</v>
      </c>
      <c r="J695" s="17"/>
    </row>
    <row r="696" spans="2:12" hidden="1" x14ac:dyDescent="0.2">
      <c r="B696" s="67" t="str">
        <f t="array" ref="B696">IF(ISERROR(INDEX('Eingabe Meldungen'!$C$2:$C$492,LARGE(('Eingabe Meldungen'!$A$2:$A$492=$B$656)*(ROW('Eingabe Meldungen'!$A$2:$A$492)-1),COUNTIF('Eingabe Meldungen'!$A$2:$A$492,$B$656)+1-ROW('Eingabe Meldungen'!#REF!)))),"",INDEX('Eingabe Meldungen'!$C$2:$C$492,LARGE(('Eingabe Meldungen'!$A$2:$A$492=$B$656)*(ROW('Eingabe Meldungen'!$A$2:$A$492)-1),COUNTIF('Eingabe Meldungen'!$A$2:$A$492,$B$656)+1-ROW('Eingabe Meldungen'!#REF!))))</f>
        <v/>
      </c>
      <c r="C696" s="46" t="str">
        <f t="array" ref="C696">IF(ISERROR(INDEX('Eingabe Meldungen'!$D$2:$D$492,LARGE(('Eingabe Meldungen'!$A$2:$A$492=$B$656)*(ROW('Eingabe Meldungen'!$A$2:$A$492)-1),COUNTIF('Eingabe Meldungen'!$A$2:$A$492,$B$656)+1-ROW('Eingabe Meldungen'!#REF!)))),"",INDEX('Eingabe Meldungen'!$D$2:$D$492,LARGE(('Eingabe Meldungen'!$A$2:$A$492=$B$656)*(ROW('Eingabe Meldungen'!$A$2:$A$492)-1),COUNTIF('Eingabe Meldungen'!$A$2:$A$492,$B$656)+1-ROW('Eingabe Meldungen'!#REF!))))</f>
        <v/>
      </c>
      <c r="D696" s="77" t="str">
        <f t="array" ref="D696">IF(B696&lt;&gt;"",INDEX('Eingabe Meldungen'!$C$2:$H$492,MATCH(B696&amp;C696,'Eingabe Meldungen'!$C$2:$C$492&amp;'Eingabe Meldungen'!$D$2:$D$492,0),6),"")</f>
        <v/>
      </c>
      <c r="E696" s="77" t="str">
        <f t="array" ref="E696">IF(B696&lt;&gt;"",INDEX('Eingabe Meldungen'!$C$2:$H$492,MATCH(B696&amp;C696,'Eingabe Meldungen'!$C$2:$C$492&amp;'Eingabe Meldungen'!$D$2:$D$492,0),4),"")</f>
        <v/>
      </c>
      <c r="F696" s="78">
        <v>1</v>
      </c>
      <c r="G696" s="80"/>
      <c r="H696" s="433">
        <f>RANK(K675,K675:K690,1)</f>
        <v>1</v>
      </c>
      <c r="I696" s="79" t="str">
        <f t="array" ref="I696">IF(B696&lt;&gt;"",INDEX('Eingabe Meldungen'!$C$2:$J$492,MATCH(B696&amp;C696,'Eingabe Meldungen'!$C$2:$C$492&amp;'Eingabe Meldungen'!$D$2:$D$492,0),8),"")</f>
        <v/>
      </c>
      <c r="J696" s="86"/>
    </row>
    <row r="697" spans="2:12" hidden="1" x14ac:dyDescent="0.2">
      <c r="B697" s="20" t="str">
        <f t="array" ref="B697">IF(ISERROR(INDEX('Eingabe Meldungen'!$C$2:$C$492,LARGE(('Eingabe Meldungen'!$A$2:$A$492=$B$656)*(ROW('Eingabe Meldungen'!$A$2:$A$492)-1),COUNTIF('Eingabe Meldungen'!$A$2:$A$492,$B$656)+1-ROW('Eingabe Meldungen'!#REF!)))),"",INDEX('Eingabe Meldungen'!$C$2:$C$492,LARGE(('Eingabe Meldungen'!$A$2:$A$492=$B$656)*(ROW('Eingabe Meldungen'!$A$2:$A$492)-1),COUNTIF('Eingabe Meldungen'!$A$2:$A$492,$B$656)+1-ROW('Eingabe Meldungen'!#REF!))))</f>
        <v/>
      </c>
      <c r="C697" t="str">
        <f t="array" ref="C697">IF(ISERROR(INDEX('Eingabe Meldungen'!$D$2:$D$492,LARGE(('Eingabe Meldungen'!$A$2:$A$492=$B$656)*(ROW('Eingabe Meldungen'!$A$2:$A$492)-1),COUNTIF('Eingabe Meldungen'!$A$2:$A$492,$B$656)+1-ROW('Eingabe Meldungen'!#REF!)))),"",INDEX('Eingabe Meldungen'!$D$2:$D$492,LARGE(('Eingabe Meldungen'!$A$2:$A$492=$B$656)*(ROW('Eingabe Meldungen'!$A$2:$A$492)-1),COUNTIF('Eingabe Meldungen'!$A$2:$A$492,$B$656)+1-ROW('Eingabe Meldungen'!#REF!))))</f>
        <v/>
      </c>
      <c r="D697" s="11" t="str">
        <f t="array" ref="D697">IF(B697&lt;&gt;"",INDEX('Eingabe Meldungen'!$C$2:$H$492,MATCH(B697&amp;C697,'Eingabe Meldungen'!$C$2:$C$492&amp;'Eingabe Meldungen'!$D$2:$D$492,0),6),"")</f>
        <v/>
      </c>
      <c r="E697" s="11" t="str">
        <f t="array" ref="E697">IF(B697&lt;&gt;"",INDEX('Eingabe Meldungen'!$C$2:$H$492,MATCH(B697&amp;C697,'Eingabe Meldungen'!$C$2:$C$492&amp;'Eingabe Meldungen'!$D$2:$D$492,0),4),"")</f>
        <v/>
      </c>
      <c r="F697" s="15">
        <v>2</v>
      </c>
      <c r="G697" s="74"/>
      <c r="H697" s="444"/>
      <c r="I697" s="21" t="str">
        <f t="array" ref="I697">IF(B697&lt;&gt;"",INDEX('Eingabe Meldungen'!$C$2:$J$492,MATCH(B697&amp;C697,'Eingabe Meldungen'!$C$2:$C$492&amp;'Eingabe Meldungen'!$D$2:$D$492,0),8),"")</f>
        <v/>
      </c>
      <c r="J697" s="15"/>
    </row>
    <row r="698" spans="2:12" hidden="1" x14ac:dyDescent="0.2">
      <c r="B698" s="20" t="str">
        <f t="array" ref="B698">IF(ISERROR(INDEX('Eingabe Meldungen'!$C$2:$C$492,LARGE(('Eingabe Meldungen'!$A$2:$A$492=$B$656)*(ROW('Eingabe Meldungen'!$A$2:$A$492)-1),COUNTIF('Eingabe Meldungen'!$A$2:$A$492,$B$656)+1-ROW('Eingabe Meldungen'!A31)))),"",INDEX('Eingabe Meldungen'!$C$2:$C$492,LARGE(('Eingabe Meldungen'!$A$2:$A$492=$B$656)*(ROW('Eingabe Meldungen'!$A$2:$A$492)-1),COUNTIF('Eingabe Meldungen'!$A$2:$A$492,$B$656)+1-ROW('Eingabe Meldungen'!A31))))</f>
        <v/>
      </c>
      <c r="C698" t="str">
        <f t="array" ref="C698">IF(ISERROR(INDEX('Eingabe Meldungen'!$D$2:$D$492,LARGE(('Eingabe Meldungen'!$A$2:$A$492=$B$656)*(ROW('Eingabe Meldungen'!$A$2:$A$492)-1),COUNTIF('Eingabe Meldungen'!$A$2:$A$492,$B$656)+1-ROW('Eingabe Meldungen'!A31)))),"",INDEX('Eingabe Meldungen'!$D$2:$D$492,LARGE(('Eingabe Meldungen'!$A$2:$A$492=$B$656)*(ROW('Eingabe Meldungen'!$A$2:$A$492)-1),COUNTIF('Eingabe Meldungen'!$A$2:$A$492,$B$656)+1-ROW('Eingabe Meldungen'!A31))))</f>
        <v/>
      </c>
      <c r="D698" s="11" t="str">
        <f t="array" ref="D698">IF(B698&lt;&gt;"",INDEX('Eingabe Meldungen'!$C$2:$H$492,MATCH(B698&amp;C698,'Eingabe Meldungen'!$C$2:$C$492&amp;'Eingabe Meldungen'!$D$2:$D$492,0),6),"")</f>
        <v/>
      </c>
      <c r="E698" s="11" t="str">
        <f t="array" ref="E698">IF(B698&lt;&gt;"",INDEX('Eingabe Meldungen'!$C$2:$H$492,MATCH(B698&amp;C698,'Eingabe Meldungen'!$C$2:$C$492&amp;'Eingabe Meldungen'!$D$2:$D$492,0),4),"")</f>
        <v/>
      </c>
      <c r="F698" s="15">
        <v>3</v>
      </c>
      <c r="G698" s="74"/>
      <c r="H698" s="444"/>
      <c r="I698" s="21" t="str">
        <f t="array" ref="I698">IF(B698&lt;&gt;"",INDEX('Eingabe Meldungen'!$C$2:$J$492,MATCH(B698&amp;C698,'Eingabe Meldungen'!$C$2:$C$492&amp;'Eingabe Meldungen'!$D$2:$D$492,0),8),"")</f>
        <v/>
      </c>
      <c r="J698" s="15"/>
    </row>
    <row r="699" spans="2:12" hidden="1" x14ac:dyDescent="0.2">
      <c r="B699" s="20" t="str">
        <f t="array" ref="B699">IF(ISERROR(INDEX('Eingabe Meldungen'!$C$2:$C$492,LARGE(('Eingabe Meldungen'!$A$2:$A$492=$B$656)*(ROW('Eingabe Meldungen'!$A$2:$A$492)-1),COUNTIF('Eingabe Meldungen'!$A$2:$A$492,$B$656)+1-ROW('Eingabe Meldungen'!A32)))),"",INDEX('Eingabe Meldungen'!$C$2:$C$492,LARGE(('Eingabe Meldungen'!$A$2:$A$492=$B$656)*(ROW('Eingabe Meldungen'!$A$2:$A$492)-1),COUNTIF('Eingabe Meldungen'!$A$2:$A$492,$B$656)+1-ROW('Eingabe Meldungen'!A32))))</f>
        <v/>
      </c>
      <c r="C699" t="str">
        <f t="array" ref="C699">IF(ISERROR(INDEX('Eingabe Meldungen'!$D$2:$D$492,LARGE(('Eingabe Meldungen'!$A$2:$A$492=$B$656)*(ROW('Eingabe Meldungen'!$A$2:$A$492)-1),COUNTIF('Eingabe Meldungen'!$A$2:$A$492,$B$656)+1-ROW('Eingabe Meldungen'!A32)))),"",INDEX('Eingabe Meldungen'!$D$2:$D$492,LARGE(('Eingabe Meldungen'!$A$2:$A$492=$B$656)*(ROW('Eingabe Meldungen'!$A$2:$A$492)-1),COUNTIF('Eingabe Meldungen'!$A$2:$A$492,$B$656)+1-ROW('Eingabe Meldungen'!A32))))</f>
        <v/>
      </c>
      <c r="D699" s="11" t="str">
        <f t="array" ref="D699">IF(B699&lt;&gt;"",INDEX('Eingabe Meldungen'!$C$2:$H$492,MATCH(B699&amp;C699,'Eingabe Meldungen'!$C$2:$C$492&amp;'Eingabe Meldungen'!$D$2:$D$492,0),6),"")</f>
        <v/>
      </c>
      <c r="E699" s="11" t="str">
        <f t="array" ref="E699">IF(B699&lt;&gt;"",INDEX('Eingabe Meldungen'!$C$2:$H$492,MATCH(B699&amp;C699,'Eingabe Meldungen'!$C$2:$C$492&amp;'Eingabe Meldungen'!$D$2:$D$492,0),4),"")</f>
        <v/>
      </c>
      <c r="F699" s="15">
        <v>4</v>
      </c>
      <c r="G699" s="74"/>
      <c r="H699" s="444"/>
      <c r="I699" s="21" t="str">
        <f t="array" ref="I699">IF(B699&lt;&gt;"",INDEX('Eingabe Meldungen'!$C$2:$J$492,MATCH(B699&amp;C699,'Eingabe Meldungen'!$C$2:$C$492&amp;'Eingabe Meldungen'!$D$2:$D$492,0),8),"")</f>
        <v/>
      </c>
      <c r="J699" s="15"/>
    </row>
    <row r="700" spans="2:12" hidden="1" x14ac:dyDescent="0.2">
      <c r="B700" s="20" t="str">
        <f t="array" ref="B700">IF(ISERROR(INDEX('Eingabe Meldungen'!$C$2:$C$492,LARGE(('Eingabe Meldungen'!$A$2:$A$492=$B$656)*(ROW('Eingabe Meldungen'!$A$2:$A$492)-1),COUNTIF('Eingabe Meldungen'!$A$2:$A$492,$B$656)+1-ROW('Eingabe Meldungen'!#REF!)))),"",INDEX('Eingabe Meldungen'!$C$2:$C$492,LARGE(('Eingabe Meldungen'!$A$2:$A$492=$B$656)*(ROW('Eingabe Meldungen'!$A$2:$A$492)-1),COUNTIF('Eingabe Meldungen'!$A$2:$A$492,$B$656)+1-ROW('Eingabe Meldungen'!#REF!))))</f>
        <v/>
      </c>
      <c r="C700" t="str">
        <f t="array" ref="C700">IF(ISERROR(INDEX('Eingabe Meldungen'!$D$2:$D$492,LARGE(('Eingabe Meldungen'!$A$2:$A$492=$B$656)*(ROW('Eingabe Meldungen'!$A$2:$A$492)-1),COUNTIF('Eingabe Meldungen'!$A$2:$A$492,$B$656)+1-ROW('Eingabe Meldungen'!#REF!)))),"",INDEX('Eingabe Meldungen'!$D$2:$D$492,LARGE(('Eingabe Meldungen'!$A$2:$A$492=$B$656)*(ROW('Eingabe Meldungen'!$A$2:$A$492)-1),COUNTIF('Eingabe Meldungen'!$A$2:$A$492,$B$656)+1-ROW('Eingabe Meldungen'!#REF!))))</f>
        <v/>
      </c>
      <c r="D700" s="11" t="str">
        <f t="array" ref="D700">IF(B700&lt;&gt;"",INDEX('Eingabe Meldungen'!$C$2:$H$492,MATCH(B700&amp;C700,'Eingabe Meldungen'!$C$2:$C$492&amp;'Eingabe Meldungen'!$D$2:$D$492,0),6),"")</f>
        <v/>
      </c>
      <c r="E700" s="11" t="str">
        <f t="array" ref="E700">IF(B700&lt;&gt;"",INDEX('Eingabe Meldungen'!$C$2:$H$492,MATCH(B700&amp;C700,'Eingabe Meldungen'!$C$2:$C$492&amp;'Eingabe Meldungen'!$D$2:$D$492,0),4),"")</f>
        <v/>
      </c>
      <c r="F700" s="15">
        <v>5</v>
      </c>
      <c r="G700" s="74"/>
      <c r="H700" s="444"/>
      <c r="I700" s="21" t="str">
        <f t="array" ref="I700">IF(B700&lt;&gt;"",INDEX('Eingabe Meldungen'!$C$2:$J$492,MATCH(B700&amp;C700,'Eingabe Meldungen'!$C$2:$C$492&amp;'Eingabe Meldungen'!$D$2:$D$492,0),8),"")</f>
        <v/>
      </c>
      <c r="J700" s="15"/>
    </row>
    <row r="701" spans="2:12" hidden="1" x14ac:dyDescent="0.2">
      <c r="B701" s="20" t="str">
        <f t="array" ref="B701">IF(ISERROR(INDEX('Eingabe Meldungen'!$C$2:$C$492,LARGE(('Eingabe Meldungen'!$A$2:$A$492=$B$656)*(ROW('Eingabe Meldungen'!$A$2:$A$492)-1),COUNTIF('Eingabe Meldungen'!$A$2:$A$492,$B$656)+1-ROW('Eingabe Meldungen'!A33)))),"",INDEX('Eingabe Meldungen'!$C$2:$C$492,LARGE(('Eingabe Meldungen'!$A$2:$A$492=$B$656)*(ROW('Eingabe Meldungen'!$A$2:$A$492)-1),COUNTIF('Eingabe Meldungen'!$A$2:$A$492,$B$656)+1-ROW('Eingabe Meldungen'!A33))))</f>
        <v/>
      </c>
      <c r="C701" t="str">
        <f t="array" ref="C701">IF(ISERROR(INDEX('Eingabe Meldungen'!$D$2:$D$492,LARGE(('Eingabe Meldungen'!$A$2:$A$492=$B$656)*(ROW('Eingabe Meldungen'!$A$2:$A$492)-1),COUNTIF('Eingabe Meldungen'!$A$2:$A$492,$B$656)+1-ROW('Eingabe Meldungen'!A33)))),"",INDEX('Eingabe Meldungen'!$D$2:$D$492,LARGE(('Eingabe Meldungen'!$A$2:$A$492=$B$656)*(ROW('Eingabe Meldungen'!$A$2:$A$492)-1),COUNTIF('Eingabe Meldungen'!$A$2:$A$492,$B$656)+1-ROW('Eingabe Meldungen'!A33))))</f>
        <v/>
      </c>
      <c r="D701" s="11" t="str">
        <f t="array" ref="D701">IF(B701&lt;&gt;"",INDEX('Eingabe Meldungen'!$C$2:$H$492,MATCH(B701&amp;C701,'Eingabe Meldungen'!$C$2:$C$492&amp;'Eingabe Meldungen'!$D$2:$D$492,0),6),"")</f>
        <v/>
      </c>
      <c r="E701" s="11" t="str">
        <f t="array" ref="E701">IF(B701&lt;&gt;"",INDEX('Eingabe Meldungen'!$C$2:$H$492,MATCH(B701&amp;C701,'Eingabe Meldungen'!$C$2:$C$492&amp;'Eingabe Meldungen'!$D$2:$D$492,0),4),"")</f>
        <v/>
      </c>
      <c r="F701" s="15">
        <v>6</v>
      </c>
      <c r="G701" s="74"/>
      <c r="H701" s="444"/>
      <c r="I701" s="21" t="str">
        <f t="array" ref="I701">IF(B701&lt;&gt;"",INDEX('Eingabe Meldungen'!$C$2:$J$492,MATCH(B701&amp;C701,'Eingabe Meldungen'!$C$2:$C$492&amp;'Eingabe Meldungen'!$D$2:$D$492,0),8),"")</f>
        <v/>
      </c>
      <c r="J701" s="15"/>
    </row>
    <row r="702" spans="2:12" hidden="1" x14ac:dyDescent="0.2">
      <c r="B702" s="20" t="str">
        <f t="array" ref="B702">IF(ISERROR(INDEX('Eingabe Meldungen'!$C$2:$C$492,LARGE(('Eingabe Meldungen'!$A$2:$A$492=$B$656)*(ROW('Eingabe Meldungen'!$A$2:$A$492)-1),COUNTIF('Eingabe Meldungen'!$A$2:$A$492,$B$656)+1-ROW('Eingabe Meldungen'!A34)))),"",INDEX('Eingabe Meldungen'!$C$2:$C$492,LARGE(('Eingabe Meldungen'!$A$2:$A$492=$B$656)*(ROW('Eingabe Meldungen'!$A$2:$A$492)-1),COUNTIF('Eingabe Meldungen'!$A$2:$A$492,$B$656)+1-ROW('Eingabe Meldungen'!A34))))</f>
        <v/>
      </c>
      <c r="C702" t="str">
        <f t="array" ref="C702">IF(ISERROR(INDEX('Eingabe Meldungen'!$D$2:$D$492,LARGE(('Eingabe Meldungen'!$A$2:$A$492=$B$656)*(ROW('Eingabe Meldungen'!$A$2:$A$492)-1),COUNTIF('Eingabe Meldungen'!$A$2:$A$492,$B$656)+1-ROW('Eingabe Meldungen'!A34)))),"",INDEX('Eingabe Meldungen'!$D$2:$D$492,LARGE(('Eingabe Meldungen'!$A$2:$A$492=$B$656)*(ROW('Eingabe Meldungen'!$A$2:$A$492)-1),COUNTIF('Eingabe Meldungen'!$A$2:$A$492,$B$656)+1-ROW('Eingabe Meldungen'!A34))))</f>
        <v/>
      </c>
      <c r="D702" s="11" t="str">
        <f t="array" ref="D702">IF(B702&lt;&gt;"",INDEX('Eingabe Meldungen'!$C$2:$H$492,MATCH(B702&amp;C702,'Eingabe Meldungen'!$C$2:$C$492&amp;'Eingabe Meldungen'!$D$2:$D$492,0),6),"")</f>
        <v/>
      </c>
      <c r="E702" s="11" t="str">
        <f t="array" ref="E702">IF(B702&lt;&gt;"",INDEX('Eingabe Meldungen'!$C$2:$H$492,MATCH(B702&amp;C702,'Eingabe Meldungen'!$C$2:$C$492&amp;'Eingabe Meldungen'!$D$2:$D$492,0),4),"")</f>
        <v/>
      </c>
      <c r="F702" s="15">
        <v>7</v>
      </c>
      <c r="G702" s="74"/>
      <c r="H702" s="444"/>
      <c r="I702" s="21" t="str">
        <f t="array" ref="I702">IF(B702&lt;&gt;"",INDEX('Eingabe Meldungen'!$C$2:$J$492,MATCH(B702&amp;C702,'Eingabe Meldungen'!$C$2:$C$492&amp;'Eingabe Meldungen'!$D$2:$D$492,0),8),"")</f>
        <v/>
      </c>
      <c r="J702" s="15"/>
      <c r="K702" s="72">
        <f>SUM(G723:G730)</f>
        <v>0</v>
      </c>
      <c r="L702" s="72"/>
    </row>
    <row r="703" spans="2:12" ht="13.2" hidden="1" thickBot="1" x14ac:dyDescent="0.25">
      <c r="B703" s="22" t="str">
        <f t="array" ref="B703">IF(ISERROR(INDEX('Eingabe Meldungen'!$C$2:$C$492,LARGE(('Eingabe Meldungen'!$A$2:$A$492=$B$656)*(ROW('Eingabe Meldungen'!$A$2:$A$492)-1),COUNTIF('Eingabe Meldungen'!$A$2:$A$492,$B$656)+1-ROW('Eingabe Meldungen'!A35)))),"",INDEX('Eingabe Meldungen'!$C$2:$C$492,LARGE(('Eingabe Meldungen'!$A$2:$A$492=$B$656)*(ROW('Eingabe Meldungen'!$A$2:$A$492)-1),COUNTIF('Eingabe Meldungen'!$A$2:$A$492,$B$656)+1-ROW('Eingabe Meldungen'!A35))))</f>
        <v/>
      </c>
      <c r="C703" s="14" t="str">
        <f t="array" ref="C703">IF(ISERROR(INDEX('Eingabe Meldungen'!$D$2:$D$492,LARGE(('Eingabe Meldungen'!$A$2:$A$492=$B$656)*(ROW('Eingabe Meldungen'!$A$2:$A$492)-1),COUNTIF('Eingabe Meldungen'!$A$2:$A$492,$B$656)+1-ROW('Eingabe Meldungen'!A35)))),"",INDEX('Eingabe Meldungen'!$D$2:$D$492,LARGE(('Eingabe Meldungen'!$A$2:$A$492=$B$656)*(ROW('Eingabe Meldungen'!$A$2:$A$492)-1),COUNTIF('Eingabe Meldungen'!$A$2:$A$492,$B$656)+1-ROW('Eingabe Meldungen'!A35))))</f>
        <v/>
      </c>
      <c r="D703" s="12" t="str">
        <f t="array" ref="D703">IF(B703&lt;&gt;"",INDEX('Eingabe Meldungen'!$C$2:$H$492,MATCH(B703&amp;C703,'Eingabe Meldungen'!$C$2:$C$492&amp;'Eingabe Meldungen'!$D$2:$D$492,0),6),"")</f>
        <v/>
      </c>
      <c r="E703" s="12" t="str">
        <f t="array" ref="E703">IF(B703&lt;&gt;"",INDEX('Eingabe Meldungen'!$C$2:$H$492,MATCH(B703&amp;C703,'Eingabe Meldungen'!$C$2:$C$492&amp;'Eingabe Meldungen'!$D$2:$D$492,0),4),"")</f>
        <v/>
      </c>
      <c r="F703" s="84">
        <v>8</v>
      </c>
      <c r="G703" s="83"/>
      <c r="H703" s="434"/>
      <c r="I703" s="23" t="str">
        <f t="array" ref="I703">IF(B703&lt;&gt;"",INDEX('Eingabe Meldungen'!$C$2:$J$492,MATCH(B703&amp;C703,'Eingabe Meldungen'!$C$2:$C$492&amp;'Eingabe Meldungen'!$D$2:$D$492,0),8),"")</f>
        <v/>
      </c>
      <c r="J703" s="84"/>
    </row>
    <row r="704" spans="2:12" hidden="1" x14ac:dyDescent="0.2">
      <c r="B704" s="20" t="str">
        <f t="array" ref="B704">IF(ISERROR(INDEX('Eingabe Meldungen'!$C$2:$C$492,LARGE(('Eingabe Meldungen'!$A$2:$A$492=$B$656)*(ROW('Eingabe Meldungen'!$A$2:$A$492)-1),COUNTIF('Eingabe Meldungen'!$A$2:$A$492,$B$656)+1-ROW('Eingabe Meldungen'!A36)))),"",INDEX('Eingabe Meldungen'!$C$2:$C$492,LARGE(('Eingabe Meldungen'!$A$2:$A$492=$B$656)*(ROW('Eingabe Meldungen'!$A$2:$A$492)-1),COUNTIF('Eingabe Meldungen'!$A$2:$A$492,$B$656)+1-ROW('Eingabe Meldungen'!A36))))</f>
        <v/>
      </c>
      <c r="C704" t="str">
        <f t="array" ref="C704">IF(ISERROR(INDEX('Eingabe Meldungen'!$D$2:$D$492,LARGE(('Eingabe Meldungen'!$A$2:$A$492=$B$656)*(ROW('Eingabe Meldungen'!$A$2:$A$492)-1),COUNTIF('Eingabe Meldungen'!$A$2:$A$492,$B$656)+1-ROW('Eingabe Meldungen'!A36)))),"",INDEX('Eingabe Meldungen'!$D$2:$D$492,LARGE(('Eingabe Meldungen'!$A$2:$A$492=$B$656)*(ROW('Eingabe Meldungen'!$A$2:$A$492)-1),COUNTIF('Eingabe Meldungen'!$A$2:$A$492,$B$656)+1-ROW('Eingabe Meldungen'!A36))))</f>
        <v/>
      </c>
      <c r="D704" s="11" t="str">
        <f t="array" ref="D704">IF(B704&lt;&gt;"",INDEX('Eingabe Meldungen'!$C$2:$H$492,MATCH(B704&amp;C704,'Eingabe Meldungen'!$C$2:$C$492&amp;'Eingabe Meldungen'!$D$2:$D$492,0),6),"")</f>
        <v/>
      </c>
      <c r="E704" s="11" t="str">
        <f t="array" ref="E704">IF(B704&lt;&gt;"",INDEX('Eingabe Meldungen'!$C$2:$H$492,MATCH(B704&amp;C704,'Eingabe Meldungen'!$C$2:$C$492&amp;'Eingabe Meldungen'!$D$2:$D$492,0),4),"")</f>
        <v/>
      </c>
      <c r="F704" s="15">
        <v>9</v>
      </c>
      <c r="G704" s="74"/>
      <c r="H704" s="444">
        <f>RANK(K683,K675:K690,1)</f>
        <v>1</v>
      </c>
      <c r="I704" s="21" t="str">
        <f t="array" ref="I704">IF(B704&lt;&gt;"",INDEX('Eingabe Meldungen'!$C$2:$J$492,MATCH(B704&amp;C704,'Eingabe Meldungen'!$C$2:$C$492&amp;'Eingabe Meldungen'!$D$2:$D$492,0),8),"")</f>
        <v/>
      </c>
      <c r="J704" s="15"/>
    </row>
    <row r="705" spans="2:10" hidden="1" x14ac:dyDescent="0.2">
      <c r="B705" s="20" t="str">
        <f t="array" ref="B705">IF(ISERROR(INDEX('Eingabe Meldungen'!$C$2:$C$492,LARGE(('Eingabe Meldungen'!$A$2:$A$492=$B$656)*(ROW('Eingabe Meldungen'!$A$2:$A$492)-1),COUNTIF('Eingabe Meldungen'!$A$2:$A$492,$B$656)+1-ROW('Eingabe Meldungen'!A37)))),"",INDEX('Eingabe Meldungen'!$C$2:$C$492,LARGE(('Eingabe Meldungen'!$A$2:$A$492=$B$656)*(ROW('Eingabe Meldungen'!$A$2:$A$492)-1),COUNTIF('Eingabe Meldungen'!$A$2:$A$492,$B$656)+1-ROW('Eingabe Meldungen'!A37))))</f>
        <v/>
      </c>
      <c r="C705" t="str">
        <f t="array" ref="C705">IF(ISERROR(INDEX('Eingabe Meldungen'!$D$2:$D$492,LARGE(('Eingabe Meldungen'!$A$2:$A$492=$B$656)*(ROW('Eingabe Meldungen'!$A$2:$A$492)-1),COUNTIF('Eingabe Meldungen'!$A$2:$A$492,$B$656)+1-ROW('Eingabe Meldungen'!A37)))),"",INDEX('Eingabe Meldungen'!$D$2:$D$492,LARGE(('Eingabe Meldungen'!$A$2:$A$492=$B$656)*(ROW('Eingabe Meldungen'!$A$2:$A$492)-1),COUNTIF('Eingabe Meldungen'!$A$2:$A$492,$B$656)+1-ROW('Eingabe Meldungen'!A37))))</f>
        <v/>
      </c>
      <c r="D705" s="11" t="str">
        <f t="array" ref="D705">IF(B705&lt;&gt;"",INDEX('Eingabe Meldungen'!$C$2:$H$492,MATCH(B705&amp;C705,'Eingabe Meldungen'!$C$2:$C$492&amp;'Eingabe Meldungen'!$D$2:$D$492,0),6),"")</f>
        <v/>
      </c>
      <c r="E705" s="11" t="str">
        <f t="array" ref="E705">IF(B705&lt;&gt;"",INDEX('Eingabe Meldungen'!$C$2:$H$492,MATCH(B705&amp;C705,'Eingabe Meldungen'!$C$2:$C$492&amp;'Eingabe Meldungen'!$D$2:$D$492,0),4),"")</f>
        <v/>
      </c>
      <c r="F705" s="15">
        <v>10</v>
      </c>
      <c r="G705" s="74"/>
      <c r="H705" s="444"/>
      <c r="I705" s="21" t="str">
        <f t="array" ref="I705">IF(B705&lt;&gt;"",INDEX('Eingabe Meldungen'!$C$2:$J$492,MATCH(B705&amp;C705,'Eingabe Meldungen'!$C$2:$C$492&amp;'Eingabe Meldungen'!$D$2:$D$492,0),8),"")</f>
        <v/>
      </c>
      <c r="J705" s="15"/>
    </row>
    <row r="706" spans="2:10" hidden="1" x14ac:dyDescent="0.2">
      <c r="B706" s="20" t="str">
        <f t="array" ref="B706">IF(ISERROR(INDEX('Eingabe Meldungen'!$C$2:$C$492,LARGE(('Eingabe Meldungen'!$A$2:$A$492=$B$656)*(ROW('Eingabe Meldungen'!$A$2:$A$492)-1),COUNTIF('Eingabe Meldungen'!$A$2:$A$492,$B$656)+1-ROW('Eingabe Meldungen'!A38)))),"",INDEX('Eingabe Meldungen'!$C$2:$C$492,LARGE(('Eingabe Meldungen'!$A$2:$A$492=$B$656)*(ROW('Eingabe Meldungen'!$A$2:$A$492)-1),COUNTIF('Eingabe Meldungen'!$A$2:$A$492,$B$656)+1-ROW('Eingabe Meldungen'!A38))))</f>
        <v/>
      </c>
      <c r="C706" t="str">
        <f t="array" ref="C706">IF(ISERROR(INDEX('Eingabe Meldungen'!$D$2:$D$492,LARGE(('Eingabe Meldungen'!$A$2:$A$492=$B$656)*(ROW('Eingabe Meldungen'!$A$2:$A$492)-1),COUNTIF('Eingabe Meldungen'!$A$2:$A$492,$B$656)+1-ROW('Eingabe Meldungen'!A38)))),"",INDEX('Eingabe Meldungen'!$D$2:$D$492,LARGE(('Eingabe Meldungen'!$A$2:$A$492=$B$656)*(ROW('Eingabe Meldungen'!$A$2:$A$492)-1),COUNTIF('Eingabe Meldungen'!$A$2:$A$492,$B$656)+1-ROW('Eingabe Meldungen'!A38))))</f>
        <v/>
      </c>
      <c r="D706" s="11" t="str">
        <f t="array" ref="D706">IF(B706&lt;&gt;"",INDEX('Eingabe Meldungen'!$C$2:$H$492,MATCH(B706&amp;C706,'Eingabe Meldungen'!$C$2:$C$492&amp;'Eingabe Meldungen'!$D$2:$D$492,0),6),"")</f>
        <v/>
      </c>
      <c r="E706" s="11" t="str">
        <f t="array" ref="E706">IF(B706&lt;&gt;"",INDEX('Eingabe Meldungen'!$C$2:$H$492,MATCH(B706&amp;C706,'Eingabe Meldungen'!$C$2:$C$492&amp;'Eingabe Meldungen'!$D$2:$D$492,0),4),"")</f>
        <v/>
      </c>
      <c r="F706" s="15">
        <v>11</v>
      </c>
      <c r="G706" s="74"/>
      <c r="H706" s="444"/>
      <c r="I706" s="21" t="str">
        <f t="array" ref="I706">IF(B706&lt;&gt;"",INDEX('Eingabe Meldungen'!$C$2:$J$492,MATCH(B706&amp;C706,'Eingabe Meldungen'!$C$2:$C$492&amp;'Eingabe Meldungen'!$D$2:$D$492,0),8),"")</f>
        <v/>
      </c>
      <c r="J706" s="15"/>
    </row>
    <row r="707" spans="2:10" hidden="1" x14ac:dyDescent="0.2">
      <c r="B707" s="20" t="str">
        <f t="array" ref="B707">IF(ISERROR(INDEX('Eingabe Meldungen'!$C$2:$C$492,LARGE(('Eingabe Meldungen'!$A$2:$A$492=$B$656)*(ROW('Eingabe Meldungen'!$A$2:$A$492)-1),COUNTIF('Eingabe Meldungen'!$A$2:$A$492,$B$656)+1-ROW('Eingabe Meldungen'!A39)))),"",INDEX('Eingabe Meldungen'!$C$2:$C$492,LARGE(('Eingabe Meldungen'!$A$2:$A$492=$B$656)*(ROW('Eingabe Meldungen'!$A$2:$A$492)-1),COUNTIF('Eingabe Meldungen'!$A$2:$A$492,$B$656)+1-ROW('Eingabe Meldungen'!A39))))</f>
        <v/>
      </c>
      <c r="C707" t="str">
        <f t="array" ref="C707">IF(ISERROR(INDEX('Eingabe Meldungen'!$D$2:$D$492,LARGE(('Eingabe Meldungen'!$A$2:$A$492=$B$656)*(ROW('Eingabe Meldungen'!$A$2:$A$492)-1),COUNTIF('Eingabe Meldungen'!$A$2:$A$492,$B$656)+1-ROW('Eingabe Meldungen'!A39)))),"",INDEX('Eingabe Meldungen'!$D$2:$D$492,LARGE(('Eingabe Meldungen'!$A$2:$A$492=$B$656)*(ROW('Eingabe Meldungen'!$A$2:$A$492)-1),COUNTIF('Eingabe Meldungen'!$A$2:$A$492,$B$656)+1-ROW('Eingabe Meldungen'!A39))))</f>
        <v/>
      </c>
      <c r="D707" s="11" t="str">
        <f t="array" ref="D707">IF(B707&lt;&gt;"",INDEX('Eingabe Meldungen'!$C$2:$H$492,MATCH(B707&amp;C707,'Eingabe Meldungen'!$C$2:$C$492&amp;'Eingabe Meldungen'!$D$2:$D$492,0),6),"")</f>
        <v/>
      </c>
      <c r="E707" s="11" t="str">
        <f t="array" ref="E707">IF(B707&lt;&gt;"",INDEX('Eingabe Meldungen'!$C$2:$H$492,MATCH(B707&amp;C707,'Eingabe Meldungen'!$C$2:$C$492&amp;'Eingabe Meldungen'!$D$2:$D$492,0),4),"")</f>
        <v/>
      </c>
      <c r="F707" s="15">
        <v>12</v>
      </c>
      <c r="G707" s="74"/>
      <c r="H707" s="444"/>
      <c r="I707" s="21" t="str">
        <f t="array" ref="I707">IF(B707&lt;&gt;"",INDEX('Eingabe Meldungen'!$C$2:$J$492,MATCH(B707&amp;C707,'Eingabe Meldungen'!$C$2:$C$492&amp;'Eingabe Meldungen'!$D$2:$D$492,0),8),"")</f>
        <v/>
      </c>
      <c r="J707" s="15"/>
    </row>
    <row r="708" spans="2:10" hidden="1" x14ac:dyDescent="0.2">
      <c r="B708" s="20" t="str">
        <f t="array" ref="B708">IF(ISERROR(INDEX('Eingabe Meldungen'!$C$2:$C$492,LARGE(('Eingabe Meldungen'!$A$2:$A$492=$B$656)*(ROW('Eingabe Meldungen'!$A$2:$A$492)-1),COUNTIF('Eingabe Meldungen'!$A$2:$A$492,$B$656)+1-ROW('Eingabe Meldungen'!A40)))),"",INDEX('Eingabe Meldungen'!$C$2:$C$492,LARGE(('Eingabe Meldungen'!$A$2:$A$492=$B$656)*(ROW('Eingabe Meldungen'!$A$2:$A$492)-1),COUNTIF('Eingabe Meldungen'!$A$2:$A$492,$B$656)+1-ROW('Eingabe Meldungen'!A40))))</f>
        <v/>
      </c>
      <c r="C708" t="str">
        <f t="array" ref="C708">IF(ISERROR(INDEX('Eingabe Meldungen'!$D$2:$D$492,LARGE(('Eingabe Meldungen'!$A$2:$A$492=$B$656)*(ROW('Eingabe Meldungen'!$A$2:$A$492)-1),COUNTIF('Eingabe Meldungen'!$A$2:$A$492,$B$656)+1-ROW('Eingabe Meldungen'!A40)))),"",INDEX('Eingabe Meldungen'!$D$2:$D$492,LARGE(('Eingabe Meldungen'!$A$2:$A$492=$B$656)*(ROW('Eingabe Meldungen'!$A$2:$A$492)-1),COUNTIF('Eingabe Meldungen'!$A$2:$A$492,$B$656)+1-ROW('Eingabe Meldungen'!A40))))</f>
        <v/>
      </c>
      <c r="D708" s="11" t="str">
        <f t="array" ref="D708">IF(B708&lt;&gt;"",INDEX('Eingabe Meldungen'!$C$2:$H$492,MATCH(B708&amp;C708,'Eingabe Meldungen'!$C$2:$C$492&amp;'Eingabe Meldungen'!$D$2:$D$492,0),6),"")</f>
        <v/>
      </c>
      <c r="E708" s="11" t="str">
        <f t="array" ref="E708">IF(B708&lt;&gt;"",INDEX('Eingabe Meldungen'!$C$2:$H$492,MATCH(B708&amp;C708,'Eingabe Meldungen'!$C$2:$C$492&amp;'Eingabe Meldungen'!$D$2:$D$492,0),4),"")</f>
        <v/>
      </c>
      <c r="F708" s="15">
        <v>13</v>
      </c>
      <c r="G708" s="74"/>
      <c r="H708" s="444"/>
      <c r="I708" s="21" t="str">
        <f t="array" ref="I708">IF(B708&lt;&gt;"",INDEX('Eingabe Meldungen'!$C$2:$J$492,MATCH(B708&amp;C708,'Eingabe Meldungen'!$C$2:$C$492&amp;'Eingabe Meldungen'!$D$2:$D$492,0),8),"")</f>
        <v/>
      </c>
      <c r="J708" s="15"/>
    </row>
    <row r="709" spans="2:10" hidden="1" x14ac:dyDescent="0.2">
      <c r="B709" s="20" t="str">
        <f t="array" ref="B709">IF(ISERROR(INDEX('Eingabe Meldungen'!$C$2:$C$492,LARGE(('Eingabe Meldungen'!$A$2:$A$492=$B$656)*(ROW('Eingabe Meldungen'!$A$2:$A$492)-1),COUNTIF('Eingabe Meldungen'!$A$2:$A$492,$B$656)+1-ROW('Eingabe Meldungen'!A41)))),"",INDEX('Eingabe Meldungen'!$C$2:$C$492,LARGE(('Eingabe Meldungen'!$A$2:$A$492=$B$656)*(ROW('Eingabe Meldungen'!$A$2:$A$492)-1),COUNTIF('Eingabe Meldungen'!$A$2:$A$492,$B$656)+1-ROW('Eingabe Meldungen'!A41))))</f>
        <v/>
      </c>
      <c r="C709" t="str">
        <f t="array" ref="C709">IF(ISERROR(INDEX('Eingabe Meldungen'!$D$2:$D$492,LARGE(('Eingabe Meldungen'!$A$2:$A$492=$B$656)*(ROW('Eingabe Meldungen'!$A$2:$A$492)-1),COUNTIF('Eingabe Meldungen'!$A$2:$A$492,$B$656)+1-ROW('Eingabe Meldungen'!A41)))),"",INDEX('Eingabe Meldungen'!$D$2:$D$492,LARGE(('Eingabe Meldungen'!$A$2:$A$492=$B$656)*(ROW('Eingabe Meldungen'!$A$2:$A$492)-1),COUNTIF('Eingabe Meldungen'!$A$2:$A$492,$B$656)+1-ROW('Eingabe Meldungen'!A41))))</f>
        <v/>
      </c>
      <c r="D709" s="11" t="str">
        <f t="array" ref="D709">IF(B709&lt;&gt;"",INDEX('Eingabe Meldungen'!$C$2:$H$492,MATCH(B709&amp;C709,'Eingabe Meldungen'!$C$2:$C$492&amp;'Eingabe Meldungen'!$D$2:$D$492,0),6),"")</f>
        <v/>
      </c>
      <c r="E709" s="11" t="str">
        <f t="array" ref="E709">IF(B709&lt;&gt;"",INDEX('Eingabe Meldungen'!$C$2:$H$492,MATCH(B709&amp;C709,'Eingabe Meldungen'!$C$2:$C$492&amp;'Eingabe Meldungen'!$D$2:$D$492,0),4),"")</f>
        <v/>
      </c>
      <c r="F709" s="15">
        <v>14</v>
      </c>
      <c r="G709" s="74"/>
      <c r="H709" s="444"/>
      <c r="I709" s="21" t="str">
        <f t="array" ref="I709">IF(B709&lt;&gt;"",INDEX('Eingabe Meldungen'!$C$2:$J$492,MATCH(B709&amp;C709,'Eingabe Meldungen'!$C$2:$C$492&amp;'Eingabe Meldungen'!$D$2:$D$492,0),8),"")</f>
        <v/>
      </c>
      <c r="J709" s="15"/>
    </row>
    <row r="710" spans="2:10" hidden="1" x14ac:dyDescent="0.2">
      <c r="B710" s="20" t="str">
        <f t="array" ref="B710">IF(ISERROR(INDEX('Eingabe Meldungen'!$C$2:$C$492,LARGE(('Eingabe Meldungen'!$A$2:$A$492=$B$656)*(ROW('Eingabe Meldungen'!$A$2:$A$492)-1),COUNTIF('Eingabe Meldungen'!$A$2:$A$492,$B$656)+1-ROW('Eingabe Meldungen'!A42)))),"",INDEX('Eingabe Meldungen'!$C$2:$C$492,LARGE(('Eingabe Meldungen'!$A$2:$A$492=$B$656)*(ROW('Eingabe Meldungen'!$A$2:$A$492)-1),COUNTIF('Eingabe Meldungen'!$A$2:$A$492,$B$656)+1-ROW('Eingabe Meldungen'!A42))))</f>
        <v/>
      </c>
      <c r="C710" t="str">
        <f t="array" ref="C710">IF(ISERROR(INDEX('Eingabe Meldungen'!$D$2:$D$492,LARGE(('Eingabe Meldungen'!$A$2:$A$492=$B$656)*(ROW('Eingabe Meldungen'!$A$2:$A$492)-1),COUNTIF('Eingabe Meldungen'!$A$2:$A$492,$B$656)+1-ROW('Eingabe Meldungen'!A42)))),"",INDEX('Eingabe Meldungen'!$D$2:$D$492,LARGE(('Eingabe Meldungen'!$A$2:$A$492=$B$656)*(ROW('Eingabe Meldungen'!$A$2:$A$492)-1),COUNTIF('Eingabe Meldungen'!$A$2:$A$492,$B$656)+1-ROW('Eingabe Meldungen'!A42))))</f>
        <v/>
      </c>
      <c r="D710" s="11" t="str">
        <f t="array" ref="D710">IF(B710&lt;&gt;"",INDEX('Eingabe Meldungen'!$C$2:$H$492,MATCH(B710&amp;C710,'Eingabe Meldungen'!$C$2:$C$492&amp;'Eingabe Meldungen'!$D$2:$D$492,0),6),"")</f>
        <v/>
      </c>
      <c r="E710" s="11" t="str">
        <f t="array" ref="E710">IF(B710&lt;&gt;"",INDEX('Eingabe Meldungen'!$C$2:$H$492,MATCH(B710&amp;C710,'Eingabe Meldungen'!$C$2:$C$492&amp;'Eingabe Meldungen'!$D$2:$D$492,0),4),"")</f>
        <v/>
      </c>
      <c r="F710" s="15">
        <v>15</v>
      </c>
      <c r="G710" s="74"/>
      <c r="H710" s="444"/>
      <c r="I710" s="21" t="str">
        <f t="array" ref="I710">IF(B710&lt;&gt;"",INDEX('Eingabe Meldungen'!$C$2:$J$492,MATCH(B710&amp;C710,'Eingabe Meldungen'!$C$2:$C$492&amp;'Eingabe Meldungen'!$D$2:$D$492,0),8),"")</f>
        <v/>
      </c>
      <c r="J710" s="15"/>
    </row>
    <row r="711" spans="2:10" ht="13.2" hidden="1" thickBot="1" x14ac:dyDescent="0.25">
      <c r="B711" s="22" t="str">
        <f t="array" ref="B711">IF(ISERROR(INDEX('Eingabe Meldungen'!$C$2:$C$492,LARGE(('Eingabe Meldungen'!$A$2:$A$492=$B$656)*(ROW('Eingabe Meldungen'!$A$2:$A$492)-1),COUNTIF('Eingabe Meldungen'!$A$2:$A$492,$B$656)+1-ROW('Eingabe Meldungen'!A43)))),"",INDEX('Eingabe Meldungen'!$C$2:$C$492,LARGE(('Eingabe Meldungen'!$A$2:$A$492=$B$656)*(ROW('Eingabe Meldungen'!$A$2:$A$492)-1),COUNTIF('Eingabe Meldungen'!$A$2:$A$492,$B$656)+1-ROW('Eingabe Meldungen'!A43))))</f>
        <v/>
      </c>
      <c r="C711" s="14" t="str">
        <f t="array" ref="C711">IF(ISERROR(INDEX('Eingabe Meldungen'!$D$2:$D$492,LARGE(('Eingabe Meldungen'!$A$2:$A$492=$B$656)*(ROW('Eingabe Meldungen'!$A$2:$A$492)-1),COUNTIF('Eingabe Meldungen'!$A$2:$A$492,$B$656)+1-ROW('Eingabe Meldungen'!A43)))),"",INDEX('Eingabe Meldungen'!$D$2:$D$492,LARGE(('Eingabe Meldungen'!$A$2:$A$492=$B$656)*(ROW('Eingabe Meldungen'!$A$2:$A$492)-1),COUNTIF('Eingabe Meldungen'!$A$2:$A$492,$B$656)+1-ROW('Eingabe Meldungen'!A43))))</f>
        <v/>
      </c>
      <c r="D711" s="12" t="str">
        <f t="array" ref="D711">IF(B711&lt;&gt;"",INDEX('Eingabe Meldungen'!$C$2:$H$492,MATCH(B711&amp;C711,'Eingabe Meldungen'!$C$2:$C$492&amp;'Eingabe Meldungen'!$D$2:$D$492,0),6),"")</f>
        <v/>
      </c>
      <c r="E711" s="12" t="str">
        <f t="array" ref="E711">IF(B711&lt;&gt;"",INDEX('Eingabe Meldungen'!$C$2:$H$492,MATCH(B711&amp;C711,'Eingabe Meldungen'!$C$2:$C$492&amp;'Eingabe Meldungen'!$D$2:$D$492,0),4),"")</f>
        <v/>
      </c>
      <c r="F711" s="84">
        <v>16</v>
      </c>
      <c r="G711" s="83"/>
      <c r="H711" s="434"/>
      <c r="I711" s="23" t="str">
        <f t="array" ref="I711">IF(B711&lt;&gt;"",INDEX('Eingabe Meldungen'!$C$2:$J$492,MATCH(B711&amp;C711,'Eingabe Meldungen'!$C$2:$C$492&amp;'Eingabe Meldungen'!$D$2:$D$492,0),8),"")</f>
        <v/>
      </c>
      <c r="J711" s="84"/>
    </row>
    <row r="712" spans="2:10" hidden="1" x14ac:dyDescent="0.2"/>
    <row r="713" spans="2:10" hidden="1" x14ac:dyDescent="0.2">
      <c r="B713" s="94">
        <v>36</v>
      </c>
      <c r="C713" s="95" t="e">
        <f>VLOOKUP(B713,Ausschreibung!$B$5:$I$35,2,FALSE)</f>
        <v>#N/A</v>
      </c>
      <c r="D713" s="96" t="e">
        <f>VLOOKUP(B713,Ausschreibung!$B$5:$I$35,3,FALSE)</f>
        <v>#N/A</v>
      </c>
      <c r="E713" s="97" t="e">
        <f>VLOOKUP(B713,Ausschreibung!$B$5:$I$35,4,FALSE)</f>
        <v>#N/A</v>
      </c>
      <c r="F713" s="97" t="e">
        <f>VLOOKUP(B713,Ausschreibung!$B$5:$I$35,5,FALSE)</f>
        <v>#N/A</v>
      </c>
      <c r="G713" s="95" t="e">
        <f>VLOOKUP(B713,Ausschreibung!$B$5:$I$35,6,FALSE)</f>
        <v>#N/A</v>
      </c>
      <c r="H713" s="95" t="e">
        <f>VLOOKUP(B713,Ausschreibung!$B$5:$I$35,8,FALSE)</f>
        <v>#N/A</v>
      </c>
      <c r="I713" s="98" t="s">
        <v>75</v>
      </c>
      <c r="J713" s="95"/>
    </row>
    <row r="714" spans="2:10" hidden="1" x14ac:dyDescent="0.2">
      <c r="B714" s="19" t="s">
        <v>1</v>
      </c>
      <c r="C714" s="18" t="s">
        <v>2</v>
      </c>
      <c r="D714" s="17" t="s">
        <v>49</v>
      </c>
      <c r="E714" s="25" t="s">
        <v>16</v>
      </c>
      <c r="F714" s="17" t="s">
        <v>18</v>
      </c>
      <c r="G714" s="73" t="s">
        <v>50</v>
      </c>
      <c r="H714" s="17" t="s">
        <v>51</v>
      </c>
      <c r="I714" s="30" t="s">
        <v>17</v>
      </c>
      <c r="J714" s="17"/>
    </row>
    <row r="715" spans="2:10" hidden="1" x14ac:dyDescent="0.2">
      <c r="B715" s="67" t="str">
        <f t="array" ref="B715">IF(ISERROR(INDEX('Eingabe Meldungen'!$C$2:$C$492,LARGE(('Eingabe Meldungen'!$A$2:$A$492=$B$656)*(ROW('Eingabe Meldungen'!$A$2:$A$492)-1),COUNTIF('Eingabe Meldungen'!$A$2:$A$492,$B$656)+1-ROW('Eingabe Meldungen'!A44)))),"",INDEX('Eingabe Meldungen'!$C$2:$C$492,LARGE(('Eingabe Meldungen'!$A$2:$A$492=$B$656)*(ROW('Eingabe Meldungen'!$A$2:$A$492)-1),COUNTIF('Eingabe Meldungen'!$A$2:$A$492,$B$656)+1-ROW('Eingabe Meldungen'!A44))))</f>
        <v/>
      </c>
      <c r="C715" s="46" t="str">
        <f t="array" ref="C715">IF(ISERROR(INDEX('Eingabe Meldungen'!$D$2:$D$492,LARGE(('Eingabe Meldungen'!$A$2:$A$492=$B$656)*(ROW('Eingabe Meldungen'!$A$2:$A$492)-1),COUNTIF('Eingabe Meldungen'!$A$2:$A$492,$B$656)+1-ROW('Eingabe Meldungen'!A44)))),"",INDEX('Eingabe Meldungen'!$D$2:$D$492,LARGE(('Eingabe Meldungen'!$A$2:$A$492=$B$656)*(ROW('Eingabe Meldungen'!$A$2:$A$492)-1),COUNTIF('Eingabe Meldungen'!$A$2:$A$492,$B$656)+1-ROW('Eingabe Meldungen'!A44))))</f>
        <v/>
      </c>
      <c r="D715" s="77" t="str">
        <f t="array" ref="D715">IF(B715&lt;&gt;"",INDEX('Eingabe Meldungen'!$C$2:$H$492,MATCH(B715&amp;C715,'Eingabe Meldungen'!$C$2:$C$492&amp;'Eingabe Meldungen'!$D$2:$D$492,0),6),"")</f>
        <v/>
      </c>
      <c r="E715" s="77" t="str">
        <f t="array" ref="E715">IF(B715&lt;&gt;"",INDEX('Eingabe Meldungen'!$C$2:$H$492,MATCH(B715&amp;C715,'Eingabe Meldungen'!$C$2:$C$492&amp;'Eingabe Meldungen'!$D$2:$D$492,0),4),"")</f>
        <v/>
      </c>
      <c r="F715" s="78">
        <v>1</v>
      </c>
      <c r="G715" s="80"/>
      <c r="H715" s="433">
        <f>RANK(K694,K694:K709,1)</f>
        <v>1</v>
      </c>
      <c r="I715" s="79" t="str">
        <f t="array" ref="I715">IF(B715&lt;&gt;"",INDEX('Eingabe Meldungen'!$C$2:$J$492,MATCH(B715&amp;C715,'Eingabe Meldungen'!$C$2:$C$492&amp;'Eingabe Meldungen'!$D$2:$D$492,0),8),"")</f>
        <v/>
      </c>
      <c r="J715" s="86"/>
    </row>
    <row r="716" spans="2:10" hidden="1" x14ac:dyDescent="0.2">
      <c r="B716" s="20" t="str">
        <f t="array" ref="B716">IF(ISERROR(INDEX('Eingabe Meldungen'!$C$2:$C$492,LARGE(('Eingabe Meldungen'!$A$2:$A$492=$B$656)*(ROW('Eingabe Meldungen'!$A$2:$A$492)-1),COUNTIF('Eingabe Meldungen'!$A$2:$A$492,$B$656)+1-ROW('Eingabe Meldungen'!A190)))),"",INDEX('Eingabe Meldungen'!$C$2:$C$492,LARGE(('Eingabe Meldungen'!$A$2:$A$492=$B$656)*(ROW('Eingabe Meldungen'!$A$2:$A$492)-1),COUNTIF('Eingabe Meldungen'!$A$2:$A$492,$B$656)+1-ROW('Eingabe Meldungen'!A190))))</f>
        <v/>
      </c>
      <c r="C716" t="str">
        <f t="array" ref="C716">IF(ISERROR(INDEX('Eingabe Meldungen'!$D$2:$D$492,LARGE(('Eingabe Meldungen'!$A$2:$A$492=$B$656)*(ROW('Eingabe Meldungen'!$A$2:$A$492)-1),COUNTIF('Eingabe Meldungen'!$A$2:$A$492,$B$656)+1-ROW('Eingabe Meldungen'!A190)))),"",INDEX('Eingabe Meldungen'!$D$2:$D$492,LARGE(('Eingabe Meldungen'!$A$2:$A$492=$B$656)*(ROW('Eingabe Meldungen'!$A$2:$A$492)-1),COUNTIF('Eingabe Meldungen'!$A$2:$A$492,$B$656)+1-ROW('Eingabe Meldungen'!A190))))</f>
        <v/>
      </c>
      <c r="D716" s="11" t="str">
        <f t="array" ref="D716">IF(B716&lt;&gt;"",INDEX('Eingabe Meldungen'!$C$2:$H$492,MATCH(B716&amp;C716,'Eingabe Meldungen'!$C$2:$C$492&amp;'Eingabe Meldungen'!$D$2:$D$492,0),6),"")</f>
        <v/>
      </c>
      <c r="E716" s="11" t="str">
        <f t="array" ref="E716">IF(B716&lt;&gt;"",INDEX('Eingabe Meldungen'!$C$2:$H$492,MATCH(B716&amp;C716,'Eingabe Meldungen'!$C$2:$C$492&amp;'Eingabe Meldungen'!$D$2:$D$492,0),4),"")</f>
        <v/>
      </c>
      <c r="F716" s="15">
        <v>2</v>
      </c>
      <c r="G716" s="74"/>
      <c r="H716" s="444"/>
      <c r="I716" s="21" t="str">
        <f t="array" ref="I716">IF(B716&lt;&gt;"",INDEX('Eingabe Meldungen'!$C$2:$J$492,MATCH(B716&amp;C716,'Eingabe Meldungen'!$C$2:$C$492&amp;'Eingabe Meldungen'!$D$2:$D$492,0),8),"")</f>
        <v/>
      </c>
      <c r="J716" s="15"/>
    </row>
    <row r="717" spans="2:10" hidden="1" x14ac:dyDescent="0.2">
      <c r="B717" s="20" t="str">
        <f t="array" ref="B717">IF(ISERROR(INDEX('Eingabe Meldungen'!$C$2:$C$492,LARGE(('Eingabe Meldungen'!$A$2:$A$492=$B$656)*(ROW('Eingabe Meldungen'!$A$2:$A$492)-1),COUNTIF('Eingabe Meldungen'!$A$2:$A$492,$B$656)+1-ROW('Eingabe Meldungen'!A46)))),"",INDEX('Eingabe Meldungen'!$C$2:$C$492,LARGE(('Eingabe Meldungen'!$A$2:$A$492=$B$656)*(ROW('Eingabe Meldungen'!$A$2:$A$492)-1),COUNTIF('Eingabe Meldungen'!$A$2:$A$492,$B$656)+1-ROW('Eingabe Meldungen'!A46))))</f>
        <v/>
      </c>
      <c r="C717" t="str">
        <f t="array" ref="C717">IF(ISERROR(INDEX('Eingabe Meldungen'!$D$2:$D$492,LARGE(('Eingabe Meldungen'!$A$2:$A$492=$B$656)*(ROW('Eingabe Meldungen'!$A$2:$A$492)-1),COUNTIF('Eingabe Meldungen'!$A$2:$A$492,$B$656)+1-ROW('Eingabe Meldungen'!A46)))),"",INDEX('Eingabe Meldungen'!$D$2:$D$492,LARGE(('Eingabe Meldungen'!$A$2:$A$492=$B$656)*(ROW('Eingabe Meldungen'!$A$2:$A$492)-1),COUNTIF('Eingabe Meldungen'!$A$2:$A$492,$B$656)+1-ROW('Eingabe Meldungen'!A46))))</f>
        <v/>
      </c>
      <c r="D717" s="11" t="str">
        <f t="array" ref="D717">IF(B717&lt;&gt;"",INDEX('Eingabe Meldungen'!$C$2:$H$492,MATCH(B717&amp;C717,'Eingabe Meldungen'!$C$2:$C$492&amp;'Eingabe Meldungen'!$D$2:$D$492,0),6),"")</f>
        <v/>
      </c>
      <c r="E717" s="11" t="str">
        <f t="array" ref="E717">IF(B717&lt;&gt;"",INDEX('Eingabe Meldungen'!$C$2:$H$492,MATCH(B717&amp;C717,'Eingabe Meldungen'!$C$2:$C$492&amp;'Eingabe Meldungen'!$D$2:$D$492,0),4),"")</f>
        <v/>
      </c>
      <c r="F717" s="15">
        <v>3</v>
      </c>
      <c r="G717" s="74"/>
      <c r="H717" s="444"/>
      <c r="I717" s="21" t="str">
        <f t="array" ref="I717">IF(B717&lt;&gt;"",INDEX('Eingabe Meldungen'!$C$2:$J$492,MATCH(B717&amp;C717,'Eingabe Meldungen'!$C$2:$C$492&amp;'Eingabe Meldungen'!$D$2:$D$492,0),8),"")</f>
        <v/>
      </c>
      <c r="J717" s="15"/>
    </row>
    <row r="718" spans="2:10" hidden="1" x14ac:dyDescent="0.2">
      <c r="B718" s="20" t="str">
        <f t="array" ref="B718">IF(ISERROR(INDEX('Eingabe Meldungen'!$C$2:$C$492,LARGE(('Eingabe Meldungen'!$A$2:$A$492=$B$656)*(ROW('Eingabe Meldungen'!$A$2:$A$492)-1),COUNTIF('Eingabe Meldungen'!$A$2:$A$492,$B$656)+1-ROW('Eingabe Meldungen'!A47)))),"",INDEX('Eingabe Meldungen'!$C$2:$C$492,LARGE(('Eingabe Meldungen'!$A$2:$A$492=$B$656)*(ROW('Eingabe Meldungen'!$A$2:$A$492)-1),COUNTIF('Eingabe Meldungen'!$A$2:$A$492,$B$656)+1-ROW('Eingabe Meldungen'!A47))))</f>
        <v/>
      </c>
      <c r="C718" t="str">
        <f t="array" ref="C718">IF(ISERROR(INDEX('Eingabe Meldungen'!$D$2:$D$492,LARGE(('Eingabe Meldungen'!$A$2:$A$492=$B$656)*(ROW('Eingabe Meldungen'!$A$2:$A$492)-1),COUNTIF('Eingabe Meldungen'!$A$2:$A$492,$B$656)+1-ROW('Eingabe Meldungen'!A47)))),"",INDEX('Eingabe Meldungen'!$D$2:$D$492,LARGE(('Eingabe Meldungen'!$A$2:$A$492=$B$656)*(ROW('Eingabe Meldungen'!$A$2:$A$492)-1),COUNTIF('Eingabe Meldungen'!$A$2:$A$492,$B$656)+1-ROW('Eingabe Meldungen'!A47))))</f>
        <v/>
      </c>
      <c r="D718" s="11" t="str">
        <f t="array" ref="D718">IF(B718&lt;&gt;"",INDEX('Eingabe Meldungen'!$C$2:$H$492,MATCH(B718&amp;C718,'Eingabe Meldungen'!$C$2:$C$492&amp;'Eingabe Meldungen'!$D$2:$D$492,0),6),"")</f>
        <v/>
      </c>
      <c r="E718" s="11" t="str">
        <f t="array" ref="E718">IF(B718&lt;&gt;"",INDEX('Eingabe Meldungen'!$C$2:$H$492,MATCH(B718&amp;C718,'Eingabe Meldungen'!$C$2:$C$492&amp;'Eingabe Meldungen'!$D$2:$D$492,0),4),"")</f>
        <v/>
      </c>
      <c r="F718" s="15">
        <v>4</v>
      </c>
      <c r="G718" s="74"/>
      <c r="H718" s="444"/>
      <c r="I718" s="21" t="str">
        <f t="array" ref="I718">IF(B718&lt;&gt;"",INDEX('Eingabe Meldungen'!$C$2:$J$492,MATCH(B718&amp;C718,'Eingabe Meldungen'!$C$2:$C$492&amp;'Eingabe Meldungen'!$D$2:$D$492,0),8),"")</f>
        <v/>
      </c>
      <c r="J718" s="15"/>
    </row>
    <row r="719" spans="2:10" hidden="1" x14ac:dyDescent="0.2">
      <c r="B719" s="20" t="str">
        <f t="array" ref="B719">IF(ISERROR(INDEX('Eingabe Meldungen'!$C$2:$C$492,LARGE(('Eingabe Meldungen'!$A$2:$A$492=$B$656)*(ROW('Eingabe Meldungen'!$A$2:$A$492)-1),COUNTIF('Eingabe Meldungen'!$A$2:$A$492,$B$656)+1-ROW('Eingabe Meldungen'!A48)))),"",INDEX('Eingabe Meldungen'!$C$2:$C$492,LARGE(('Eingabe Meldungen'!$A$2:$A$492=$B$656)*(ROW('Eingabe Meldungen'!$A$2:$A$492)-1),COUNTIF('Eingabe Meldungen'!$A$2:$A$492,$B$656)+1-ROW('Eingabe Meldungen'!A48))))</f>
        <v/>
      </c>
      <c r="C719" t="str">
        <f t="array" ref="C719">IF(ISERROR(INDEX('Eingabe Meldungen'!$D$2:$D$492,LARGE(('Eingabe Meldungen'!$A$2:$A$492=$B$656)*(ROW('Eingabe Meldungen'!$A$2:$A$492)-1),COUNTIF('Eingabe Meldungen'!$A$2:$A$492,$B$656)+1-ROW('Eingabe Meldungen'!A48)))),"",INDEX('Eingabe Meldungen'!$D$2:$D$492,LARGE(('Eingabe Meldungen'!$A$2:$A$492=$B$656)*(ROW('Eingabe Meldungen'!$A$2:$A$492)-1),COUNTIF('Eingabe Meldungen'!$A$2:$A$492,$B$656)+1-ROW('Eingabe Meldungen'!A48))))</f>
        <v/>
      </c>
      <c r="D719" s="11" t="str">
        <f t="array" ref="D719">IF(B719&lt;&gt;"",INDEX('Eingabe Meldungen'!$C$2:$H$492,MATCH(B719&amp;C719,'Eingabe Meldungen'!$C$2:$C$492&amp;'Eingabe Meldungen'!$D$2:$D$492,0),6),"")</f>
        <v/>
      </c>
      <c r="E719" s="11" t="str">
        <f t="array" ref="E719">IF(B719&lt;&gt;"",INDEX('Eingabe Meldungen'!$C$2:$H$492,MATCH(B719&amp;C719,'Eingabe Meldungen'!$C$2:$C$492&amp;'Eingabe Meldungen'!$D$2:$D$492,0),4),"")</f>
        <v/>
      </c>
      <c r="F719" s="15">
        <v>5</v>
      </c>
      <c r="G719" s="74"/>
      <c r="H719" s="444"/>
      <c r="I719" s="21" t="str">
        <f t="array" ref="I719">IF(B719&lt;&gt;"",INDEX('Eingabe Meldungen'!$C$2:$J$492,MATCH(B719&amp;C719,'Eingabe Meldungen'!$C$2:$C$492&amp;'Eingabe Meldungen'!$D$2:$D$492,0),8),"")</f>
        <v/>
      </c>
      <c r="J719" s="15"/>
    </row>
    <row r="720" spans="2:10" hidden="1" x14ac:dyDescent="0.2">
      <c r="B720" s="20" t="str">
        <f t="array" ref="B720">IF(ISERROR(INDEX('Eingabe Meldungen'!$C$2:$C$492,LARGE(('Eingabe Meldungen'!$A$2:$A$492=$B$656)*(ROW('Eingabe Meldungen'!$A$2:$A$492)-1),COUNTIF('Eingabe Meldungen'!$A$2:$A$492,$B$656)+1-ROW('Eingabe Meldungen'!A49)))),"",INDEX('Eingabe Meldungen'!$C$2:$C$492,LARGE(('Eingabe Meldungen'!$A$2:$A$492=$B$656)*(ROW('Eingabe Meldungen'!$A$2:$A$492)-1),COUNTIF('Eingabe Meldungen'!$A$2:$A$492,$B$656)+1-ROW('Eingabe Meldungen'!A49))))</f>
        <v/>
      </c>
      <c r="C720" t="str">
        <f t="array" ref="C720">IF(ISERROR(INDEX('Eingabe Meldungen'!$D$2:$D$492,LARGE(('Eingabe Meldungen'!$A$2:$A$492=$B$656)*(ROW('Eingabe Meldungen'!$A$2:$A$492)-1),COUNTIF('Eingabe Meldungen'!$A$2:$A$492,$B$656)+1-ROW('Eingabe Meldungen'!A49)))),"",INDEX('Eingabe Meldungen'!$D$2:$D$492,LARGE(('Eingabe Meldungen'!$A$2:$A$492=$B$656)*(ROW('Eingabe Meldungen'!$A$2:$A$492)-1),COUNTIF('Eingabe Meldungen'!$A$2:$A$492,$B$656)+1-ROW('Eingabe Meldungen'!A49))))</f>
        <v/>
      </c>
      <c r="D720" s="11" t="str">
        <f t="array" ref="D720">IF(B720&lt;&gt;"",INDEX('Eingabe Meldungen'!$C$2:$H$492,MATCH(B720&amp;C720,'Eingabe Meldungen'!$C$2:$C$492&amp;'Eingabe Meldungen'!$D$2:$D$492,0),6),"")</f>
        <v/>
      </c>
      <c r="E720" s="11" t="str">
        <f t="array" ref="E720">IF(B720&lt;&gt;"",INDEX('Eingabe Meldungen'!$C$2:$H$492,MATCH(B720&amp;C720,'Eingabe Meldungen'!$C$2:$C$492&amp;'Eingabe Meldungen'!$D$2:$D$492,0),4),"")</f>
        <v/>
      </c>
      <c r="F720" s="15">
        <v>6</v>
      </c>
      <c r="G720" s="74"/>
      <c r="H720" s="444"/>
      <c r="I720" s="21" t="str">
        <f t="array" ref="I720">IF(B720&lt;&gt;"",INDEX('Eingabe Meldungen'!$C$2:$J$492,MATCH(B720&amp;C720,'Eingabe Meldungen'!$C$2:$C$492&amp;'Eingabe Meldungen'!$D$2:$D$492,0),8),"")</f>
        <v/>
      </c>
      <c r="J720" s="15"/>
    </row>
    <row r="721" spans="2:10" hidden="1" x14ac:dyDescent="0.2">
      <c r="B721" s="20" t="str">
        <f t="array" ref="B721">IF(ISERROR(INDEX('Eingabe Meldungen'!$C$2:$C$492,LARGE(('Eingabe Meldungen'!$A$2:$A$492=$B$656)*(ROW('Eingabe Meldungen'!$A$2:$A$492)-1),COUNTIF('Eingabe Meldungen'!$A$2:$A$492,$B$656)+1-ROW('Eingabe Meldungen'!A50)))),"",INDEX('Eingabe Meldungen'!$C$2:$C$492,LARGE(('Eingabe Meldungen'!$A$2:$A$492=$B$656)*(ROW('Eingabe Meldungen'!$A$2:$A$492)-1),COUNTIF('Eingabe Meldungen'!$A$2:$A$492,$B$656)+1-ROW('Eingabe Meldungen'!A50))))</f>
        <v/>
      </c>
      <c r="C721" t="str">
        <f t="array" ref="C721">IF(ISERROR(INDEX('Eingabe Meldungen'!$D$2:$D$492,LARGE(('Eingabe Meldungen'!$A$2:$A$492=$B$656)*(ROW('Eingabe Meldungen'!$A$2:$A$492)-1),COUNTIF('Eingabe Meldungen'!$A$2:$A$492,$B$656)+1-ROW('Eingabe Meldungen'!A50)))),"",INDEX('Eingabe Meldungen'!$D$2:$D$492,LARGE(('Eingabe Meldungen'!$A$2:$A$492=$B$656)*(ROW('Eingabe Meldungen'!$A$2:$A$492)-1),COUNTIF('Eingabe Meldungen'!$A$2:$A$492,$B$656)+1-ROW('Eingabe Meldungen'!A50))))</f>
        <v/>
      </c>
      <c r="D721" s="11" t="str">
        <f t="array" ref="D721">IF(B721&lt;&gt;"",INDEX('Eingabe Meldungen'!$C$2:$H$492,MATCH(B721&amp;C721,'Eingabe Meldungen'!$C$2:$C$492&amp;'Eingabe Meldungen'!$D$2:$D$492,0),6),"")</f>
        <v/>
      </c>
      <c r="E721" s="11" t="str">
        <f t="array" ref="E721">IF(B721&lt;&gt;"",INDEX('Eingabe Meldungen'!$C$2:$H$492,MATCH(B721&amp;C721,'Eingabe Meldungen'!$C$2:$C$492&amp;'Eingabe Meldungen'!$D$2:$D$492,0),4),"")</f>
        <v/>
      </c>
      <c r="F721" s="15">
        <v>7</v>
      </c>
      <c r="G721" s="74"/>
      <c r="H721" s="444"/>
      <c r="I721" s="21" t="str">
        <f t="array" ref="I721">IF(B721&lt;&gt;"",INDEX('Eingabe Meldungen'!$C$2:$J$492,MATCH(B721&amp;C721,'Eingabe Meldungen'!$C$2:$C$492&amp;'Eingabe Meldungen'!$D$2:$D$492,0),8),"")</f>
        <v/>
      </c>
      <c r="J721" s="15"/>
    </row>
    <row r="722" spans="2:10" ht="13.2" hidden="1" thickBot="1" x14ac:dyDescent="0.25">
      <c r="B722" s="22" t="str">
        <f t="array" ref="B722">IF(ISERROR(INDEX('Eingabe Meldungen'!$C$2:$C$492,LARGE(('Eingabe Meldungen'!$A$2:$A$492=$B$656)*(ROW('Eingabe Meldungen'!$A$2:$A$492)-1),COUNTIF('Eingabe Meldungen'!$A$2:$A$492,$B$656)+1-ROW('Eingabe Meldungen'!A51)))),"",INDEX('Eingabe Meldungen'!$C$2:$C$492,LARGE(('Eingabe Meldungen'!$A$2:$A$492=$B$656)*(ROW('Eingabe Meldungen'!$A$2:$A$492)-1),COUNTIF('Eingabe Meldungen'!$A$2:$A$492,$B$656)+1-ROW('Eingabe Meldungen'!A51))))</f>
        <v/>
      </c>
      <c r="C722" s="14" t="str">
        <f t="array" ref="C722">IF(ISERROR(INDEX('Eingabe Meldungen'!$D$2:$D$492,LARGE(('Eingabe Meldungen'!$A$2:$A$492=$B$656)*(ROW('Eingabe Meldungen'!$A$2:$A$492)-1),COUNTIF('Eingabe Meldungen'!$A$2:$A$492,$B$656)+1-ROW('Eingabe Meldungen'!A51)))),"",INDEX('Eingabe Meldungen'!$D$2:$D$492,LARGE(('Eingabe Meldungen'!$A$2:$A$492=$B$656)*(ROW('Eingabe Meldungen'!$A$2:$A$492)-1),COUNTIF('Eingabe Meldungen'!$A$2:$A$492,$B$656)+1-ROW('Eingabe Meldungen'!A51))))</f>
        <v/>
      </c>
      <c r="D722" s="12" t="str">
        <f t="array" ref="D722">IF(B722&lt;&gt;"",INDEX('Eingabe Meldungen'!$C$2:$H$492,MATCH(B722&amp;C722,'Eingabe Meldungen'!$C$2:$C$492&amp;'Eingabe Meldungen'!$D$2:$D$492,0),6),"")</f>
        <v/>
      </c>
      <c r="E722" s="12" t="str">
        <f t="array" ref="E722">IF(B722&lt;&gt;"",INDEX('Eingabe Meldungen'!$C$2:$H$492,MATCH(B722&amp;C722,'Eingabe Meldungen'!$C$2:$C$492&amp;'Eingabe Meldungen'!$D$2:$D$492,0),4),"")</f>
        <v/>
      </c>
      <c r="F722" s="84">
        <v>8</v>
      </c>
      <c r="G722" s="83"/>
      <c r="H722" s="434"/>
      <c r="I722" s="23" t="str">
        <f t="array" ref="I722">IF(B722&lt;&gt;"",INDEX('Eingabe Meldungen'!$C$2:$J$492,MATCH(B722&amp;C722,'Eingabe Meldungen'!$C$2:$C$492&amp;'Eingabe Meldungen'!$D$2:$D$492,0),8),"")</f>
        <v/>
      </c>
      <c r="J722" s="84"/>
    </row>
    <row r="723" spans="2:10" hidden="1" x14ac:dyDescent="0.2">
      <c r="B723" s="20" t="str">
        <f t="array" ref="B723">IF(ISERROR(INDEX('Eingabe Meldungen'!$C$2:$C$492,LARGE(('Eingabe Meldungen'!$A$2:$A$492=$B$656)*(ROW('Eingabe Meldungen'!$A$2:$A$492)-1),COUNTIF('Eingabe Meldungen'!$A$2:$A$492,$B$656)+1-ROW('Eingabe Meldungen'!A52)))),"",INDEX('Eingabe Meldungen'!$C$2:$C$492,LARGE(('Eingabe Meldungen'!$A$2:$A$492=$B$656)*(ROW('Eingabe Meldungen'!$A$2:$A$492)-1),COUNTIF('Eingabe Meldungen'!$A$2:$A$492,$B$656)+1-ROW('Eingabe Meldungen'!A52))))</f>
        <v/>
      </c>
      <c r="C723" t="str">
        <f t="array" ref="C723">IF(ISERROR(INDEX('Eingabe Meldungen'!$D$2:$D$492,LARGE(('Eingabe Meldungen'!$A$2:$A$492=$B$656)*(ROW('Eingabe Meldungen'!$A$2:$A$492)-1),COUNTIF('Eingabe Meldungen'!$A$2:$A$492,$B$656)+1-ROW('Eingabe Meldungen'!A52)))),"",INDEX('Eingabe Meldungen'!$D$2:$D$492,LARGE(('Eingabe Meldungen'!$A$2:$A$492=$B$656)*(ROW('Eingabe Meldungen'!$A$2:$A$492)-1),COUNTIF('Eingabe Meldungen'!$A$2:$A$492,$B$656)+1-ROW('Eingabe Meldungen'!A52))))</f>
        <v/>
      </c>
      <c r="D723" s="11" t="str">
        <f t="array" ref="D723">IF(B723&lt;&gt;"",INDEX('Eingabe Meldungen'!$C$2:$H$492,MATCH(B723&amp;C723,'Eingabe Meldungen'!$C$2:$C$492&amp;'Eingabe Meldungen'!$D$2:$D$492,0),6),"")</f>
        <v/>
      </c>
      <c r="E723" s="11" t="str">
        <f t="array" ref="E723">IF(B723&lt;&gt;"",INDEX('Eingabe Meldungen'!$C$2:$H$492,MATCH(B723&amp;C723,'Eingabe Meldungen'!$C$2:$C$492&amp;'Eingabe Meldungen'!$D$2:$D$492,0),4),"")</f>
        <v/>
      </c>
      <c r="F723" s="15">
        <v>9</v>
      </c>
      <c r="G723" s="74"/>
      <c r="H723" s="444">
        <f>RANK(K702,K694:K709,1)</f>
        <v>1</v>
      </c>
      <c r="I723" s="21" t="str">
        <f t="array" ref="I723">IF(B723&lt;&gt;"",INDEX('Eingabe Meldungen'!$C$2:$J$492,MATCH(B723&amp;C723,'Eingabe Meldungen'!$C$2:$C$492&amp;'Eingabe Meldungen'!$D$2:$D$492,0),8),"")</f>
        <v/>
      </c>
      <c r="J723" s="15"/>
    </row>
    <row r="724" spans="2:10" hidden="1" x14ac:dyDescent="0.2">
      <c r="B724" s="20" t="str">
        <f t="array" ref="B724">IF(ISERROR(INDEX('Eingabe Meldungen'!$C$2:$C$492,LARGE(('Eingabe Meldungen'!$A$2:$A$492=$B$656)*(ROW('Eingabe Meldungen'!$A$2:$A$492)-1),COUNTIF('Eingabe Meldungen'!$A$2:$A$492,$B$656)+1-ROW('Eingabe Meldungen'!A196)))),"",INDEX('Eingabe Meldungen'!$C$2:$C$492,LARGE(('Eingabe Meldungen'!$A$2:$A$492=$B$656)*(ROW('Eingabe Meldungen'!$A$2:$A$492)-1),COUNTIF('Eingabe Meldungen'!$A$2:$A$492,$B$656)+1-ROW('Eingabe Meldungen'!A196))))</f>
        <v/>
      </c>
      <c r="C724" t="str">
        <f t="array" ref="C724">IF(ISERROR(INDEX('Eingabe Meldungen'!$D$2:$D$492,LARGE(('Eingabe Meldungen'!$A$2:$A$492=$B$656)*(ROW('Eingabe Meldungen'!$A$2:$A$492)-1),COUNTIF('Eingabe Meldungen'!$A$2:$A$492,$B$656)+1-ROW('Eingabe Meldungen'!A196)))),"",INDEX('Eingabe Meldungen'!$D$2:$D$492,LARGE(('Eingabe Meldungen'!$A$2:$A$492=$B$656)*(ROW('Eingabe Meldungen'!$A$2:$A$492)-1),COUNTIF('Eingabe Meldungen'!$A$2:$A$492,$B$656)+1-ROW('Eingabe Meldungen'!A196))))</f>
        <v/>
      </c>
      <c r="D724" s="11" t="str">
        <f t="array" ref="D724">IF(B724&lt;&gt;"",INDEX('Eingabe Meldungen'!$C$2:$H$492,MATCH(B724&amp;C724,'Eingabe Meldungen'!$C$2:$C$492&amp;'Eingabe Meldungen'!$D$2:$D$492,0),6),"")</f>
        <v/>
      </c>
      <c r="E724" s="11" t="str">
        <f t="array" ref="E724">IF(B724&lt;&gt;"",INDEX('Eingabe Meldungen'!$C$2:$H$492,MATCH(B724&amp;C724,'Eingabe Meldungen'!$C$2:$C$492&amp;'Eingabe Meldungen'!$D$2:$D$492,0),4),"")</f>
        <v/>
      </c>
      <c r="F724" s="15">
        <v>10</v>
      </c>
      <c r="G724" s="74"/>
      <c r="H724" s="444"/>
      <c r="I724" s="21" t="str">
        <f t="array" ref="I724">IF(B724&lt;&gt;"",INDEX('Eingabe Meldungen'!$C$2:$J$492,MATCH(B724&amp;C724,'Eingabe Meldungen'!$C$2:$C$492&amp;'Eingabe Meldungen'!$D$2:$D$492,0),8),"")</f>
        <v/>
      </c>
      <c r="J724" s="15"/>
    </row>
    <row r="725" spans="2:10" hidden="1" x14ac:dyDescent="0.2">
      <c r="B725" s="20" t="str">
        <f t="array" ref="B725">IF(ISERROR(INDEX('Eingabe Meldungen'!$C$2:$C$492,LARGE(('Eingabe Meldungen'!$A$2:$A$492=$B$656)*(ROW('Eingabe Meldungen'!$A$2:$A$492)-1),COUNTIF('Eingabe Meldungen'!$A$2:$A$492,$B$656)+1-ROW('Eingabe Meldungen'!A54)))),"",INDEX('Eingabe Meldungen'!$C$2:$C$492,LARGE(('Eingabe Meldungen'!$A$2:$A$492=$B$656)*(ROW('Eingabe Meldungen'!$A$2:$A$492)-1),COUNTIF('Eingabe Meldungen'!$A$2:$A$492,$B$656)+1-ROW('Eingabe Meldungen'!A54))))</f>
        <v/>
      </c>
      <c r="C725" t="str">
        <f t="array" ref="C725">IF(ISERROR(INDEX('Eingabe Meldungen'!$D$2:$D$492,LARGE(('Eingabe Meldungen'!$A$2:$A$492=$B$656)*(ROW('Eingabe Meldungen'!$A$2:$A$492)-1),COUNTIF('Eingabe Meldungen'!$A$2:$A$492,$B$656)+1-ROW('Eingabe Meldungen'!A54)))),"",INDEX('Eingabe Meldungen'!$D$2:$D$492,LARGE(('Eingabe Meldungen'!$A$2:$A$492=$B$656)*(ROW('Eingabe Meldungen'!$A$2:$A$492)-1),COUNTIF('Eingabe Meldungen'!$A$2:$A$492,$B$656)+1-ROW('Eingabe Meldungen'!A54))))</f>
        <v/>
      </c>
      <c r="D725" s="11" t="str">
        <f t="array" ref="D725">IF(B725&lt;&gt;"",INDEX('Eingabe Meldungen'!$C$2:$H$492,MATCH(B725&amp;C725,'Eingabe Meldungen'!$C$2:$C$492&amp;'Eingabe Meldungen'!$D$2:$D$492,0),6),"")</f>
        <v/>
      </c>
      <c r="E725" s="11" t="str">
        <f t="array" ref="E725">IF(B725&lt;&gt;"",INDEX('Eingabe Meldungen'!$C$2:$H$492,MATCH(B725&amp;C725,'Eingabe Meldungen'!$C$2:$C$492&amp;'Eingabe Meldungen'!$D$2:$D$492,0),4),"")</f>
        <v/>
      </c>
      <c r="F725" s="15">
        <v>11</v>
      </c>
      <c r="G725" s="74"/>
      <c r="H725" s="444"/>
      <c r="I725" s="21" t="str">
        <f t="array" ref="I725">IF(B725&lt;&gt;"",INDEX('Eingabe Meldungen'!$C$2:$J$492,MATCH(B725&amp;C725,'Eingabe Meldungen'!$C$2:$C$492&amp;'Eingabe Meldungen'!$D$2:$D$492,0),8),"")</f>
        <v/>
      </c>
      <c r="J725" s="15"/>
    </row>
    <row r="726" spans="2:10" hidden="1" x14ac:dyDescent="0.2">
      <c r="B726" s="20" t="str">
        <f t="array" ref="B726">IF(ISERROR(INDEX('Eingabe Meldungen'!$C$2:$C$492,LARGE(('Eingabe Meldungen'!$A$2:$A$492=$B$656)*(ROW('Eingabe Meldungen'!$A$2:$A$492)-1),COUNTIF('Eingabe Meldungen'!$A$2:$A$492,$B$656)+1-ROW('Eingabe Meldungen'!A55)))),"",INDEX('Eingabe Meldungen'!$C$2:$C$492,LARGE(('Eingabe Meldungen'!$A$2:$A$492=$B$656)*(ROW('Eingabe Meldungen'!$A$2:$A$492)-1),COUNTIF('Eingabe Meldungen'!$A$2:$A$492,$B$656)+1-ROW('Eingabe Meldungen'!A55))))</f>
        <v/>
      </c>
      <c r="C726" t="str">
        <f t="array" ref="C726">IF(ISERROR(INDEX('Eingabe Meldungen'!$D$2:$D$492,LARGE(('Eingabe Meldungen'!$A$2:$A$492=$B$656)*(ROW('Eingabe Meldungen'!$A$2:$A$492)-1),COUNTIF('Eingabe Meldungen'!$A$2:$A$492,$B$656)+1-ROW('Eingabe Meldungen'!A55)))),"",INDEX('Eingabe Meldungen'!$D$2:$D$492,LARGE(('Eingabe Meldungen'!$A$2:$A$492=$B$656)*(ROW('Eingabe Meldungen'!$A$2:$A$492)-1),COUNTIF('Eingabe Meldungen'!$A$2:$A$492,$B$656)+1-ROW('Eingabe Meldungen'!A55))))</f>
        <v/>
      </c>
      <c r="D726" s="11" t="str">
        <f t="array" ref="D726">IF(B726&lt;&gt;"",INDEX('Eingabe Meldungen'!$C$2:$H$492,MATCH(B726&amp;C726,'Eingabe Meldungen'!$C$2:$C$492&amp;'Eingabe Meldungen'!$D$2:$D$492,0),6),"")</f>
        <v/>
      </c>
      <c r="E726" s="11" t="str">
        <f t="array" ref="E726">IF(B726&lt;&gt;"",INDEX('Eingabe Meldungen'!$C$2:$H$492,MATCH(B726&amp;C726,'Eingabe Meldungen'!$C$2:$C$492&amp;'Eingabe Meldungen'!$D$2:$D$492,0),4),"")</f>
        <v/>
      </c>
      <c r="F726" s="15">
        <v>12</v>
      </c>
      <c r="G726" s="74"/>
      <c r="H726" s="444"/>
      <c r="I726" s="21" t="str">
        <f t="array" ref="I726">IF(B726&lt;&gt;"",INDEX('Eingabe Meldungen'!$C$2:$J$492,MATCH(B726&amp;C726,'Eingabe Meldungen'!$C$2:$C$492&amp;'Eingabe Meldungen'!$D$2:$D$492,0),8),"")</f>
        <v/>
      </c>
      <c r="J726" s="15"/>
    </row>
    <row r="727" spans="2:10" hidden="1" x14ac:dyDescent="0.2">
      <c r="B727" s="20" t="str">
        <f t="array" ref="B727">IF(ISERROR(INDEX('Eingabe Meldungen'!$C$2:$C$492,LARGE(('Eingabe Meldungen'!$A$2:$A$492=$B$656)*(ROW('Eingabe Meldungen'!$A$2:$A$492)-1),COUNTIF('Eingabe Meldungen'!$A$2:$A$492,$B$656)+1-ROW('Eingabe Meldungen'!A56)))),"",INDEX('Eingabe Meldungen'!$C$2:$C$492,LARGE(('Eingabe Meldungen'!$A$2:$A$492=$B$656)*(ROW('Eingabe Meldungen'!$A$2:$A$492)-1),COUNTIF('Eingabe Meldungen'!$A$2:$A$492,$B$656)+1-ROW('Eingabe Meldungen'!A56))))</f>
        <v/>
      </c>
      <c r="C727" t="str">
        <f t="array" ref="C727">IF(ISERROR(INDEX('Eingabe Meldungen'!$D$2:$D$492,LARGE(('Eingabe Meldungen'!$A$2:$A$492=$B$656)*(ROW('Eingabe Meldungen'!$A$2:$A$492)-1),COUNTIF('Eingabe Meldungen'!$A$2:$A$492,$B$656)+1-ROW('Eingabe Meldungen'!A56)))),"",INDEX('Eingabe Meldungen'!$D$2:$D$492,LARGE(('Eingabe Meldungen'!$A$2:$A$492=$B$656)*(ROW('Eingabe Meldungen'!$A$2:$A$492)-1),COUNTIF('Eingabe Meldungen'!$A$2:$A$492,$B$656)+1-ROW('Eingabe Meldungen'!A56))))</f>
        <v/>
      </c>
      <c r="D727" s="11" t="str">
        <f t="array" ref="D727">IF(B727&lt;&gt;"",INDEX('Eingabe Meldungen'!$C$2:$H$492,MATCH(B727&amp;C727,'Eingabe Meldungen'!$C$2:$C$492&amp;'Eingabe Meldungen'!$D$2:$D$492,0),6),"")</f>
        <v/>
      </c>
      <c r="E727" s="11" t="str">
        <f t="array" ref="E727">IF(B727&lt;&gt;"",INDEX('Eingabe Meldungen'!$C$2:$H$492,MATCH(B727&amp;C727,'Eingabe Meldungen'!$C$2:$C$492&amp;'Eingabe Meldungen'!$D$2:$D$492,0),4),"")</f>
        <v/>
      </c>
      <c r="F727" s="15">
        <v>13</v>
      </c>
      <c r="G727" s="74"/>
      <c r="H727" s="444"/>
      <c r="I727" s="21" t="str">
        <f t="array" ref="I727">IF(B727&lt;&gt;"",INDEX('Eingabe Meldungen'!$C$2:$J$492,MATCH(B727&amp;C727,'Eingabe Meldungen'!$C$2:$C$492&amp;'Eingabe Meldungen'!$D$2:$D$492,0),8),"")</f>
        <v/>
      </c>
      <c r="J727" s="15"/>
    </row>
    <row r="728" spans="2:10" hidden="1" x14ac:dyDescent="0.2">
      <c r="B728" s="20" t="str">
        <f t="array" ref="B728">IF(ISERROR(INDEX('Eingabe Meldungen'!$C$2:$C$492,LARGE(('Eingabe Meldungen'!$A$2:$A$492=$B$656)*(ROW('Eingabe Meldungen'!$A$2:$A$492)-1),COUNTIF('Eingabe Meldungen'!$A$2:$A$492,$B$656)+1-ROW('Eingabe Meldungen'!A57)))),"",INDEX('Eingabe Meldungen'!$C$2:$C$492,LARGE(('Eingabe Meldungen'!$A$2:$A$492=$B$656)*(ROW('Eingabe Meldungen'!$A$2:$A$492)-1),COUNTIF('Eingabe Meldungen'!$A$2:$A$492,$B$656)+1-ROW('Eingabe Meldungen'!A57))))</f>
        <v/>
      </c>
      <c r="C728" t="str">
        <f t="array" ref="C728">IF(ISERROR(INDEX('Eingabe Meldungen'!$D$2:$D$492,LARGE(('Eingabe Meldungen'!$A$2:$A$492=$B$656)*(ROW('Eingabe Meldungen'!$A$2:$A$492)-1),COUNTIF('Eingabe Meldungen'!$A$2:$A$492,$B$656)+1-ROW('Eingabe Meldungen'!A57)))),"",INDEX('Eingabe Meldungen'!$D$2:$D$492,LARGE(('Eingabe Meldungen'!$A$2:$A$492=$B$656)*(ROW('Eingabe Meldungen'!$A$2:$A$492)-1),COUNTIF('Eingabe Meldungen'!$A$2:$A$492,$B$656)+1-ROW('Eingabe Meldungen'!A57))))</f>
        <v/>
      </c>
      <c r="D728" s="11" t="str">
        <f t="array" ref="D728">IF(B728&lt;&gt;"",INDEX('Eingabe Meldungen'!$C$2:$H$492,MATCH(B728&amp;C728,'Eingabe Meldungen'!$C$2:$C$492&amp;'Eingabe Meldungen'!$D$2:$D$492,0),6),"")</f>
        <v/>
      </c>
      <c r="E728" s="11" t="str">
        <f t="array" ref="E728">IF(B728&lt;&gt;"",INDEX('Eingabe Meldungen'!$C$2:$H$492,MATCH(B728&amp;C728,'Eingabe Meldungen'!$C$2:$C$492&amp;'Eingabe Meldungen'!$D$2:$D$492,0),4),"")</f>
        <v/>
      </c>
      <c r="F728" s="15">
        <v>14</v>
      </c>
      <c r="G728" s="74"/>
      <c r="H728" s="444"/>
      <c r="I728" s="21" t="str">
        <f t="array" ref="I728">IF(B728&lt;&gt;"",INDEX('Eingabe Meldungen'!$C$2:$J$492,MATCH(B728&amp;C728,'Eingabe Meldungen'!$C$2:$C$492&amp;'Eingabe Meldungen'!$D$2:$D$492,0),8),"")</f>
        <v/>
      </c>
      <c r="J728" s="15"/>
    </row>
    <row r="729" spans="2:10" hidden="1" x14ac:dyDescent="0.2">
      <c r="B729" s="20" t="str">
        <f t="array" ref="B729">IF(ISERROR(INDEX('Eingabe Meldungen'!$C$2:$C$492,LARGE(('Eingabe Meldungen'!$A$2:$A$492=$B$656)*(ROW('Eingabe Meldungen'!$A$2:$A$492)-1),COUNTIF('Eingabe Meldungen'!$A$2:$A$492,$B$656)+1-ROW('Eingabe Meldungen'!A58)))),"",INDEX('Eingabe Meldungen'!$C$2:$C$492,LARGE(('Eingabe Meldungen'!$A$2:$A$492=$B$656)*(ROW('Eingabe Meldungen'!$A$2:$A$492)-1),COUNTIF('Eingabe Meldungen'!$A$2:$A$492,$B$656)+1-ROW('Eingabe Meldungen'!A58))))</f>
        <v/>
      </c>
      <c r="C729" t="str">
        <f t="array" ref="C729">IF(ISERROR(INDEX('Eingabe Meldungen'!$D$2:$D$492,LARGE(('Eingabe Meldungen'!$A$2:$A$492=$B$656)*(ROW('Eingabe Meldungen'!$A$2:$A$492)-1),COUNTIF('Eingabe Meldungen'!$A$2:$A$492,$B$656)+1-ROW('Eingabe Meldungen'!A58)))),"",INDEX('Eingabe Meldungen'!$D$2:$D$492,LARGE(('Eingabe Meldungen'!$A$2:$A$492=$B$656)*(ROW('Eingabe Meldungen'!$A$2:$A$492)-1),COUNTIF('Eingabe Meldungen'!$A$2:$A$492,$B$656)+1-ROW('Eingabe Meldungen'!A58))))</f>
        <v/>
      </c>
      <c r="D729" s="11" t="str">
        <f t="array" ref="D729">IF(B729&lt;&gt;"",INDEX('Eingabe Meldungen'!$C$2:$H$492,MATCH(B729&amp;C729,'Eingabe Meldungen'!$C$2:$C$492&amp;'Eingabe Meldungen'!$D$2:$D$492,0),6),"")</f>
        <v/>
      </c>
      <c r="E729" s="11" t="str">
        <f t="array" ref="E729">IF(B729&lt;&gt;"",INDEX('Eingabe Meldungen'!$C$2:$H$492,MATCH(B729&amp;C729,'Eingabe Meldungen'!$C$2:$C$492&amp;'Eingabe Meldungen'!$D$2:$D$492,0),4),"")</f>
        <v/>
      </c>
      <c r="F729" s="15">
        <v>15</v>
      </c>
      <c r="G729" s="74"/>
      <c r="H729" s="444"/>
      <c r="I729" s="21" t="str">
        <f t="array" ref="I729">IF(B729&lt;&gt;"",INDEX('Eingabe Meldungen'!$C$2:$J$492,MATCH(B729&amp;C729,'Eingabe Meldungen'!$C$2:$C$492&amp;'Eingabe Meldungen'!$D$2:$D$492,0),8),"")</f>
        <v/>
      </c>
      <c r="J729" s="15"/>
    </row>
    <row r="730" spans="2:10" ht="13.2" hidden="1" thickBot="1" x14ac:dyDescent="0.25">
      <c r="B730" s="22" t="str">
        <f t="array" ref="B730">IF(ISERROR(INDEX('Eingabe Meldungen'!$C$2:$C$492,LARGE(('Eingabe Meldungen'!$A$2:$A$492=$B$656)*(ROW('Eingabe Meldungen'!$A$2:$A$492)-1),COUNTIF('Eingabe Meldungen'!$A$2:$A$492,$B$656)+1-ROW('Eingabe Meldungen'!A59)))),"",INDEX('Eingabe Meldungen'!$C$2:$C$492,LARGE(('Eingabe Meldungen'!$A$2:$A$492=$B$656)*(ROW('Eingabe Meldungen'!$A$2:$A$492)-1),COUNTIF('Eingabe Meldungen'!$A$2:$A$492,$B$656)+1-ROW('Eingabe Meldungen'!A59))))</f>
        <v/>
      </c>
      <c r="C730" s="14" t="str">
        <f t="array" ref="C730">IF(ISERROR(INDEX('Eingabe Meldungen'!$D$2:$D$492,LARGE(('Eingabe Meldungen'!$A$2:$A$492=$B$656)*(ROW('Eingabe Meldungen'!$A$2:$A$492)-1),COUNTIF('Eingabe Meldungen'!$A$2:$A$492,$B$656)+1-ROW('Eingabe Meldungen'!A59)))),"",INDEX('Eingabe Meldungen'!$D$2:$D$492,LARGE(('Eingabe Meldungen'!$A$2:$A$492=$B$656)*(ROW('Eingabe Meldungen'!$A$2:$A$492)-1),COUNTIF('Eingabe Meldungen'!$A$2:$A$492,$B$656)+1-ROW('Eingabe Meldungen'!A59))))</f>
        <v/>
      </c>
      <c r="D730" s="12" t="str">
        <f t="array" ref="D730">IF(B730&lt;&gt;"",INDEX('Eingabe Meldungen'!$C$2:$H$492,MATCH(B730&amp;C730,'Eingabe Meldungen'!$C$2:$C$492&amp;'Eingabe Meldungen'!$D$2:$D$492,0),6),"")</f>
        <v/>
      </c>
      <c r="E730" s="12" t="str">
        <f t="array" ref="E730">IF(B730&lt;&gt;"",INDEX('Eingabe Meldungen'!$C$2:$H$492,MATCH(B730&amp;C730,'Eingabe Meldungen'!$C$2:$C$492&amp;'Eingabe Meldungen'!$D$2:$D$492,0),4),"")</f>
        <v/>
      </c>
      <c r="F730" s="84">
        <v>16</v>
      </c>
      <c r="G730" s="83"/>
      <c r="H730" s="434"/>
      <c r="I730" s="23" t="str">
        <f t="array" ref="I730">IF(B730&lt;&gt;"",INDEX('Eingabe Meldungen'!$C$2:$J$492,MATCH(B730&amp;C730,'Eingabe Meldungen'!$C$2:$C$492&amp;'Eingabe Meldungen'!$D$2:$D$492,0),8),"")</f>
        <v/>
      </c>
      <c r="J730" s="84"/>
    </row>
    <row r="731" spans="2:10" hidden="1" x14ac:dyDescent="0.2"/>
    <row r="732" spans="2:10" hidden="1" x14ac:dyDescent="0.2">
      <c r="B732" s="17"/>
      <c r="C732" s="17"/>
      <c r="D732" s="18"/>
      <c r="E732" s="71"/>
      <c r="F732" s="71"/>
      <c r="G732" s="17"/>
      <c r="H732" s="17"/>
      <c r="I732" s="17"/>
      <c r="J732" s="17"/>
    </row>
    <row r="733" spans="2:10" hidden="1" x14ac:dyDescent="0.2">
      <c r="B733" s="17"/>
      <c r="C733" s="18"/>
      <c r="D733" s="17"/>
      <c r="E733" s="25"/>
      <c r="F733" s="17"/>
      <c r="G733" s="17"/>
      <c r="H733" s="17"/>
      <c r="I733" s="16"/>
      <c r="J733" s="17"/>
    </row>
    <row r="734" spans="2:10" hidden="1" x14ac:dyDescent="0.2">
      <c r="D734" s="11"/>
      <c r="E734" s="11"/>
      <c r="F734" s="66"/>
      <c r="G734" s="32"/>
      <c r="I734" s="11"/>
    </row>
    <row r="735" spans="2:10" x14ac:dyDescent="0.2">
      <c r="D735" s="11"/>
      <c r="E735" s="11"/>
      <c r="F735" s="15"/>
      <c r="G735" s="32"/>
      <c r="I735" s="11"/>
    </row>
    <row r="736" spans="2:10" x14ac:dyDescent="0.2">
      <c r="D736" s="11"/>
      <c r="E736" s="11"/>
      <c r="F736" s="15"/>
      <c r="G736" s="11"/>
      <c r="I736" s="11"/>
    </row>
    <row r="737" spans="4:9" x14ac:dyDescent="0.2">
      <c r="D737" s="11"/>
      <c r="E737" s="11"/>
      <c r="F737" s="15"/>
      <c r="G737" s="11"/>
      <c r="I737" s="11"/>
    </row>
    <row r="738" spans="4:9" x14ac:dyDescent="0.2">
      <c r="D738" s="11"/>
      <c r="E738" s="11"/>
      <c r="F738" s="15"/>
      <c r="G738" s="11"/>
      <c r="I738" s="11"/>
    </row>
    <row r="739" spans="4:9" x14ac:dyDescent="0.2">
      <c r="D739" s="11"/>
      <c r="E739" s="11"/>
      <c r="F739" s="15"/>
      <c r="G739" s="11"/>
      <c r="I739" s="11"/>
    </row>
    <row r="740" spans="4:9" x14ac:dyDescent="0.2">
      <c r="D740" s="11"/>
      <c r="E740" s="11"/>
      <c r="F740" s="15"/>
      <c r="G740" s="11"/>
      <c r="I740" s="11"/>
    </row>
    <row r="741" spans="4:9" x14ac:dyDescent="0.2">
      <c r="D741" s="11"/>
      <c r="E741" s="11"/>
      <c r="F741" s="15"/>
      <c r="G741" s="11"/>
      <c r="I741" s="11"/>
    </row>
    <row r="742" spans="4:9" x14ac:dyDescent="0.2">
      <c r="D742" s="11"/>
      <c r="E742" s="11"/>
      <c r="F742" s="15"/>
      <c r="G742" s="11"/>
      <c r="I742" s="11"/>
    </row>
    <row r="743" spans="4:9" x14ac:dyDescent="0.2">
      <c r="D743" s="11"/>
      <c r="E743" s="11"/>
      <c r="F743" s="15"/>
      <c r="G743" s="11"/>
      <c r="I743" s="11"/>
    </row>
    <row r="744" spans="4:9" x14ac:dyDescent="0.2">
      <c r="D744" s="11"/>
      <c r="E744" s="11"/>
      <c r="F744" s="15"/>
      <c r="G744" s="11"/>
      <c r="I744" s="11"/>
    </row>
    <row r="745" spans="4:9" x14ac:dyDescent="0.2">
      <c r="D745" s="11"/>
      <c r="E745" s="11"/>
      <c r="F745" s="15"/>
      <c r="G745" s="11"/>
      <c r="I745" s="11"/>
    </row>
    <row r="746" spans="4:9" x14ac:dyDescent="0.2">
      <c r="D746" s="11"/>
      <c r="E746" s="11"/>
      <c r="F746" s="15"/>
      <c r="G746" s="11"/>
      <c r="I746" s="11"/>
    </row>
    <row r="747" spans="4:9" x14ac:dyDescent="0.2">
      <c r="D747" s="11"/>
      <c r="E747" s="11"/>
      <c r="F747" s="15"/>
      <c r="G747" s="11"/>
      <c r="I747" s="11"/>
    </row>
    <row r="748" spans="4:9" x14ac:dyDescent="0.2">
      <c r="D748" s="11"/>
      <c r="E748" s="11"/>
      <c r="F748" s="15"/>
      <c r="G748" s="11"/>
      <c r="I748" s="11"/>
    </row>
    <row r="749" spans="4:9" x14ac:dyDescent="0.2">
      <c r="D749" s="11"/>
      <c r="E749" s="11"/>
      <c r="F749" s="15"/>
      <c r="G749" s="11"/>
      <c r="I749" s="11"/>
    </row>
  </sheetData>
  <sheetProtection sheet="1" objects="1" scenarios="1" selectLockedCells="1"/>
  <customSheetViews>
    <customSheetView guid="{391ED413-B519-42B5-B0F8-A9E49CD8514B}" hiddenRows="1" hiddenColumns="1" topLeftCell="A58">
      <pane ySplit="2" topLeftCell="A111" activePane="bottomLeft" state="frozen"/>
      <selection pane="bottomLeft" activeCell="A114" sqref="A114:XFD131"/>
      <pageMargins left="0.7" right="0.7" top="0.78740157499999996" bottom="0.78740157499999996" header="0.3" footer="0.3"/>
      <pageSetup paperSize="9" orientation="portrait" r:id="rId1"/>
    </customSheetView>
  </customSheetViews>
  <mergeCells count="32">
    <mergeCell ref="F627:F628"/>
    <mergeCell ref="H583:H586"/>
    <mergeCell ref="H587:H590"/>
    <mergeCell ref="H591:H594"/>
    <mergeCell ref="H595:H598"/>
    <mergeCell ref="H603:H606"/>
    <mergeCell ref="H607:H610"/>
    <mergeCell ref="H611:H614"/>
    <mergeCell ref="H615:H618"/>
    <mergeCell ref="F623:F624"/>
    <mergeCell ref="F625:F626"/>
    <mergeCell ref="F651:F652"/>
    <mergeCell ref="F629:F630"/>
    <mergeCell ref="F631:F632"/>
    <mergeCell ref="F633:F634"/>
    <mergeCell ref="F635:F636"/>
    <mergeCell ref="F637:F638"/>
    <mergeCell ref="F639:F640"/>
    <mergeCell ref="F641:F642"/>
    <mergeCell ref="F643:F644"/>
    <mergeCell ref="F645:F646"/>
    <mergeCell ref="F647:F648"/>
    <mergeCell ref="F649:F650"/>
    <mergeCell ref="H704:H711"/>
    <mergeCell ref="H715:H722"/>
    <mergeCell ref="H723:H730"/>
    <mergeCell ref="F653:F654"/>
    <mergeCell ref="H658:H665"/>
    <mergeCell ref="H666:H673"/>
    <mergeCell ref="H677:H684"/>
    <mergeCell ref="H685:H692"/>
    <mergeCell ref="H696:H703"/>
  </mergeCells>
  <pageMargins left="0.31496062992125984" right="0.31496062992125984" top="0.39370078740157483" bottom="0.39370078740157483" header="0" footer="0"/>
  <pageSetup paperSize="9" scale="68" fitToHeight="0" orientation="landscape" r:id="rId2"/>
  <rowBreaks count="3" manualBreakCount="3">
    <brk id="108" max="16383" man="1"/>
    <brk id="163" min="1" max="12" man="1"/>
    <brk id="245" min="1" max="12" man="1"/>
  </rowBreaks>
  <colBreaks count="1" manualBreakCount="1">
    <brk id="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8</vt:i4>
      </vt:variant>
    </vt:vector>
  </HeadingPairs>
  <TitlesOfParts>
    <vt:vector size="15" baseType="lpstr">
      <vt:lpstr>Ausschreibung</vt:lpstr>
      <vt:lpstr>Eingabe Meldungen</vt:lpstr>
      <vt:lpstr>Rennlisten</vt:lpstr>
      <vt:lpstr>Ergebnisse Rennen</vt:lpstr>
      <vt:lpstr>Kasse Einzelteilnehmer</vt:lpstr>
      <vt:lpstr>Kasse Verein</vt:lpstr>
      <vt:lpstr>Waage</vt:lpstr>
      <vt:lpstr>Ausschreibung!Druckbereich</vt:lpstr>
      <vt:lpstr>'Ergebnisse Rennen'!Druckbereich</vt:lpstr>
      <vt:lpstr>'Kasse Einzelteilnehmer'!Druckbereich</vt:lpstr>
      <vt:lpstr>Rennlisten!Druckbereich</vt:lpstr>
      <vt:lpstr>Waage!Druckbereich</vt:lpstr>
      <vt:lpstr>'Kasse Einzelteilnehmer'!Drucktitel</vt:lpstr>
      <vt:lpstr>Rennlisten!Drucktitel</vt:lpstr>
      <vt:lpstr>Waage!Drucktitel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Soeren</dc:creator>
  <cp:lastModifiedBy>Sean OHalloran</cp:lastModifiedBy>
  <cp:lastPrinted>2020-01-25T15:42:07Z</cp:lastPrinted>
  <dcterms:created xsi:type="dcterms:W3CDTF">2017-01-16T07:17:56Z</dcterms:created>
  <dcterms:modified xsi:type="dcterms:W3CDTF">2025-01-08T20:33:52Z</dcterms:modified>
</cp:coreProperties>
</file>